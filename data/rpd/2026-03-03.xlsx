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wnloads\"/>
    </mc:Choice>
  </mc:AlternateContent>
  <xr:revisionPtr revIDLastSave="0" documentId="8_{26205C02-30C7-47B9-9DF3-D0F61D064B35}" xr6:coauthVersionLast="47" xr6:coauthVersionMax="47" xr10:uidLastSave="{00000000-0000-0000-0000-000000000000}"/>
  <bookViews>
    <workbookView xWindow="2250" yWindow="2250" windowWidth="22935" windowHeight="12855" xr2:uid="{00000000-000D-0000-FFFF-FFFF00000000}"/>
  </bookViews>
  <sheets>
    <sheet name="WALMART_weekly_reporting_2026-B" sheetId="1" r:id="rId1"/>
    <sheet name="SEM campaigns summary + total f" sheetId="2" r:id="rId2"/>
    <sheet name="Sheet4" sheetId="3" state="hidden" r:id="rId3"/>
    <sheet name="SEM Campaigns Data 2026" sheetId="4" r:id="rId4"/>
    <sheet name="WALMART_weekly_reporting_2025-B" sheetId="5" state="hidden" r:id="rId5"/>
    <sheet name="SEM Campaigns Data 2025" sheetId="6" state="hidden" r:id="rId6"/>
    <sheet name="WALMART_weekly_reporting_2024-B" sheetId="7" state="hidden" r:id="rId7"/>
  </sheets>
  <externalReferences>
    <externalReference r:id="rId8"/>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66" i="7" l="1"/>
  <c r="M266" i="7"/>
  <c r="Q266" i="7" s="1"/>
  <c r="L266" i="7"/>
  <c r="K266" i="7"/>
  <c r="J266" i="7"/>
  <c r="S266" i="7" s="1"/>
  <c r="F266" i="7"/>
  <c r="E266" i="7"/>
  <c r="U266" i="7" s="1"/>
  <c r="D266" i="7"/>
  <c r="T266" i="7" s="1"/>
  <c r="A266" i="7"/>
  <c r="S265" i="7"/>
  <c r="Q265" i="7"/>
  <c r="P265" i="7"/>
  <c r="O265" i="7"/>
  <c r="N265" i="7"/>
  <c r="H265" i="7"/>
  <c r="I265" i="7" s="1"/>
  <c r="G265" i="7"/>
  <c r="S264" i="7"/>
  <c r="Q264" i="7"/>
  <c r="P264" i="7"/>
  <c r="O264" i="7"/>
  <c r="N264" i="7"/>
  <c r="I264" i="7"/>
  <c r="H264" i="7"/>
  <c r="G264" i="7"/>
  <c r="S263" i="7"/>
  <c r="Q263" i="7"/>
  <c r="P263" i="7"/>
  <c r="O263" i="7"/>
  <c r="N263" i="7"/>
  <c r="H263" i="7"/>
  <c r="I263" i="7" s="1"/>
  <c r="G263" i="7"/>
  <c r="S262" i="7"/>
  <c r="Q262" i="7"/>
  <c r="P262" i="7"/>
  <c r="O262" i="7"/>
  <c r="N262" i="7"/>
  <c r="H262" i="7"/>
  <c r="I262" i="7" s="1"/>
  <c r="G262" i="7"/>
  <c r="S261" i="7"/>
  <c r="Q261" i="7"/>
  <c r="P261" i="7"/>
  <c r="O261" i="7"/>
  <c r="N261" i="7"/>
  <c r="I261" i="7"/>
  <c r="H261" i="7"/>
  <c r="G261" i="7"/>
  <c r="S260" i="7"/>
  <c r="Q260" i="7"/>
  <c r="P260" i="7"/>
  <c r="O260" i="7"/>
  <c r="N260" i="7"/>
  <c r="H260" i="7"/>
  <c r="H266" i="7" s="1"/>
  <c r="G260" i="7"/>
  <c r="G266" i="7" s="1"/>
  <c r="T259" i="7"/>
  <c r="Q259" i="7"/>
  <c r="O259" i="7"/>
  <c r="M259" i="7"/>
  <c r="L259" i="7"/>
  <c r="K259" i="7"/>
  <c r="J259" i="7"/>
  <c r="P259" i="7" s="1"/>
  <c r="H259" i="7"/>
  <c r="F259" i="7"/>
  <c r="E259" i="7"/>
  <c r="U259" i="7" s="1"/>
  <c r="D259" i="7"/>
  <c r="A259" i="7"/>
  <c r="S258" i="7"/>
  <c r="R258" i="7"/>
  <c r="Q258" i="7"/>
  <c r="P258" i="7"/>
  <c r="O258" i="7"/>
  <c r="N258" i="7"/>
  <c r="I258" i="7"/>
  <c r="H258" i="7"/>
  <c r="G258" i="7"/>
  <c r="A258" i="7"/>
  <c r="S257" i="7"/>
  <c r="R257" i="7"/>
  <c r="Q257" i="7"/>
  <c r="P257" i="7"/>
  <c r="O257" i="7"/>
  <c r="N257" i="7"/>
  <c r="H257" i="7"/>
  <c r="G257" i="7"/>
  <c r="I257" i="7" s="1"/>
  <c r="S256" i="7"/>
  <c r="R256" i="7"/>
  <c r="Q256" i="7"/>
  <c r="P256" i="7"/>
  <c r="O256" i="7"/>
  <c r="N256" i="7"/>
  <c r="I256" i="7"/>
  <c r="H256" i="7"/>
  <c r="G256" i="7"/>
  <c r="S255" i="7"/>
  <c r="R255" i="7"/>
  <c r="Q255" i="7"/>
  <c r="P255" i="7"/>
  <c r="O255" i="7"/>
  <c r="N255" i="7"/>
  <c r="H255" i="7"/>
  <c r="I255" i="7" s="1"/>
  <c r="G255" i="7"/>
  <c r="S254" i="7"/>
  <c r="R254" i="7"/>
  <c r="Q254" i="7"/>
  <c r="P254" i="7"/>
  <c r="O254" i="7"/>
  <c r="N254" i="7"/>
  <c r="H254" i="7"/>
  <c r="I254" i="7" s="1"/>
  <c r="G254" i="7"/>
  <c r="S253" i="7"/>
  <c r="R253" i="7"/>
  <c r="Q253" i="7"/>
  <c r="P253" i="7"/>
  <c r="O253" i="7"/>
  <c r="N253" i="7"/>
  <c r="H253" i="7"/>
  <c r="G253" i="7"/>
  <c r="I253" i="7" s="1"/>
  <c r="S252" i="7"/>
  <c r="R252" i="7"/>
  <c r="Q252" i="7"/>
  <c r="P252" i="7"/>
  <c r="O252" i="7"/>
  <c r="N252" i="7"/>
  <c r="I252" i="7"/>
  <c r="H252" i="7"/>
  <c r="G252" i="7"/>
  <c r="S251" i="7"/>
  <c r="R251" i="7"/>
  <c r="Q251" i="7"/>
  <c r="P251" i="7"/>
  <c r="O251" i="7"/>
  <c r="N251" i="7"/>
  <c r="H251" i="7"/>
  <c r="I251" i="7" s="1"/>
  <c r="G251" i="7"/>
  <c r="S250" i="7"/>
  <c r="R250" i="7"/>
  <c r="Q250" i="7"/>
  <c r="P250" i="7"/>
  <c r="O250" i="7"/>
  <c r="N250" i="7"/>
  <c r="H250" i="7"/>
  <c r="I250" i="7" s="1"/>
  <c r="G250" i="7"/>
  <c r="S249" i="7"/>
  <c r="R249" i="7"/>
  <c r="Q249" i="7"/>
  <c r="P249" i="7"/>
  <c r="O249" i="7"/>
  <c r="N249" i="7"/>
  <c r="H249" i="7"/>
  <c r="G249" i="7"/>
  <c r="I249" i="7" s="1"/>
  <c r="S248" i="7"/>
  <c r="R248" i="7"/>
  <c r="Q248" i="7"/>
  <c r="P248" i="7"/>
  <c r="O248" i="7"/>
  <c r="N248" i="7"/>
  <c r="I248" i="7"/>
  <c r="H248" i="7"/>
  <c r="G248" i="7"/>
  <c r="S247" i="7"/>
  <c r="R247" i="7"/>
  <c r="Q247" i="7"/>
  <c r="P247" i="7"/>
  <c r="O247" i="7"/>
  <c r="N247" i="7"/>
  <c r="H247" i="7"/>
  <c r="I247" i="7" s="1"/>
  <c r="G247" i="7"/>
  <c r="S246" i="7"/>
  <c r="R246" i="7"/>
  <c r="Q246" i="7"/>
  <c r="P246" i="7"/>
  <c r="O246" i="7"/>
  <c r="N246" i="7"/>
  <c r="H246" i="7"/>
  <c r="I246" i="7" s="1"/>
  <c r="G246" i="7"/>
  <c r="S245" i="7"/>
  <c r="R245" i="7"/>
  <c r="Q245" i="7"/>
  <c r="P245" i="7"/>
  <c r="O245" i="7"/>
  <c r="N245" i="7"/>
  <c r="H245" i="7"/>
  <c r="G245" i="7"/>
  <c r="I245" i="7" s="1"/>
  <c r="S244" i="7"/>
  <c r="R244" i="7"/>
  <c r="R259" i="7" s="1"/>
  <c r="Q244" i="7"/>
  <c r="P244" i="7"/>
  <c r="O244" i="7"/>
  <c r="N244" i="7"/>
  <c r="I244" i="7"/>
  <c r="H244" i="7"/>
  <c r="G244" i="7"/>
  <c r="S243" i="7"/>
  <c r="R243" i="7"/>
  <c r="Q243" i="7"/>
  <c r="P243" i="7"/>
  <c r="O243" i="7"/>
  <c r="N243" i="7"/>
  <c r="H243" i="7"/>
  <c r="I243" i="7" s="1"/>
  <c r="G243" i="7"/>
  <c r="S242" i="7"/>
  <c r="R242" i="7"/>
  <c r="Q242" i="7"/>
  <c r="P242" i="7"/>
  <c r="O242" i="7"/>
  <c r="N242" i="7"/>
  <c r="H242" i="7"/>
  <c r="I242" i="7" s="1"/>
  <c r="G242" i="7"/>
  <c r="U241" i="7"/>
  <c r="T241" i="7"/>
  <c r="M241" i="7"/>
  <c r="Q241" i="7" s="1"/>
  <c r="L241" i="7"/>
  <c r="K241" i="7"/>
  <c r="J241" i="7"/>
  <c r="S241" i="7" s="1"/>
  <c r="H241" i="7"/>
  <c r="I241" i="7" s="1"/>
  <c r="G241" i="7"/>
  <c r="F241" i="7"/>
  <c r="E241" i="7"/>
  <c r="D241" i="7"/>
  <c r="A241" i="7"/>
  <c r="S240" i="7"/>
  <c r="R240" i="7"/>
  <c r="Q240" i="7"/>
  <c r="P240" i="7"/>
  <c r="O240" i="7"/>
  <c r="N240" i="7"/>
  <c r="I240" i="7"/>
  <c r="H240" i="7"/>
  <c r="G240" i="7"/>
  <c r="A240" i="7"/>
  <c r="S239" i="7"/>
  <c r="R239" i="7"/>
  <c r="Q239" i="7"/>
  <c r="P239" i="7"/>
  <c r="O239" i="7"/>
  <c r="N239" i="7"/>
  <c r="H239" i="7"/>
  <c r="G239" i="7"/>
  <c r="I239" i="7" s="1"/>
  <c r="S238" i="7"/>
  <c r="R238" i="7"/>
  <c r="Q238" i="7"/>
  <c r="P238" i="7"/>
  <c r="O238" i="7"/>
  <c r="N238" i="7"/>
  <c r="I238" i="7"/>
  <c r="H238" i="7"/>
  <c r="G238" i="7"/>
  <c r="S237" i="7"/>
  <c r="R237" i="7"/>
  <c r="Q237" i="7"/>
  <c r="P237" i="7"/>
  <c r="O237" i="7"/>
  <c r="N237" i="7"/>
  <c r="H237" i="7"/>
  <c r="I237" i="7" s="1"/>
  <c r="G237" i="7"/>
  <c r="S236" i="7"/>
  <c r="R236" i="7"/>
  <c r="Q236" i="7"/>
  <c r="P236" i="7"/>
  <c r="O236" i="7"/>
  <c r="N236" i="7"/>
  <c r="H236" i="7"/>
  <c r="G236" i="7"/>
  <c r="I236" i="7" s="1"/>
  <c r="S235" i="7"/>
  <c r="R235" i="7"/>
  <c r="Q235" i="7"/>
  <c r="P235" i="7"/>
  <c r="O235" i="7"/>
  <c r="N235" i="7"/>
  <c r="H235" i="7"/>
  <c r="G235" i="7"/>
  <c r="I235" i="7" s="1"/>
  <c r="S234" i="7"/>
  <c r="R234" i="7"/>
  <c r="Q234" i="7"/>
  <c r="P234" i="7"/>
  <c r="O234" i="7"/>
  <c r="N234" i="7"/>
  <c r="I234" i="7"/>
  <c r="H234" i="7"/>
  <c r="G234" i="7"/>
  <c r="S233" i="7"/>
  <c r="R233" i="7"/>
  <c r="Q233" i="7"/>
  <c r="P233" i="7"/>
  <c r="O233" i="7"/>
  <c r="N233" i="7"/>
  <c r="H233" i="7"/>
  <c r="I233" i="7" s="1"/>
  <c r="G233" i="7"/>
  <c r="S232" i="7"/>
  <c r="R232" i="7"/>
  <c r="Q232" i="7"/>
  <c r="P232" i="7"/>
  <c r="O232" i="7"/>
  <c r="N232" i="7"/>
  <c r="H232" i="7"/>
  <c r="G232" i="7"/>
  <c r="I232" i="7" s="1"/>
  <c r="S231" i="7"/>
  <c r="R231" i="7"/>
  <c r="Q231" i="7"/>
  <c r="P231" i="7"/>
  <c r="O231" i="7"/>
  <c r="N231" i="7"/>
  <c r="H231" i="7"/>
  <c r="G231" i="7"/>
  <c r="I231" i="7" s="1"/>
  <c r="S230" i="7"/>
  <c r="R230" i="7"/>
  <c r="Q230" i="7"/>
  <c r="P230" i="7"/>
  <c r="O230" i="7"/>
  <c r="N230" i="7"/>
  <c r="I230" i="7"/>
  <c r="H230" i="7"/>
  <c r="G230" i="7"/>
  <c r="S229" i="7"/>
  <c r="R229" i="7"/>
  <c r="Q229" i="7"/>
  <c r="P229" i="7"/>
  <c r="O229" i="7"/>
  <c r="N229" i="7"/>
  <c r="H229" i="7"/>
  <c r="I229" i="7" s="1"/>
  <c r="G229" i="7"/>
  <c r="S228" i="7"/>
  <c r="R228" i="7"/>
  <c r="Q228" i="7"/>
  <c r="P228" i="7"/>
  <c r="O228" i="7"/>
  <c r="N228" i="7"/>
  <c r="H228" i="7"/>
  <c r="G228" i="7"/>
  <c r="I228" i="7" s="1"/>
  <c r="S227" i="7"/>
  <c r="R227" i="7"/>
  <c r="Q227" i="7"/>
  <c r="P227" i="7"/>
  <c r="O227" i="7"/>
  <c r="N227" i="7"/>
  <c r="H227" i="7"/>
  <c r="G227" i="7"/>
  <c r="I227" i="7" s="1"/>
  <c r="S226" i="7"/>
  <c r="R226" i="7"/>
  <c r="Q226" i="7"/>
  <c r="P226" i="7"/>
  <c r="O226" i="7"/>
  <c r="N226" i="7"/>
  <c r="I226" i="7"/>
  <c r="H226" i="7"/>
  <c r="G226" i="7"/>
  <c r="S225" i="7"/>
  <c r="R225" i="7"/>
  <c r="R241" i="7" s="1"/>
  <c r="Q225" i="7"/>
  <c r="P225" i="7"/>
  <c r="O225" i="7"/>
  <c r="N225" i="7"/>
  <c r="H225" i="7"/>
  <c r="I225" i="7" s="1"/>
  <c r="G225" i="7"/>
  <c r="S224" i="7"/>
  <c r="R224" i="7"/>
  <c r="Q224" i="7"/>
  <c r="P224" i="7"/>
  <c r="O224" i="7"/>
  <c r="N224" i="7"/>
  <c r="H224" i="7"/>
  <c r="G224" i="7"/>
  <c r="I224" i="7" s="1"/>
  <c r="U223" i="7"/>
  <c r="T223" i="7"/>
  <c r="M223" i="7"/>
  <c r="Q223" i="7" s="1"/>
  <c r="L223" i="7"/>
  <c r="K223" i="7"/>
  <c r="J223" i="7"/>
  <c r="N223" i="7" s="1"/>
  <c r="H223" i="7"/>
  <c r="F223" i="7"/>
  <c r="G223" i="7" s="1"/>
  <c r="E223" i="7"/>
  <c r="D223" i="7"/>
  <c r="A223" i="7"/>
  <c r="S222" i="7"/>
  <c r="R222" i="7"/>
  <c r="Q222" i="7"/>
  <c r="P222" i="7"/>
  <c r="O222" i="7"/>
  <c r="N222" i="7"/>
  <c r="H222" i="7"/>
  <c r="G222" i="7"/>
  <c r="I222" i="7" s="1"/>
  <c r="A222" i="7"/>
  <c r="S221" i="7"/>
  <c r="R221" i="7"/>
  <c r="Q221" i="7"/>
  <c r="P221" i="7"/>
  <c r="O221" i="7"/>
  <c r="N221" i="7"/>
  <c r="H221" i="7"/>
  <c r="G221" i="7"/>
  <c r="I221" i="7" s="1"/>
  <c r="S220" i="7"/>
  <c r="R220" i="7"/>
  <c r="Q220" i="7"/>
  <c r="P220" i="7"/>
  <c r="O220" i="7"/>
  <c r="N220" i="7"/>
  <c r="I220" i="7"/>
  <c r="H220" i="7"/>
  <c r="G220" i="7"/>
  <c r="S219" i="7"/>
  <c r="R219" i="7"/>
  <c r="Q219" i="7"/>
  <c r="P219" i="7"/>
  <c r="O219" i="7"/>
  <c r="N219" i="7"/>
  <c r="H219" i="7"/>
  <c r="I219" i="7" s="1"/>
  <c r="G219" i="7"/>
  <c r="S218" i="7"/>
  <c r="R218" i="7"/>
  <c r="Q218" i="7"/>
  <c r="P218" i="7"/>
  <c r="O218" i="7"/>
  <c r="N218" i="7"/>
  <c r="H218" i="7"/>
  <c r="G218" i="7"/>
  <c r="S217" i="7"/>
  <c r="R217" i="7"/>
  <c r="Q217" i="7"/>
  <c r="P217" i="7"/>
  <c r="O217" i="7"/>
  <c r="N217" i="7"/>
  <c r="H217" i="7"/>
  <c r="G217" i="7"/>
  <c r="I217" i="7" s="1"/>
  <c r="S216" i="7"/>
  <c r="R216" i="7"/>
  <c r="Q216" i="7"/>
  <c r="P216" i="7"/>
  <c r="O216" i="7"/>
  <c r="N216" i="7"/>
  <c r="I216" i="7"/>
  <c r="H216" i="7"/>
  <c r="G216" i="7"/>
  <c r="S215" i="7"/>
  <c r="R215" i="7"/>
  <c r="Q215" i="7"/>
  <c r="P215" i="7"/>
  <c r="O215" i="7"/>
  <c r="N215" i="7"/>
  <c r="H215" i="7"/>
  <c r="I215" i="7" s="1"/>
  <c r="G215" i="7"/>
  <c r="S214" i="7"/>
  <c r="R214" i="7"/>
  <c r="Q214" i="7"/>
  <c r="P214" i="7"/>
  <c r="O214" i="7"/>
  <c r="N214" i="7"/>
  <c r="H214" i="7"/>
  <c r="G214" i="7"/>
  <c r="S213" i="7"/>
  <c r="R213" i="7"/>
  <c r="Q213" i="7"/>
  <c r="P213" i="7"/>
  <c r="O213" i="7"/>
  <c r="N213" i="7"/>
  <c r="H213" i="7"/>
  <c r="G213" i="7"/>
  <c r="I213" i="7" s="1"/>
  <c r="S212" i="7"/>
  <c r="R212" i="7"/>
  <c r="Q212" i="7"/>
  <c r="P212" i="7"/>
  <c r="O212" i="7"/>
  <c r="N212" i="7"/>
  <c r="I212" i="7"/>
  <c r="H212" i="7"/>
  <c r="G212" i="7"/>
  <c r="S211" i="7"/>
  <c r="R211" i="7"/>
  <c r="Q211" i="7"/>
  <c r="P211" i="7"/>
  <c r="O211" i="7"/>
  <c r="N211" i="7"/>
  <c r="H211" i="7"/>
  <c r="I211" i="7" s="1"/>
  <c r="G211" i="7"/>
  <c r="S210" i="7"/>
  <c r="R210" i="7"/>
  <c r="Q210" i="7"/>
  <c r="P210" i="7"/>
  <c r="O210" i="7"/>
  <c r="N210" i="7"/>
  <c r="H210" i="7"/>
  <c r="I210" i="7" s="1"/>
  <c r="G210" i="7"/>
  <c r="S209" i="7"/>
  <c r="R209" i="7"/>
  <c r="Q209" i="7"/>
  <c r="P209" i="7"/>
  <c r="O209" i="7"/>
  <c r="N209" i="7"/>
  <c r="H209" i="7"/>
  <c r="G209" i="7"/>
  <c r="I209" i="7" s="1"/>
  <c r="S208" i="7"/>
  <c r="R208" i="7"/>
  <c r="R223" i="7" s="1"/>
  <c r="Q208" i="7"/>
  <c r="P208" i="7"/>
  <c r="O208" i="7"/>
  <c r="N208" i="7"/>
  <c r="I208" i="7"/>
  <c r="H208" i="7"/>
  <c r="G208" i="7"/>
  <c r="S207" i="7"/>
  <c r="R207" i="7"/>
  <c r="Q207" i="7"/>
  <c r="P207" i="7"/>
  <c r="O207" i="7"/>
  <c r="N207" i="7"/>
  <c r="H207" i="7"/>
  <c r="I207" i="7" s="1"/>
  <c r="G207" i="7"/>
  <c r="S206" i="7"/>
  <c r="R206" i="7"/>
  <c r="Q206" i="7"/>
  <c r="P206" i="7"/>
  <c r="O206" i="7"/>
  <c r="N206" i="7"/>
  <c r="H206" i="7"/>
  <c r="G206" i="7"/>
  <c r="U205" i="7"/>
  <c r="T205" i="7"/>
  <c r="M205" i="7"/>
  <c r="Q205" i="7" s="1"/>
  <c r="L205" i="7"/>
  <c r="K205" i="7"/>
  <c r="J205" i="7"/>
  <c r="H205" i="7"/>
  <c r="I205" i="7" s="1"/>
  <c r="F205" i="7"/>
  <c r="G205" i="7" s="1"/>
  <c r="E205" i="7"/>
  <c r="D205" i="7"/>
  <c r="A205" i="7"/>
  <c r="S204" i="7"/>
  <c r="R204" i="7"/>
  <c r="Q204" i="7"/>
  <c r="P204" i="7"/>
  <c r="O204" i="7"/>
  <c r="N204" i="7"/>
  <c r="H204" i="7"/>
  <c r="G204" i="7"/>
  <c r="I204" i="7" s="1"/>
  <c r="A204" i="7"/>
  <c r="S203" i="7"/>
  <c r="R203" i="7"/>
  <c r="Q203" i="7"/>
  <c r="P203" i="7"/>
  <c r="O203" i="7"/>
  <c r="N203" i="7"/>
  <c r="I203" i="7"/>
  <c r="H203" i="7"/>
  <c r="G203" i="7"/>
  <c r="S202" i="7"/>
  <c r="R202" i="7"/>
  <c r="Q202" i="7"/>
  <c r="P202" i="7"/>
  <c r="O202" i="7"/>
  <c r="N202" i="7"/>
  <c r="H202" i="7"/>
  <c r="G202" i="7"/>
  <c r="I202" i="7" s="1"/>
  <c r="S201" i="7"/>
  <c r="R201" i="7"/>
  <c r="Q201" i="7"/>
  <c r="P201" i="7"/>
  <c r="O201" i="7"/>
  <c r="N201" i="7"/>
  <c r="H201" i="7"/>
  <c r="I201" i="7" s="1"/>
  <c r="G201" i="7"/>
  <c r="S200" i="7"/>
  <c r="R200" i="7"/>
  <c r="Q200" i="7"/>
  <c r="P200" i="7"/>
  <c r="O200" i="7"/>
  <c r="N200" i="7"/>
  <c r="H200" i="7"/>
  <c r="I200" i="7" s="1"/>
  <c r="G200" i="7"/>
  <c r="S199" i="7"/>
  <c r="R199" i="7"/>
  <c r="Q199" i="7"/>
  <c r="P199" i="7"/>
  <c r="O199" i="7"/>
  <c r="N199" i="7"/>
  <c r="I199" i="7"/>
  <c r="H199" i="7"/>
  <c r="G199" i="7"/>
  <c r="S198" i="7"/>
  <c r="R198" i="7"/>
  <c r="Q198" i="7"/>
  <c r="P198" i="7"/>
  <c r="O198" i="7"/>
  <c r="N198" i="7"/>
  <c r="H198" i="7"/>
  <c r="G198" i="7"/>
  <c r="I198" i="7" s="1"/>
  <c r="S197" i="7"/>
  <c r="R197" i="7"/>
  <c r="Q197" i="7"/>
  <c r="P197" i="7"/>
  <c r="O197" i="7"/>
  <c r="N197" i="7"/>
  <c r="H197" i="7"/>
  <c r="I197" i="7" s="1"/>
  <c r="G197" i="7"/>
  <c r="S196" i="7"/>
  <c r="R196" i="7"/>
  <c r="Q196" i="7"/>
  <c r="P196" i="7"/>
  <c r="O196" i="7"/>
  <c r="N196" i="7"/>
  <c r="H196" i="7"/>
  <c r="I196" i="7" s="1"/>
  <c r="G196" i="7"/>
  <c r="S195" i="7"/>
  <c r="R195" i="7"/>
  <c r="Q195" i="7"/>
  <c r="P195" i="7"/>
  <c r="O195" i="7"/>
  <c r="N195" i="7"/>
  <c r="I195" i="7"/>
  <c r="H195" i="7"/>
  <c r="G195" i="7"/>
  <c r="S194" i="7"/>
  <c r="R194" i="7"/>
  <c r="Q194" i="7"/>
  <c r="P194" i="7"/>
  <c r="O194" i="7"/>
  <c r="N194" i="7"/>
  <c r="H194" i="7"/>
  <c r="G194" i="7"/>
  <c r="I194" i="7" s="1"/>
  <c r="S193" i="7"/>
  <c r="R193" i="7"/>
  <c r="Q193" i="7"/>
  <c r="P193" i="7"/>
  <c r="O193" i="7"/>
  <c r="N193" i="7"/>
  <c r="H193" i="7"/>
  <c r="I193" i="7" s="1"/>
  <c r="G193" i="7"/>
  <c r="S192" i="7"/>
  <c r="R192" i="7"/>
  <c r="Q192" i="7"/>
  <c r="P192" i="7"/>
  <c r="O192" i="7"/>
  <c r="N192" i="7"/>
  <c r="H192" i="7"/>
  <c r="I192" i="7" s="1"/>
  <c r="G192" i="7"/>
  <c r="S191" i="7"/>
  <c r="R191" i="7"/>
  <c r="Q191" i="7"/>
  <c r="P191" i="7"/>
  <c r="O191" i="7"/>
  <c r="N191" i="7"/>
  <c r="I191" i="7"/>
  <c r="H191" i="7"/>
  <c r="G191" i="7"/>
  <c r="S190" i="7"/>
  <c r="R190" i="7"/>
  <c r="R205" i="7" s="1"/>
  <c r="Q190" i="7"/>
  <c r="P190" i="7"/>
  <c r="O190" i="7"/>
  <c r="N190" i="7"/>
  <c r="H190" i="7"/>
  <c r="G190" i="7"/>
  <c r="I190" i="7" s="1"/>
  <c r="S189" i="7"/>
  <c r="R189" i="7"/>
  <c r="Q189" i="7"/>
  <c r="P189" i="7"/>
  <c r="O189" i="7"/>
  <c r="N189" i="7"/>
  <c r="H189" i="7"/>
  <c r="I189" i="7" s="1"/>
  <c r="G189" i="7"/>
  <c r="S188" i="7"/>
  <c r="R188" i="7"/>
  <c r="Q188" i="7"/>
  <c r="P188" i="7"/>
  <c r="O188" i="7"/>
  <c r="N188" i="7"/>
  <c r="H188" i="7"/>
  <c r="I188" i="7" s="1"/>
  <c r="G188" i="7"/>
  <c r="O187" i="7"/>
  <c r="M187" i="7"/>
  <c r="Q187" i="7" s="1"/>
  <c r="L187" i="7"/>
  <c r="K187" i="7"/>
  <c r="J187" i="7"/>
  <c r="S187" i="7" s="1"/>
  <c r="F187" i="7"/>
  <c r="G187" i="7" s="1"/>
  <c r="E187" i="7"/>
  <c r="U187" i="7" s="1"/>
  <c r="D187" i="7"/>
  <c r="T187" i="7" s="1"/>
  <c r="A187" i="7"/>
  <c r="S186" i="7"/>
  <c r="R186" i="7"/>
  <c r="Q186" i="7"/>
  <c r="P186" i="7"/>
  <c r="O186" i="7"/>
  <c r="N186" i="7"/>
  <c r="H186" i="7"/>
  <c r="G186" i="7"/>
  <c r="I186" i="7" s="1"/>
  <c r="A186" i="7"/>
  <c r="S185" i="7"/>
  <c r="R185" i="7"/>
  <c r="Q185" i="7"/>
  <c r="P185" i="7"/>
  <c r="O185" i="7"/>
  <c r="N185" i="7"/>
  <c r="H185" i="7"/>
  <c r="G185" i="7"/>
  <c r="I185" i="7" s="1"/>
  <c r="S184" i="7"/>
  <c r="R184" i="7"/>
  <c r="Q184" i="7"/>
  <c r="P184" i="7"/>
  <c r="O184" i="7"/>
  <c r="N184" i="7"/>
  <c r="H184" i="7"/>
  <c r="G184" i="7"/>
  <c r="I184" i="7" s="1"/>
  <c r="S183" i="7"/>
  <c r="R183" i="7"/>
  <c r="Q183" i="7"/>
  <c r="P183" i="7"/>
  <c r="O183" i="7"/>
  <c r="N183" i="7"/>
  <c r="H183" i="7"/>
  <c r="I183" i="7" s="1"/>
  <c r="G183" i="7"/>
  <c r="S182" i="7"/>
  <c r="R182" i="7"/>
  <c r="Q182" i="7"/>
  <c r="P182" i="7"/>
  <c r="O182" i="7"/>
  <c r="N182" i="7"/>
  <c r="H182" i="7"/>
  <c r="I182" i="7" s="1"/>
  <c r="G182" i="7"/>
  <c r="S181" i="7"/>
  <c r="R181" i="7"/>
  <c r="Q181" i="7"/>
  <c r="P181" i="7"/>
  <c r="O181" i="7"/>
  <c r="N181" i="7"/>
  <c r="H181" i="7"/>
  <c r="G181" i="7"/>
  <c r="I181" i="7" s="1"/>
  <c r="S180" i="7"/>
  <c r="R180" i="7"/>
  <c r="Q180" i="7"/>
  <c r="P180" i="7"/>
  <c r="O180" i="7"/>
  <c r="N180" i="7"/>
  <c r="H180" i="7"/>
  <c r="G180" i="7"/>
  <c r="I180" i="7" s="1"/>
  <c r="S179" i="7"/>
  <c r="R179" i="7"/>
  <c r="Q179" i="7"/>
  <c r="P179" i="7"/>
  <c r="O179" i="7"/>
  <c r="N179" i="7"/>
  <c r="H179" i="7"/>
  <c r="I179" i="7" s="1"/>
  <c r="G179" i="7"/>
  <c r="S178" i="7"/>
  <c r="R178" i="7"/>
  <c r="Q178" i="7"/>
  <c r="P178" i="7"/>
  <c r="O178" i="7"/>
  <c r="N178" i="7"/>
  <c r="H178" i="7"/>
  <c r="I178" i="7" s="1"/>
  <c r="G178" i="7"/>
  <c r="S177" i="7"/>
  <c r="R177" i="7"/>
  <c r="Q177" i="7"/>
  <c r="P177" i="7"/>
  <c r="O177" i="7"/>
  <c r="N177" i="7"/>
  <c r="H177" i="7"/>
  <c r="G177" i="7"/>
  <c r="I177" i="7" s="1"/>
  <c r="S176" i="7"/>
  <c r="R176" i="7"/>
  <c r="Q176" i="7"/>
  <c r="P176" i="7"/>
  <c r="O176" i="7"/>
  <c r="N176" i="7"/>
  <c r="H176" i="7"/>
  <c r="G176" i="7"/>
  <c r="I176" i="7" s="1"/>
  <c r="S175" i="7"/>
  <c r="R175" i="7"/>
  <c r="Q175" i="7"/>
  <c r="P175" i="7"/>
  <c r="O175" i="7"/>
  <c r="N175" i="7"/>
  <c r="H175" i="7"/>
  <c r="I175" i="7" s="1"/>
  <c r="G175" i="7"/>
  <c r="S174" i="7"/>
  <c r="R174" i="7"/>
  <c r="Q174" i="7"/>
  <c r="P174" i="7"/>
  <c r="O174" i="7"/>
  <c r="N174" i="7"/>
  <c r="H174" i="7"/>
  <c r="I174" i="7" s="1"/>
  <c r="G174" i="7"/>
  <c r="S173" i="7"/>
  <c r="R173" i="7"/>
  <c r="Q173" i="7"/>
  <c r="P173" i="7"/>
  <c r="O173" i="7"/>
  <c r="N173" i="7"/>
  <c r="H173" i="7"/>
  <c r="G173" i="7"/>
  <c r="I173" i="7" s="1"/>
  <c r="S172" i="7"/>
  <c r="R172" i="7"/>
  <c r="R187" i="7" s="1"/>
  <c r="Q172" i="7"/>
  <c r="P172" i="7"/>
  <c r="O172" i="7"/>
  <c r="N172" i="7"/>
  <c r="H172" i="7"/>
  <c r="G172" i="7"/>
  <c r="I172" i="7" s="1"/>
  <c r="S171" i="7"/>
  <c r="R171" i="7"/>
  <c r="Q171" i="7"/>
  <c r="P171" i="7"/>
  <c r="O171" i="7"/>
  <c r="N171" i="7"/>
  <c r="H171" i="7"/>
  <c r="I171" i="7" s="1"/>
  <c r="G171" i="7"/>
  <c r="S170" i="7"/>
  <c r="R170" i="7"/>
  <c r="Q170" i="7"/>
  <c r="P170" i="7"/>
  <c r="O170" i="7"/>
  <c r="N170" i="7"/>
  <c r="H170" i="7"/>
  <c r="I170" i="7" s="1"/>
  <c r="G170" i="7"/>
  <c r="U169" i="7"/>
  <c r="T169" i="7"/>
  <c r="M169" i="7"/>
  <c r="Q169" i="7" s="1"/>
  <c r="L169" i="7"/>
  <c r="K169" i="7"/>
  <c r="J169" i="7"/>
  <c r="N169" i="7" s="1"/>
  <c r="H169" i="7"/>
  <c r="I169" i="7" s="1"/>
  <c r="F169" i="7"/>
  <c r="E169" i="7"/>
  <c r="G169" i="7" s="1"/>
  <c r="D169" i="7"/>
  <c r="P169" i="7" s="1"/>
  <c r="A169" i="7"/>
  <c r="S168" i="7"/>
  <c r="R168" i="7"/>
  <c r="Q168" i="7"/>
  <c r="P168" i="7"/>
  <c r="O168" i="7"/>
  <c r="N168" i="7"/>
  <c r="I168" i="7"/>
  <c r="H168" i="7"/>
  <c r="G168" i="7"/>
  <c r="A168" i="7"/>
  <c r="S167" i="7"/>
  <c r="R167" i="7"/>
  <c r="Q167" i="7"/>
  <c r="P167" i="7"/>
  <c r="O167" i="7"/>
  <c r="N167" i="7"/>
  <c r="H167" i="7"/>
  <c r="I167" i="7" s="1"/>
  <c r="G167" i="7"/>
  <c r="S166" i="7"/>
  <c r="R166" i="7"/>
  <c r="Q166" i="7"/>
  <c r="P166" i="7"/>
  <c r="O166" i="7"/>
  <c r="N166" i="7"/>
  <c r="H166" i="7"/>
  <c r="G166" i="7"/>
  <c r="I166" i="7" s="1"/>
  <c r="S165" i="7"/>
  <c r="R165" i="7"/>
  <c r="Q165" i="7"/>
  <c r="P165" i="7"/>
  <c r="O165" i="7"/>
  <c r="N165" i="7"/>
  <c r="I165" i="7"/>
  <c r="H165" i="7"/>
  <c r="G165" i="7"/>
  <c r="S164" i="7"/>
  <c r="R164" i="7"/>
  <c r="Q164" i="7"/>
  <c r="P164" i="7"/>
  <c r="O164" i="7"/>
  <c r="N164" i="7"/>
  <c r="H164" i="7"/>
  <c r="I164" i="7" s="1"/>
  <c r="G164" i="7"/>
  <c r="S163" i="7"/>
  <c r="R163" i="7"/>
  <c r="Q163" i="7"/>
  <c r="P163" i="7"/>
  <c r="O163" i="7"/>
  <c r="N163" i="7"/>
  <c r="H163" i="7"/>
  <c r="G163" i="7"/>
  <c r="S162" i="7"/>
  <c r="R162" i="7"/>
  <c r="Q162" i="7"/>
  <c r="P162" i="7"/>
  <c r="O162" i="7"/>
  <c r="N162" i="7"/>
  <c r="H162" i="7"/>
  <c r="G162" i="7"/>
  <c r="I162" i="7" s="1"/>
  <c r="S161" i="7"/>
  <c r="R161" i="7"/>
  <c r="Q161" i="7"/>
  <c r="P161" i="7"/>
  <c r="O161" i="7"/>
  <c r="N161" i="7"/>
  <c r="I161" i="7"/>
  <c r="H161" i="7"/>
  <c r="G161" i="7"/>
  <c r="S160" i="7"/>
  <c r="R160" i="7"/>
  <c r="Q160" i="7"/>
  <c r="P160" i="7"/>
  <c r="O160" i="7"/>
  <c r="N160" i="7"/>
  <c r="H160" i="7"/>
  <c r="I160" i="7" s="1"/>
  <c r="G160" i="7"/>
  <c r="S159" i="7"/>
  <c r="R159" i="7"/>
  <c r="Q159" i="7"/>
  <c r="P159" i="7"/>
  <c r="O159" i="7"/>
  <c r="N159" i="7"/>
  <c r="H159" i="7"/>
  <c r="G159" i="7"/>
  <c r="S158" i="7"/>
  <c r="R158" i="7"/>
  <c r="Q158" i="7"/>
  <c r="P158" i="7"/>
  <c r="O158" i="7"/>
  <c r="N158" i="7"/>
  <c r="H158" i="7"/>
  <c r="G158" i="7"/>
  <c r="I158" i="7" s="1"/>
  <c r="S157" i="7"/>
  <c r="R157" i="7"/>
  <c r="Q157" i="7"/>
  <c r="P157" i="7"/>
  <c r="O157" i="7"/>
  <c r="N157" i="7"/>
  <c r="I157" i="7"/>
  <c r="H157" i="7"/>
  <c r="G157" i="7"/>
  <c r="S156" i="7"/>
  <c r="R156" i="7"/>
  <c r="Q156" i="7"/>
  <c r="P156" i="7"/>
  <c r="O156" i="7"/>
  <c r="N156" i="7"/>
  <c r="H156" i="7"/>
  <c r="I156" i="7" s="1"/>
  <c r="G156" i="7"/>
  <c r="S155" i="7"/>
  <c r="R155" i="7"/>
  <c r="Q155" i="7"/>
  <c r="P155" i="7"/>
  <c r="O155" i="7"/>
  <c r="N155" i="7"/>
  <c r="H155" i="7"/>
  <c r="I155" i="7" s="1"/>
  <c r="G155" i="7"/>
  <c r="S154" i="7"/>
  <c r="R154" i="7"/>
  <c r="Q154" i="7"/>
  <c r="P154" i="7"/>
  <c r="O154" i="7"/>
  <c r="N154" i="7"/>
  <c r="H154" i="7"/>
  <c r="G154" i="7"/>
  <c r="I154" i="7" s="1"/>
  <c r="S153" i="7"/>
  <c r="R153" i="7"/>
  <c r="R169" i="7" s="1"/>
  <c r="Q153" i="7"/>
  <c r="P153" i="7"/>
  <c r="O153" i="7"/>
  <c r="N153" i="7"/>
  <c r="I153" i="7"/>
  <c r="H153" i="7"/>
  <c r="G153" i="7"/>
  <c r="S152" i="7"/>
  <c r="R152" i="7"/>
  <c r="Q152" i="7"/>
  <c r="P152" i="7"/>
  <c r="O152" i="7"/>
  <c r="N152" i="7"/>
  <c r="H152" i="7"/>
  <c r="I152" i="7" s="1"/>
  <c r="G152" i="7"/>
  <c r="U151" i="7"/>
  <c r="M151" i="7"/>
  <c r="L151" i="7"/>
  <c r="K151" i="7"/>
  <c r="J151" i="7"/>
  <c r="S151" i="7" s="1"/>
  <c r="F151" i="7"/>
  <c r="E151" i="7"/>
  <c r="G151" i="7" s="1"/>
  <c r="D151" i="7"/>
  <c r="T151" i="7" s="1"/>
  <c r="A151" i="7"/>
  <c r="S150" i="7"/>
  <c r="R150" i="7"/>
  <c r="Q150" i="7"/>
  <c r="P150" i="7"/>
  <c r="O150" i="7"/>
  <c r="N150" i="7"/>
  <c r="H150" i="7"/>
  <c r="G150" i="7"/>
  <c r="I150" i="7" s="1"/>
  <c r="A150" i="7"/>
  <c r="S149" i="7"/>
  <c r="R149" i="7"/>
  <c r="Q149" i="7"/>
  <c r="P149" i="7"/>
  <c r="O149" i="7"/>
  <c r="N149" i="7"/>
  <c r="H149" i="7"/>
  <c r="I149" i="7" s="1"/>
  <c r="G149" i="7"/>
  <c r="S148" i="7"/>
  <c r="R148" i="7"/>
  <c r="Q148" i="7"/>
  <c r="P148" i="7"/>
  <c r="O148" i="7"/>
  <c r="N148" i="7"/>
  <c r="I148" i="7"/>
  <c r="H148" i="7"/>
  <c r="G148" i="7"/>
  <c r="S147" i="7"/>
  <c r="R147" i="7"/>
  <c r="Q147" i="7"/>
  <c r="P147" i="7"/>
  <c r="O147" i="7"/>
  <c r="N147" i="7"/>
  <c r="H147" i="7"/>
  <c r="G147" i="7"/>
  <c r="I147" i="7" s="1"/>
  <c r="S146" i="7"/>
  <c r="R146" i="7"/>
  <c r="Q146" i="7"/>
  <c r="P146" i="7"/>
  <c r="O146" i="7"/>
  <c r="N146" i="7"/>
  <c r="H146" i="7"/>
  <c r="I146" i="7" s="1"/>
  <c r="G146" i="7"/>
  <c r="S145" i="7"/>
  <c r="R145" i="7"/>
  <c r="Q145" i="7"/>
  <c r="P145" i="7"/>
  <c r="O145" i="7"/>
  <c r="N145" i="7"/>
  <c r="H145" i="7"/>
  <c r="I145" i="7" s="1"/>
  <c r="G145" i="7"/>
  <c r="S144" i="7"/>
  <c r="R144" i="7"/>
  <c r="Q144" i="7"/>
  <c r="P144" i="7"/>
  <c r="O144" i="7"/>
  <c r="N144" i="7"/>
  <c r="I144" i="7"/>
  <c r="H144" i="7"/>
  <c r="G144" i="7"/>
  <c r="S143" i="7"/>
  <c r="R143" i="7"/>
  <c r="Q143" i="7"/>
  <c r="P143" i="7"/>
  <c r="O143" i="7"/>
  <c r="N143" i="7"/>
  <c r="H143" i="7"/>
  <c r="G143" i="7"/>
  <c r="I143" i="7" s="1"/>
  <c r="S142" i="7"/>
  <c r="R142" i="7"/>
  <c r="Q142" i="7"/>
  <c r="P142" i="7"/>
  <c r="O142" i="7"/>
  <c r="N142" i="7"/>
  <c r="H142" i="7"/>
  <c r="I142" i="7" s="1"/>
  <c r="G142" i="7"/>
  <c r="S141" i="7"/>
  <c r="R141" i="7"/>
  <c r="Q141" i="7"/>
  <c r="P141" i="7"/>
  <c r="O141" i="7"/>
  <c r="N141" i="7"/>
  <c r="H141" i="7"/>
  <c r="I141" i="7" s="1"/>
  <c r="G141" i="7"/>
  <c r="S140" i="7"/>
  <c r="R140" i="7"/>
  <c r="Q140" i="7"/>
  <c r="P140" i="7"/>
  <c r="O140" i="7"/>
  <c r="N140" i="7"/>
  <c r="I140" i="7"/>
  <c r="H140" i="7"/>
  <c r="G140" i="7"/>
  <c r="S139" i="7"/>
  <c r="R139" i="7"/>
  <c r="Q139" i="7"/>
  <c r="P139" i="7"/>
  <c r="O139" i="7"/>
  <c r="N139" i="7"/>
  <c r="H139" i="7"/>
  <c r="G139" i="7"/>
  <c r="I139" i="7" s="1"/>
  <c r="S138" i="7"/>
  <c r="R138" i="7"/>
  <c r="Q138" i="7"/>
  <c r="P138" i="7"/>
  <c r="O138" i="7"/>
  <c r="N138" i="7"/>
  <c r="H138" i="7"/>
  <c r="I138" i="7" s="1"/>
  <c r="G138" i="7"/>
  <c r="S137" i="7"/>
  <c r="R137" i="7"/>
  <c r="Q137" i="7"/>
  <c r="P137" i="7"/>
  <c r="O137" i="7"/>
  <c r="N137" i="7"/>
  <c r="H137" i="7"/>
  <c r="I137" i="7" s="1"/>
  <c r="G137" i="7"/>
  <c r="S136" i="7"/>
  <c r="R136" i="7"/>
  <c r="Q136" i="7"/>
  <c r="P136" i="7"/>
  <c r="O136" i="7"/>
  <c r="N136" i="7"/>
  <c r="I136" i="7"/>
  <c r="H136" i="7"/>
  <c r="G136" i="7"/>
  <c r="S135" i="7"/>
  <c r="R135" i="7"/>
  <c r="R151" i="7" s="1"/>
  <c r="Q135" i="7"/>
  <c r="P135" i="7"/>
  <c r="O135" i="7"/>
  <c r="N135" i="7"/>
  <c r="H135" i="7"/>
  <c r="G135" i="7"/>
  <c r="I135" i="7" s="1"/>
  <c r="S134" i="7"/>
  <c r="R134" i="7"/>
  <c r="Q134" i="7"/>
  <c r="P134" i="7"/>
  <c r="O134" i="7"/>
  <c r="N134" i="7"/>
  <c r="H134" i="7"/>
  <c r="I134" i="7" s="1"/>
  <c r="G134" i="7"/>
  <c r="U133" i="7"/>
  <c r="S133" i="7"/>
  <c r="N133" i="7"/>
  <c r="M133" i="7"/>
  <c r="O133" i="7" s="1"/>
  <c r="L133" i="7"/>
  <c r="K133" i="7"/>
  <c r="J133" i="7"/>
  <c r="F133" i="7"/>
  <c r="G133" i="7" s="1"/>
  <c r="E133" i="7"/>
  <c r="D133" i="7"/>
  <c r="T133" i="7" s="1"/>
  <c r="A133" i="7"/>
  <c r="S132" i="7"/>
  <c r="R132" i="7"/>
  <c r="Q132" i="7"/>
  <c r="P132" i="7"/>
  <c r="O132" i="7"/>
  <c r="N132" i="7"/>
  <c r="H132" i="7"/>
  <c r="G132" i="7"/>
  <c r="A132" i="7"/>
  <c r="S131" i="7"/>
  <c r="R131" i="7"/>
  <c r="Q131" i="7"/>
  <c r="P131" i="7"/>
  <c r="O131" i="7"/>
  <c r="N131" i="7"/>
  <c r="H131" i="7"/>
  <c r="I131" i="7" s="1"/>
  <c r="G131" i="7"/>
  <c r="S130" i="7"/>
  <c r="R130" i="7"/>
  <c r="Q130" i="7"/>
  <c r="P130" i="7"/>
  <c r="O130" i="7"/>
  <c r="N130" i="7"/>
  <c r="H130" i="7"/>
  <c r="G130" i="7"/>
  <c r="I130" i="7" s="1"/>
  <c r="S129" i="7"/>
  <c r="R129" i="7"/>
  <c r="Q129" i="7"/>
  <c r="P129" i="7"/>
  <c r="O129" i="7"/>
  <c r="N129" i="7"/>
  <c r="H129" i="7"/>
  <c r="G129" i="7"/>
  <c r="I129" i="7" s="1"/>
  <c r="S128" i="7"/>
  <c r="R128" i="7"/>
  <c r="Q128" i="7"/>
  <c r="P128" i="7"/>
  <c r="O128" i="7"/>
  <c r="N128" i="7"/>
  <c r="H128" i="7"/>
  <c r="I128" i="7" s="1"/>
  <c r="G128" i="7"/>
  <c r="S127" i="7"/>
  <c r="R127" i="7"/>
  <c r="Q127" i="7"/>
  <c r="P127" i="7"/>
  <c r="O127" i="7"/>
  <c r="N127" i="7"/>
  <c r="H127" i="7"/>
  <c r="I127" i="7" s="1"/>
  <c r="G127" i="7"/>
  <c r="S126" i="7"/>
  <c r="R126" i="7"/>
  <c r="Q126" i="7"/>
  <c r="P126" i="7"/>
  <c r="O126" i="7"/>
  <c r="N126" i="7"/>
  <c r="H126" i="7"/>
  <c r="G126" i="7"/>
  <c r="I126" i="7" s="1"/>
  <c r="S125" i="7"/>
  <c r="R125" i="7"/>
  <c r="Q125" i="7"/>
  <c r="P125" i="7"/>
  <c r="O125" i="7"/>
  <c r="N125" i="7"/>
  <c r="H125" i="7"/>
  <c r="G125" i="7"/>
  <c r="I125" i="7" s="1"/>
  <c r="S124" i="7"/>
  <c r="R124" i="7"/>
  <c r="Q124" i="7"/>
  <c r="P124" i="7"/>
  <c r="O124" i="7"/>
  <c r="N124" i="7"/>
  <c r="H124" i="7"/>
  <c r="I124" i="7" s="1"/>
  <c r="G124" i="7"/>
  <c r="S123" i="7"/>
  <c r="R123" i="7"/>
  <c r="Q123" i="7"/>
  <c r="P123" i="7"/>
  <c r="O123" i="7"/>
  <c r="N123" i="7"/>
  <c r="H123" i="7"/>
  <c r="I123" i="7" s="1"/>
  <c r="G123" i="7"/>
  <c r="S122" i="7"/>
  <c r="R122" i="7"/>
  <c r="Q122" i="7"/>
  <c r="P122" i="7"/>
  <c r="O122" i="7"/>
  <c r="N122" i="7"/>
  <c r="H122" i="7"/>
  <c r="G122" i="7"/>
  <c r="I122" i="7" s="1"/>
  <c r="S121" i="7"/>
  <c r="R121" i="7"/>
  <c r="Q121" i="7"/>
  <c r="P121" i="7"/>
  <c r="O121" i="7"/>
  <c r="N121" i="7"/>
  <c r="H121" i="7"/>
  <c r="G121" i="7"/>
  <c r="I121" i="7" s="1"/>
  <c r="S120" i="7"/>
  <c r="R120" i="7"/>
  <c r="Q120" i="7"/>
  <c r="P120" i="7"/>
  <c r="O120" i="7"/>
  <c r="N120" i="7"/>
  <c r="H120" i="7"/>
  <c r="I120" i="7" s="1"/>
  <c r="G120" i="7"/>
  <c r="S119" i="7"/>
  <c r="R119" i="7"/>
  <c r="Q119" i="7"/>
  <c r="P119" i="7"/>
  <c r="O119" i="7"/>
  <c r="N119" i="7"/>
  <c r="H119" i="7"/>
  <c r="I119" i="7" s="1"/>
  <c r="G119" i="7"/>
  <c r="S118" i="7"/>
  <c r="R118" i="7"/>
  <c r="Q118" i="7"/>
  <c r="P118" i="7"/>
  <c r="O118" i="7"/>
  <c r="N118" i="7"/>
  <c r="H118" i="7"/>
  <c r="G118" i="7"/>
  <c r="I118" i="7" s="1"/>
  <c r="S117" i="7"/>
  <c r="R117" i="7"/>
  <c r="Q117" i="7"/>
  <c r="P117" i="7"/>
  <c r="O117" i="7"/>
  <c r="N117" i="7"/>
  <c r="H117" i="7"/>
  <c r="G117" i="7"/>
  <c r="I117" i="7" s="1"/>
  <c r="S116" i="7"/>
  <c r="R116" i="7"/>
  <c r="Q116" i="7"/>
  <c r="P116" i="7"/>
  <c r="O116" i="7"/>
  <c r="N116" i="7"/>
  <c r="H116" i="7"/>
  <c r="I116" i="7" s="1"/>
  <c r="G116" i="7"/>
  <c r="U115" i="7"/>
  <c r="S115" i="7"/>
  <c r="N115" i="7"/>
  <c r="M115" i="7"/>
  <c r="Q115" i="7" s="1"/>
  <c r="L115" i="7"/>
  <c r="K115" i="7"/>
  <c r="J115" i="7"/>
  <c r="G115" i="7"/>
  <c r="F115" i="7"/>
  <c r="E115" i="7"/>
  <c r="D115" i="7"/>
  <c r="T115" i="7" s="1"/>
  <c r="A115" i="7"/>
  <c r="S114" i="7"/>
  <c r="R114" i="7"/>
  <c r="Q114" i="7"/>
  <c r="P114" i="7"/>
  <c r="O114" i="7"/>
  <c r="N114" i="7"/>
  <c r="H114" i="7"/>
  <c r="I114" i="7" s="1"/>
  <c r="G114" i="7"/>
  <c r="A114" i="7"/>
  <c r="S113" i="7"/>
  <c r="R113" i="7"/>
  <c r="Q113" i="7"/>
  <c r="P113" i="7"/>
  <c r="O113" i="7"/>
  <c r="N113" i="7"/>
  <c r="H113" i="7"/>
  <c r="I113" i="7" s="1"/>
  <c r="G113" i="7"/>
  <c r="S112" i="7"/>
  <c r="R112" i="7"/>
  <c r="Q112" i="7"/>
  <c r="P112" i="7"/>
  <c r="O112" i="7"/>
  <c r="N112" i="7"/>
  <c r="H112" i="7"/>
  <c r="G112" i="7"/>
  <c r="S111" i="7"/>
  <c r="R111" i="7"/>
  <c r="Q111" i="7"/>
  <c r="P111" i="7"/>
  <c r="O111" i="7"/>
  <c r="N111" i="7"/>
  <c r="H111" i="7"/>
  <c r="G111" i="7"/>
  <c r="I111" i="7" s="1"/>
  <c r="S110" i="7"/>
  <c r="R110" i="7"/>
  <c r="Q110" i="7"/>
  <c r="P110" i="7"/>
  <c r="O110" i="7"/>
  <c r="N110" i="7"/>
  <c r="I110" i="7"/>
  <c r="H110" i="7"/>
  <c r="G110" i="7"/>
  <c r="S109" i="7"/>
  <c r="R109" i="7"/>
  <c r="Q109" i="7"/>
  <c r="P109" i="7"/>
  <c r="O109" i="7"/>
  <c r="N109" i="7"/>
  <c r="H109" i="7"/>
  <c r="I109" i="7" s="1"/>
  <c r="G109" i="7"/>
  <c r="S108" i="7"/>
  <c r="R108" i="7"/>
  <c r="Q108" i="7"/>
  <c r="P108" i="7"/>
  <c r="O108" i="7"/>
  <c r="N108" i="7"/>
  <c r="H108" i="7"/>
  <c r="I108" i="7" s="1"/>
  <c r="G108" i="7"/>
  <c r="S107" i="7"/>
  <c r="R107" i="7"/>
  <c r="Q107" i="7"/>
  <c r="P107" i="7"/>
  <c r="O107" i="7"/>
  <c r="N107" i="7"/>
  <c r="H107" i="7"/>
  <c r="G107" i="7"/>
  <c r="I107" i="7" s="1"/>
  <c r="S106" i="7"/>
  <c r="R106" i="7"/>
  <c r="Q106" i="7"/>
  <c r="P106" i="7"/>
  <c r="O106" i="7"/>
  <c r="N106" i="7"/>
  <c r="I106" i="7"/>
  <c r="H106" i="7"/>
  <c r="G106" i="7"/>
  <c r="S105" i="7"/>
  <c r="R105" i="7"/>
  <c r="Q105" i="7"/>
  <c r="P105" i="7"/>
  <c r="O105" i="7"/>
  <c r="N105" i="7"/>
  <c r="H105" i="7"/>
  <c r="I105" i="7" s="1"/>
  <c r="G105" i="7"/>
  <c r="S104" i="7"/>
  <c r="R104" i="7"/>
  <c r="Q104" i="7"/>
  <c r="P104" i="7"/>
  <c r="O104" i="7"/>
  <c r="N104" i="7"/>
  <c r="H104" i="7"/>
  <c r="G104" i="7"/>
  <c r="S103" i="7"/>
  <c r="R103" i="7"/>
  <c r="Q103" i="7"/>
  <c r="P103" i="7"/>
  <c r="O103" i="7"/>
  <c r="N103" i="7"/>
  <c r="H103" i="7"/>
  <c r="G103" i="7"/>
  <c r="I103" i="7" s="1"/>
  <c r="S102" i="7"/>
  <c r="R102" i="7"/>
  <c r="Q102" i="7"/>
  <c r="P102" i="7"/>
  <c r="O102" i="7"/>
  <c r="N102" i="7"/>
  <c r="I102" i="7"/>
  <c r="H102" i="7"/>
  <c r="G102" i="7"/>
  <c r="S101" i="7"/>
  <c r="R101" i="7"/>
  <c r="Q101" i="7"/>
  <c r="P101" i="7"/>
  <c r="O101" i="7"/>
  <c r="N101" i="7"/>
  <c r="H101" i="7"/>
  <c r="I101" i="7" s="1"/>
  <c r="G101" i="7"/>
  <c r="S100" i="7"/>
  <c r="R100" i="7"/>
  <c r="Q100" i="7"/>
  <c r="P100" i="7"/>
  <c r="O100" i="7"/>
  <c r="N100" i="7"/>
  <c r="H100" i="7"/>
  <c r="G100" i="7"/>
  <c r="S99" i="7"/>
  <c r="R99" i="7"/>
  <c r="Q99" i="7"/>
  <c r="P99" i="7"/>
  <c r="O99" i="7"/>
  <c r="N99" i="7"/>
  <c r="H99" i="7"/>
  <c r="G99" i="7"/>
  <c r="I99" i="7" s="1"/>
  <c r="S98" i="7"/>
  <c r="R98" i="7"/>
  <c r="R115" i="7" s="1"/>
  <c r="Q98" i="7"/>
  <c r="P98" i="7"/>
  <c r="O98" i="7"/>
  <c r="N98" i="7"/>
  <c r="I98" i="7"/>
  <c r="H98" i="7"/>
  <c r="G98" i="7"/>
  <c r="N97" i="7"/>
  <c r="M97" i="7"/>
  <c r="O97" i="7" s="1"/>
  <c r="L97" i="7"/>
  <c r="S97" i="7" s="1"/>
  <c r="K97" i="7"/>
  <c r="J97" i="7"/>
  <c r="F97" i="7"/>
  <c r="E97" i="7"/>
  <c r="U97" i="7" s="1"/>
  <c r="D97" i="7"/>
  <c r="A97" i="7"/>
  <c r="S96" i="7"/>
  <c r="R96" i="7"/>
  <c r="Q96" i="7"/>
  <c r="P96" i="7"/>
  <c r="O96" i="7"/>
  <c r="N96" i="7"/>
  <c r="H96" i="7"/>
  <c r="I96" i="7" s="1"/>
  <c r="G96" i="7"/>
  <c r="A96" i="7"/>
  <c r="S95" i="7"/>
  <c r="R95" i="7"/>
  <c r="Q95" i="7"/>
  <c r="P95" i="7"/>
  <c r="O95" i="7"/>
  <c r="N95" i="7"/>
  <c r="H95" i="7"/>
  <c r="I95" i="7" s="1"/>
  <c r="G95" i="7"/>
  <c r="S94" i="7"/>
  <c r="R94" i="7"/>
  <c r="Q94" i="7"/>
  <c r="P94" i="7"/>
  <c r="O94" i="7"/>
  <c r="N94" i="7"/>
  <c r="H94" i="7"/>
  <c r="I94" i="7" s="1"/>
  <c r="G94" i="7"/>
  <c r="S93" i="7"/>
  <c r="R93" i="7"/>
  <c r="Q93" i="7"/>
  <c r="P93" i="7"/>
  <c r="O93" i="7"/>
  <c r="N93" i="7"/>
  <c r="I93" i="7"/>
  <c r="H93" i="7"/>
  <c r="G93" i="7"/>
  <c r="S92" i="7"/>
  <c r="R92" i="7"/>
  <c r="Q92" i="7"/>
  <c r="P92" i="7"/>
  <c r="O92" i="7"/>
  <c r="N92" i="7"/>
  <c r="H92" i="7"/>
  <c r="G92" i="7"/>
  <c r="I92" i="7" s="1"/>
  <c r="S91" i="7"/>
  <c r="R91" i="7"/>
  <c r="Q91" i="7"/>
  <c r="P91" i="7"/>
  <c r="O91" i="7"/>
  <c r="N91" i="7"/>
  <c r="H91" i="7"/>
  <c r="I91" i="7" s="1"/>
  <c r="G91" i="7"/>
  <c r="S90" i="7"/>
  <c r="R90" i="7"/>
  <c r="Q90" i="7"/>
  <c r="P90" i="7"/>
  <c r="O90" i="7"/>
  <c r="N90" i="7"/>
  <c r="H90" i="7"/>
  <c r="I90" i="7" s="1"/>
  <c r="G90" i="7"/>
  <c r="S89" i="7"/>
  <c r="R89" i="7"/>
  <c r="Q89" i="7"/>
  <c r="P89" i="7"/>
  <c r="O89" i="7"/>
  <c r="N89" i="7"/>
  <c r="I89" i="7"/>
  <c r="H89" i="7"/>
  <c r="G89" i="7"/>
  <c r="S88" i="7"/>
  <c r="R88" i="7"/>
  <c r="Q88" i="7"/>
  <c r="P88" i="7"/>
  <c r="O88" i="7"/>
  <c r="N88" i="7"/>
  <c r="H88" i="7"/>
  <c r="G88" i="7"/>
  <c r="I88" i="7" s="1"/>
  <c r="S87" i="7"/>
  <c r="R87" i="7"/>
  <c r="Q87" i="7"/>
  <c r="P87" i="7"/>
  <c r="O87" i="7"/>
  <c r="N87" i="7"/>
  <c r="H87" i="7"/>
  <c r="I87" i="7" s="1"/>
  <c r="G87" i="7"/>
  <c r="S86" i="7"/>
  <c r="R86" i="7"/>
  <c r="Q86" i="7"/>
  <c r="P86" i="7"/>
  <c r="O86" i="7"/>
  <c r="N86" i="7"/>
  <c r="H86" i="7"/>
  <c r="I86" i="7" s="1"/>
  <c r="G86" i="7"/>
  <c r="S85" i="7"/>
  <c r="R85" i="7"/>
  <c r="Q85" i="7"/>
  <c r="P85" i="7"/>
  <c r="O85" i="7"/>
  <c r="N85" i="7"/>
  <c r="I85" i="7"/>
  <c r="H85" i="7"/>
  <c r="G85" i="7"/>
  <c r="S84" i="7"/>
  <c r="R84" i="7"/>
  <c r="Q84" i="7"/>
  <c r="P84" i="7"/>
  <c r="O84" i="7"/>
  <c r="N84" i="7"/>
  <c r="H84" i="7"/>
  <c r="G84" i="7"/>
  <c r="I84" i="7" s="1"/>
  <c r="S83" i="7"/>
  <c r="R83" i="7"/>
  <c r="Q83" i="7"/>
  <c r="P83" i="7"/>
  <c r="O83" i="7"/>
  <c r="N83" i="7"/>
  <c r="H83" i="7"/>
  <c r="I83" i="7" s="1"/>
  <c r="G83" i="7"/>
  <c r="S82" i="7"/>
  <c r="R82" i="7"/>
  <c r="Q82" i="7"/>
  <c r="P82" i="7"/>
  <c r="O82" i="7"/>
  <c r="N82" i="7"/>
  <c r="H82" i="7"/>
  <c r="I82" i="7" s="1"/>
  <c r="G82" i="7"/>
  <c r="S81" i="7"/>
  <c r="R81" i="7"/>
  <c r="Q81" i="7"/>
  <c r="P81" i="7"/>
  <c r="O81" i="7"/>
  <c r="N81" i="7"/>
  <c r="I81" i="7"/>
  <c r="H81" i="7"/>
  <c r="G81" i="7"/>
  <c r="S80" i="7"/>
  <c r="R80" i="7"/>
  <c r="R97" i="7" s="1"/>
  <c r="Q80" i="7"/>
  <c r="P80" i="7"/>
  <c r="O80" i="7"/>
  <c r="N80" i="7"/>
  <c r="H80" i="7"/>
  <c r="G80" i="7"/>
  <c r="I80" i="7" s="1"/>
  <c r="U79" i="7"/>
  <c r="Q79" i="7"/>
  <c r="M79" i="7"/>
  <c r="O79" i="7" s="1"/>
  <c r="L79" i="7"/>
  <c r="K79" i="7"/>
  <c r="J79" i="7"/>
  <c r="P79" i="7" s="1"/>
  <c r="F79" i="7"/>
  <c r="E79" i="7"/>
  <c r="G79" i="7" s="1"/>
  <c r="D79" i="7"/>
  <c r="T79" i="7" s="1"/>
  <c r="A79" i="7"/>
  <c r="S78" i="7"/>
  <c r="R78" i="7"/>
  <c r="Q78" i="7"/>
  <c r="P78" i="7"/>
  <c r="O78" i="7"/>
  <c r="N78" i="7"/>
  <c r="H78" i="7"/>
  <c r="I78" i="7" s="1"/>
  <c r="G78" i="7"/>
  <c r="A78" i="7"/>
  <c r="S77" i="7"/>
  <c r="R77" i="7"/>
  <c r="Q77" i="7"/>
  <c r="P77" i="7"/>
  <c r="O77" i="7"/>
  <c r="N77" i="7"/>
  <c r="H77" i="7"/>
  <c r="I77" i="7" s="1"/>
  <c r="G77" i="7"/>
  <c r="S76" i="7"/>
  <c r="R76" i="7"/>
  <c r="Q76" i="7"/>
  <c r="P76" i="7"/>
  <c r="O76" i="7"/>
  <c r="N76" i="7"/>
  <c r="H76" i="7"/>
  <c r="I76" i="7" s="1"/>
  <c r="G76" i="7"/>
  <c r="S75" i="7"/>
  <c r="R75" i="7"/>
  <c r="Q75" i="7"/>
  <c r="P75" i="7"/>
  <c r="O75" i="7"/>
  <c r="N75" i="7"/>
  <c r="H75" i="7"/>
  <c r="G75" i="7"/>
  <c r="I75" i="7" s="1"/>
  <c r="S74" i="7"/>
  <c r="R74" i="7"/>
  <c r="Q74" i="7"/>
  <c r="P74" i="7"/>
  <c r="O74" i="7"/>
  <c r="N74" i="7"/>
  <c r="H74" i="7"/>
  <c r="G74" i="7"/>
  <c r="I74" i="7" s="1"/>
  <c r="S73" i="7"/>
  <c r="R73" i="7"/>
  <c r="Q73" i="7"/>
  <c r="P73" i="7"/>
  <c r="O73" i="7"/>
  <c r="N73" i="7"/>
  <c r="H73" i="7"/>
  <c r="I73" i="7" s="1"/>
  <c r="G73" i="7"/>
  <c r="S72" i="7"/>
  <c r="R72" i="7"/>
  <c r="Q72" i="7"/>
  <c r="P72" i="7"/>
  <c r="O72" i="7"/>
  <c r="N72" i="7"/>
  <c r="H72" i="7"/>
  <c r="I72" i="7" s="1"/>
  <c r="G72" i="7"/>
  <c r="S71" i="7"/>
  <c r="R71" i="7"/>
  <c r="Q71" i="7"/>
  <c r="P71" i="7"/>
  <c r="O71" i="7"/>
  <c r="N71" i="7"/>
  <c r="H71" i="7"/>
  <c r="G71" i="7"/>
  <c r="I71" i="7" s="1"/>
  <c r="S70" i="7"/>
  <c r="R70" i="7"/>
  <c r="Q70" i="7"/>
  <c r="P70" i="7"/>
  <c r="O70" i="7"/>
  <c r="N70" i="7"/>
  <c r="H70" i="7"/>
  <c r="G70" i="7"/>
  <c r="I70" i="7" s="1"/>
  <c r="S69" i="7"/>
  <c r="R69" i="7"/>
  <c r="Q69" i="7"/>
  <c r="P69" i="7"/>
  <c r="O69" i="7"/>
  <c r="N69" i="7"/>
  <c r="H69" i="7"/>
  <c r="I69" i="7" s="1"/>
  <c r="G69" i="7"/>
  <c r="S68" i="7"/>
  <c r="R68" i="7"/>
  <c r="Q68" i="7"/>
  <c r="P68" i="7"/>
  <c r="O68" i="7"/>
  <c r="N68" i="7"/>
  <c r="H68" i="7"/>
  <c r="I68" i="7" s="1"/>
  <c r="G68" i="7"/>
  <c r="S67" i="7"/>
  <c r="R67" i="7"/>
  <c r="Q67" i="7"/>
  <c r="P67" i="7"/>
  <c r="O67" i="7"/>
  <c r="N67" i="7"/>
  <c r="H67" i="7"/>
  <c r="G67" i="7"/>
  <c r="I67" i="7" s="1"/>
  <c r="S66" i="7"/>
  <c r="R66" i="7"/>
  <c r="Q66" i="7"/>
  <c r="P66" i="7"/>
  <c r="O66" i="7"/>
  <c r="N66" i="7"/>
  <c r="H66" i="7"/>
  <c r="G66" i="7"/>
  <c r="I66" i="7" s="1"/>
  <c r="S65" i="7"/>
  <c r="R65" i="7"/>
  <c r="Q65" i="7"/>
  <c r="P65" i="7"/>
  <c r="O65" i="7"/>
  <c r="N65" i="7"/>
  <c r="H65" i="7"/>
  <c r="I65" i="7" s="1"/>
  <c r="G65" i="7"/>
  <c r="S64" i="7"/>
  <c r="R64" i="7"/>
  <c r="Q64" i="7"/>
  <c r="P64" i="7"/>
  <c r="O64" i="7"/>
  <c r="N64" i="7"/>
  <c r="H64" i="7"/>
  <c r="I64" i="7" s="1"/>
  <c r="G64" i="7"/>
  <c r="S63" i="7"/>
  <c r="R63" i="7"/>
  <c r="Q63" i="7"/>
  <c r="P63" i="7"/>
  <c r="O63" i="7"/>
  <c r="N63" i="7"/>
  <c r="H63" i="7"/>
  <c r="G63" i="7"/>
  <c r="I63" i="7" s="1"/>
  <c r="S62" i="7"/>
  <c r="R62" i="7"/>
  <c r="Q62" i="7"/>
  <c r="P62" i="7"/>
  <c r="O62" i="7"/>
  <c r="N62" i="7"/>
  <c r="H62" i="7"/>
  <c r="G62" i="7"/>
  <c r="I62" i="7" s="1"/>
  <c r="Q61" i="7"/>
  <c r="N61" i="7"/>
  <c r="M61" i="7"/>
  <c r="L61" i="7"/>
  <c r="K61" i="7"/>
  <c r="J61" i="7"/>
  <c r="S61" i="7" s="1"/>
  <c r="F61" i="7"/>
  <c r="E61" i="7"/>
  <c r="U61" i="7" s="1"/>
  <c r="D61" i="7"/>
  <c r="T61" i="7" s="1"/>
  <c r="A61" i="7"/>
  <c r="S60" i="7"/>
  <c r="R60" i="7"/>
  <c r="Q60" i="7"/>
  <c r="P60" i="7"/>
  <c r="O60" i="7"/>
  <c r="N60" i="7"/>
  <c r="H60" i="7"/>
  <c r="I60" i="7" s="1"/>
  <c r="G60" i="7"/>
  <c r="A60" i="7"/>
  <c r="S59" i="7"/>
  <c r="R59" i="7"/>
  <c r="Q59" i="7"/>
  <c r="P59" i="7"/>
  <c r="O59" i="7"/>
  <c r="N59" i="7"/>
  <c r="I59" i="7"/>
  <c r="H59" i="7"/>
  <c r="G59" i="7"/>
  <c r="S58" i="7"/>
  <c r="R58" i="7"/>
  <c r="Q58" i="7"/>
  <c r="P58" i="7"/>
  <c r="O58" i="7"/>
  <c r="N58" i="7"/>
  <c r="H58" i="7"/>
  <c r="I58" i="7" s="1"/>
  <c r="G58" i="7"/>
  <c r="S57" i="7"/>
  <c r="R57" i="7"/>
  <c r="Q57" i="7"/>
  <c r="P57" i="7"/>
  <c r="O57" i="7"/>
  <c r="N57" i="7"/>
  <c r="H57" i="7"/>
  <c r="G57" i="7"/>
  <c r="S56" i="7"/>
  <c r="R56" i="7"/>
  <c r="Q56" i="7"/>
  <c r="P56" i="7"/>
  <c r="O56" i="7"/>
  <c r="N56" i="7"/>
  <c r="H56" i="7"/>
  <c r="G56" i="7"/>
  <c r="I56" i="7" s="1"/>
  <c r="S55" i="7"/>
  <c r="R55" i="7"/>
  <c r="Q55" i="7"/>
  <c r="P55" i="7"/>
  <c r="O55" i="7"/>
  <c r="N55" i="7"/>
  <c r="I55" i="7"/>
  <c r="H55" i="7"/>
  <c r="G55" i="7"/>
  <c r="S54" i="7"/>
  <c r="R54" i="7"/>
  <c r="Q54" i="7"/>
  <c r="P54" i="7"/>
  <c r="O54" i="7"/>
  <c r="N54" i="7"/>
  <c r="H54" i="7"/>
  <c r="I54" i="7" s="1"/>
  <c r="G54" i="7"/>
  <c r="S53" i="7"/>
  <c r="R53" i="7"/>
  <c r="Q53" i="7"/>
  <c r="P53" i="7"/>
  <c r="O53" i="7"/>
  <c r="N53" i="7"/>
  <c r="H53" i="7"/>
  <c r="G53" i="7"/>
  <c r="S52" i="7"/>
  <c r="R52" i="7"/>
  <c r="Q52" i="7"/>
  <c r="P52" i="7"/>
  <c r="O52" i="7"/>
  <c r="N52" i="7"/>
  <c r="H52" i="7"/>
  <c r="G52" i="7"/>
  <c r="I52" i="7" s="1"/>
  <c r="S51" i="7"/>
  <c r="R51" i="7"/>
  <c r="Q51" i="7"/>
  <c r="P51" i="7"/>
  <c r="O51" i="7"/>
  <c r="N51" i="7"/>
  <c r="I51" i="7"/>
  <c r="H51" i="7"/>
  <c r="G51" i="7"/>
  <c r="S50" i="7"/>
  <c r="R50" i="7"/>
  <c r="Q50" i="7"/>
  <c r="P50" i="7"/>
  <c r="O50" i="7"/>
  <c r="N50" i="7"/>
  <c r="H50" i="7"/>
  <c r="I50" i="7" s="1"/>
  <c r="G50" i="7"/>
  <c r="S49" i="7"/>
  <c r="R49" i="7"/>
  <c r="Q49" i="7"/>
  <c r="P49" i="7"/>
  <c r="O49" i="7"/>
  <c r="N49" i="7"/>
  <c r="H49" i="7"/>
  <c r="I49" i="7" s="1"/>
  <c r="G49" i="7"/>
  <c r="S48" i="7"/>
  <c r="R48" i="7"/>
  <c r="Q48" i="7"/>
  <c r="P48" i="7"/>
  <c r="O48" i="7"/>
  <c r="N48" i="7"/>
  <c r="H48" i="7"/>
  <c r="G48" i="7"/>
  <c r="I48" i="7" s="1"/>
  <c r="S47" i="7"/>
  <c r="R47" i="7"/>
  <c r="Q47" i="7"/>
  <c r="P47" i="7"/>
  <c r="O47" i="7"/>
  <c r="N47" i="7"/>
  <c r="I47" i="7"/>
  <c r="H47" i="7"/>
  <c r="G47" i="7"/>
  <c r="S46" i="7"/>
  <c r="R46" i="7"/>
  <c r="Q46" i="7"/>
  <c r="P46" i="7"/>
  <c r="O46" i="7"/>
  <c r="N46" i="7"/>
  <c r="H46" i="7"/>
  <c r="I46" i="7" s="1"/>
  <c r="G46" i="7"/>
  <c r="S45" i="7"/>
  <c r="R45" i="7"/>
  <c r="Q45" i="7"/>
  <c r="P45" i="7"/>
  <c r="O45" i="7"/>
  <c r="N45" i="7"/>
  <c r="H45" i="7"/>
  <c r="G45" i="7"/>
  <c r="S44" i="7"/>
  <c r="R44" i="7"/>
  <c r="R61" i="7" s="1"/>
  <c r="Q44" i="7"/>
  <c r="P44" i="7"/>
  <c r="O44" i="7"/>
  <c r="N44" i="7"/>
  <c r="H44" i="7"/>
  <c r="G44" i="7"/>
  <c r="I44" i="7" s="1"/>
  <c r="T43" i="7"/>
  <c r="S43" i="7"/>
  <c r="Q43" i="7"/>
  <c r="O43" i="7"/>
  <c r="M43" i="7"/>
  <c r="L43" i="7"/>
  <c r="K43" i="7"/>
  <c r="J43" i="7"/>
  <c r="P43" i="7" s="1"/>
  <c r="H43" i="7"/>
  <c r="G43" i="7"/>
  <c r="F43" i="7"/>
  <c r="E43" i="7"/>
  <c r="U43" i="7" s="1"/>
  <c r="D43" i="7"/>
  <c r="A43" i="7"/>
  <c r="S42" i="7"/>
  <c r="R42" i="7"/>
  <c r="Q42" i="7"/>
  <c r="P42" i="7"/>
  <c r="O42" i="7"/>
  <c r="N42" i="7"/>
  <c r="H42" i="7"/>
  <c r="I42" i="7" s="1"/>
  <c r="G42" i="7"/>
  <c r="A42" i="7"/>
  <c r="S41" i="7"/>
  <c r="R41" i="7"/>
  <c r="Q41" i="7"/>
  <c r="P41" i="7"/>
  <c r="O41" i="7"/>
  <c r="N41" i="7"/>
  <c r="H41" i="7"/>
  <c r="G41" i="7"/>
  <c r="I41" i="7" s="1"/>
  <c r="S40" i="7"/>
  <c r="R40" i="7"/>
  <c r="Q40" i="7"/>
  <c r="P40" i="7"/>
  <c r="O40" i="7"/>
  <c r="N40" i="7"/>
  <c r="H40" i="7"/>
  <c r="I40" i="7" s="1"/>
  <c r="G40" i="7"/>
  <c r="S39" i="7"/>
  <c r="R39" i="7"/>
  <c r="Q39" i="7"/>
  <c r="P39" i="7"/>
  <c r="O39" i="7"/>
  <c r="N39" i="7"/>
  <c r="H39" i="7"/>
  <c r="I39" i="7" s="1"/>
  <c r="G39" i="7"/>
  <c r="S38" i="7"/>
  <c r="R38" i="7"/>
  <c r="Q38" i="7"/>
  <c r="P38" i="7"/>
  <c r="O38" i="7"/>
  <c r="N38" i="7"/>
  <c r="I38" i="7"/>
  <c r="H38" i="7"/>
  <c r="G38" i="7"/>
  <c r="S37" i="7"/>
  <c r="R37" i="7"/>
  <c r="Q37" i="7"/>
  <c r="P37" i="7"/>
  <c r="O37" i="7"/>
  <c r="N37" i="7"/>
  <c r="H37" i="7"/>
  <c r="G37" i="7"/>
  <c r="I37" i="7" s="1"/>
  <c r="S36" i="7"/>
  <c r="R36" i="7"/>
  <c r="Q36" i="7"/>
  <c r="P36" i="7"/>
  <c r="O36" i="7"/>
  <c r="N36" i="7"/>
  <c r="H36" i="7"/>
  <c r="I36" i="7" s="1"/>
  <c r="G36" i="7"/>
  <c r="S35" i="7"/>
  <c r="R35" i="7"/>
  <c r="Q35" i="7"/>
  <c r="P35" i="7"/>
  <c r="O35" i="7"/>
  <c r="N35" i="7"/>
  <c r="H35" i="7"/>
  <c r="I35" i="7" s="1"/>
  <c r="G35" i="7"/>
  <c r="S34" i="7"/>
  <c r="R34" i="7"/>
  <c r="Q34" i="7"/>
  <c r="P34" i="7"/>
  <c r="O34" i="7"/>
  <c r="N34" i="7"/>
  <c r="I34" i="7"/>
  <c r="H34" i="7"/>
  <c r="G34" i="7"/>
  <c r="S33" i="7"/>
  <c r="R33" i="7"/>
  <c r="Q33" i="7"/>
  <c r="P33" i="7"/>
  <c r="O33" i="7"/>
  <c r="N33" i="7"/>
  <c r="H33" i="7"/>
  <c r="G33" i="7"/>
  <c r="I33" i="7" s="1"/>
  <c r="S32" i="7"/>
  <c r="R32" i="7"/>
  <c r="Q32" i="7"/>
  <c r="P32" i="7"/>
  <c r="O32" i="7"/>
  <c r="N32" i="7"/>
  <c r="H32" i="7"/>
  <c r="I32" i="7" s="1"/>
  <c r="G32" i="7"/>
  <c r="S31" i="7"/>
  <c r="R31" i="7"/>
  <c r="Q31" i="7"/>
  <c r="P31" i="7"/>
  <c r="O31" i="7"/>
  <c r="N31" i="7"/>
  <c r="H31" i="7"/>
  <c r="I31" i="7" s="1"/>
  <c r="G31" i="7"/>
  <c r="S30" i="7"/>
  <c r="R30" i="7"/>
  <c r="Q30" i="7"/>
  <c r="P30" i="7"/>
  <c r="O30" i="7"/>
  <c r="N30" i="7"/>
  <c r="I30" i="7"/>
  <c r="H30" i="7"/>
  <c r="G30" i="7"/>
  <c r="S29" i="7"/>
  <c r="R29" i="7"/>
  <c r="Q29" i="7"/>
  <c r="P29" i="7"/>
  <c r="O29" i="7"/>
  <c r="N29" i="7"/>
  <c r="H29" i="7"/>
  <c r="G29" i="7"/>
  <c r="I29" i="7" s="1"/>
  <c r="S28" i="7"/>
  <c r="R28" i="7"/>
  <c r="Q28" i="7"/>
  <c r="P28" i="7"/>
  <c r="O28" i="7"/>
  <c r="N28" i="7"/>
  <c r="H28" i="7"/>
  <c r="I28" i="7" s="1"/>
  <c r="G28" i="7"/>
  <c r="S27" i="7"/>
  <c r="R27" i="7"/>
  <c r="Q27" i="7"/>
  <c r="P27" i="7"/>
  <c r="O27" i="7"/>
  <c r="N27" i="7"/>
  <c r="H27" i="7"/>
  <c r="I27" i="7" s="1"/>
  <c r="G27" i="7"/>
  <c r="S26" i="7"/>
  <c r="R26" i="7"/>
  <c r="R43" i="7" s="1"/>
  <c r="Q26" i="7"/>
  <c r="P26" i="7"/>
  <c r="O26" i="7"/>
  <c r="N26" i="7"/>
  <c r="I26" i="7"/>
  <c r="H26" i="7"/>
  <c r="G26" i="7"/>
  <c r="A26" i="7"/>
  <c r="U25" i="7"/>
  <c r="M25" i="7"/>
  <c r="L25" i="7"/>
  <c r="K25" i="7"/>
  <c r="J25" i="7"/>
  <c r="S25" i="7" s="1"/>
  <c r="F25" i="7"/>
  <c r="E25" i="7"/>
  <c r="G25" i="7" s="1"/>
  <c r="D25" i="7"/>
  <c r="T25" i="7" s="1"/>
  <c r="A25" i="7"/>
  <c r="S24" i="7"/>
  <c r="R24" i="7"/>
  <c r="Q24" i="7"/>
  <c r="P24" i="7"/>
  <c r="O24" i="7"/>
  <c r="N24" i="7"/>
  <c r="H24" i="7"/>
  <c r="G24" i="7"/>
  <c r="I24" i="7" s="1"/>
  <c r="A24" i="7"/>
  <c r="S23" i="7"/>
  <c r="R23" i="7"/>
  <c r="Q23" i="7"/>
  <c r="P23" i="7"/>
  <c r="O23" i="7"/>
  <c r="N23" i="7"/>
  <c r="H23" i="7"/>
  <c r="I23" i="7" s="1"/>
  <c r="G23" i="7"/>
  <c r="S22" i="7"/>
  <c r="R22" i="7"/>
  <c r="Q22" i="7"/>
  <c r="P22" i="7"/>
  <c r="O22" i="7"/>
  <c r="N22" i="7"/>
  <c r="I22" i="7"/>
  <c r="H22" i="7"/>
  <c r="G22" i="7"/>
  <c r="S21" i="7"/>
  <c r="R21" i="7"/>
  <c r="Q21" i="7"/>
  <c r="P21" i="7"/>
  <c r="O21" i="7"/>
  <c r="N21" i="7"/>
  <c r="H21" i="7"/>
  <c r="G21" i="7"/>
  <c r="I21" i="7" s="1"/>
  <c r="S20" i="7"/>
  <c r="R20" i="7"/>
  <c r="Q20" i="7"/>
  <c r="P20" i="7"/>
  <c r="O20" i="7"/>
  <c r="N20" i="7"/>
  <c r="H20" i="7"/>
  <c r="I20" i="7" s="1"/>
  <c r="G20" i="7"/>
  <c r="S19" i="7"/>
  <c r="R19" i="7"/>
  <c r="Q19" i="7"/>
  <c r="P19" i="7"/>
  <c r="O19" i="7"/>
  <c r="N19" i="7"/>
  <c r="H19" i="7"/>
  <c r="I19" i="7" s="1"/>
  <c r="G19" i="7"/>
  <c r="S18" i="7"/>
  <c r="R18" i="7"/>
  <c r="Q18" i="7"/>
  <c r="P18" i="7"/>
  <c r="O18" i="7"/>
  <c r="N18" i="7"/>
  <c r="I18" i="7"/>
  <c r="H18" i="7"/>
  <c r="G18" i="7"/>
  <c r="S17" i="7"/>
  <c r="R17" i="7"/>
  <c r="Q17" i="7"/>
  <c r="P17" i="7"/>
  <c r="O17" i="7"/>
  <c r="N17" i="7"/>
  <c r="H17" i="7"/>
  <c r="G17" i="7"/>
  <c r="I17" i="7" s="1"/>
  <c r="S16" i="7"/>
  <c r="R16" i="7"/>
  <c r="Q16" i="7"/>
  <c r="P16" i="7"/>
  <c r="O16" i="7"/>
  <c r="N16" i="7"/>
  <c r="H16" i="7"/>
  <c r="I16" i="7" s="1"/>
  <c r="G16" i="7"/>
  <c r="S15" i="7"/>
  <c r="R15" i="7"/>
  <c r="Q15" i="7"/>
  <c r="P15" i="7"/>
  <c r="O15" i="7"/>
  <c r="N15" i="7"/>
  <c r="H15" i="7"/>
  <c r="I15" i="7" s="1"/>
  <c r="G15" i="7"/>
  <c r="S14" i="7"/>
  <c r="R14" i="7"/>
  <c r="Q14" i="7"/>
  <c r="P14" i="7"/>
  <c r="O14" i="7"/>
  <c r="N14" i="7"/>
  <c r="I14" i="7"/>
  <c r="H14" i="7"/>
  <c r="G14" i="7"/>
  <c r="S13" i="7"/>
  <c r="R13" i="7"/>
  <c r="R25" i="7" s="1"/>
  <c r="Q13" i="7"/>
  <c r="P13" i="7"/>
  <c r="O13" i="7"/>
  <c r="N13" i="7"/>
  <c r="H13" i="7"/>
  <c r="G13" i="7"/>
  <c r="I13" i="7" s="1"/>
  <c r="A13" i="7"/>
  <c r="F8" i="7"/>
  <c r="K8" i="7" s="1"/>
  <c r="C8" i="7"/>
  <c r="C9" i="7" s="1"/>
  <c r="K4" i="7"/>
  <c r="K5" i="7" s="1"/>
  <c r="F4" i="7"/>
  <c r="F5" i="7" s="1"/>
  <c r="C4" i="7"/>
  <c r="C5" i="7" s="1"/>
  <c r="Y2" i="7"/>
  <c r="X2" i="7"/>
  <c r="T561" i="6"/>
  <c r="N561" i="6"/>
  <c r="M561" i="6"/>
  <c r="Q561" i="6" s="1"/>
  <c r="L561" i="6"/>
  <c r="S561" i="6" s="1"/>
  <c r="K561" i="6"/>
  <c r="J561" i="6"/>
  <c r="P561" i="6" s="1"/>
  <c r="H561" i="6"/>
  <c r="G561" i="6"/>
  <c r="F561" i="6"/>
  <c r="E561" i="6"/>
  <c r="D561" i="6"/>
  <c r="A561" i="6"/>
  <c r="S560" i="6"/>
  <c r="R560" i="6"/>
  <c r="Q560" i="6"/>
  <c r="P560" i="6"/>
  <c r="O560" i="6"/>
  <c r="N560" i="6"/>
  <c r="H560" i="6"/>
  <c r="I560" i="6" s="1"/>
  <c r="G560" i="6"/>
  <c r="A560" i="6"/>
  <c r="S559" i="6"/>
  <c r="R559" i="6"/>
  <c r="Q559" i="6"/>
  <c r="P559" i="6"/>
  <c r="O559" i="6"/>
  <c r="N559" i="6"/>
  <c r="S558" i="6"/>
  <c r="R558" i="6"/>
  <c r="Q558" i="6"/>
  <c r="P558" i="6"/>
  <c r="O558" i="6"/>
  <c r="N558" i="6"/>
  <c r="H558" i="6"/>
  <c r="I558" i="6" s="1"/>
  <c r="G558" i="6"/>
  <c r="S557" i="6"/>
  <c r="R557" i="6"/>
  <c r="Q557" i="6"/>
  <c r="P557" i="6"/>
  <c r="O557" i="6"/>
  <c r="N557" i="6"/>
  <c r="I557" i="6"/>
  <c r="H557" i="6"/>
  <c r="G557" i="6"/>
  <c r="S556" i="6"/>
  <c r="R556" i="6"/>
  <c r="Q556" i="6"/>
  <c r="P556" i="6"/>
  <c r="O556" i="6"/>
  <c r="N556" i="6"/>
  <c r="H556" i="6"/>
  <c r="G556" i="6"/>
  <c r="I556" i="6" s="1"/>
  <c r="S555" i="6"/>
  <c r="R555" i="6"/>
  <c r="Q555" i="6"/>
  <c r="P555" i="6"/>
  <c r="O555" i="6"/>
  <c r="N555" i="6"/>
  <c r="H555" i="6"/>
  <c r="I555" i="6" s="1"/>
  <c r="G555" i="6"/>
  <c r="S554" i="6"/>
  <c r="R554" i="6"/>
  <c r="Q554" i="6"/>
  <c r="P554" i="6"/>
  <c r="O554" i="6"/>
  <c r="N554" i="6"/>
  <c r="H554" i="6"/>
  <c r="G554" i="6"/>
  <c r="S553" i="6"/>
  <c r="R553" i="6"/>
  <c r="Q553" i="6"/>
  <c r="P553" i="6"/>
  <c r="O553" i="6"/>
  <c r="N553" i="6"/>
  <c r="I553" i="6"/>
  <c r="H553" i="6"/>
  <c r="G553" i="6"/>
  <c r="S552" i="6"/>
  <c r="R552" i="6"/>
  <c r="Q552" i="6"/>
  <c r="P552" i="6"/>
  <c r="O552" i="6"/>
  <c r="N552" i="6"/>
  <c r="H552" i="6"/>
  <c r="G552" i="6"/>
  <c r="I552" i="6" s="1"/>
  <c r="S551" i="6"/>
  <c r="R551" i="6"/>
  <c r="Q551" i="6"/>
  <c r="P551" i="6"/>
  <c r="O551" i="6"/>
  <c r="N551" i="6"/>
  <c r="H551" i="6"/>
  <c r="I551" i="6" s="1"/>
  <c r="G551" i="6"/>
  <c r="S550" i="6"/>
  <c r="R550" i="6"/>
  <c r="Q550" i="6"/>
  <c r="P550" i="6"/>
  <c r="O550" i="6"/>
  <c r="N550" i="6"/>
  <c r="H550" i="6"/>
  <c r="G550" i="6"/>
  <c r="S549" i="6"/>
  <c r="R549" i="6"/>
  <c r="R561" i="6" s="1"/>
  <c r="Q549" i="6"/>
  <c r="P549" i="6"/>
  <c r="O549" i="6"/>
  <c r="N549" i="6"/>
  <c r="I549" i="6"/>
  <c r="H549" i="6"/>
  <c r="G549" i="6"/>
  <c r="Q548" i="6"/>
  <c r="M548" i="6"/>
  <c r="O548" i="6" s="1"/>
  <c r="L548" i="6"/>
  <c r="S548" i="6" s="1"/>
  <c r="K548" i="6"/>
  <c r="J548" i="6"/>
  <c r="N548" i="6" s="1"/>
  <c r="G548" i="6"/>
  <c r="F548" i="6"/>
  <c r="E548" i="6"/>
  <c r="D548" i="6"/>
  <c r="A548" i="6"/>
  <c r="S547" i="6"/>
  <c r="R547" i="6"/>
  <c r="Q547" i="6"/>
  <c r="P547" i="6"/>
  <c r="O547" i="6"/>
  <c r="N547" i="6"/>
  <c r="H547" i="6"/>
  <c r="I547" i="6" s="1"/>
  <c r="G547" i="6"/>
  <c r="A547" i="6"/>
  <c r="S546" i="6"/>
  <c r="R546" i="6"/>
  <c r="Q546" i="6"/>
  <c r="P546" i="6"/>
  <c r="O546" i="6"/>
  <c r="N546" i="6"/>
  <c r="S545" i="6"/>
  <c r="R545" i="6"/>
  <c r="Q545" i="6"/>
  <c r="P545" i="6"/>
  <c r="O545" i="6"/>
  <c r="N545" i="6"/>
  <c r="H545" i="6"/>
  <c r="I545" i="6" s="1"/>
  <c r="G545" i="6"/>
  <c r="S544" i="6"/>
  <c r="R544" i="6"/>
  <c r="Q544" i="6"/>
  <c r="P544" i="6"/>
  <c r="O544" i="6"/>
  <c r="N544" i="6"/>
  <c r="I544" i="6"/>
  <c r="H544" i="6"/>
  <c r="G544" i="6"/>
  <c r="S543" i="6"/>
  <c r="R543" i="6"/>
  <c r="Q543" i="6"/>
  <c r="P543" i="6"/>
  <c r="O543" i="6"/>
  <c r="N543" i="6"/>
  <c r="H543" i="6"/>
  <c r="G543" i="6"/>
  <c r="I543" i="6" s="1"/>
  <c r="S542" i="6"/>
  <c r="R542" i="6"/>
  <c r="Q542" i="6"/>
  <c r="P542" i="6"/>
  <c r="O542" i="6"/>
  <c r="N542" i="6"/>
  <c r="H542" i="6"/>
  <c r="I542" i="6" s="1"/>
  <c r="G542" i="6"/>
  <c r="S541" i="6"/>
  <c r="R541" i="6"/>
  <c r="Q541" i="6"/>
  <c r="P541" i="6"/>
  <c r="O541" i="6"/>
  <c r="N541" i="6"/>
  <c r="H541" i="6"/>
  <c r="I541" i="6" s="1"/>
  <c r="G541" i="6"/>
  <c r="S540" i="6"/>
  <c r="R540" i="6"/>
  <c r="Q540" i="6"/>
  <c r="P540" i="6"/>
  <c r="O540" i="6"/>
  <c r="N540" i="6"/>
  <c r="H540" i="6"/>
  <c r="G540" i="6"/>
  <c r="I540" i="6" s="1"/>
  <c r="S539" i="6"/>
  <c r="R539" i="6"/>
  <c r="Q539" i="6"/>
  <c r="P539" i="6"/>
  <c r="O539" i="6"/>
  <c r="N539" i="6"/>
  <c r="H539" i="6"/>
  <c r="G539" i="6"/>
  <c r="I539" i="6" s="1"/>
  <c r="S538" i="6"/>
  <c r="R538" i="6"/>
  <c r="Q538" i="6"/>
  <c r="P538" i="6"/>
  <c r="O538" i="6"/>
  <c r="N538" i="6"/>
  <c r="H538" i="6"/>
  <c r="I538" i="6" s="1"/>
  <c r="G538" i="6"/>
  <c r="S537" i="6"/>
  <c r="R537" i="6"/>
  <c r="Q537" i="6"/>
  <c r="P537" i="6"/>
  <c r="O537" i="6"/>
  <c r="N537" i="6"/>
  <c r="H537" i="6"/>
  <c r="I537" i="6" s="1"/>
  <c r="G537" i="6"/>
  <c r="S536" i="6"/>
  <c r="R536" i="6"/>
  <c r="R548" i="6" s="1"/>
  <c r="Q536" i="6"/>
  <c r="P536" i="6"/>
  <c r="O536" i="6"/>
  <c r="N536" i="6"/>
  <c r="H536" i="6"/>
  <c r="G536" i="6"/>
  <c r="I536" i="6" s="1"/>
  <c r="Q535" i="6"/>
  <c r="M535" i="6"/>
  <c r="L535" i="6"/>
  <c r="K535" i="6"/>
  <c r="J535" i="6"/>
  <c r="F535" i="6"/>
  <c r="E535" i="6"/>
  <c r="D535" i="6"/>
  <c r="A535" i="6"/>
  <c r="S534" i="6"/>
  <c r="R534" i="6"/>
  <c r="Q534" i="6"/>
  <c r="P534" i="6"/>
  <c r="O534" i="6"/>
  <c r="N534" i="6"/>
  <c r="H534" i="6"/>
  <c r="G534" i="6"/>
  <c r="I534" i="6" s="1"/>
  <c r="A534" i="6"/>
  <c r="S533" i="6"/>
  <c r="R533" i="6"/>
  <c r="Q533" i="6"/>
  <c r="P533" i="6"/>
  <c r="O533" i="6"/>
  <c r="N533" i="6"/>
  <c r="S532" i="6"/>
  <c r="R532" i="6"/>
  <c r="Q532" i="6"/>
  <c r="P532" i="6"/>
  <c r="O532" i="6"/>
  <c r="N532" i="6"/>
  <c r="I532" i="6"/>
  <c r="H532" i="6"/>
  <c r="G532" i="6"/>
  <c r="S531" i="6"/>
  <c r="R531" i="6"/>
  <c r="Q531" i="6"/>
  <c r="P531" i="6"/>
  <c r="O531" i="6"/>
  <c r="N531" i="6"/>
  <c r="H531" i="6"/>
  <c r="I531" i="6" s="1"/>
  <c r="G531" i="6"/>
  <c r="S530" i="6"/>
  <c r="R530" i="6"/>
  <c r="Q530" i="6"/>
  <c r="P530" i="6"/>
  <c r="O530" i="6"/>
  <c r="N530" i="6"/>
  <c r="I530" i="6"/>
  <c r="H530" i="6"/>
  <c r="G530" i="6"/>
  <c r="S529" i="6"/>
  <c r="R529" i="6"/>
  <c r="Q529" i="6"/>
  <c r="P529" i="6"/>
  <c r="O529" i="6"/>
  <c r="N529" i="6"/>
  <c r="H529" i="6"/>
  <c r="I529" i="6" s="1"/>
  <c r="G529" i="6"/>
  <c r="S528" i="6"/>
  <c r="R528" i="6"/>
  <c r="Q528" i="6"/>
  <c r="P528" i="6"/>
  <c r="O528" i="6"/>
  <c r="N528" i="6"/>
  <c r="I528" i="6"/>
  <c r="H528" i="6"/>
  <c r="G528" i="6"/>
  <c r="S527" i="6"/>
  <c r="R527" i="6"/>
  <c r="Q527" i="6"/>
  <c r="P527" i="6"/>
  <c r="O527" i="6"/>
  <c r="N527" i="6"/>
  <c r="H527" i="6"/>
  <c r="G527" i="6"/>
  <c r="S526" i="6"/>
  <c r="R526" i="6"/>
  <c r="Q526" i="6"/>
  <c r="P526" i="6"/>
  <c r="O526" i="6"/>
  <c r="N526" i="6"/>
  <c r="I526" i="6"/>
  <c r="H526" i="6"/>
  <c r="G526" i="6"/>
  <c r="S525" i="6"/>
  <c r="R525" i="6"/>
  <c r="Q525" i="6"/>
  <c r="P525" i="6"/>
  <c r="O525" i="6"/>
  <c r="N525" i="6"/>
  <c r="H525" i="6"/>
  <c r="I525" i="6" s="1"/>
  <c r="G525" i="6"/>
  <c r="S524" i="6"/>
  <c r="R524" i="6"/>
  <c r="Q524" i="6"/>
  <c r="P524" i="6"/>
  <c r="O524" i="6"/>
  <c r="N524" i="6"/>
  <c r="I524" i="6"/>
  <c r="H524" i="6"/>
  <c r="G524" i="6"/>
  <c r="S523" i="6"/>
  <c r="R523" i="6"/>
  <c r="R535" i="6" s="1"/>
  <c r="Q523" i="6"/>
  <c r="P523" i="6"/>
  <c r="O523" i="6"/>
  <c r="N523" i="6"/>
  <c r="H523" i="6"/>
  <c r="I523" i="6" s="1"/>
  <c r="G523" i="6"/>
  <c r="Q522" i="6"/>
  <c r="P522" i="6"/>
  <c r="O522" i="6"/>
  <c r="M522" i="6"/>
  <c r="L522" i="6"/>
  <c r="K522" i="6"/>
  <c r="J522" i="6"/>
  <c r="F522" i="6"/>
  <c r="E522" i="6"/>
  <c r="D522" i="6"/>
  <c r="A522" i="6"/>
  <c r="S521" i="6"/>
  <c r="R521" i="6"/>
  <c r="Q521" i="6"/>
  <c r="P521" i="6"/>
  <c r="O521" i="6"/>
  <c r="N521" i="6"/>
  <c r="H521" i="6"/>
  <c r="G521" i="6"/>
  <c r="I521" i="6" s="1"/>
  <c r="A521" i="6"/>
  <c r="S520" i="6"/>
  <c r="R520" i="6"/>
  <c r="Q520" i="6"/>
  <c r="P520" i="6"/>
  <c r="O520" i="6"/>
  <c r="N520" i="6"/>
  <c r="S519" i="6"/>
  <c r="R519" i="6"/>
  <c r="Q519" i="6"/>
  <c r="P519" i="6"/>
  <c r="O519" i="6"/>
  <c r="N519" i="6"/>
  <c r="H519" i="6"/>
  <c r="I519" i="6" s="1"/>
  <c r="G519" i="6"/>
  <c r="S518" i="6"/>
  <c r="R518" i="6"/>
  <c r="Q518" i="6"/>
  <c r="P518" i="6"/>
  <c r="O518" i="6"/>
  <c r="N518" i="6"/>
  <c r="H518" i="6"/>
  <c r="I518" i="6" s="1"/>
  <c r="G518" i="6"/>
  <c r="S517" i="6"/>
  <c r="R517" i="6"/>
  <c r="Q517" i="6"/>
  <c r="P517" i="6"/>
  <c r="O517" i="6"/>
  <c r="N517" i="6"/>
  <c r="I517" i="6"/>
  <c r="H517" i="6"/>
  <c r="G517" i="6"/>
  <c r="S516" i="6"/>
  <c r="R516" i="6"/>
  <c r="Q516" i="6"/>
  <c r="P516" i="6"/>
  <c r="O516" i="6"/>
  <c r="N516" i="6"/>
  <c r="H516" i="6"/>
  <c r="G516" i="6"/>
  <c r="I516" i="6" s="1"/>
  <c r="S515" i="6"/>
  <c r="R515" i="6"/>
  <c r="Q515" i="6"/>
  <c r="P515" i="6"/>
  <c r="O515" i="6"/>
  <c r="N515" i="6"/>
  <c r="H515" i="6"/>
  <c r="I515" i="6" s="1"/>
  <c r="G515" i="6"/>
  <c r="S514" i="6"/>
  <c r="R514" i="6"/>
  <c r="Q514" i="6"/>
  <c r="P514" i="6"/>
  <c r="O514" i="6"/>
  <c r="N514" i="6"/>
  <c r="H514" i="6"/>
  <c r="I514" i="6" s="1"/>
  <c r="G514" i="6"/>
  <c r="S513" i="6"/>
  <c r="R513" i="6"/>
  <c r="Q513" i="6"/>
  <c r="P513" i="6"/>
  <c r="O513" i="6"/>
  <c r="N513" i="6"/>
  <c r="I513" i="6"/>
  <c r="H513" i="6"/>
  <c r="G513" i="6"/>
  <c r="S512" i="6"/>
  <c r="R512" i="6"/>
  <c r="Q512" i="6"/>
  <c r="P512" i="6"/>
  <c r="O512" i="6"/>
  <c r="N512" i="6"/>
  <c r="H512" i="6"/>
  <c r="G512" i="6"/>
  <c r="I512" i="6" s="1"/>
  <c r="S511" i="6"/>
  <c r="R511" i="6"/>
  <c r="R522" i="6" s="1"/>
  <c r="Q511" i="6"/>
  <c r="P511" i="6"/>
  <c r="O511" i="6"/>
  <c r="N511" i="6"/>
  <c r="I511" i="6"/>
  <c r="H511" i="6"/>
  <c r="G511" i="6"/>
  <c r="S510" i="6"/>
  <c r="R510" i="6"/>
  <c r="Q510" i="6"/>
  <c r="P510" i="6"/>
  <c r="O510" i="6"/>
  <c r="N510" i="6"/>
  <c r="H510" i="6"/>
  <c r="G510" i="6"/>
  <c r="M509" i="6"/>
  <c r="L509" i="6"/>
  <c r="K509" i="6"/>
  <c r="J509" i="6"/>
  <c r="H509" i="6"/>
  <c r="F509" i="6"/>
  <c r="G509" i="6" s="1"/>
  <c r="E509" i="6"/>
  <c r="D509" i="6"/>
  <c r="T509" i="6" s="1"/>
  <c r="A509" i="6"/>
  <c r="S508" i="6"/>
  <c r="R508" i="6"/>
  <c r="Q508" i="6"/>
  <c r="P508" i="6"/>
  <c r="O508" i="6"/>
  <c r="N508" i="6"/>
  <c r="I508" i="6"/>
  <c r="H508" i="6"/>
  <c r="G508" i="6"/>
  <c r="A508" i="6"/>
  <c r="S507" i="6"/>
  <c r="R507" i="6"/>
  <c r="Q507" i="6"/>
  <c r="P507" i="6"/>
  <c r="O507" i="6"/>
  <c r="N507" i="6"/>
  <c r="S506" i="6"/>
  <c r="R506" i="6"/>
  <c r="Q506" i="6"/>
  <c r="P506" i="6"/>
  <c r="O506" i="6"/>
  <c r="N506" i="6"/>
  <c r="I506" i="6"/>
  <c r="H506" i="6"/>
  <c r="G506" i="6"/>
  <c r="S505" i="6"/>
  <c r="R505" i="6"/>
  <c r="Q505" i="6"/>
  <c r="P505" i="6"/>
  <c r="O505" i="6"/>
  <c r="N505" i="6"/>
  <c r="H505" i="6"/>
  <c r="I505" i="6" s="1"/>
  <c r="G505" i="6"/>
  <c r="S504" i="6"/>
  <c r="R504" i="6"/>
  <c r="Q504" i="6"/>
  <c r="P504" i="6"/>
  <c r="O504" i="6"/>
  <c r="N504" i="6"/>
  <c r="H504" i="6"/>
  <c r="I504" i="6" s="1"/>
  <c r="G504" i="6"/>
  <c r="S503" i="6"/>
  <c r="R503" i="6"/>
  <c r="Q503" i="6"/>
  <c r="P503" i="6"/>
  <c r="O503" i="6"/>
  <c r="N503" i="6"/>
  <c r="H503" i="6"/>
  <c r="G503" i="6"/>
  <c r="I503" i="6" s="1"/>
  <c r="S502" i="6"/>
  <c r="R502" i="6"/>
  <c r="Q502" i="6"/>
  <c r="P502" i="6"/>
  <c r="O502" i="6"/>
  <c r="N502" i="6"/>
  <c r="H502" i="6"/>
  <c r="I502" i="6" s="1"/>
  <c r="G502" i="6"/>
  <c r="S501" i="6"/>
  <c r="R501" i="6"/>
  <c r="Q501" i="6"/>
  <c r="P501" i="6"/>
  <c r="O501" i="6"/>
  <c r="N501" i="6"/>
  <c r="H501" i="6"/>
  <c r="I501" i="6" s="1"/>
  <c r="G501" i="6"/>
  <c r="S500" i="6"/>
  <c r="R500" i="6"/>
  <c r="Q500" i="6"/>
  <c r="P500" i="6"/>
  <c r="O500" i="6"/>
  <c r="N500" i="6"/>
  <c r="H500" i="6"/>
  <c r="I500" i="6" s="1"/>
  <c r="G500" i="6"/>
  <c r="S499" i="6"/>
  <c r="R499" i="6"/>
  <c r="Q499" i="6"/>
  <c r="P499" i="6"/>
  <c r="O499" i="6"/>
  <c r="N499" i="6"/>
  <c r="H499" i="6"/>
  <c r="G499" i="6"/>
  <c r="I499" i="6" s="1"/>
  <c r="S498" i="6"/>
  <c r="R498" i="6"/>
  <c r="Q498" i="6"/>
  <c r="P498" i="6"/>
  <c r="O498" i="6"/>
  <c r="N498" i="6"/>
  <c r="H498" i="6"/>
  <c r="I498" i="6" s="1"/>
  <c r="G498" i="6"/>
  <c r="S497" i="6"/>
  <c r="R497" i="6"/>
  <c r="Q497" i="6"/>
  <c r="P497" i="6"/>
  <c r="O497" i="6"/>
  <c r="N497" i="6"/>
  <c r="H497" i="6"/>
  <c r="I497" i="6" s="1"/>
  <c r="G497" i="6"/>
  <c r="S496" i="6"/>
  <c r="M496" i="6"/>
  <c r="Q496" i="6" s="1"/>
  <c r="L496" i="6"/>
  <c r="K496" i="6"/>
  <c r="J496" i="6"/>
  <c r="I496" i="6"/>
  <c r="H496" i="6"/>
  <c r="G496" i="6"/>
  <c r="F496" i="6"/>
  <c r="E496" i="6"/>
  <c r="D496" i="6"/>
  <c r="P496" i="6" s="1"/>
  <c r="A496" i="6"/>
  <c r="S495" i="6"/>
  <c r="R495" i="6"/>
  <c r="Q495" i="6"/>
  <c r="P495" i="6"/>
  <c r="O495" i="6"/>
  <c r="N495" i="6"/>
  <c r="I495" i="6"/>
  <c r="H495" i="6"/>
  <c r="G495" i="6"/>
  <c r="A495" i="6"/>
  <c r="S494" i="6"/>
  <c r="R494" i="6"/>
  <c r="Q494" i="6"/>
  <c r="P494" i="6"/>
  <c r="O494" i="6"/>
  <c r="N494" i="6"/>
  <c r="S493" i="6"/>
  <c r="R493" i="6"/>
  <c r="Q493" i="6"/>
  <c r="P493" i="6"/>
  <c r="O493" i="6"/>
  <c r="N493" i="6"/>
  <c r="H493" i="6"/>
  <c r="G493" i="6"/>
  <c r="S492" i="6"/>
  <c r="R492" i="6"/>
  <c r="Q492" i="6"/>
  <c r="P492" i="6"/>
  <c r="O492" i="6"/>
  <c r="N492" i="6"/>
  <c r="I492" i="6"/>
  <c r="H492" i="6"/>
  <c r="G492" i="6"/>
  <c r="S491" i="6"/>
  <c r="R491" i="6"/>
  <c r="Q491" i="6"/>
  <c r="P491" i="6"/>
  <c r="O491" i="6"/>
  <c r="N491" i="6"/>
  <c r="H491" i="6"/>
  <c r="I491" i="6" s="1"/>
  <c r="G491" i="6"/>
  <c r="S490" i="6"/>
  <c r="R490" i="6"/>
  <c r="Q490" i="6"/>
  <c r="P490" i="6"/>
  <c r="O490" i="6"/>
  <c r="N490" i="6"/>
  <c r="I490" i="6"/>
  <c r="H490" i="6"/>
  <c r="G490" i="6"/>
  <c r="S489" i="6"/>
  <c r="R489" i="6"/>
  <c r="Q489" i="6"/>
  <c r="P489" i="6"/>
  <c r="O489" i="6"/>
  <c r="N489" i="6"/>
  <c r="H489" i="6"/>
  <c r="I489" i="6" s="1"/>
  <c r="G489" i="6"/>
  <c r="S488" i="6"/>
  <c r="R488" i="6"/>
  <c r="Q488" i="6"/>
  <c r="P488" i="6"/>
  <c r="O488" i="6"/>
  <c r="N488" i="6"/>
  <c r="I488" i="6"/>
  <c r="H488" i="6"/>
  <c r="G488" i="6"/>
  <c r="S487" i="6"/>
  <c r="R487" i="6"/>
  <c r="Q487" i="6"/>
  <c r="P487" i="6"/>
  <c r="O487" i="6"/>
  <c r="N487" i="6"/>
  <c r="H487" i="6"/>
  <c r="I487" i="6" s="1"/>
  <c r="G487" i="6"/>
  <c r="S486" i="6"/>
  <c r="R486" i="6"/>
  <c r="Q486" i="6"/>
  <c r="P486" i="6"/>
  <c r="O486" i="6"/>
  <c r="N486" i="6"/>
  <c r="I486" i="6"/>
  <c r="H486" i="6"/>
  <c r="G486" i="6"/>
  <c r="S485" i="6"/>
  <c r="R485" i="6"/>
  <c r="R496" i="6" s="1"/>
  <c r="Q485" i="6"/>
  <c r="P485" i="6"/>
  <c r="O485" i="6"/>
  <c r="N485" i="6"/>
  <c r="H485" i="6"/>
  <c r="G485" i="6"/>
  <c r="S484" i="6"/>
  <c r="R484" i="6"/>
  <c r="Q484" i="6"/>
  <c r="P484" i="6"/>
  <c r="O484" i="6"/>
  <c r="N484" i="6"/>
  <c r="I484" i="6"/>
  <c r="H484" i="6"/>
  <c r="G484" i="6"/>
  <c r="S483" i="6"/>
  <c r="N483" i="6"/>
  <c r="M483" i="6"/>
  <c r="L483" i="6"/>
  <c r="K483" i="6"/>
  <c r="J483" i="6"/>
  <c r="H483" i="6"/>
  <c r="I483" i="6" s="1"/>
  <c r="G483" i="6"/>
  <c r="F483" i="6"/>
  <c r="E483" i="6"/>
  <c r="D483" i="6"/>
  <c r="P483" i="6" s="1"/>
  <c r="A483" i="6"/>
  <c r="S482" i="6"/>
  <c r="R482" i="6"/>
  <c r="Q482" i="6"/>
  <c r="P482" i="6"/>
  <c r="O482" i="6"/>
  <c r="N482" i="6"/>
  <c r="I482" i="6"/>
  <c r="H482" i="6"/>
  <c r="G482" i="6"/>
  <c r="A482" i="6"/>
  <c r="S481" i="6"/>
  <c r="R481" i="6"/>
  <c r="Q481" i="6"/>
  <c r="P481" i="6"/>
  <c r="O481" i="6"/>
  <c r="N481" i="6"/>
  <c r="S480" i="6"/>
  <c r="R480" i="6"/>
  <c r="Q480" i="6"/>
  <c r="P480" i="6"/>
  <c r="O480" i="6"/>
  <c r="N480" i="6"/>
  <c r="H480" i="6"/>
  <c r="G480" i="6"/>
  <c r="I480" i="6" s="1"/>
  <c r="S479" i="6"/>
  <c r="R479" i="6"/>
  <c r="Q479" i="6"/>
  <c r="P479" i="6"/>
  <c r="O479" i="6"/>
  <c r="N479" i="6"/>
  <c r="I479" i="6"/>
  <c r="H479" i="6"/>
  <c r="G479" i="6"/>
  <c r="S478" i="6"/>
  <c r="R478" i="6"/>
  <c r="Q478" i="6"/>
  <c r="P478" i="6"/>
  <c r="O478" i="6"/>
  <c r="N478" i="6"/>
  <c r="H478" i="6"/>
  <c r="G478" i="6"/>
  <c r="S477" i="6"/>
  <c r="R477" i="6"/>
  <c r="Q477" i="6"/>
  <c r="P477" i="6"/>
  <c r="O477" i="6"/>
  <c r="N477" i="6"/>
  <c r="I477" i="6"/>
  <c r="H477" i="6"/>
  <c r="G477" i="6"/>
  <c r="S476" i="6"/>
  <c r="R476" i="6"/>
  <c r="Q476" i="6"/>
  <c r="P476" i="6"/>
  <c r="O476" i="6"/>
  <c r="N476" i="6"/>
  <c r="H476" i="6"/>
  <c r="G476" i="6"/>
  <c r="I476" i="6" s="1"/>
  <c r="S475" i="6"/>
  <c r="R475" i="6"/>
  <c r="Q475" i="6"/>
  <c r="P475" i="6"/>
  <c r="O475" i="6"/>
  <c r="N475" i="6"/>
  <c r="H475" i="6"/>
  <c r="I475" i="6" s="1"/>
  <c r="G475" i="6"/>
  <c r="S474" i="6"/>
  <c r="R474" i="6"/>
  <c r="Q474" i="6"/>
  <c r="P474" i="6"/>
  <c r="O474" i="6"/>
  <c r="N474" i="6"/>
  <c r="H474" i="6"/>
  <c r="I474" i="6" s="1"/>
  <c r="G474" i="6"/>
  <c r="S473" i="6"/>
  <c r="R473" i="6"/>
  <c r="Q473" i="6"/>
  <c r="P473" i="6"/>
  <c r="O473" i="6"/>
  <c r="N473" i="6"/>
  <c r="I473" i="6"/>
  <c r="H473" i="6"/>
  <c r="G473" i="6"/>
  <c r="S472" i="6"/>
  <c r="R472" i="6"/>
  <c r="Q472" i="6"/>
  <c r="P472" i="6"/>
  <c r="O472" i="6"/>
  <c r="N472" i="6"/>
  <c r="H472" i="6"/>
  <c r="G472" i="6"/>
  <c r="I472" i="6" s="1"/>
  <c r="S471" i="6"/>
  <c r="R471" i="6"/>
  <c r="Q471" i="6"/>
  <c r="P471" i="6"/>
  <c r="O471" i="6"/>
  <c r="N471" i="6"/>
  <c r="H471" i="6"/>
  <c r="I471" i="6" s="1"/>
  <c r="G471" i="6"/>
  <c r="S470" i="6"/>
  <c r="M470" i="6"/>
  <c r="L470" i="6"/>
  <c r="K470" i="6"/>
  <c r="J470" i="6"/>
  <c r="F470" i="6"/>
  <c r="G470" i="6" s="1"/>
  <c r="E470" i="6"/>
  <c r="D470" i="6"/>
  <c r="A470" i="6"/>
  <c r="S469" i="6"/>
  <c r="R469" i="6"/>
  <c r="Q469" i="6"/>
  <c r="P469" i="6"/>
  <c r="O469" i="6"/>
  <c r="N469" i="6"/>
  <c r="H469" i="6"/>
  <c r="I469" i="6" s="1"/>
  <c r="G469" i="6"/>
  <c r="A469" i="6"/>
  <c r="S468" i="6"/>
  <c r="R468" i="6"/>
  <c r="Q468" i="6"/>
  <c r="P468" i="6"/>
  <c r="O468" i="6"/>
  <c r="N468" i="6"/>
  <c r="S467" i="6"/>
  <c r="R467" i="6"/>
  <c r="Q467" i="6"/>
  <c r="P467" i="6"/>
  <c r="O467" i="6"/>
  <c r="N467" i="6"/>
  <c r="H467" i="6"/>
  <c r="G467" i="6"/>
  <c r="I467" i="6" s="1"/>
  <c r="S466" i="6"/>
  <c r="R466" i="6"/>
  <c r="R470" i="6" s="1"/>
  <c r="Q466" i="6"/>
  <c r="P466" i="6"/>
  <c r="O466" i="6"/>
  <c r="N466" i="6"/>
  <c r="H466" i="6"/>
  <c r="I466" i="6" s="1"/>
  <c r="G466" i="6"/>
  <c r="S465" i="6"/>
  <c r="R465" i="6"/>
  <c r="Q465" i="6"/>
  <c r="P465" i="6"/>
  <c r="O465" i="6"/>
  <c r="N465" i="6"/>
  <c r="H465" i="6"/>
  <c r="I465" i="6" s="1"/>
  <c r="G465" i="6"/>
  <c r="S464" i="6"/>
  <c r="R464" i="6"/>
  <c r="Q464" i="6"/>
  <c r="P464" i="6"/>
  <c r="O464" i="6"/>
  <c r="N464" i="6"/>
  <c r="H464" i="6"/>
  <c r="I464" i="6" s="1"/>
  <c r="G464" i="6"/>
  <c r="S463" i="6"/>
  <c r="R463" i="6"/>
  <c r="Q463" i="6"/>
  <c r="P463" i="6"/>
  <c r="O463" i="6"/>
  <c r="N463" i="6"/>
  <c r="H463" i="6"/>
  <c r="G463" i="6"/>
  <c r="I463" i="6" s="1"/>
  <c r="S462" i="6"/>
  <c r="R462" i="6"/>
  <c r="Q462" i="6"/>
  <c r="P462" i="6"/>
  <c r="O462" i="6"/>
  <c r="N462" i="6"/>
  <c r="I462" i="6"/>
  <c r="H462" i="6"/>
  <c r="G462" i="6"/>
  <c r="S461" i="6"/>
  <c r="R461" i="6"/>
  <c r="Q461" i="6"/>
  <c r="P461" i="6"/>
  <c r="O461" i="6"/>
  <c r="N461" i="6"/>
  <c r="H461" i="6"/>
  <c r="I461" i="6" s="1"/>
  <c r="G461" i="6"/>
  <c r="S460" i="6"/>
  <c r="R460" i="6"/>
  <c r="Q460" i="6"/>
  <c r="P460" i="6"/>
  <c r="O460" i="6"/>
  <c r="N460" i="6"/>
  <c r="H460" i="6"/>
  <c r="I460" i="6" s="1"/>
  <c r="G460" i="6"/>
  <c r="S459" i="6"/>
  <c r="R459" i="6"/>
  <c r="Q459" i="6"/>
  <c r="P459" i="6"/>
  <c r="O459" i="6"/>
  <c r="N459" i="6"/>
  <c r="H459" i="6"/>
  <c r="G459" i="6"/>
  <c r="I459" i="6" s="1"/>
  <c r="S458" i="6"/>
  <c r="R458" i="6"/>
  <c r="Q458" i="6"/>
  <c r="P458" i="6"/>
  <c r="O458" i="6"/>
  <c r="N458" i="6"/>
  <c r="H458" i="6"/>
  <c r="I458" i="6" s="1"/>
  <c r="G458" i="6"/>
  <c r="M457" i="6"/>
  <c r="O457" i="6" s="1"/>
  <c r="L457" i="6"/>
  <c r="K457" i="6"/>
  <c r="J457" i="6"/>
  <c r="S457" i="6" s="1"/>
  <c r="F457" i="6"/>
  <c r="E457" i="6"/>
  <c r="D457" i="6"/>
  <c r="A457" i="6"/>
  <c r="S456" i="6"/>
  <c r="R456" i="6"/>
  <c r="Q456" i="6"/>
  <c r="P456" i="6"/>
  <c r="O456" i="6"/>
  <c r="N456" i="6"/>
  <c r="H456" i="6"/>
  <c r="I456" i="6" s="1"/>
  <c r="G456" i="6"/>
  <c r="A456" i="6"/>
  <c r="S455" i="6"/>
  <c r="R455" i="6"/>
  <c r="Q455" i="6"/>
  <c r="P455" i="6"/>
  <c r="O455" i="6"/>
  <c r="N455" i="6"/>
  <c r="S454" i="6"/>
  <c r="R454" i="6"/>
  <c r="Q454" i="6"/>
  <c r="P454" i="6"/>
  <c r="O454" i="6"/>
  <c r="N454" i="6"/>
  <c r="I454" i="6"/>
  <c r="H454" i="6"/>
  <c r="G454" i="6"/>
  <c r="S453" i="6"/>
  <c r="R453" i="6"/>
  <c r="Q453" i="6"/>
  <c r="P453" i="6"/>
  <c r="O453" i="6"/>
  <c r="N453" i="6"/>
  <c r="H453" i="6"/>
  <c r="I453" i="6" s="1"/>
  <c r="G453" i="6"/>
  <c r="S452" i="6"/>
  <c r="R452" i="6"/>
  <c r="Q452" i="6"/>
  <c r="P452" i="6"/>
  <c r="O452" i="6"/>
  <c r="N452" i="6"/>
  <c r="I452" i="6"/>
  <c r="H452" i="6"/>
  <c r="G452" i="6"/>
  <c r="S451" i="6"/>
  <c r="R451" i="6"/>
  <c r="Q451" i="6"/>
  <c r="P451" i="6"/>
  <c r="O451" i="6"/>
  <c r="N451" i="6"/>
  <c r="H451" i="6"/>
  <c r="I451" i="6" s="1"/>
  <c r="G451" i="6"/>
  <c r="S450" i="6"/>
  <c r="R450" i="6"/>
  <c r="Q450" i="6"/>
  <c r="P450" i="6"/>
  <c r="O450" i="6"/>
  <c r="N450" i="6"/>
  <c r="I450" i="6"/>
  <c r="H450" i="6"/>
  <c r="G450" i="6"/>
  <c r="S449" i="6"/>
  <c r="R449" i="6"/>
  <c r="Q449" i="6"/>
  <c r="P449" i="6"/>
  <c r="O449" i="6"/>
  <c r="N449" i="6"/>
  <c r="H449" i="6"/>
  <c r="G449" i="6"/>
  <c r="S448" i="6"/>
  <c r="R448" i="6"/>
  <c r="Q448" i="6"/>
  <c r="P448" i="6"/>
  <c r="O448" i="6"/>
  <c r="N448" i="6"/>
  <c r="I448" i="6"/>
  <c r="H448" i="6"/>
  <c r="G448" i="6"/>
  <c r="S447" i="6"/>
  <c r="R447" i="6"/>
  <c r="Q447" i="6"/>
  <c r="P447" i="6"/>
  <c r="O447" i="6"/>
  <c r="N447" i="6"/>
  <c r="H447" i="6"/>
  <c r="G447" i="6"/>
  <c r="S446" i="6"/>
  <c r="R446" i="6"/>
  <c r="Q446" i="6"/>
  <c r="P446" i="6"/>
  <c r="O446" i="6"/>
  <c r="N446" i="6"/>
  <c r="I446" i="6"/>
  <c r="H446" i="6"/>
  <c r="G446" i="6"/>
  <c r="S445" i="6"/>
  <c r="R445" i="6"/>
  <c r="Q445" i="6"/>
  <c r="P445" i="6"/>
  <c r="O445" i="6"/>
  <c r="N445" i="6"/>
  <c r="H445" i="6"/>
  <c r="G445" i="6"/>
  <c r="Q444" i="6"/>
  <c r="M444" i="6"/>
  <c r="L444" i="6"/>
  <c r="K444" i="6"/>
  <c r="J444" i="6"/>
  <c r="F444" i="6"/>
  <c r="E444" i="6"/>
  <c r="G444" i="6" s="1"/>
  <c r="D444" i="6"/>
  <c r="A444" i="6"/>
  <c r="S443" i="6"/>
  <c r="R443" i="6"/>
  <c r="Q443" i="6"/>
  <c r="P443" i="6"/>
  <c r="O443" i="6"/>
  <c r="N443" i="6"/>
  <c r="H443" i="6"/>
  <c r="I443" i="6" s="1"/>
  <c r="G443" i="6"/>
  <c r="A443" i="6"/>
  <c r="S442" i="6"/>
  <c r="R442" i="6"/>
  <c r="Q442" i="6"/>
  <c r="P442" i="6"/>
  <c r="O442" i="6"/>
  <c r="N442" i="6"/>
  <c r="H442" i="6"/>
  <c r="I442" i="6" s="1"/>
  <c r="G442" i="6"/>
  <c r="S441" i="6"/>
  <c r="R441" i="6"/>
  <c r="Q441" i="6"/>
  <c r="P441" i="6"/>
  <c r="O441" i="6"/>
  <c r="N441" i="6"/>
  <c r="H441" i="6"/>
  <c r="G441" i="6"/>
  <c r="S440" i="6"/>
  <c r="R440" i="6"/>
  <c r="Q440" i="6"/>
  <c r="P440" i="6"/>
  <c r="O440" i="6"/>
  <c r="N440" i="6"/>
  <c r="I440" i="6"/>
  <c r="H440" i="6"/>
  <c r="G440" i="6"/>
  <c r="S439" i="6"/>
  <c r="R439" i="6"/>
  <c r="Q439" i="6"/>
  <c r="P439" i="6"/>
  <c r="O439" i="6"/>
  <c r="N439" i="6"/>
  <c r="H439" i="6"/>
  <c r="G439" i="6"/>
  <c r="I439" i="6" s="1"/>
  <c r="S438" i="6"/>
  <c r="R438" i="6"/>
  <c r="Q438" i="6"/>
  <c r="P438" i="6"/>
  <c r="O438" i="6"/>
  <c r="N438" i="6"/>
  <c r="H438" i="6"/>
  <c r="I438" i="6" s="1"/>
  <c r="G438" i="6"/>
  <c r="S437" i="6"/>
  <c r="R437" i="6"/>
  <c r="Q437" i="6"/>
  <c r="P437" i="6"/>
  <c r="O437" i="6"/>
  <c r="N437" i="6"/>
  <c r="H437" i="6"/>
  <c r="G437" i="6"/>
  <c r="S436" i="6"/>
  <c r="R436" i="6"/>
  <c r="Q436" i="6"/>
  <c r="P436" i="6"/>
  <c r="O436" i="6"/>
  <c r="N436" i="6"/>
  <c r="I436" i="6"/>
  <c r="H436" i="6"/>
  <c r="G436" i="6"/>
  <c r="S435" i="6"/>
  <c r="R435" i="6"/>
  <c r="Q435" i="6"/>
  <c r="P435" i="6"/>
  <c r="O435" i="6"/>
  <c r="N435" i="6"/>
  <c r="H435" i="6"/>
  <c r="G435" i="6"/>
  <c r="I435" i="6" s="1"/>
  <c r="S434" i="6"/>
  <c r="R434" i="6"/>
  <c r="Q434" i="6"/>
  <c r="P434" i="6"/>
  <c r="O434" i="6"/>
  <c r="N434" i="6"/>
  <c r="I434" i="6"/>
  <c r="H434" i="6"/>
  <c r="G434" i="6"/>
  <c r="S433" i="6"/>
  <c r="R433" i="6"/>
  <c r="R444" i="6" s="1"/>
  <c r="Q433" i="6"/>
  <c r="P433" i="6"/>
  <c r="O433" i="6"/>
  <c r="N433" i="6"/>
  <c r="H433" i="6"/>
  <c r="I433" i="6" s="1"/>
  <c r="G433" i="6"/>
  <c r="M432" i="6"/>
  <c r="Q432" i="6" s="1"/>
  <c r="L432" i="6"/>
  <c r="K432" i="6"/>
  <c r="J432" i="6"/>
  <c r="I432" i="6"/>
  <c r="H432" i="6"/>
  <c r="F432" i="6"/>
  <c r="E432" i="6"/>
  <c r="G432" i="6" s="1"/>
  <c r="D432" i="6"/>
  <c r="A432" i="6"/>
  <c r="S431" i="6"/>
  <c r="R431" i="6"/>
  <c r="Q431" i="6"/>
  <c r="P431" i="6"/>
  <c r="O431" i="6"/>
  <c r="N431" i="6"/>
  <c r="I431" i="6"/>
  <c r="H431" i="6"/>
  <c r="G431" i="6"/>
  <c r="A431" i="6"/>
  <c r="S430" i="6"/>
  <c r="R430" i="6"/>
  <c r="Q430" i="6"/>
  <c r="P430" i="6"/>
  <c r="O430" i="6"/>
  <c r="N430" i="6"/>
  <c r="H430" i="6"/>
  <c r="G430" i="6"/>
  <c r="I430" i="6" s="1"/>
  <c r="S429" i="6"/>
  <c r="R429" i="6"/>
  <c r="Q429" i="6"/>
  <c r="P429" i="6"/>
  <c r="O429" i="6"/>
  <c r="N429" i="6"/>
  <c r="H429" i="6"/>
  <c r="G429" i="6"/>
  <c r="I429" i="6" s="1"/>
  <c r="S428" i="6"/>
  <c r="R428" i="6"/>
  <c r="Q428" i="6"/>
  <c r="P428" i="6"/>
  <c r="O428" i="6"/>
  <c r="N428" i="6"/>
  <c r="I428" i="6"/>
  <c r="H428" i="6"/>
  <c r="G428" i="6"/>
  <c r="S427" i="6"/>
  <c r="R427" i="6"/>
  <c r="Q427" i="6"/>
  <c r="P427" i="6"/>
  <c r="O427" i="6"/>
  <c r="N427" i="6"/>
  <c r="H427" i="6"/>
  <c r="I427" i="6" s="1"/>
  <c r="G427" i="6"/>
  <c r="S426" i="6"/>
  <c r="R426" i="6"/>
  <c r="Q426" i="6"/>
  <c r="P426" i="6"/>
  <c r="O426" i="6"/>
  <c r="N426" i="6"/>
  <c r="H426" i="6"/>
  <c r="G426" i="6"/>
  <c r="I426" i="6" s="1"/>
  <c r="S425" i="6"/>
  <c r="R425" i="6"/>
  <c r="Q425" i="6"/>
  <c r="P425" i="6"/>
  <c r="O425" i="6"/>
  <c r="N425" i="6"/>
  <c r="H425" i="6"/>
  <c r="G425" i="6"/>
  <c r="I425" i="6" s="1"/>
  <c r="S424" i="6"/>
  <c r="R424" i="6"/>
  <c r="Q424" i="6"/>
  <c r="P424" i="6"/>
  <c r="O424" i="6"/>
  <c r="N424" i="6"/>
  <c r="I424" i="6"/>
  <c r="H424" i="6"/>
  <c r="G424" i="6"/>
  <c r="S423" i="6"/>
  <c r="R423" i="6"/>
  <c r="Q423" i="6"/>
  <c r="P423" i="6"/>
  <c r="O423" i="6"/>
  <c r="N423" i="6"/>
  <c r="H423" i="6"/>
  <c r="I423" i="6" s="1"/>
  <c r="G423" i="6"/>
  <c r="S422" i="6"/>
  <c r="R422" i="6"/>
  <c r="Q422" i="6"/>
  <c r="P422" i="6"/>
  <c r="O422" i="6"/>
  <c r="N422" i="6"/>
  <c r="H422" i="6"/>
  <c r="I422" i="6" s="1"/>
  <c r="G422" i="6"/>
  <c r="S421" i="6"/>
  <c r="R421" i="6"/>
  <c r="Q421" i="6"/>
  <c r="P421" i="6"/>
  <c r="O421" i="6"/>
  <c r="N421" i="6"/>
  <c r="H421" i="6"/>
  <c r="G421" i="6"/>
  <c r="I421" i="6" s="1"/>
  <c r="S420" i="6"/>
  <c r="O420" i="6"/>
  <c r="N420" i="6"/>
  <c r="M420" i="6"/>
  <c r="Q420" i="6" s="1"/>
  <c r="L420" i="6"/>
  <c r="K420" i="6"/>
  <c r="J420" i="6"/>
  <c r="P420" i="6" s="1"/>
  <c r="I420" i="6"/>
  <c r="H420" i="6"/>
  <c r="G420" i="6"/>
  <c r="F420" i="6"/>
  <c r="E420" i="6"/>
  <c r="D420" i="6"/>
  <c r="A420" i="6"/>
  <c r="S419" i="6"/>
  <c r="R419" i="6"/>
  <c r="Q419" i="6"/>
  <c r="P419" i="6"/>
  <c r="O419" i="6"/>
  <c r="N419" i="6"/>
  <c r="I419" i="6"/>
  <c r="H419" i="6"/>
  <c r="G419" i="6"/>
  <c r="A419" i="6"/>
  <c r="S418" i="6"/>
  <c r="R418" i="6"/>
  <c r="Q418" i="6"/>
  <c r="P418" i="6"/>
  <c r="O418" i="6"/>
  <c r="N418" i="6"/>
  <c r="H418" i="6"/>
  <c r="I418" i="6" s="1"/>
  <c r="G418" i="6"/>
  <c r="S417" i="6"/>
  <c r="R417" i="6"/>
  <c r="Q417" i="6"/>
  <c r="P417" i="6"/>
  <c r="O417" i="6"/>
  <c r="N417" i="6"/>
  <c r="I417" i="6"/>
  <c r="H417" i="6"/>
  <c r="G417" i="6"/>
  <c r="S416" i="6"/>
  <c r="R416" i="6"/>
  <c r="Q416" i="6"/>
  <c r="P416" i="6"/>
  <c r="O416" i="6"/>
  <c r="N416" i="6"/>
  <c r="H416" i="6"/>
  <c r="G416" i="6"/>
  <c r="S415" i="6"/>
  <c r="R415" i="6"/>
  <c r="Q415" i="6"/>
  <c r="P415" i="6"/>
  <c r="O415" i="6"/>
  <c r="N415" i="6"/>
  <c r="I415" i="6"/>
  <c r="H415" i="6"/>
  <c r="G415" i="6"/>
  <c r="S414" i="6"/>
  <c r="R414" i="6"/>
  <c r="Q414" i="6"/>
  <c r="P414" i="6"/>
  <c r="O414" i="6"/>
  <c r="N414" i="6"/>
  <c r="H414" i="6"/>
  <c r="G414" i="6"/>
  <c r="S413" i="6"/>
  <c r="R413" i="6"/>
  <c r="Q413" i="6"/>
  <c r="P413" i="6"/>
  <c r="O413" i="6"/>
  <c r="N413" i="6"/>
  <c r="I413" i="6"/>
  <c r="H413" i="6"/>
  <c r="G413" i="6"/>
  <c r="S412" i="6"/>
  <c r="R412" i="6"/>
  <c r="Q412" i="6"/>
  <c r="P412" i="6"/>
  <c r="O412" i="6"/>
  <c r="N412" i="6"/>
  <c r="H412" i="6"/>
  <c r="G412" i="6"/>
  <c r="S411" i="6"/>
  <c r="R411" i="6"/>
  <c r="Q411" i="6"/>
  <c r="P411" i="6"/>
  <c r="O411" i="6"/>
  <c r="N411" i="6"/>
  <c r="I411" i="6"/>
  <c r="H411" i="6"/>
  <c r="G411" i="6"/>
  <c r="S410" i="6"/>
  <c r="R410" i="6"/>
  <c r="Q410" i="6"/>
  <c r="P410" i="6"/>
  <c r="O410" i="6"/>
  <c r="N410" i="6"/>
  <c r="H410" i="6"/>
  <c r="G410" i="6"/>
  <c r="S409" i="6"/>
  <c r="R409" i="6"/>
  <c r="Q409" i="6"/>
  <c r="P409" i="6"/>
  <c r="O409" i="6"/>
  <c r="N409" i="6"/>
  <c r="I409" i="6"/>
  <c r="H409" i="6"/>
  <c r="G409" i="6"/>
  <c r="S408" i="6"/>
  <c r="M408" i="6"/>
  <c r="L408" i="6"/>
  <c r="K408" i="6"/>
  <c r="J408" i="6"/>
  <c r="H408" i="6"/>
  <c r="G408" i="6"/>
  <c r="F408" i="6"/>
  <c r="E408" i="6"/>
  <c r="D408" i="6"/>
  <c r="P408" i="6" s="1"/>
  <c r="A408" i="6"/>
  <c r="S407" i="6"/>
  <c r="R407" i="6"/>
  <c r="Q407" i="6"/>
  <c r="P407" i="6"/>
  <c r="O407" i="6"/>
  <c r="N407" i="6"/>
  <c r="H407" i="6"/>
  <c r="I407" i="6" s="1"/>
  <c r="G407" i="6"/>
  <c r="A407" i="6"/>
  <c r="S406" i="6"/>
  <c r="R406" i="6"/>
  <c r="Q406" i="6"/>
  <c r="P406" i="6"/>
  <c r="O406" i="6"/>
  <c r="N406" i="6"/>
  <c r="H406" i="6"/>
  <c r="I406" i="6" s="1"/>
  <c r="G406" i="6"/>
  <c r="S405" i="6"/>
  <c r="R405" i="6"/>
  <c r="Q405" i="6"/>
  <c r="P405" i="6"/>
  <c r="O405" i="6"/>
  <c r="N405" i="6"/>
  <c r="I405" i="6"/>
  <c r="H405" i="6"/>
  <c r="G405" i="6"/>
  <c r="S404" i="6"/>
  <c r="R404" i="6"/>
  <c r="Q404" i="6"/>
  <c r="P404" i="6"/>
  <c r="O404" i="6"/>
  <c r="N404" i="6"/>
  <c r="H404" i="6"/>
  <c r="G404" i="6"/>
  <c r="I404" i="6" s="1"/>
  <c r="S403" i="6"/>
  <c r="R403" i="6"/>
  <c r="Q403" i="6"/>
  <c r="P403" i="6"/>
  <c r="O403" i="6"/>
  <c r="N403" i="6"/>
  <c r="I403" i="6"/>
  <c r="H403" i="6"/>
  <c r="G403" i="6"/>
  <c r="S402" i="6"/>
  <c r="R402" i="6"/>
  <c r="Q402" i="6"/>
  <c r="P402" i="6"/>
  <c r="O402" i="6"/>
  <c r="N402" i="6"/>
  <c r="H402" i="6"/>
  <c r="G402" i="6"/>
  <c r="S401" i="6"/>
  <c r="R401" i="6"/>
  <c r="Q401" i="6"/>
  <c r="P401" i="6"/>
  <c r="O401" i="6"/>
  <c r="N401" i="6"/>
  <c r="I401" i="6"/>
  <c r="H401" i="6"/>
  <c r="G401" i="6"/>
  <c r="S400" i="6"/>
  <c r="R400" i="6"/>
  <c r="Q400" i="6"/>
  <c r="P400" i="6"/>
  <c r="O400" i="6"/>
  <c r="N400" i="6"/>
  <c r="H400" i="6"/>
  <c r="G400" i="6"/>
  <c r="I400" i="6" s="1"/>
  <c r="S399" i="6"/>
  <c r="R399" i="6"/>
  <c r="Q399" i="6"/>
  <c r="P399" i="6"/>
  <c r="O399" i="6"/>
  <c r="N399" i="6"/>
  <c r="I399" i="6"/>
  <c r="H399" i="6"/>
  <c r="G399" i="6"/>
  <c r="S398" i="6"/>
  <c r="R398" i="6"/>
  <c r="Q398" i="6"/>
  <c r="P398" i="6"/>
  <c r="O398" i="6"/>
  <c r="N398" i="6"/>
  <c r="H398" i="6"/>
  <c r="I398" i="6" s="1"/>
  <c r="G398" i="6"/>
  <c r="S397" i="6"/>
  <c r="R397" i="6"/>
  <c r="R408" i="6" s="1"/>
  <c r="Q397" i="6"/>
  <c r="P397" i="6"/>
  <c r="O397" i="6"/>
  <c r="N397" i="6"/>
  <c r="I397" i="6"/>
  <c r="H397" i="6"/>
  <c r="G397" i="6"/>
  <c r="Q396" i="6"/>
  <c r="M396" i="6"/>
  <c r="O396" i="6" s="1"/>
  <c r="L396" i="6"/>
  <c r="S396" i="6" s="1"/>
  <c r="K396" i="6"/>
  <c r="J396" i="6"/>
  <c r="F396" i="6"/>
  <c r="G396" i="6" s="1"/>
  <c r="E396" i="6"/>
  <c r="D396" i="6"/>
  <c r="A396" i="6"/>
  <c r="S395" i="6"/>
  <c r="R395" i="6"/>
  <c r="Q395" i="6"/>
  <c r="P395" i="6"/>
  <c r="O395" i="6"/>
  <c r="N395" i="6"/>
  <c r="H395" i="6"/>
  <c r="I395" i="6" s="1"/>
  <c r="G395" i="6"/>
  <c r="A395" i="6"/>
  <c r="S394" i="6"/>
  <c r="R394" i="6"/>
  <c r="Q394" i="6"/>
  <c r="P394" i="6"/>
  <c r="O394" i="6"/>
  <c r="N394" i="6"/>
  <c r="H394" i="6"/>
  <c r="G394" i="6"/>
  <c r="I394" i="6" s="1"/>
  <c r="S393" i="6"/>
  <c r="R393" i="6"/>
  <c r="Q393" i="6"/>
  <c r="P393" i="6"/>
  <c r="O393" i="6"/>
  <c r="N393" i="6"/>
  <c r="I393" i="6"/>
  <c r="H393" i="6"/>
  <c r="G393" i="6"/>
  <c r="S392" i="6"/>
  <c r="R392" i="6"/>
  <c r="Q392" i="6"/>
  <c r="P392" i="6"/>
  <c r="O392" i="6"/>
  <c r="N392" i="6"/>
  <c r="H392" i="6"/>
  <c r="I392" i="6" s="1"/>
  <c r="G392" i="6"/>
  <c r="S391" i="6"/>
  <c r="R391" i="6"/>
  <c r="Q391" i="6"/>
  <c r="P391" i="6"/>
  <c r="O391" i="6"/>
  <c r="N391" i="6"/>
  <c r="I391" i="6"/>
  <c r="H391" i="6"/>
  <c r="G391" i="6"/>
  <c r="S390" i="6"/>
  <c r="R390" i="6"/>
  <c r="Q390" i="6"/>
  <c r="P390" i="6"/>
  <c r="O390" i="6"/>
  <c r="N390" i="6"/>
  <c r="H390" i="6"/>
  <c r="G390" i="6"/>
  <c r="I390" i="6" s="1"/>
  <c r="S389" i="6"/>
  <c r="R389" i="6"/>
  <c r="R396" i="6" s="1"/>
  <c r="Q389" i="6"/>
  <c r="P389" i="6"/>
  <c r="O389" i="6"/>
  <c r="N389" i="6"/>
  <c r="H389" i="6"/>
  <c r="I389" i="6" s="1"/>
  <c r="G389" i="6"/>
  <c r="S388" i="6"/>
  <c r="R388" i="6"/>
  <c r="Q388" i="6"/>
  <c r="P388" i="6"/>
  <c r="O388" i="6"/>
  <c r="N388" i="6"/>
  <c r="H388" i="6"/>
  <c r="I388" i="6" s="1"/>
  <c r="G388" i="6"/>
  <c r="S387" i="6"/>
  <c r="R387" i="6"/>
  <c r="Q387" i="6"/>
  <c r="P387" i="6"/>
  <c r="O387" i="6"/>
  <c r="N387" i="6"/>
  <c r="H387" i="6"/>
  <c r="I387" i="6" s="1"/>
  <c r="G387" i="6"/>
  <c r="S386" i="6"/>
  <c r="R386" i="6"/>
  <c r="Q386" i="6"/>
  <c r="P386" i="6"/>
  <c r="O386" i="6"/>
  <c r="N386" i="6"/>
  <c r="H386" i="6"/>
  <c r="G386" i="6"/>
  <c r="I386" i="6" s="1"/>
  <c r="S385" i="6"/>
  <c r="R385" i="6"/>
  <c r="Q385" i="6"/>
  <c r="P385" i="6"/>
  <c r="O385" i="6"/>
  <c r="N385" i="6"/>
  <c r="H385" i="6"/>
  <c r="I385" i="6" s="1"/>
  <c r="G385" i="6"/>
  <c r="Q384" i="6"/>
  <c r="P384" i="6"/>
  <c r="M384" i="6"/>
  <c r="O384" i="6" s="1"/>
  <c r="L384" i="6"/>
  <c r="K384" i="6"/>
  <c r="J384" i="6"/>
  <c r="F384" i="6"/>
  <c r="E384" i="6"/>
  <c r="D384" i="6"/>
  <c r="A384" i="6"/>
  <c r="S383" i="6"/>
  <c r="R383" i="6"/>
  <c r="Q383" i="6"/>
  <c r="P383" i="6"/>
  <c r="O383" i="6"/>
  <c r="N383" i="6"/>
  <c r="H383" i="6"/>
  <c r="I383" i="6" s="1"/>
  <c r="G383" i="6"/>
  <c r="A383" i="6"/>
  <c r="S382" i="6"/>
  <c r="R382" i="6"/>
  <c r="Q382" i="6"/>
  <c r="P382" i="6"/>
  <c r="O382" i="6"/>
  <c r="N382" i="6"/>
  <c r="I382" i="6"/>
  <c r="H382" i="6"/>
  <c r="G382" i="6"/>
  <c r="S381" i="6"/>
  <c r="R381" i="6"/>
  <c r="Q381" i="6"/>
  <c r="P381" i="6"/>
  <c r="O381" i="6"/>
  <c r="N381" i="6"/>
  <c r="H381" i="6"/>
  <c r="G381" i="6"/>
  <c r="S380" i="6"/>
  <c r="R380" i="6"/>
  <c r="Q380" i="6"/>
  <c r="P380" i="6"/>
  <c r="O380" i="6"/>
  <c r="N380" i="6"/>
  <c r="I380" i="6"/>
  <c r="H380" i="6"/>
  <c r="G380" i="6"/>
  <c r="S379" i="6"/>
  <c r="R379" i="6"/>
  <c r="Q379" i="6"/>
  <c r="P379" i="6"/>
  <c r="O379" i="6"/>
  <c r="N379" i="6"/>
  <c r="H379" i="6"/>
  <c r="I379" i="6" s="1"/>
  <c r="G379" i="6"/>
  <c r="S378" i="6"/>
  <c r="R378" i="6"/>
  <c r="Q378" i="6"/>
  <c r="P378" i="6"/>
  <c r="O378" i="6"/>
  <c r="N378" i="6"/>
  <c r="I378" i="6"/>
  <c r="H378" i="6"/>
  <c r="G378" i="6"/>
  <c r="S377" i="6"/>
  <c r="R377" i="6"/>
  <c r="Q377" i="6"/>
  <c r="P377" i="6"/>
  <c r="O377" i="6"/>
  <c r="N377" i="6"/>
  <c r="H377" i="6"/>
  <c r="G377" i="6"/>
  <c r="S376" i="6"/>
  <c r="R376" i="6"/>
  <c r="Q376" i="6"/>
  <c r="P376" i="6"/>
  <c r="O376" i="6"/>
  <c r="N376" i="6"/>
  <c r="I376" i="6"/>
  <c r="H376" i="6"/>
  <c r="G376" i="6"/>
  <c r="S375" i="6"/>
  <c r="R375" i="6"/>
  <c r="Q375" i="6"/>
  <c r="P375" i="6"/>
  <c r="O375" i="6"/>
  <c r="N375" i="6"/>
  <c r="H375" i="6"/>
  <c r="G375" i="6"/>
  <c r="S374" i="6"/>
  <c r="R374" i="6"/>
  <c r="Q374" i="6"/>
  <c r="P374" i="6"/>
  <c r="O374" i="6"/>
  <c r="N374" i="6"/>
  <c r="I374" i="6"/>
  <c r="H374" i="6"/>
  <c r="G374" i="6"/>
  <c r="S373" i="6"/>
  <c r="R373" i="6"/>
  <c r="Q373" i="6"/>
  <c r="P373" i="6"/>
  <c r="O373" i="6"/>
  <c r="N373" i="6"/>
  <c r="H373" i="6"/>
  <c r="I373" i="6" s="1"/>
  <c r="G373" i="6"/>
  <c r="M372" i="6"/>
  <c r="L372" i="6"/>
  <c r="K372" i="6"/>
  <c r="J372" i="6"/>
  <c r="F372" i="6"/>
  <c r="E372" i="6"/>
  <c r="D372" i="6"/>
  <c r="A372" i="6"/>
  <c r="S371" i="6"/>
  <c r="R371" i="6"/>
  <c r="Q371" i="6"/>
  <c r="P371" i="6"/>
  <c r="O371" i="6"/>
  <c r="N371" i="6"/>
  <c r="H371" i="6"/>
  <c r="G371" i="6"/>
  <c r="I371" i="6" s="1"/>
  <c r="A371" i="6"/>
  <c r="S370" i="6"/>
  <c r="R370" i="6"/>
  <c r="Q370" i="6"/>
  <c r="P370" i="6"/>
  <c r="O370" i="6"/>
  <c r="N370" i="6"/>
  <c r="I370" i="6"/>
  <c r="H370" i="6"/>
  <c r="G370" i="6"/>
  <c r="S369" i="6"/>
  <c r="R369" i="6"/>
  <c r="Q369" i="6"/>
  <c r="P369" i="6"/>
  <c r="O369" i="6"/>
  <c r="N369" i="6"/>
  <c r="H369" i="6"/>
  <c r="G369" i="6"/>
  <c r="I369" i="6" s="1"/>
  <c r="S368" i="6"/>
  <c r="R368" i="6"/>
  <c r="Q368" i="6"/>
  <c r="P368" i="6"/>
  <c r="O368" i="6"/>
  <c r="N368" i="6"/>
  <c r="I368" i="6"/>
  <c r="H368" i="6"/>
  <c r="G368" i="6"/>
  <c r="S367" i="6"/>
  <c r="R367" i="6"/>
  <c r="Q367" i="6"/>
  <c r="P367" i="6"/>
  <c r="O367" i="6"/>
  <c r="N367" i="6"/>
  <c r="H367" i="6"/>
  <c r="I367" i="6" s="1"/>
  <c r="G367" i="6"/>
  <c r="S366" i="6"/>
  <c r="R366" i="6"/>
  <c r="Q366" i="6"/>
  <c r="P366" i="6"/>
  <c r="O366" i="6"/>
  <c r="N366" i="6"/>
  <c r="H366" i="6"/>
  <c r="I366" i="6" s="1"/>
  <c r="G366" i="6"/>
  <c r="S365" i="6"/>
  <c r="R365" i="6"/>
  <c r="Q365" i="6"/>
  <c r="P365" i="6"/>
  <c r="O365" i="6"/>
  <c r="N365" i="6"/>
  <c r="H365" i="6"/>
  <c r="G365" i="6"/>
  <c r="I365" i="6" s="1"/>
  <c r="S364" i="6"/>
  <c r="R364" i="6"/>
  <c r="Q364" i="6"/>
  <c r="P364" i="6"/>
  <c r="O364" i="6"/>
  <c r="N364" i="6"/>
  <c r="H364" i="6"/>
  <c r="I364" i="6" s="1"/>
  <c r="G364" i="6"/>
  <c r="S363" i="6"/>
  <c r="R363" i="6"/>
  <c r="Q363" i="6"/>
  <c r="P363" i="6"/>
  <c r="O363" i="6"/>
  <c r="N363" i="6"/>
  <c r="H363" i="6"/>
  <c r="G363" i="6"/>
  <c r="S362" i="6"/>
  <c r="R362" i="6"/>
  <c r="Q362" i="6"/>
  <c r="P362" i="6"/>
  <c r="O362" i="6"/>
  <c r="N362" i="6"/>
  <c r="I362" i="6"/>
  <c r="H362" i="6"/>
  <c r="G362" i="6"/>
  <c r="S361" i="6"/>
  <c r="R361" i="6"/>
  <c r="Q361" i="6"/>
  <c r="P361" i="6"/>
  <c r="O361" i="6"/>
  <c r="N361" i="6"/>
  <c r="H361" i="6"/>
  <c r="G361" i="6"/>
  <c r="I361" i="6" s="1"/>
  <c r="U360" i="6"/>
  <c r="N360" i="6"/>
  <c r="M360" i="6"/>
  <c r="L360" i="6"/>
  <c r="K360" i="6"/>
  <c r="J360" i="6"/>
  <c r="S360" i="6" s="1"/>
  <c r="H360" i="6"/>
  <c r="I360" i="6" s="1"/>
  <c r="F360" i="6"/>
  <c r="E360" i="6"/>
  <c r="G360" i="6" s="1"/>
  <c r="D360" i="6"/>
  <c r="Q360" i="6" s="1"/>
  <c r="A360" i="6"/>
  <c r="S359" i="6"/>
  <c r="R359" i="6"/>
  <c r="Q359" i="6"/>
  <c r="P359" i="6"/>
  <c r="O359" i="6"/>
  <c r="N359" i="6"/>
  <c r="I359" i="6"/>
  <c r="H359" i="6"/>
  <c r="G359" i="6"/>
  <c r="A359" i="6"/>
  <c r="S358" i="6"/>
  <c r="R358" i="6"/>
  <c r="Q358" i="6"/>
  <c r="P358" i="6"/>
  <c r="O358" i="6"/>
  <c r="N358" i="6"/>
  <c r="H358" i="6"/>
  <c r="G358" i="6"/>
  <c r="I358" i="6" s="1"/>
  <c r="S357" i="6"/>
  <c r="R357" i="6"/>
  <c r="Q357" i="6"/>
  <c r="P357" i="6"/>
  <c r="O357" i="6"/>
  <c r="N357" i="6"/>
  <c r="H357" i="6"/>
  <c r="I357" i="6" s="1"/>
  <c r="G357" i="6"/>
  <c r="S356" i="6"/>
  <c r="R356" i="6"/>
  <c r="Q356" i="6"/>
  <c r="P356" i="6"/>
  <c r="O356" i="6"/>
  <c r="N356" i="6"/>
  <c r="I356" i="6"/>
  <c r="H356" i="6"/>
  <c r="G356" i="6"/>
  <c r="S355" i="6"/>
  <c r="R355" i="6"/>
  <c r="Q355" i="6"/>
  <c r="P355" i="6"/>
  <c r="O355" i="6"/>
  <c r="N355" i="6"/>
  <c r="H355" i="6"/>
  <c r="G355" i="6"/>
  <c r="I355" i="6" s="1"/>
  <c r="S354" i="6"/>
  <c r="R354" i="6"/>
  <c r="Q354" i="6"/>
  <c r="P354" i="6"/>
  <c r="O354" i="6"/>
  <c r="N354" i="6"/>
  <c r="H354" i="6"/>
  <c r="I354" i="6" s="1"/>
  <c r="G354" i="6"/>
  <c r="S353" i="6"/>
  <c r="R353" i="6"/>
  <c r="Q353" i="6"/>
  <c r="P353" i="6"/>
  <c r="O353" i="6"/>
  <c r="N353" i="6"/>
  <c r="H353" i="6"/>
  <c r="I353" i="6" s="1"/>
  <c r="G353" i="6"/>
  <c r="S352" i="6"/>
  <c r="R352" i="6"/>
  <c r="Q352" i="6"/>
  <c r="P352" i="6"/>
  <c r="O352" i="6"/>
  <c r="N352" i="6"/>
  <c r="H352" i="6"/>
  <c r="I352" i="6" s="1"/>
  <c r="G352" i="6"/>
  <c r="S351" i="6"/>
  <c r="R351" i="6"/>
  <c r="Q351" i="6"/>
  <c r="P351" i="6"/>
  <c r="O351" i="6"/>
  <c r="N351" i="6"/>
  <c r="H351" i="6"/>
  <c r="G351" i="6"/>
  <c r="I351" i="6" s="1"/>
  <c r="S350" i="6"/>
  <c r="R350" i="6"/>
  <c r="Q350" i="6"/>
  <c r="P350" i="6"/>
  <c r="O350" i="6"/>
  <c r="N350" i="6"/>
  <c r="H350" i="6"/>
  <c r="I350" i="6" s="1"/>
  <c r="G350" i="6"/>
  <c r="S349" i="6"/>
  <c r="R349" i="6"/>
  <c r="Q349" i="6"/>
  <c r="P349" i="6"/>
  <c r="O349" i="6"/>
  <c r="N349" i="6"/>
  <c r="H349" i="6"/>
  <c r="I349" i="6" s="1"/>
  <c r="G349" i="6"/>
  <c r="S348" i="6"/>
  <c r="M348" i="6"/>
  <c r="Q348" i="6" s="1"/>
  <c r="L348" i="6"/>
  <c r="K348" i="6"/>
  <c r="J348" i="6"/>
  <c r="I348" i="6"/>
  <c r="H348" i="6"/>
  <c r="G348" i="6"/>
  <c r="F348" i="6"/>
  <c r="E348" i="6"/>
  <c r="D348" i="6"/>
  <c r="P348" i="6" s="1"/>
  <c r="A348" i="6"/>
  <c r="S347" i="6"/>
  <c r="R347" i="6"/>
  <c r="Q347" i="6"/>
  <c r="P347" i="6"/>
  <c r="O347" i="6"/>
  <c r="N347" i="6"/>
  <c r="I347" i="6"/>
  <c r="H347" i="6"/>
  <c r="G347" i="6"/>
  <c r="A347" i="6"/>
  <c r="S346" i="6"/>
  <c r="R346" i="6"/>
  <c r="Q346" i="6"/>
  <c r="P346" i="6"/>
  <c r="O346" i="6"/>
  <c r="N346" i="6"/>
  <c r="H346" i="6"/>
  <c r="G346" i="6"/>
  <c r="S345" i="6"/>
  <c r="R345" i="6"/>
  <c r="Q345" i="6"/>
  <c r="P345" i="6"/>
  <c r="O345" i="6"/>
  <c r="N345" i="6"/>
  <c r="I345" i="6"/>
  <c r="H345" i="6"/>
  <c r="G345" i="6"/>
  <c r="S344" i="6"/>
  <c r="R344" i="6"/>
  <c r="Q344" i="6"/>
  <c r="P344" i="6"/>
  <c r="O344" i="6"/>
  <c r="N344" i="6"/>
  <c r="H344" i="6"/>
  <c r="G344" i="6"/>
  <c r="S343" i="6"/>
  <c r="R343" i="6"/>
  <c r="Q343" i="6"/>
  <c r="P343" i="6"/>
  <c r="O343" i="6"/>
  <c r="N343" i="6"/>
  <c r="I343" i="6"/>
  <c r="H343" i="6"/>
  <c r="G343" i="6"/>
  <c r="S342" i="6"/>
  <c r="R342" i="6"/>
  <c r="Q342" i="6"/>
  <c r="P342" i="6"/>
  <c r="O342" i="6"/>
  <c r="N342" i="6"/>
  <c r="H342" i="6"/>
  <c r="G342" i="6"/>
  <c r="S341" i="6"/>
  <c r="R341" i="6"/>
  <c r="Q341" i="6"/>
  <c r="P341" i="6"/>
  <c r="O341" i="6"/>
  <c r="N341" i="6"/>
  <c r="I341" i="6"/>
  <c r="H341" i="6"/>
  <c r="G341" i="6"/>
  <c r="S340" i="6"/>
  <c r="R340" i="6"/>
  <c r="Q340" i="6"/>
  <c r="P340" i="6"/>
  <c r="O340" i="6"/>
  <c r="N340" i="6"/>
  <c r="H340" i="6"/>
  <c r="I340" i="6" s="1"/>
  <c r="G340" i="6"/>
  <c r="S339" i="6"/>
  <c r="R339" i="6"/>
  <c r="Q339" i="6"/>
  <c r="P339" i="6"/>
  <c r="O339" i="6"/>
  <c r="N339" i="6"/>
  <c r="I339" i="6"/>
  <c r="H339" i="6"/>
  <c r="G339" i="6"/>
  <c r="S338" i="6"/>
  <c r="R338" i="6"/>
  <c r="Q338" i="6"/>
  <c r="P338" i="6"/>
  <c r="O338" i="6"/>
  <c r="N338" i="6"/>
  <c r="H338" i="6"/>
  <c r="G338" i="6"/>
  <c r="S337" i="6"/>
  <c r="R337" i="6"/>
  <c r="Q337" i="6"/>
  <c r="P337" i="6"/>
  <c r="O337" i="6"/>
  <c r="N337" i="6"/>
  <c r="H337" i="6"/>
  <c r="G337" i="6"/>
  <c r="I337" i="6" s="1"/>
  <c r="M336" i="6"/>
  <c r="L336" i="6"/>
  <c r="K336" i="6"/>
  <c r="J336" i="6"/>
  <c r="H336" i="6"/>
  <c r="I336" i="6" s="1"/>
  <c r="G336" i="6"/>
  <c r="F336" i="6"/>
  <c r="E336" i="6"/>
  <c r="D336" i="6"/>
  <c r="A336" i="6"/>
  <c r="S335" i="6"/>
  <c r="R335" i="6"/>
  <c r="Q335" i="6"/>
  <c r="P335" i="6"/>
  <c r="O335" i="6"/>
  <c r="N335" i="6"/>
  <c r="I335" i="6"/>
  <c r="H335" i="6"/>
  <c r="G335" i="6"/>
  <c r="A335" i="6"/>
  <c r="S334" i="6"/>
  <c r="R334" i="6"/>
  <c r="Q334" i="6"/>
  <c r="P334" i="6"/>
  <c r="O334" i="6"/>
  <c r="N334" i="6"/>
  <c r="I334" i="6"/>
  <c r="H334" i="6"/>
  <c r="G334" i="6"/>
  <c r="S333" i="6"/>
  <c r="R333" i="6"/>
  <c r="Q333" i="6"/>
  <c r="P333" i="6"/>
  <c r="O333" i="6"/>
  <c r="N333" i="6"/>
  <c r="H333" i="6"/>
  <c r="I333" i="6" s="1"/>
  <c r="G333" i="6"/>
  <c r="S332" i="6"/>
  <c r="R332" i="6"/>
  <c r="Q332" i="6"/>
  <c r="P332" i="6"/>
  <c r="O332" i="6"/>
  <c r="N332" i="6"/>
  <c r="H332" i="6"/>
  <c r="G332" i="6"/>
  <c r="S331" i="6"/>
  <c r="R331" i="6"/>
  <c r="Q331" i="6"/>
  <c r="P331" i="6"/>
  <c r="O331" i="6"/>
  <c r="N331" i="6"/>
  <c r="I331" i="6"/>
  <c r="H331" i="6"/>
  <c r="G331" i="6"/>
  <c r="S330" i="6"/>
  <c r="R330" i="6"/>
  <c r="Q330" i="6"/>
  <c r="P330" i="6"/>
  <c r="O330" i="6"/>
  <c r="N330" i="6"/>
  <c r="H330" i="6"/>
  <c r="G330" i="6"/>
  <c r="I330" i="6" s="1"/>
  <c r="S329" i="6"/>
  <c r="R329" i="6"/>
  <c r="Q329" i="6"/>
  <c r="P329" i="6"/>
  <c r="O329" i="6"/>
  <c r="N329" i="6"/>
  <c r="I329" i="6"/>
  <c r="H329" i="6"/>
  <c r="G329" i="6"/>
  <c r="S328" i="6"/>
  <c r="R328" i="6"/>
  <c r="Q328" i="6"/>
  <c r="P328" i="6"/>
  <c r="O328" i="6"/>
  <c r="N328" i="6"/>
  <c r="H328" i="6"/>
  <c r="I328" i="6" s="1"/>
  <c r="G328" i="6"/>
  <c r="S327" i="6"/>
  <c r="R327" i="6"/>
  <c r="R336" i="6" s="1"/>
  <c r="Q327" i="6"/>
  <c r="P327" i="6"/>
  <c r="O327" i="6"/>
  <c r="N327" i="6"/>
  <c r="I327" i="6"/>
  <c r="H327" i="6"/>
  <c r="G327" i="6"/>
  <c r="S326" i="6"/>
  <c r="R326" i="6"/>
  <c r="Q326" i="6"/>
  <c r="P326" i="6"/>
  <c r="O326" i="6"/>
  <c r="N326" i="6"/>
  <c r="H326" i="6"/>
  <c r="G326" i="6"/>
  <c r="I326" i="6" s="1"/>
  <c r="S325" i="6"/>
  <c r="R325" i="6"/>
  <c r="Q325" i="6"/>
  <c r="P325" i="6"/>
  <c r="O325" i="6"/>
  <c r="N325" i="6"/>
  <c r="H325" i="6"/>
  <c r="I325" i="6" s="1"/>
  <c r="G325" i="6"/>
  <c r="U324" i="6"/>
  <c r="S324" i="6"/>
  <c r="Q324" i="6"/>
  <c r="M324" i="6"/>
  <c r="L324" i="6"/>
  <c r="K324" i="6"/>
  <c r="J324" i="6"/>
  <c r="F324" i="6"/>
  <c r="E324" i="6"/>
  <c r="G324" i="6" s="1"/>
  <c r="D324" i="6"/>
  <c r="A324" i="6"/>
  <c r="S323" i="6"/>
  <c r="R323" i="6"/>
  <c r="Q323" i="6"/>
  <c r="P323" i="6"/>
  <c r="O323" i="6"/>
  <c r="N323" i="6"/>
  <c r="H323" i="6"/>
  <c r="G323" i="6"/>
  <c r="A323" i="6"/>
  <c r="S322" i="6"/>
  <c r="R322" i="6"/>
  <c r="Q322" i="6"/>
  <c r="P322" i="6"/>
  <c r="O322" i="6"/>
  <c r="N322" i="6"/>
  <c r="H322" i="6"/>
  <c r="I322" i="6" s="1"/>
  <c r="G322" i="6"/>
  <c r="S321" i="6"/>
  <c r="R321" i="6"/>
  <c r="Q321" i="6"/>
  <c r="P321" i="6"/>
  <c r="O321" i="6"/>
  <c r="N321" i="6"/>
  <c r="H321" i="6"/>
  <c r="I321" i="6" s="1"/>
  <c r="G321" i="6"/>
  <c r="S320" i="6"/>
  <c r="R320" i="6"/>
  <c r="Q320" i="6"/>
  <c r="P320" i="6"/>
  <c r="O320" i="6"/>
  <c r="N320" i="6"/>
  <c r="H320" i="6"/>
  <c r="I320" i="6" s="1"/>
  <c r="G320" i="6"/>
  <c r="S319" i="6"/>
  <c r="R319" i="6"/>
  <c r="Q319" i="6"/>
  <c r="P319" i="6"/>
  <c r="O319" i="6"/>
  <c r="N319" i="6"/>
  <c r="H319" i="6"/>
  <c r="I319" i="6" s="1"/>
  <c r="G319" i="6"/>
  <c r="S318" i="6"/>
  <c r="R318" i="6"/>
  <c r="Q318" i="6"/>
  <c r="P318" i="6"/>
  <c r="O318" i="6"/>
  <c r="N318" i="6"/>
  <c r="H318" i="6"/>
  <c r="I318" i="6" s="1"/>
  <c r="G318" i="6"/>
  <c r="S317" i="6"/>
  <c r="R317" i="6"/>
  <c r="Q317" i="6"/>
  <c r="P317" i="6"/>
  <c r="O317" i="6"/>
  <c r="N317" i="6"/>
  <c r="H317" i="6"/>
  <c r="I317" i="6" s="1"/>
  <c r="G317" i="6"/>
  <c r="S316" i="6"/>
  <c r="R316" i="6"/>
  <c r="R324" i="6" s="1"/>
  <c r="Q316" i="6"/>
  <c r="P316" i="6"/>
  <c r="O316" i="6"/>
  <c r="N316" i="6"/>
  <c r="H316" i="6"/>
  <c r="I316" i="6" s="1"/>
  <c r="G316" i="6"/>
  <c r="S315" i="6"/>
  <c r="R315" i="6"/>
  <c r="Q315" i="6"/>
  <c r="P315" i="6"/>
  <c r="O315" i="6"/>
  <c r="N315" i="6"/>
  <c r="I315" i="6"/>
  <c r="H315" i="6"/>
  <c r="G315" i="6"/>
  <c r="S314" i="6"/>
  <c r="R314" i="6"/>
  <c r="Q314" i="6"/>
  <c r="P314" i="6"/>
  <c r="O314" i="6"/>
  <c r="N314" i="6"/>
  <c r="H314" i="6"/>
  <c r="I314" i="6" s="1"/>
  <c r="G314" i="6"/>
  <c r="S313" i="6"/>
  <c r="R313" i="6"/>
  <c r="Q313" i="6"/>
  <c r="P313" i="6"/>
  <c r="O313" i="6"/>
  <c r="N313" i="6"/>
  <c r="H313" i="6"/>
  <c r="I313" i="6" s="1"/>
  <c r="G313" i="6"/>
  <c r="R312" i="6"/>
  <c r="Q312" i="6"/>
  <c r="P312" i="6"/>
  <c r="M312" i="6"/>
  <c r="O312" i="6" s="1"/>
  <c r="L312" i="6"/>
  <c r="K312" i="6"/>
  <c r="J312" i="6"/>
  <c r="F312" i="6"/>
  <c r="E312" i="6"/>
  <c r="D312" i="6"/>
  <c r="H312" i="6" s="1"/>
  <c r="A312" i="6"/>
  <c r="S311" i="6"/>
  <c r="R311" i="6"/>
  <c r="Q311" i="6"/>
  <c r="P311" i="6"/>
  <c r="O311" i="6"/>
  <c r="N311" i="6"/>
  <c r="I311" i="6"/>
  <c r="H311" i="6"/>
  <c r="G311" i="6"/>
  <c r="A311" i="6"/>
  <c r="S310" i="6"/>
  <c r="R310" i="6"/>
  <c r="Q310" i="6"/>
  <c r="P310" i="6"/>
  <c r="O310" i="6"/>
  <c r="N310" i="6"/>
  <c r="H310" i="6"/>
  <c r="G310" i="6"/>
  <c r="I310" i="6" s="1"/>
  <c r="S309" i="6"/>
  <c r="R309" i="6"/>
  <c r="Q309" i="6"/>
  <c r="P309" i="6"/>
  <c r="O309" i="6"/>
  <c r="N309" i="6"/>
  <c r="H309" i="6"/>
  <c r="G309" i="6"/>
  <c r="S308" i="6"/>
  <c r="R308" i="6"/>
  <c r="Q308" i="6"/>
  <c r="P308" i="6"/>
  <c r="O308" i="6"/>
  <c r="N308" i="6"/>
  <c r="I308" i="6"/>
  <c r="H308" i="6"/>
  <c r="G308" i="6"/>
  <c r="S307" i="6"/>
  <c r="R307" i="6"/>
  <c r="Q307" i="6"/>
  <c r="P307" i="6"/>
  <c r="O307" i="6"/>
  <c r="N307" i="6"/>
  <c r="H307" i="6"/>
  <c r="I307" i="6" s="1"/>
  <c r="G307" i="6"/>
  <c r="S306" i="6"/>
  <c r="R306" i="6"/>
  <c r="Q306" i="6"/>
  <c r="P306" i="6"/>
  <c r="O306" i="6"/>
  <c r="N306" i="6"/>
  <c r="I306" i="6"/>
  <c r="H306" i="6"/>
  <c r="G306" i="6"/>
  <c r="S305" i="6"/>
  <c r="R305" i="6"/>
  <c r="Q305" i="6"/>
  <c r="P305" i="6"/>
  <c r="O305" i="6"/>
  <c r="N305" i="6"/>
  <c r="H305" i="6"/>
  <c r="G305" i="6"/>
  <c r="S304" i="6"/>
  <c r="R304" i="6"/>
  <c r="Q304" i="6"/>
  <c r="P304" i="6"/>
  <c r="O304" i="6"/>
  <c r="N304" i="6"/>
  <c r="I304" i="6"/>
  <c r="H304" i="6"/>
  <c r="G304" i="6"/>
  <c r="S303" i="6"/>
  <c r="R303" i="6"/>
  <c r="Q303" i="6"/>
  <c r="P303" i="6"/>
  <c r="O303" i="6"/>
  <c r="N303" i="6"/>
  <c r="H303" i="6"/>
  <c r="I303" i="6" s="1"/>
  <c r="G303" i="6"/>
  <c r="S302" i="6"/>
  <c r="R302" i="6"/>
  <c r="Q302" i="6"/>
  <c r="P302" i="6"/>
  <c r="O302" i="6"/>
  <c r="N302" i="6"/>
  <c r="H302" i="6"/>
  <c r="G302" i="6"/>
  <c r="I302" i="6" s="1"/>
  <c r="S301" i="6"/>
  <c r="R301" i="6"/>
  <c r="Q301" i="6"/>
  <c r="P301" i="6"/>
  <c r="O301" i="6"/>
  <c r="N301" i="6"/>
  <c r="H301" i="6"/>
  <c r="I301" i="6" s="1"/>
  <c r="G301" i="6"/>
  <c r="S300" i="6"/>
  <c r="Q300" i="6"/>
  <c r="P300" i="6"/>
  <c r="O300" i="6"/>
  <c r="M300" i="6"/>
  <c r="L300" i="6"/>
  <c r="K300" i="6"/>
  <c r="J300" i="6"/>
  <c r="N300" i="6" s="1"/>
  <c r="F300" i="6"/>
  <c r="E300" i="6"/>
  <c r="G300" i="6" s="1"/>
  <c r="D300" i="6"/>
  <c r="A300" i="6"/>
  <c r="S299" i="6"/>
  <c r="R299" i="6"/>
  <c r="Q299" i="6"/>
  <c r="P299" i="6"/>
  <c r="O299" i="6"/>
  <c r="N299" i="6"/>
  <c r="H299" i="6"/>
  <c r="I299" i="6" s="1"/>
  <c r="G299" i="6"/>
  <c r="A299" i="6"/>
  <c r="S298" i="6"/>
  <c r="R298" i="6"/>
  <c r="Q298" i="6"/>
  <c r="P298" i="6"/>
  <c r="O298" i="6"/>
  <c r="N298" i="6"/>
  <c r="H298" i="6"/>
  <c r="I298" i="6" s="1"/>
  <c r="G298" i="6"/>
  <c r="S297" i="6"/>
  <c r="R297" i="6"/>
  <c r="Q297" i="6"/>
  <c r="P297" i="6"/>
  <c r="O297" i="6"/>
  <c r="N297" i="6"/>
  <c r="H297" i="6"/>
  <c r="I297" i="6" s="1"/>
  <c r="G297" i="6"/>
  <c r="S296" i="6"/>
  <c r="R296" i="6"/>
  <c r="Q296" i="6"/>
  <c r="P296" i="6"/>
  <c r="O296" i="6"/>
  <c r="N296" i="6"/>
  <c r="H296" i="6"/>
  <c r="I296" i="6" s="1"/>
  <c r="G296" i="6"/>
  <c r="S295" i="6"/>
  <c r="R295" i="6"/>
  <c r="Q295" i="6"/>
  <c r="P295" i="6"/>
  <c r="O295" i="6"/>
  <c r="N295" i="6"/>
  <c r="H295" i="6"/>
  <c r="G295" i="6"/>
  <c r="I295" i="6" s="1"/>
  <c r="S294" i="6"/>
  <c r="R294" i="6"/>
  <c r="Q294" i="6"/>
  <c r="P294" i="6"/>
  <c r="O294" i="6"/>
  <c r="N294" i="6"/>
  <c r="I294" i="6"/>
  <c r="H294" i="6"/>
  <c r="G294" i="6"/>
  <c r="S293" i="6"/>
  <c r="R293" i="6"/>
  <c r="Q293" i="6"/>
  <c r="P293" i="6"/>
  <c r="O293" i="6"/>
  <c r="N293" i="6"/>
  <c r="H293" i="6"/>
  <c r="G293" i="6"/>
  <c r="S292" i="6"/>
  <c r="R292" i="6"/>
  <c r="Q292" i="6"/>
  <c r="P292" i="6"/>
  <c r="O292" i="6"/>
  <c r="N292" i="6"/>
  <c r="I292" i="6"/>
  <c r="H292" i="6"/>
  <c r="G292" i="6"/>
  <c r="S291" i="6"/>
  <c r="R291" i="6"/>
  <c r="Q291" i="6"/>
  <c r="P291" i="6"/>
  <c r="O291" i="6"/>
  <c r="N291" i="6"/>
  <c r="I291" i="6"/>
  <c r="H291" i="6"/>
  <c r="G291" i="6"/>
  <c r="S290" i="6"/>
  <c r="R290" i="6"/>
  <c r="Q290" i="6"/>
  <c r="P290" i="6"/>
  <c r="O290" i="6"/>
  <c r="N290" i="6"/>
  <c r="I290" i="6"/>
  <c r="H290" i="6"/>
  <c r="G290" i="6"/>
  <c r="S289" i="6"/>
  <c r="R289" i="6"/>
  <c r="Q289" i="6"/>
  <c r="P289" i="6"/>
  <c r="O289" i="6"/>
  <c r="N289" i="6"/>
  <c r="H289" i="6"/>
  <c r="G289" i="6"/>
  <c r="M288" i="6"/>
  <c r="L288" i="6"/>
  <c r="K288" i="6"/>
  <c r="J288" i="6"/>
  <c r="H288" i="6"/>
  <c r="F288" i="6"/>
  <c r="E288" i="6"/>
  <c r="D288" i="6"/>
  <c r="A288" i="6"/>
  <c r="S287" i="6"/>
  <c r="R287" i="6"/>
  <c r="Q287" i="6"/>
  <c r="P287" i="6"/>
  <c r="O287" i="6"/>
  <c r="N287" i="6"/>
  <c r="I287" i="6"/>
  <c r="H287" i="6"/>
  <c r="G287" i="6"/>
  <c r="A287" i="6"/>
  <c r="S286" i="6"/>
  <c r="R286" i="6"/>
  <c r="Q286" i="6"/>
  <c r="P286" i="6"/>
  <c r="O286" i="6"/>
  <c r="N286" i="6"/>
  <c r="H286" i="6"/>
  <c r="G286" i="6"/>
  <c r="S285" i="6"/>
  <c r="R285" i="6"/>
  <c r="Q285" i="6"/>
  <c r="P285" i="6"/>
  <c r="O285" i="6"/>
  <c r="N285" i="6"/>
  <c r="H285" i="6"/>
  <c r="I285" i="6" s="1"/>
  <c r="G285" i="6"/>
  <c r="S284" i="6"/>
  <c r="R284" i="6"/>
  <c r="Q284" i="6"/>
  <c r="P284" i="6"/>
  <c r="O284" i="6"/>
  <c r="N284" i="6"/>
  <c r="I284" i="6"/>
  <c r="H284" i="6"/>
  <c r="G284" i="6"/>
  <c r="S283" i="6"/>
  <c r="R283" i="6"/>
  <c r="Q283" i="6"/>
  <c r="P283" i="6"/>
  <c r="O283" i="6"/>
  <c r="N283" i="6"/>
  <c r="H283" i="6"/>
  <c r="I283" i="6" s="1"/>
  <c r="G283" i="6"/>
  <c r="S282" i="6"/>
  <c r="R282" i="6"/>
  <c r="Q282" i="6"/>
  <c r="P282" i="6"/>
  <c r="O282" i="6"/>
  <c r="N282" i="6"/>
  <c r="H282" i="6"/>
  <c r="I282" i="6" s="1"/>
  <c r="G282" i="6"/>
  <c r="S281" i="6"/>
  <c r="R281" i="6"/>
  <c r="Q281" i="6"/>
  <c r="P281" i="6"/>
  <c r="O281" i="6"/>
  <c r="N281" i="6"/>
  <c r="H281" i="6"/>
  <c r="G281" i="6"/>
  <c r="S280" i="6"/>
  <c r="R280" i="6"/>
  <c r="Q280" i="6"/>
  <c r="P280" i="6"/>
  <c r="O280" i="6"/>
  <c r="N280" i="6"/>
  <c r="H280" i="6"/>
  <c r="I280" i="6" s="1"/>
  <c r="G280" i="6"/>
  <c r="S279" i="6"/>
  <c r="R279" i="6"/>
  <c r="Q279" i="6"/>
  <c r="P279" i="6"/>
  <c r="O279" i="6"/>
  <c r="N279" i="6"/>
  <c r="H279" i="6"/>
  <c r="I279" i="6" s="1"/>
  <c r="G279" i="6"/>
  <c r="S278" i="6"/>
  <c r="R278" i="6"/>
  <c r="Q278" i="6"/>
  <c r="P278" i="6"/>
  <c r="O278" i="6"/>
  <c r="N278" i="6"/>
  <c r="I278" i="6"/>
  <c r="H278" i="6"/>
  <c r="G278" i="6"/>
  <c r="S277" i="6"/>
  <c r="R277" i="6"/>
  <c r="Q277" i="6"/>
  <c r="P277" i="6"/>
  <c r="O277" i="6"/>
  <c r="N277" i="6"/>
  <c r="H277" i="6"/>
  <c r="I277" i="6" s="1"/>
  <c r="G277" i="6"/>
  <c r="M276" i="6"/>
  <c r="L276" i="6"/>
  <c r="K276" i="6"/>
  <c r="J276" i="6"/>
  <c r="I276" i="6"/>
  <c r="H276" i="6"/>
  <c r="G276" i="6"/>
  <c r="F276" i="6"/>
  <c r="E276" i="6"/>
  <c r="D276" i="6"/>
  <c r="A276" i="6"/>
  <c r="S275" i="6"/>
  <c r="R275" i="6"/>
  <c r="Q275" i="6"/>
  <c r="P275" i="6"/>
  <c r="O275" i="6"/>
  <c r="N275" i="6"/>
  <c r="I275" i="6"/>
  <c r="H275" i="6"/>
  <c r="G275" i="6"/>
  <c r="A275" i="6"/>
  <c r="S274" i="6"/>
  <c r="R274" i="6"/>
  <c r="Q274" i="6"/>
  <c r="P274" i="6"/>
  <c r="O274" i="6"/>
  <c r="N274" i="6"/>
  <c r="I274" i="6"/>
  <c r="H274" i="6"/>
  <c r="G274" i="6"/>
  <c r="S273" i="6"/>
  <c r="R273" i="6"/>
  <c r="Q273" i="6"/>
  <c r="P273" i="6"/>
  <c r="O273" i="6"/>
  <c r="N273" i="6"/>
  <c r="I273" i="6"/>
  <c r="H273" i="6"/>
  <c r="G273" i="6"/>
  <c r="S272" i="6"/>
  <c r="R272" i="6"/>
  <c r="Q272" i="6"/>
  <c r="P272" i="6"/>
  <c r="O272" i="6"/>
  <c r="N272" i="6"/>
  <c r="H272" i="6"/>
  <c r="G272" i="6"/>
  <c r="S271" i="6"/>
  <c r="R271" i="6"/>
  <c r="Q271" i="6"/>
  <c r="P271" i="6"/>
  <c r="O271" i="6"/>
  <c r="N271" i="6"/>
  <c r="I271" i="6"/>
  <c r="H271" i="6"/>
  <c r="G271" i="6"/>
  <c r="S270" i="6"/>
  <c r="R270" i="6"/>
  <c r="Q270" i="6"/>
  <c r="P270" i="6"/>
  <c r="O270" i="6"/>
  <c r="N270" i="6"/>
  <c r="H270" i="6"/>
  <c r="I270" i="6" s="1"/>
  <c r="G270" i="6"/>
  <c r="S269" i="6"/>
  <c r="R269" i="6"/>
  <c r="Q269" i="6"/>
  <c r="P269" i="6"/>
  <c r="O269" i="6"/>
  <c r="N269" i="6"/>
  <c r="I269" i="6"/>
  <c r="H269" i="6"/>
  <c r="G269" i="6"/>
  <c r="S268" i="6"/>
  <c r="R268" i="6"/>
  <c r="Q268" i="6"/>
  <c r="P268" i="6"/>
  <c r="O268" i="6"/>
  <c r="N268" i="6"/>
  <c r="H268" i="6"/>
  <c r="I268" i="6" s="1"/>
  <c r="G268" i="6"/>
  <c r="S267" i="6"/>
  <c r="R267" i="6"/>
  <c r="Q267" i="6"/>
  <c r="P267" i="6"/>
  <c r="O267" i="6"/>
  <c r="N267" i="6"/>
  <c r="I267" i="6"/>
  <c r="H267" i="6"/>
  <c r="G267" i="6"/>
  <c r="S266" i="6"/>
  <c r="R266" i="6"/>
  <c r="Q266" i="6"/>
  <c r="P266" i="6"/>
  <c r="O266" i="6"/>
  <c r="N266" i="6"/>
  <c r="I266" i="6"/>
  <c r="H266" i="6"/>
  <c r="G266" i="6"/>
  <c r="S265" i="6"/>
  <c r="R265" i="6"/>
  <c r="Q265" i="6"/>
  <c r="P265" i="6"/>
  <c r="O265" i="6"/>
  <c r="N265" i="6"/>
  <c r="I265" i="6"/>
  <c r="H265" i="6"/>
  <c r="G265" i="6"/>
  <c r="U264" i="6"/>
  <c r="S264" i="6"/>
  <c r="M264" i="6"/>
  <c r="L264" i="6"/>
  <c r="K264" i="6"/>
  <c r="J264" i="6"/>
  <c r="P264" i="6" s="1"/>
  <c r="H264" i="6"/>
  <c r="G264" i="6"/>
  <c r="F264" i="6"/>
  <c r="E264" i="6"/>
  <c r="D264" i="6"/>
  <c r="A264" i="6"/>
  <c r="S263" i="6"/>
  <c r="R263" i="6"/>
  <c r="Q263" i="6"/>
  <c r="P263" i="6"/>
  <c r="O263" i="6"/>
  <c r="N263" i="6"/>
  <c r="H263" i="6"/>
  <c r="G263" i="6"/>
  <c r="A263" i="6"/>
  <c r="S262" i="6"/>
  <c r="R262" i="6"/>
  <c r="Q262" i="6"/>
  <c r="P262" i="6"/>
  <c r="O262" i="6"/>
  <c r="N262" i="6"/>
  <c r="H262" i="6"/>
  <c r="G262" i="6"/>
  <c r="I262" i="6" s="1"/>
  <c r="S261" i="6"/>
  <c r="R261" i="6"/>
  <c r="Q261" i="6"/>
  <c r="P261" i="6"/>
  <c r="O261" i="6"/>
  <c r="N261" i="6"/>
  <c r="I261" i="6"/>
  <c r="H261" i="6"/>
  <c r="G261" i="6"/>
  <c r="S260" i="6"/>
  <c r="R260" i="6"/>
  <c r="Q260" i="6"/>
  <c r="P260" i="6"/>
  <c r="O260" i="6"/>
  <c r="N260" i="6"/>
  <c r="I260" i="6"/>
  <c r="H260" i="6"/>
  <c r="G260" i="6"/>
  <c r="S259" i="6"/>
  <c r="R259" i="6"/>
  <c r="Q259" i="6"/>
  <c r="P259" i="6"/>
  <c r="O259" i="6"/>
  <c r="N259" i="6"/>
  <c r="H259" i="6"/>
  <c r="G259" i="6"/>
  <c r="S258" i="6"/>
  <c r="R258" i="6"/>
  <c r="Q258" i="6"/>
  <c r="P258" i="6"/>
  <c r="O258" i="6"/>
  <c r="N258" i="6"/>
  <c r="H258" i="6"/>
  <c r="G258" i="6"/>
  <c r="I258" i="6" s="1"/>
  <c r="S257" i="6"/>
  <c r="R257" i="6"/>
  <c r="Q257" i="6"/>
  <c r="P257" i="6"/>
  <c r="O257" i="6"/>
  <c r="N257" i="6"/>
  <c r="I257" i="6"/>
  <c r="H257" i="6"/>
  <c r="G257" i="6"/>
  <c r="S256" i="6"/>
  <c r="R256" i="6"/>
  <c r="Q256" i="6"/>
  <c r="P256" i="6"/>
  <c r="O256" i="6"/>
  <c r="N256" i="6"/>
  <c r="I256" i="6"/>
  <c r="H256" i="6"/>
  <c r="G256" i="6"/>
  <c r="S255" i="6"/>
  <c r="R255" i="6"/>
  <c r="Q255" i="6"/>
  <c r="P255" i="6"/>
  <c r="O255" i="6"/>
  <c r="N255" i="6"/>
  <c r="H255" i="6"/>
  <c r="G255" i="6"/>
  <c r="S254" i="6"/>
  <c r="R254" i="6"/>
  <c r="Q254" i="6"/>
  <c r="P254" i="6"/>
  <c r="O254" i="6"/>
  <c r="N254" i="6"/>
  <c r="H254" i="6"/>
  <c r="G254" i="6"/>
  <c r="I254" i="6" s="1"/>
  <c r="S253" i="6"/>
  <c r="R253" i="6"/>
  <c r="Q253" i="6"/>
  <c r="P253" i="6"/>
  <c r="O253" i="6"/>
  <c r="N253" i="6"/>
  <c r="I253" i="6"/>
  <c r="H253" i="6"/>
  <c r="G253" i="6"/>
  <c r="S252" i="6"/>
  <c r="O252" i="6"/>
  <c r="N252" i="6"/>
  <c r="M252" i="6"/>
  <c r="L252" i="6"/>
  <c r="K252" i="6"/>
  <c r="J252" i="6"/>
  <c r="G252" i="6"/>
  <c r="F252" i="6"/>
  <c r="E252" i="6"/>
  <c r="D252" i="6"/>
  <c r="Q252" i="6" s="1"/>
  <c r="A252" i="6"/>
  <c r="S251" i="6"/>
  <c r="R251" i="6"/>
  <c r="Q251" i="6"/>
  <c r="P251" i="6"/>
  <c r="O251" i="6"/>
  <c r="N251" i="6"/>
  <c r="H251" i="6"/>
  <c r="G251" i="6"/>
  <c r="A251" i="6"/>
  <c r="S250" i="6"/>
  <c r="R250" i="6"/>
  <c r="Q250" i="6"/>
  <c r="P250" i="6"/>
  <c r="O250" i="6"/>
  <c r="N250" i="6"/>
  <c r="H250" i="6"/>
  <c r="I250" i="6" s="1"/>
  <c r="G250" i="6"/>
  <c r="S249" i="6"/>
  <c r="R249" i="6"/>
  <c r="Q249" i="6"/>
  <c r="P249" i="6"/>
  <c r="O249" i="6"/>
  <c r="N249" i="6"/>
  <c r="H249" i="6"/>
  <c r="I249" i="6" s="1"/>
  <c r="G249" i="6"/>
  <c r="S248" i="6"/>
  <c r="R248" i="6"/>
  <c r="Q248" i="6"/>
  <c r="P248" i="6"/>
  <c r="O248" i="6"/>
  <c r="N248" i="6"/>
  <c r="I248" i="6"/>
  <c r="H248" i="6"/>
  <c r="G248" i="6"/>
  <c r="S247" i="6"/>
  <c r="R247" i="6"/>
  <c r="Q247" i="6"/>
  <c r="P247" i="6"/>
  <c r="O247" i="6"/>
  <c r="N247" i="6"/>
  <c r="I247" i="6"/>
  <c r="H247" i="6"/>
  <c r="G247" i="6"/>
  <c r="S246" i="6"/>
  <c r="R246" i="6"/>
  <c r="Q246" i="6"/>
  <c r="P246" i="6"/>
  <c r="O246" i="6"/>
  <c r="N246" i="6"/>
  <c r="H246" i="6"/>
  <c r="I246" i="6" s="1"/>
  <c r="G246" i="6"/>
  <c r="S245" i="6"/>
  <c r="R245" i="6"/>
  <c r="Q245" i="6"/>
  <c r="P245" i="6"/>
  <c r="O245" i="6"/>
  <c r="N245" i="6"/>
  <c r="H245" i="6"/>
  <c r="I245" i="6" s="1"/>
  <c r="G245" i="6"/>
  <c r="S244" i="6"/>
  <c r="R244" i="6"/>
  <c r="Q244" i="6"/>
  <c r="P244" i="6"/>
  <c r="O244" i="6"/>
  <c r="N244" i="6"/>
  <c r="I244" i="6"/>
  <c r="H244" i="6"/>
  <c r="G244" i="6"/>
  <c r="S243" i="6"/>
  <c r="R243" i="6"/>
  <c r="Q243" i="6"/>
  <c r="P243" i="6"/>
  <c r="O243" i="6"/>
  <c r="N243" i="6"/>
  <c r="H243" i="6"/>
  <c r="I243" i="6" s="1"/>
  <c r="G243" i="6"/>
  <c r="S242" i="6"/>
  <c r="R242" i="6"/>
  <c r="Q242" i="6"/>
  <c r="P242" i="6"/>
  <c r="O242" i="6"/>
  <c r="N242" i="6"/>
  <c r="H242" i="6"/>
  <c r="I242" i="6" s="1"/>
  <c r="G242" i="6"/>
  <c r="S241" i="6"/>
  <c r="R241" i="6"/>
  <c r="Q241" i="6"/>
  <c r="P241" i="6"/>
  <c r="O241" i="6"/>
  <c r="N241" i="6"/>
  <c r="H241" i="6"/>
  <c r="I241" i="6" s="1"/>
  <c r="G241" i="6"/>
  <c r="S240" i="6"/>
  <c r="Q240" i="6"/>
  <c r="P240" i="6"/>
  <c r="O240" i="6"/>
  <c r="N240" i="6"/>
  <c r="M240" i="6"/>
  <c r="L240" i="6"/>
  <c r="K240" i="6"/>
  <c r="J240" i="6"/>
  <c r="F240" i="6"/>
  <c r="E240" i="6"/>
  <c r="D240" i="6"/>
  <c r="A240" i="6"/>
  <c r="S239" i="6"/>
  <c r="R239" i="6"/>
  <c r="Q239" i="6"/>
  <c r="P239" i="6"/>
  <c r="O239" i="6"/>
  <c r="N239" i="6"/>
  <c r="H239" i="6"/>
  <c r="G239" i="6"/>
  <c r="I239" i="6" s="1"/>
  <c r="A239" i="6"/>
  <c r="S238" i="6"/>
  <c r="R238" i="6"/>
  <c r="Q238" i="6"/>
  <c r="P238" i="6"/>
  <c r="O238" i="6"/>
  <c r="N238" i="6"/>
  <c r="H238" i="6"/>
  <c r="G238" i="6"/>
  <c r="I238" i="6" s="1"/>
  <c r="S237" i="6"/>
  <c r="R237" i="6"/>
  <c r="Q237" i="6"/>
  <c r="P237" i="6"/>
  <c r="O237" i="6"/>
  <c r="N237" i="6"/>
  <c r="I237" i="6"/>
  <c r="H237" i="6"/>
  <c r="G237" i="6"/>
  <c r="S236" i="6"/>
  <c r="R236" i="6"/>
  <c r="Q236" i="6"/>
  <c r="P236" i="6"/>
  <c r="O236" i="6"/>
  <c r="N236" i="6"/>
  <c r="I236" i="6"/>
  <c r="H236" i="6"/>
  <c r="G236" i="6"/>
  <c r="S235" i="6"/>
  <c r="R235" i="6"/>
  <c r="Q235" i="6"/>
  <c r="P235" i="6"/>
  <c r="O235" i="6"/>
  <c r="N235" i="6"/>
  <c r="H235" i="6"/>
  <c r="I235" i="6" s="1"/>
  <c r="G235" i="6"/>
  <c r="S234" i="6"/>
  <c r="R234" i="6"/>
  <c r="Q234" i="6"/>
  <c r="P234" i="6"/>
  <c r="O234" i="6"/>
  <c r="N234" i="6"/>
  <c r="H234" i="6"/>
  <c r="G234" i="6"/>
  <c r="I234" i="6" s="1"/>
  <c r="S233" i="6"/>
  <c r="R233" i="6"/>
  <c r="Q233" i="6"/>
  <c r="P233" i="6"/>
  <c r="O233" i="6"/>
  <c r="N233" i="6"/>
  <c r="I233" i="6"/>
  <c r="H233" i="6"/>
  <c r="G233" i="6"/>
  <c r="S232" i="6"/>
  <c r="R232" i="6"/>
  <c r="Q232" i="6"/>
  <c r="P232" i="6"/>
  <c r="O232" i="6"/>
  <c r="N232" i="6"/>
  <c r="H232" i="6"/>
  <c r="I232" i="6" s="1"/>
  <c r="G232" i="6"/>
  <c r="S231" i="6"/>
  <c r="R231" i="6"/>
  <c r="Q231" i="6"/>
  <c r="P231" i="6"/>
  <c r="O231" i="6"/>
  <c r="N231" i="6"/>
  <c r="H231" i="6"/>
  <c r="G231" i="6"/>
  <c r="S230" i="6"/>
  <c r="R230" i="6"/>
  <c r="Q230" i="6"/>
  <c r="P230" i="6"/>
  <c r="O230" i="6"/>
  <c r="N230" i="6"/>
  <c r="H230" i="6"/>
  <c r="G230" i="6"/>
  <c r="I230" i="6" s="1"/>
  <c r="S229" i="6"/>
  <c r="R229" i="6"/>
  <c r="Q229" i="6"/>
  <c r="P229" i="6"/>
  <c r="O229" i="6"/>
  <c r="N229" i="6"/>
  <c r="I229" i="6"/>
  <c r="H229" i="6"/>
  <c r="G229" i="6"/>
  <c r="S228" i="6"/>
  <c r="Q228" i="6"/>
  <c r="P228" i="6"/>
  <c r="O228" i="6"/>
  <c r="N228" i="6"/>
  <c r="M228" i="6"/>
  <c r="L228" i="6"/>
  <c r="K228" i="6"/>
  <c r="J228" i="6"/>
  <c r="F228" i="6"/>
  <c r="E228" i="6"/>
  <c r="D228" i="6"/>
  <c r="A228" i="6"/>
  <c r="S227" i="6"/>
  <c r="R227" i="6"/>
  <c r="Q227" i="6"/>
  <c r="P227" i="6"/>
  <c r="O227" i="6"/>
  <c r="N227" i="6"/>
  <c r="H227" i="6"/>
  <c r="I227" i="6" s="1"/>
  <c r="G227" i="6"/>
  <c r="A227" i="6"/>
  <c r="S226" i="6"/>
  <c r="R226" i="6"/>
  <c r="Q226" i="6"/>
  <c r="P226" i="6"/>
  <c r="O226" i="6"/>
  <c r="N226" i="6"/>
  <c r="I226" i="6"/>
  <c r="H226" i="6"/>
  <c r="G226" i="6"/>
  <c r="S225" i="6"/>
  <c r="R225" i="6"/>
  <c r="Q225" i="6"/>
  <c r="P225" i="6"/>
  <c r="O225" i="6"/>
  <c r="N225" i="6"/>
  <c r="I225" i="6"/>
  <c r="H225" i="6"/>
  <c r="G225" i="6"/>
  <c r="S224" i="6"/>
  <c r="R224" i="6"/>
  <c r="Q224" i="6"/>
  <c r="P224" i="6"/>
  <c r="O224" i="6"/>
  <c r="N224" i="6"/>
  <c r="I224" i="6"/>
  <c r="H224" i="6"/>
  <c r="G224" i="6"/>
  <c r="S223" i="6"/>
  <c r="R223" i="6"/>
  <c r="Q223" i="6"/>
  <c r="P223" i="6"/>
  <c r="O223" i="6"/>
  <c r="N223" i="6"/>
  <c r="H223" i="6"/>
  <c r="G223" i="6"/>
  <c r="I223" i="6" s="1"/>
  <c r="S222" i="6"/>
  <c r="R222" i="6"/>
  <c r="Q222" i="6"/>
  <c r="P222" i="6"/>
  <c r="O222" i="6"/>
  <c r="N222" i="6"/>
  <c r="I222" i="6"/>
  <c r="H222" i="6"/>
  <c r="G222" i="6"/>
  <c r="S221" i="6"/>
  <c r="R221" i="6"/>
  <c r="Q221" i="6"/>
  <c r="P221" i="6"/>
  <c r="O221" i="6"/>
  <c r="N221" i="6"/>
  <c r="I221" i="6"/>
  <c r="H221" i="6"/>
  <c r="G221" i="6"/>
  <c r="S220" i="6"/>
  <c r="R220" i="6"/>
  <c r="Q220" i="6"/>
  <c r="P220" i="6"/>
  <c r="O220" i="6"/>
  <c r="N220" i="6"/>
  <c r="H220" i="6"/>
  <c r="I220" i="6" s="1"/>
  <c r="G220" i="6"/>
  <c r="S219" i="6"/>
  <c r="R219" i="6"/>
  <c r="Q219" i="6"/>
  <c r="P219" i="6"/>
  <c r="O219" i="6"/>
  <c r="N219" i="6"/>
  <c r="H219" i="6"/>
  <c r="G219" i="6"/>
  <c r="I219" i="6" s="1"/>
  <c r="S218" i="6"/>
  <c r="R218" i="6"/>
  <c r="Q218" i="6"/>
  <c r="P218" i="6"/>
  <c r="O218" i="6"/>
  <c r="N218" i="6"/>
  <c r="I218" i="6"/>
  <c r="H218" i="6"/>
  <c r="G218" i="6"/>
  <c r="S217" i="6"/>
  <c r="R217" i="6"/>
  <c r="R228" i="6" s="1"/>
  <c r="Q217" i="6"/>
  <c r="P217" i="6"/>
  <c r="O217" i="6"/>
  <c r="N217" i="6"/>
  <c r="I217" i="6"/>
  <c r="H217" i="6"/>
  <c r="G217" i="6"/>
  <c r="P216" i="6"/>
  <c r="M216" i="6"/>
  <c r="Q216" i="6" s="1"/>
  <c r="L216" i="6"/>
  <c r="K216" i="6"/>
  <c r="J216" i="6"/>
  <c r="S216" i="6" s="1"/>
  <c r="F216" i="6"/>
  <c r="E216" i="6"/>
  <c r="G216" i="6" s="1"/>
  <c r="D216" i="6"/>
  <c r="A216" i="6"/>
  <c r="S215" i="6"/>
  <c r="R215" i="6"/>
  <c r="Q215" i="6"/>
  <c r="P215" i="6"/>
  <c r="O215" i="6"/>
  <c r="N215" i="6"/>
  <c r="H215" i="6"/>
  <c r="I215" i="6" s="1"/>
  <c r="G215" i="6"/>
  <c r="A215" i="6"/>
  <c r="S214" i="6"/>
  <c r="R214" i="6"/>
  <c r="Q214" i="6"/>
  <c r="P214" i="6"/>
  <c r="O214" i="6"/>
  <c r="N214" i="6"/>
  <c r="H214" i="6"/>
  <c r="I214" i="6" s="1"/>
  <c r="G214" i="6"/>
  <c r="S213" i="6"/>
  <c r="R213" i="6"/>
  <c r="Q213" i="6"/>
  <c r="P213" i="6"/>
  <c r="O213" i="6"/>
  <c r="N213" i="6"/>
  <c r="I213" i="6"/>
  <c r="H213" i="6"/>
  <c r="G213" i="6"/>
  <c r="S212" i="6"/>
  <c r="R212" i="6"/>
  <c r="Q212" i="6"/>
  <c r="P212" i="6"/>
  <c r="O212" i="6"/>
  <c r="N212" i="6"/>
  <c r="H212" i="6"/>
  <c r="I212" i="6" s="1"/>
  <c r="G212" i="6"/>
  <c r="S211" i="6"/>
  <c r="R211" i="6"/>
  <c r="Q211" i="6"/>
  <c r="P211" i="6"/>
  <c r="O211" i="6"/>
  <c r="N211" i="6"/>
  <c r="H211" i="6"/>
  <c r="I211" i="6" s="1"/>
  <c r="G211" i="6"/>
  <c r="S210" i="6"/>
  <c r="R210" i="6"/>
  <c r="Q210" i="6"/>
  <c r="P210" i="6"/>
  <c r="O210" i="6"/>
  <c r="N210" i="6"/>
  <c r="H210" i="6"/>
  <c r="I210" i="6" s="1"/>
  <c r="G210" i="6"/>
  <c r="S209" i="6"/>
  <c r="R209" i="6"/>
  <c r="Q209" i="6"/>
  <c r="P209" i="6"/>
  <c r="O209" i="6"/>
  <c r="N209" i="6"/>
  <c r="I209" i="6"/>
  <c r="H209" i="6"/>
  <c r="G209" i="6"/>
  <c r="S208" i="6"/>
  <c r="R208" i="6"/>
  <c r="Q208" i="6"/>
  <c r="P208" i="6"/>
  <c r="O208" i="6"/>
  <c r="N208" i="6"/>
  <c r="I208" i="6"/>
  <c r="H208" i="6"/>
  <c r="G208" i="6"/>
  <c r="S207" i="6"/>
  <c r="R207" i="6"/>
  <c r="Q207" i="6"/>
  <c r="P207" i="6"/>
  <c r="O207" i="6"/>
  <c r="N207" i="6"/>
  <c r="H207" i="6"/>
  <c r="I207" i="6" s="1"/>
  <c r="G207" i="6"/>
  <c r="S206" i="6"/>
  <c r="R206" i="6"/>
  <c r="Q206" i="6"/>
  <c r="P206" i="6"/>
  <c r="O206" i="6"/>
  <c r="N206" i="6"/>
  <c r="H206" i="6"/>
  <c r="I206" i="6" s="1"/>
  <c r="G206" i="6"/>
  <c r="S205" i="6"/>
  <c r="R205" i="6"/>
  <c r="Q205" i="6"/>
  <c r="P205" i="6"/>
  <c r="O205" i="6"/>
  <c r="N205" i="6"/>
  <c r="I205" i="6"/>
  <c r="H205" i="6"/>
  <c r="G205" i="6"/>
  <c r="S204" i="6"/>
  <c r="O204" i="6"/>
  <c r="N204" i="6"/>
  <c r="M204" i="6"/>
  <c r="L204" i="6"/>
  <c r="K204" i="6"/>
  <c r="J204" i="6"/>
  <c r="F204" i="6"/>
  <c r="E204" i="6"/>
  <c r="D204" i="6"/>
  <c r="A204" i="6"/>
  <c r="S203" i="6"/>
  <c r="R203" i="6"/>
  <c r="Q203" i="6"/>
  <c r="P203" i="6"/>
  <c r="O203" i="6"/>
  <c r="N203" i="6"/>
  <c r="H203" i="6"/>
  <c r="I203" i="6" s="1"/>
  <c r="G203" i="6"/>
  <c r="A203" i="6"/>
  <c r="S202" i="6"/>
  <c r="R202" i="6"/>
  <c r="Q202" i="6"/>
  <c r="P202" i="6"/>
  <c r="O202" i="6"/>
  <c r="N202" i="6"/>
  <c r="I202" i="6"/>
  <c r="H202" i="6"/>
  <c r="G202" i="6"/>
  <c r="S201" i="6"/>
  <c r="R201" i="6"/>
  <c r="Q201" i="6"/>
  <c r="P201" i="6"/>
  <c r="O201" i="6"/>
  <c r="N201" i="6"/>
  <c r="I201" i="6"/>
  <c r="H201" i="6"/>
  <c r="G201" i="6"/>
  <c r="S200" i="6"/>
  <c r="R200" i="6"/>
  <c r="Q200" i="6"/>
  <c r="P200" i="6"/>
  <c r="O200" i="6"/>
  <c r="N200" i="6"/>
  <c r="H200" i="6"/>
  <c r="I200" i="6" s="1"/>
  <c r="G200" i="6"/>
  <c r="S199" i="6"/>
  <c r="R199" i="6"/>
  <c r="Q199" i="6"/>
  <c r="P199" i="6"/>
  <c r="O199" i="6"/>
  <c r="N199" i="6"/>
  <c r="H199" i="6"/>
  <c r="G199" i="6"/>
  <c r="I199" i="6" s="1"/>
  <c r="S198" i="6"/>
  <c r="R198" i="6"/>
  <c r="Q198" i="6"/>
  <c r="P198" i="6"/>
  <c r="O198" i="6"/>
  <c r="N198" i="6"/>
  <c r="I198" i="6"/>
  <c r="H198" i="6"/>
  <c r="G198" i="6"/>
  <c r="S197" i="6"/>
  <c r="R197" i="6"/>
  <c r="Q197" i="6"/>
  <c r="P197" i="6"/>
  <c r="O197" i="6"/>
  <c r="N197" i="6"/>
  <c r="I197" i="6"/>
  <c r="H197" i="6"/>
  <c r="G197" i="6"/>
  <c r="S196" i="6"/>
  <c r="R196" i="6"/>
  <c r="Q196" i="6"/>
  <c r="P196" i="6"/>
  <c r="O196" i="6"/>
  <c r="N196" i="6"/>
  <c r="H196" i="6"/>
  <c r="G196" i="6"/>
  <c r="S195" i="6"/>
  <c r="R195" i="6"/>
  <c r="Q195" i="6"/>
  <c r="P195" i="6"/>
  <c r="O195" i="6"/>
  <c r="N195" i="6"/>
  <c r="H195" i="6"/>
  <c r="G195" i="6"/>
  <c r="I195" i="6" s="1"/>
  <c r="S194" i="6"/>
  <c r="R194" i="6"/>
  <c r="Q194" i="6"/>
  <c r="P194" i="6"/>
  <c r="O194" i="6"/>
  <c r="N194" i="6"/>
  <c r="I194" i="6"/>
  <c r="H194" i="6"/>
  <c r="G194" i="6"/>
  <c r="S193" i="6"/>
  <c r="R193" i="6"/>
  <c r="Q193" i="6"/>
  <c r="P193" i="6"/>
  <c r="O193" i="6"/>
  <c r="N193" i="6"/>
  <c r="I193" i="6"/>
  <c r="H193" i="6"/>
  <c r="G193" i="6"/>
  <c r="S192" i="6"/>
  <c r="O192" i="6"/>
  <c r="N192" i="6"/>
  <c r="M192" i="6"/>
  <c r="L192" i="6"/>
  <c r="K192" i="6"/>
  <c r="J192" i="6"/>
  <c r="F192" i="6"/>
  <c r="E192" i="6"/>
  <c r="D192" i="6"/>
  <c r="Q192" i="6" s="1"/>
  <c r="A192" i="6"/>
  <c r="S191" i="6"/>
  <c r="R191" i="6"/>
  <c r="Q191" i="6"/>
  <c r="P191" i="6"/>
  <c r="O191" i="6"/>
  <c r="N191" i="6"/>
  <c r="H191" i="6"/>
  <c r="G191" i="6"/>
  <c r="I191" i="6" s="1"/>
  <c r="A191" i="6"/>
  <c r="S190" i="6"/>
  <c r="R190" i="6"/>
  <c r="Q190" i="6"/>
  <c r="P190" i="6"/>
  <c r="O190" i="6"/>
  <c r="N190" i="6"/>
  <c r="H190" i="6"/>
  <c r="I190" i="6" s="1"/>
  <c r="G190" i="6"/>
  <c r="S189" i="6"/>
  <c r="R189" i="6"/>
  <c r="Q189" i="6"/>
  <c r="P189" i="6"/>
  <c r="O189" i="6"/>
  <c r="N189" i="6"/>
  <c r="I189" i="6"/>
  <c r="H189" i="6"/>
  <c r="G189" i="6"/>
  <c r="S188" i="6"/>
  <c r="R188" i="6"/>
  <c r="Q188" i="6"/>
  <c r="P188" i="6"/>
  <c r="O188" i="6"/>
  <c r="N188" i="6"/>
  <c r="H188" i="6"/>
  <c r="I188" i="6" s="1"/>
  <c r="G188" i="6"/>
  <c r="S187" i="6"/>
  <c r="R187" i="6"/>
  <c r="Q187" i="6"/>
  <c r="P187" i="6"/>
  <c r="O187" i="6"/>
  <c r="N187" i="6"/>
  <c r="H187" i="6"/>
  <c r="G187" i="6"/>
  <c r="S186" i="6"/>
  <c r="R186" i="6"/>
  <c r="Q186" i="6"/>
  <c r="P186" i="6"/>
  <c r="O186" i="6"/>
  <c r="N186" i="6"/>
  <c r="H186" i="6"/>
  <c r="I186" i="6" s="1"/>
  <c r="G186" i="6"/>
  <c r="S185" i="6"/>
  <c r="R185" i="6"/>
  <c r="Q185" i="6"/>
  <c r="P185" i="6"/>
  <c r="O185" i="6"/>
  <c r="N185" i="6"/>
  <c r="I185" i="6"/>
  <c r="H185" i="6"/>
  <c r="G185" i="6"/>
  <c r="S184" i="6"/>
  <c r="R184" i="6"/>
  <c r="Q184" i="6"/>
  <c r="P184" i="6"/>
  <c r="O184" i="6"/>
  <c r="N184" i="6"/>
  <c r="H184" i="6"/>
  <c r="I184" i="6" s="1"/>
  <c r="G184" i="6"/>
  <c r="S183" i="6"/>
  <c r="R183" i="6"/>
  <c r="Q183" i="6"/>
  <c r="P183" i="6"/>
  <c r="O183" i="6"/>
  <c r="N183" i="6"/>
  <c r="H183" i="6"/>
  <c r="G183" i="6"/>
  <c r="S182" i="6"/>
  <c r="R182" i="6"/>
  <c r="Q182" i="6"/>
  <c r="P182" i="6"/>
  <c r="O182" i="6"/>
  <c r="N182" i="6"/>
  <c r="H182" i="6"/>
  <c r="I182" i="6" s="1"/>
  <c r="G182" i="6"/>
  <c r="S181" i="6"/>
  <c r="R181" i="6"/>
  <c r="Q181" i="6"/>
  <c r="P181" i="6"/>
  <c r="O181" i="6"/>
  <c r="N181" i="6"/>
  <c r="I181" i="6"/>
  <c r="H181" i="6"/>
  <c r="G181" i="6"/>
  <c r="S180" i="6"/>
  <c r="P180" i="6"/>
  <c r="O180" i="6"/>
  <c r="N180" i="6"/>
  <c r="M180" i="6"/>
  <c r="L180" i="6"/>
  <c r="K180" i="6"/>
  <c r="J180" i="6"/>
  <c r="F180" i="6"/>
  <c r="E180" i="6"/>
  <c r="D180" i="6"/>
  <c r="Q180" i="6" s="1"/>
  <c r="A180" i="6"/>
  <c r="S179" i="6"/>
  <c r="R179" i="6"/>
  <c r="Q179" i="6"/>
  <c r="P179" i="6"/>
  <c r="O179" i="6"/>
  <c r="N179" i="6"/>
  <c r="H179" i="6"/>
  <c r="I179" i="6" s="1"/>
  <c r="G179" i="6"/>
  <c r="A179" i="6"/>
  <c r="S178" i="6"/>
  <c r="R178" i="6"/>
  <c r="Q178" i="6"/>
  <c r="P178" i="6"/>
  <c r="O178" i="6"/>
  <c r="N178" i="6"/>
  <c r="H178" i="6"/>
  <c r="I178" i="6" s="1"/>
  <c r="G178" i="6"/>
  <c r="S177" i="6"/>
  <c r="R177" i="6"/>
  <c r="Q177" i="6"/>
  <c r="P177" i="6"/>
  <c r="O177" i="6"/>
  <c r="N177" i="6"/>
  <c r="H177" i="6"/>
  <c r="I177" i="6" s="1"/>
  <c r="G177" i="6"/>
  <c r="S176" i="6"/>
  <c r="R176" i="6"/>
  <c r="Q176" i="6"/>
  <c r="P176" i="6"/>
  <c r="O176" i="6"/>
  <c r="N176" i="6"/>
  <c r="I176" i="6"/>
  <c r="H176" i="6"/>
  <c r="G176" i="6"/>
  <c r="S175" i="6"/>
  <c r="R175" i="6"/>
  <c r="Q175" i="6"/>
  <c r="P175" i="6"/>
  <c r="O175" i="6"/>
  <c r="N175" i="6"/>
  <c r="H175" i="6"/>
  <c r="I175" i="6" s="1"/>
  <c r="G175" i="6"/>
  <c r="S174" i="6"/>
  <c r="R174" i="6"/>
  <c r="Q174" i="6"/>
  <c r="P174" i="6"/>
  <c r="O174" i="6"/>
  <c r="N174" i="6"/>
  <c r="H174" i="6"/>
  <c r="I174" i="6" s="1"/>
  <c r="G174" i="6"/>
  <c r="S173" i="6"/>
  <c r="R173" i="6"/>
  <c r="Q173" i="6"/>
  <c r="P173" i="6"/>
  <c r="O173" i="6"/>
  <c r="N173" i="6"/>
  <c r="H173" i="6"/>
  <c r="I173" i="6" s="1"/>
  <c r="G173" i="6"/>
  <c r="S172" i="6"/>
  <c r="R172" i="6"/>
  <c r="Q172" i="6"/>
  <c r="P172" i="6"/>
  <c r="O172" i="6"/>
  <c r="N172" i="6"/>
  <c r="I172" i="6"/>
  <c r="H172" i="6"/>
  <c r="G172" i="6"/>
  <c r="S171" i="6"/>
  <c r="R171" i="6"/>
  <c r="Q171" i="6"/>
  <c r="P171" i="6"/>
  <c r="O171" i="6"/>
  <c r="N171" i="6"/>
  <c r="H171" i="6"/>
  <c r="I171" i="6" s="1"/>
  <c r="G171" i="6"/>
  <c r="S170" i="6"/>
  <c r="R170" i="6"/>
  <c r="Q170" i="6"/>
  <c r="P170" i="6"/>
  <c r="O170" i="6"/>
  <c r="N170" i="6"/>
  <c r="H170" i="6"/>
  <c r="I170" i="6" s="1"/>
  <c r="G170" i="6"/>
  <c r="S169" i="6"/>
  <c r="R169" i="6"/>
  <c r="R180" i="6" s="1"/>
  <c r="Q169" i="6"/>
  <c r="P169" i="6"/>
  <c r="O169" i="6"/>
  <c r="N169" i="6"/>
  <c r="H169" i="6"/>
  <c r="I169" i="6" s="1"/>
  <c r="G169" i="6"/>
  <c r="V168" i="6"/>
  <c r="S168" i="6"/>
  <c r="Q168" i="6"/>
  <c r="M168" i="6"/>
  <c r="L168" i="6"/>
  <c r="K168" i="6"/>
  <c r="J168" i="6"/>
  <c r="P168" i="6" s="1"/>
  <c r="H168" i="6"/>
  <c r="F168" i="6"/>
  <c r="E168" i="6"/>
  <c r="D168" i="6"/>
  <c r="A168" i="6"/>
  <c r="S167" i="6"/>
  <c r="R167" i="6"/>
  <c r="Q167" i="6"/>
  <c r="P167" i="6"/>
  <c r="O167" i="6"/>
  <c r="N167" i="6"/>
  <c r="I167" i="6"/>
  <c r="H167" i="6"/>
  <c r="G167" i="6"/>
  <c r="A167" i="6"/>
  <c r="S166" i="6"/>
  <c r="R166" i="6"/>
  <c r="Q166" i="6"/>
  <c r="P166" i="6"/>
  <c r="O166" i="6"/>
  <c r="N166" i="6"/>
  <c r="H166" i="6"/>
  <c r="G166" i="6"/>
  <c r="I166" i="6" s="1"/>
  <c r="S165" i="6"/>
  <c r="R165" i="6"/>
  <c r="Q165" i="6"/>
  <c r="P165" i="6"/>
  <c r="O165" i="6"/>
  <c r="N165" i="6"/>
  <c r="I165" i="6"/>
  <c r="H165" i="6"/>
  <c r="G165" i="6"/>
  <c r="S164" i="6"/>
  <c r="R164" i="6"/>
  <c r="Q164" i="6"/>
  <c r="P164" i="6"/>
  <c r="O164" i="6"/>
  <c r="N164" i="6"/>
  <c r="I164" i="6"/>
  <c r="H164" i="6"/>
  <c r="G164" i="6"/>
  <c r="S163" i="6"/>
  <c r="R163" i="6"/>
  <c r="Q163" i="6"/>
  <c r="P163" i="6"/>
  <c r="O163" i="6"/>
  <c r="N163" i="6"/>
  <c r="I163" i="6"/>
  <c r="H163" i="6"/>
  <c r="G163" i="6"/>
  <c r="S162" i="6"/>
  <c r="R162" i="6"/>
  <c r="Q162" i="6"/>
  <c r="P162" i="6"/>
  <c r="O162" i="6"/>
  <c r="N162" i="6"/>
  <c r="H162" i="6"/>
  <c r="G162" i="6"/>
  <c r="I162" i="6" s="1"/>
  <c r="S161" i="6"/>
  <c r="R161" i="6"/>
  <c r="Q161" i="6"/>
  <c r="P161" i="6"/>
  <c r="O161" i="6"/>
  <c r="N161" i="6"/>
  <c r="I161" i="6"/>
  <c r="H161" i="6"/>
  <c r="G161" i="6"/>
  <c r="S160" i="6"/>
  <c r="R160" i="6"/>
  <c r="Q160" i="6"/>
  <c r="P160" i="6"/>
  <c r="O160" i="6"/>
  <c r="N160" i="6"/>
  <c r="I160" i="6"/>
  <c r="H160" i="6"/>
  <c r="G160" i="6"/>
  <c r="S159" i="6"/>
  <c r="R159" i="6"/>
  <c r="Q159" i="6"/>
  <c r="P159" i="6"/>
  <c r="O159" i="6"/>
  <c r="N159" i="6"/>
  <c r="H159" i="6"/>
  <c r="I159" i="6" s="1"/>
  <c r="G159" i="6"/>
  <c r="S158" i="6"/>
  <c r="R158" i="6"/>
  <c r="Q158" i="6"/>
  <c r="P158" i="6"/>
  <c r="O158" i="6"/>
  <c r="N158" i="6"/>
  <c r="H158" i="6"/>
  <c r="G158" i="6"/>
  <c r="I158" i="6" s="1"/>
  <c r="S157" i="6"/>
  <c r="R157" i="6"/>
  <c r="Q157" i="6"/>
  <c r="P157" i="6"/>
  <c r="O157" i="6"/>
  <c r="N157" i="6"/>
  <c r="I157" i="6"/>
  <c r="H157" i="6"/>
  <c r="G157" i="6"/>
  <c r="W156" i="6"/>
  <c r="U156" i="6"/>
  <c r="T156" i="6"/>
  <c r="S156" i="6"/>
  <c r="R156" i="6"/>
  <c r="Q156" i="6"/>
  <c r="N156" i="6"/>
  <c r="M156" i="6"/>
  <c r="L156" i="6"/>
  <c r="K156" i="6"/>
  <c r="J156" i="6"/>
  <c r="O156" i="6" s="1"/>
  <c r="H156" i="6"/>
  <c r="F156" i="6"/>
  <c r="G156" i="6" s="1"/>
  <c r="E156" i="6"/>
  <c r="D156" i="6"/>
  <c r="P156" i="6" s="1"/>
  <c r="A156" i="6"/>
  <c r="S155" i="6"/>
  <c r="R155" i="6"/>
  <c r="Q155" i="6"/>
  <c r="P155" i="6"/>
  <c r="O155" i="6"/>
  <c r="N155" i="6"/>
  <c r="H155" i="6"/>
  <c r="G155" i="6"/>
  <c r="A155" i="6"/>
  <c r="S154" i="6"/>
  <c r="R154" i="6"/>
  <c r="Q154" i="6"/>
  <c r="P154" i="6"/>
  <c r="O154" i="6"/>
  <c r="N154" i="6"/>
  <c r="H154" i="6"/>
  <c r="G154" i="6"/>
  <c r="S153" i="6"/>
  <c r="R153" i="6"/>
  <c r="Q153" i="6"/>
  <c r="P153" i="6"/>
  <c r="O153" i="6"/>
  <c r="N153" i="6"/>
  <c r="H153" i="6"/>
  <c r="I153" i="6" s="1"/>
  <c r="G153" i="6"/>
  <c r="S152" i="6"/>
  <c r="R152" i="6"/>
  <c r="Q152" i="6"/>
  <c r="P152" i="6"/>
  <c r="O152" i="6"/>
  <c r="N152" i="6"/>
  <c r="I152" i="6"/>
  <c r="H152" i="6"/>
  <c r="G152" i="6"/>
  <c r="S151" i="6"/>
  <c r="R151" i="6"/>
  <c r="Q151" i="6"/>
  <c r="P151" i="6"/>
  <c r="O151" i="6"/>
  <c r="N151" i="6"/>
  <c r="H151" i="6"/>
  <c r="I151" i="6" s="1"/>
  <c r="G151" i="6"/>
  <c r="S150" i="6"/>
  <c r="R150" i="6"/>
  <c r="Q150" i="6"/>
  <c r="P150" i="6"/>
  <c r="O150" i="6"/>
  <c r="N150" i="6"/>
  <c r="H150" i="6"/>
  <c r="I150" i="6" s="1"/>
  <c r="G150" i="6"/>
  <c r="S149" i="6"/>
  <c r="R149" i="6"/>
  <c r="Q149" i="6"/>
  <c r="P149" i="6"/>
  <c r="O149" i="6"/>
  <c r="N149" i="6"/>
  <c r="H149" i="6"/>
  <c r="I149" i="6" s="1"/>
  <c r="G149" i="6"/>
  <c r="S148" i="6"/>
  <c r="R148" i="6"/>
  <c r="Q148" i="6"/>
  <c r="P148" i="6"/>
  <c r="O148" i="6"/>
  <c r="N148" i="6"/>
  <c r="I148" i="6"/>
  <c r="H148" i="6"/>
  <c r="G148" i="6"/>
  <c r="S147" i="6"/>
  <c r="R147" i="6"/>
  <c r="Q147" i="6"/>
  <c r="P147" i="6"/>
  <c r="O147" i="6"/>
  <c r="N147" i="6"/>
  <c r="I147" i="6"/>
  <c r="H147" i="6"/>
  <c r="G147" i="6"/>
  <c r="S146" i="6"/>
  <c r="R146" i="6"/>
  <c r="Q146" i="6"/>
  <c r="P146" i="6"/>
  <c r="O146" i="6"/>
  <c r="N146" i="6"/>
  <c r="H146" i="6"/>
  <c r="G146" i="6"/>
  <c r="S145" i="6"/>
  <c r="R145" i="6"/>
  <c r="Q145" i="6"/>
  <c r="P145" i="6"/>
  <c r="O145" i="6"/>
  <c r="N145" i="6"/>
  <c r="H145" i="6"/>
  <c r="I145" i="6" s="1"/>
  <c r="G145" i="6"/>
  <c r="V144" i="6"/>
  <c r="U144" i="6"/>
  <c r="Q144" i="6"/>
  <c r="M144" i="6"/>
  <c r="L144" i="6"/>
  <c r="K144" i="6"/>
  <c r="J144" i="6"/>
  <c r="H144" i="6"/>
  <c r="I144" i="6" s="1"/>
  <c r="G144" i="6"/>
  <c r="F144" i="6"/>
  <c r="E144" i="6"/>
  <c r="W144" i="6" s="1"/>
  <c r="D144" i="6"/>
  <c r="A144" i="6"/>
  <c r="S143" i="6"/>
  <c r="R143" i="6"/>
  <c r="Q143" i="6"/>
  <c r="P143" i="6"/>
  <c r="O143" i="6"/>
  <c r="N143" i="6"/>
  <c r="I143" i="6"/>
  <c r="H143" i="6"/>
  <c r="G143" i="6"/>
  <c r="A143" i="6"/>
  <c r="S142" i="6"/>
  <c r="R142" i="6"/>
  <c r="Q142" i="6"/>
  <c r="P142" i="6"/>
  <c r="O142" i="6"/>
  <c r="N142" i="6"/>
  <c r="H142" i="6"/>
  <c r="I142" i="6" s="1"/>
  <c r="G142" i="6"/>
  <c r="S141" i="6"/>
  <c r="R141" i="6"/>
  <c r="Q141" i="6"/>
  <c r="P141" i="6"/>
  <c r="O141" i="6"/>
  <c r="N141" i="6"/>
  <c r="H141" i="6"/>
  <c r="I141" i="6" s="1"/>
  <c r="G141" i="6"/>
  <c r="S140" i="6"/>
  <c r="R140" i="6"/>
  <c r="Q140" i="6"/>
  <c r="P140" i="6"/>
  <c r="O140" i="6"/>
  <c r="N140" i="6"/>
  <c r="H140" i="6"/>
  <c r="I140" i="6" s="1"/>
  <c r="G140" i="6"/>
  <c r="S139" i="6"/>
  <c r="R139" i="6"/>
  <c r="Q139" i="6"/>
  <c r="P139" i="6"/>
  <c r="O139" i="6"/>
  <c r="N139" i="6"/>
  <c r="I139" i="6"/>
  <c r="H139" i="6"/>
  <c r="G139" i="6"/>
  <c r="S138" i="6"/>
  <c r="R138" i="6"/>
  <c r="Q138" i="6"/>
  <c r="P138" i="6"/>
  <c r="O138" i="6"/>
  <c r="N138" i="6"/>
  <c r="H138" i="6"/>
  <c r="I138" i="6" s="1"/>
  <c r="G138" i="6"/>
  <c r="S137" i="6"/>
  <c r="R137" i="6"/>
  <c r="Q137" i="6"/>
  <c r="P137" i="6"/>
  <c r="O137" i="6"/>
  <c r="N137" i="6"/>
  <c r="H137" i="6"/>
  <c r="I137" i="6" s="1"/>
  <c r="G137" i="6"/>
  <c r="S136" i="6"/>
  <c r="R136" i="6"/>
  <c r="Q136" i="6"/>
  <c r="P136" i="6"/>
  <c r="O136" i="6"/>
  <c r="N136" i="6"/>
  <c r="H136" i="6"/>
  <c r="I136" i="6" s="1"/>
  <c r="G136" i="6"/>
  <c r="S135" i="6"/>
  <c r="R135" i="6"/>
  <c r="Q135" i="6"/>
  <c r="P135" i="6"/>
  <c r="O135" i="6"/>
  <c r="N135" i="6"/>
  <c r="I135" i="6"/>
  <c r="H135" i="6"/>
  <c r="G135" i="6"/>
  <c r="S134" i="6"/>
  <c r="R134" i="6"/>
  <c r="Q134" i="6"/>
  <c r="P134" i="6"/>
  <c r="O134" i="6"/>
  <c r="N134" i="6"/>
  <c r="I134" i="6"/>
  <c r="H134" i="6"/>
  <c r="G134" i="6"/>
  <c r="S133" i="6"/>
  <c r="R133" i="6"/>
  <c r="R144" i="6" s="1"/>
  <c r="Q133" i="6"/>
  <c r="P133" i="6"/>
  <c r="O133" i="6"/>
  <c r="N133" i="6"/>
  <c r="H133" i="6"/>
  <c r="I133" i="6" s="1"/>
  <c r="G133" i="6"/>
  <c r="W132" i="6"/>
  <c r="V132" i="6"/>
  <c r="M132" i="6"/>
  <c r="Q132" i="6" s="1"/>
  <c r="L132" i="6"/>
  <c r="K132" i="6"/>
  <c r="J132" i="6"/>
  <c r="H132" i="6"/>
  <c r="I132" i="6" s="1"/>
  <c r="G132" i="6"/>
  <c r="F132" i="6"/>
  <c r="E132" i="6"/>
  <c r="D132" i="6"/>
  <c r="A132" i="6"/>
  <c r="S131" i="6"/>
  <c r="R131" i="6"/>
  <c r="Q131" i="6"/>
  <c r="P131" i="6"/>
  <c r="O131" i="6"/>
  <c r="N131" i="6"/>
  <c r="I131" i="6"/>
  <c r="H131" i="6"/>
  <c r="G131" i="6"/>
  <c r="A131" i="6"/>
  <c r="S130" i="6"/>
  <c r="R130" i="6"/>
  <c r="Q130" i="6"/>
  <c r="P130" i="6"/>
  <c r="O130" i="6"/>
  <c r="N130" i="6"/>
  <c r="I130" i="6"/>
  <c r="H130" i="6"/>
  <c r="G130" i="6"/>
  <c r="S129" i="6"/>
  <c r="R129" i="6"/>
  <c r="Q129" i="6"/>
  <c r="P129" i="6"/>
  <c r="O129" i="6"/>
  <c r="N129" i="6"/>
  <c r="H129" i="6"/>
  <c r="G129" i="6"/>
  <c r="I129" i="6" s="1"/>
  <c r="S128" i="6"/>
  <c r="R128" i="6"/>
  <c r="Q128" i="6"/>
  <c r="P128" i="6"/>
  <c r="O128" i="6"/>
  <c r="N128" i="6"/>
  <c r="I128" i="6"/>
  <c r="H128" i="6"/>
  <c r="G128" i="6"/>
  <c r="S127" i="6"/>
  <c r="R127" i="6"/>
  <c r="Q127" i="6"/>
  <c r="P127" i="6"/>
  <c r="O127" i="6"/>
  <c r="N127" i="6"/>
  <c r="I127" i="6"/>
  <c r="H127" i="6"/>
  <c r="G127" i="6"/>
  <c r="S126" i="6"/>
  <c r="R126" i="6"/>
  <c r="Q126" i="6"/>
  <c r="P126" i="6"/>
  <c r="O126" i="6"/>
  <c r="N126" i="6"/>
  <c r="H126" i="6"/>
  <c r="I126" i="6" s="1"/>
  <c r="G126" i="6"/>
  <c r="S125" i="6"/>
  <c r="R125" i="6"/>
  <c r="Q125" i="6"/>
  <c r="P125" i="6"/>
  <c r="O125" i="6"/>
  <c r="N125" i="6"/>
  <c r="H125" i="6"/>
  <c r="G125" i="6"/>
  <c r="I125" i="6" s="1"/>
  <c r="S124" i="6"/>
  <c r="R124" i="6"/>
  <c r="Q124" i="6"/>
  <c r="P124" i="6"/>
  <c r="O124" i="6"/>
  <c r="N124" i="6"/>
  <c r="I124" i="6"/>
  <c r="H124" i="6"/>
  <c r="G124" i="6"/>
  <c r="S123" i="6"/>
  <c r="R123" i="6"/>
  <c r="Q123" i="6"/>
  <c r="P123" i="6"/>
  <c r="O123" i="6"/>
  <c r="N123" i="6"/>
  <c r="I123" i="6"/>
  <c r="H123" i="6"/>
  <c r="G123" i="6"/>
  <c r="S122" i="6"/>
  <c r="R122" i="6"/>
  <c r="Q122" i="6"/>
  <c r="P122" i="6"/>
  <c r="O122" i="6"/>
  <c r="N122" i="6"/>
  <c r="H122" i="6"/>
  <c r="I122" i="6" s="1"/>
  <c r="G122" i="6"/>
  <c r="S121" i="6"/>
  <c r="R121" i="6"/>
  <c r="R132" i="6" s="1"/>
  <c r="Q121" i="6"/>
  <c r="P121" i="6"/>
  <c r="O121" i="6"/>
  <c r="N121" i="6"/>
  <c r="H121" i="6"/>
  <c r="G121" i="6"/>
  <c r="I121" i="6" s="1"/>
  <c r="W120" i="6"/>
  <c r="V120" i="6"/>
  <c r="U120" i="6"/>
  <c r="Q120" i="6"/>
  <c r="M120" i="6"/>
  <c r="O120" i="6" s="1"/>
  <c r="L120" i="6"/>
  <c r="K120" i="6"/>
  <c r="J120" i="6"/>
  <c r="I120" i="6"/>
  <c r="H120" i="6"/>
  <c r="F120" i="6"/>
  <c r="E120" i="6"/>
  <c r="G120" i="6" s="1"/>
  <c r="D120" i="6"/>
  <c r="A120" i="6"/>
  <c r="S119" i="6"/>
  <c r="R119" i="6"/>
  <c r="Q119" i="6"/>
  <c r="P119" i="6"/>
  <c r="O119" i="6"/>
  <c r="N119" i="6"/>
  <c r="I119" i="6"/>
  <c r="H119" i="6"/>
  <c r="G119" i="6"/>
  <c r="A119" i="6"/>
  <c r="S118" i="6"/>
  <c r="R118" i="6"/>
  <c r="Q118" i="6"/>
  <c r="P118" i="6"/>
  <c r="O118" i="6"/>
  <c r="N118" i="6"/>
  <c r="I118" i="6"/>
  <c r="H118" i="6"/>
  <c r="G118" i="6"/>
  <c r="S117" i="6"/>
  <c r="R117" i="6"/>
  <c r="Q117" i="6"/>
  <c r="P117" i="6"/>
  <c r="O117" i="6"/>
  <c r="N117" i="6"/>
  <c r="H117" i="6"/>
  <c r="I117" i="6" s="1"/>
  <c r="G117" i="6"/>
  <c r="S116" i="6"/>
  <c r="R116" i="6"/>
  <c r="Q116" i="6"/>
  <c r="P116" i="6"/>
  <c r="O116" i="6"/>
  <c r="N116" i="6"/>
  <c r="H116" i="6"/>
  <c r="I116" i="6" s="1"/>
  <c r="G116" i="6"/>
  <c r="S115" i="6"/>
  <c r="R115" i="6"/>
  <c r="Q115" i="6"/>
  <c r="P115" i="6"/>
  <c r="O115" i="6"/>
  <c r="N115" i="6"/>
  <c r="H115" i="6"/>
  <c r="G115" i="6"/>
  <c r="I115" i="6" s="1"/>
  <c r="S114" i="6"/>
  <c r="R114" i="6"/>
  <c r="Q114" i="6"/>
  <c r="P114" i="6"/>
  <c r="O114" i="6"/>
  <c r="N114" i="6"/>
  <c r="I114" i="6"/>
  <c r="H114" i="6"/>
  <c r="G114" i="6"/>
  <c r="S113" i="6"/>
  <c r="R113" i="6"/>
  <c r="Q113" i="6"/>
  <c r="P113" i="6"/>
  <c r="O113" i="6"/>
  <c r="N113" i="6"/>
  <c r="H113" i="6"/>
  <c r="G113" i="6"/>
  <c r="S112" i="6"/>
  <c r="R112" i="6"/>
  <c r="Q112" i="6"/>
  <c r="P112" i="6"/>
  <c r="O112" i="6"/>
  <c r="N112" i="6"/>
  <c r="H112" i="6"/>
  <c r="I112" i="6" s="1"/>
  <c r="G112" i="6"/>
  <c r="S111" i="6"/>
  <c r="R111" i="6"/>
  <c r="Q111" i="6"/>
  <c r="P111" i="6"/>
  <c r="O111" i="6"/>
  <c r="N111" i="6"/>
  <c r="H111" i="6"/>
  <c r="G111" i="6"/>
  <c r="I111" i="6" s="1"/>
  <c r="S110" i="6"/>
  <c r="R110" i="6"/>
  <c r="Q110" i="6"/>
  <c r="P110" i="6"/>
  <c r="O110" i="6"/>
  <c r="N110" i="6"/>
  <c r="H110" i="6"/>
  <c r="I110" i="6" s="1"/>
  <c r="G110" i="6"/>
  <c r="S109" i="6"/>
  <c r="R109" i="6"/>
  <c r="Q109" i="6"/>
  <c r="P109" i="6"/>
  <c r="O109" i="6"/>
  <c r="N109" i="6"/>
  <c r="H109" i="6"/>
  <c r="I109" i="6" s="1"/>
  <c r="G109" i="6"/>
  <c r="W108" i="6"/>
  <c r="V108" i="6"/>
  <c r="M108" i="6"/>
  <c r="L108" i="6"/>
  <c r="K108" i="6"/>
  <c r="J108" i="6"/>
  <c r="H108" i="6"/>
  <c r="F108" i="6"/>
  <c r="G108" i="6" s="1"/>
  <c r="I108" i="6" s="1"/>
  <c r="E108" i="6"/>
  <c r="D108" i="6"/>
  <c r="A108" i="6"/>
  <c r="S107" i="6"/>
  <c r="R107" i="6"/>
  <c r="Q107" i="6"/>
  <c r="P107" i="6"/>
  <c r="O107" i="6"/>
  <c r="N107" i="6"/>
  <c r="H107" i="6"/>
  <c r="G107" i="6"/>
  <c r="I107" i="6" s="1"/>
  <c r="A107" i="6"/>
  <c r="S106" i="6"/>
  <c r="R106" i="6"/>
  <c r="Q106" i="6"/>
  <c r="P106" i="6"/>
  <c r="O106" i="6"/>
  <c r="N106" i="6"/>
  <c r="I106" i="6"/>
  <c r="H106" i="6"/>
  <c r="G106" i="6"/>
  <c r="S105" i="6"/>
  <c r="R105" i="6"/>
  <c r="Q105" i="6"/>
  <c r="P105" i="6"/>
  <c r="O105" i="6"/>
  <c r="N105" i="6"/>
  <c r="H105" i="6"/>
  <c r="G105" i="6"/>
  <c r="I105" i="6" s="1"/>
  <c r="S104" i="6"/>
  <c r="R104" i="6"/>
  <c r="Q104" i="6"/>
  <c r="P104" i="6"/>
  <c r="O104" i="6"/>
  <c r="N104" i="6"/>
  <c r="H104" i="6"/>
  <c r="I104" i="6" s="1"/>
  <c r="G104" i="6"/>
  <c r="S103" i="6"/>
  <c r="R103" i="6"/>
  <c r="Q103" i="6"/>
  <c r="P103" i="6"/>
  <c r="O103" i="6"/>
  <c r="N103" i="6"/>
  <c r="H103" i="6"/>
  <c r="I103" i="6" s="1"/>
  <c r="G103" i="6"/>
  <c r="S102" i="6"/>
  <c r="R102" i="6"/>
  <c r="Q102" i="6"/>
  <c r="P102" i="6"/>
  <c r="O102" i="6"/>
  <c r="N102" i="6"/>
  <c r="I102" i="6"/>
  <c r="H102" i="6"/>
  <c r="G102" i="6"/>
  <c r="S101" i="6"/>
  <c r="R101" i="6"/>
  <c r="Q101" i="6"/>
  <c r="P101" i="6"/>
  <c r="O101" i="6"/>
  <c r="N101" i="6"/>
  <c r="H101" i="6"/>
  <c r="I101" i="6" s="1"/>
  <c r="G101" i="6"/>
  <c r="S100" i="6"/>
  <c r="R100" i="6"/>
  <c r="Q100" i="6"/>
  <c r="P100" i="6"/>
  <c r="O100" i="6"/>
  <c r="N100" i="6"/>
  <c r="H100" i="6"/>
  <c r="I100" i="6" s="1"/>
  <c r="G100" i="6"/>
  <c r="S99" i="6"/>
  <c r="R99" i="6"/>
  <c r="Q99" i="6"/>
  <c r="P99" i="6"/>
  <c r="O99" i="6"/>
  <c r="N99" i="6"/>
  <c r="H99" i="6"/>
  <c r="I99" i="6" s="1"/>
  <c r="G99" i="6"/>
  <c r="S98" i="6"/>
  <c r="R98" i="6"/>
  <c r="Q98" i="6"/>
  <c r="P98" i="6"/>
  <c r="O98" i="6"/>
  <c r="N98" i="6"/>
  <c r="I98" i="6"/>
  <c r="H98" i="6"/>
  <c r="G98" i="6"/>
  <c r="S97" i="6"/>
  <c r="R97" i="6"/>
  <c r="R108" i="6" s="1"/>
  <c r="Q97" i="6"/>
  <c r="P97" i="6"/>
  <c r="O97" i="6"/>
  <c r="N97" i="6"/>
  <c r="I97" i="6"/>
  <c r="H97" i="6"/>
  <c r="G97" i="6"/>
  <c r="W96" i="6"/>
  <c r="N96" i="6"/>
  <c r="M96" i="6"/>
  <c r="L96" i="6"/>
  <c r="K96" i="6"/>
  <c r="J96" i="6"/>
  <c r="S96" i="6" s="1"/>
  <c r="G96" i="6"/>
  <c r="F96" i="6"/>
  <c r="E96" i="6"/>
  <c r="D96" i="6"/>
  <c r="V96" i="6" s="1"/>
  <c r="A96" i="6"/>
  <c r="S95" i="6"/>
  <c r="R95" i="6"/>
  <c r="Q95" i="6"/>
  <c r="P95" i="6"/>
  <c r="O95" i="6"/>
  <c r="N95" i="6"/>
  <c r="H95" i="6"/>
  <c r="I95" i="6" s="1"/>
  <c r="G95" i="6"/>
  <c r="A95" i="6"/>
  <c r="S94" i="6"/>
  <c r="R94" i="6"/>
  <c r="Q94" i="6"/>
  <c r="P94" i="6"/>
  <c r="O94" i="6"/>
  <c r="N94" i="6"/>
  <c r="I94" i="6"/>
  <c r="H94" i="6"/>
  <c r="G94" i="6"/>
  <c r="S93" i="6"/>
  <c r="R93" i="6"/>
  <c r="Q93" i="6"/>
  <c r="P93" i="6"/>
  <c r="O93" i="6"/>
  <c r="N93" i="6"/>
  <c r="H93" i="6"/>
  <c r="I93" i="6" s="1"/>
  <c r="G93" i="6"/>
  <c r="S92" i="6"/>
  <c r="R92" i="6"/>
  <c r="Q92" i="6"/>
  <c r="P92" i="6"/>
  <c r="O92" i="6"/>
  <c r="N92" i="6"/>
  <c r="H92" i="6"/>
  <c r="G92" i="6"/>
  <c r="I92" i="6" s="1"/>
  <c r="S91" i="6"/>
  <c r="R91" i="6"/>
  <c r="Q91" i="6"/>
  <c r="P91" i="6"/>
  <c r="O91" i="6"/>
  <c r="N91" i="6"/>
  <c r="I91" i="6"/>
  <c r="H91" i="6"/>
  <c r="G91" i="6"/>
  <c r="S90" i="6"/>
  <c r="R90" i="6"/>
  <c r="Q90" i="6"/>
  <c r="P90" i="6"/>
  <c r="O90" i="6"/>
  <c r="N90" i="6"/>
  <c r="I90" i="6"/>
  <c r="H90" i="6"/>
  <c r="G90" i="6"/>
  <c r="S89" i="6"/>
  <c r="R89" i="6"/>
  <c r="Q89" i="6"/>
  <c r="P89" i="6"/>
  <c r="O89" i="6"/>
  <c r="N89" i="6"/>
  <c r="H89" i="6"/>
  <c r="I89" i="6" s="1"/>
  <c r="G89" i="6"/>
  <c r="S88" i="6"/>
  <c r="R88" i="6"/>
  <c r="Q88" i="6"/>
  <c r="P88" i="6"/>
  <c r="O88" i="6"/>
  <c r="N88" i="6"/>
  <c r="H88" i="6"/>
  <c r="G88" i="6"/>
  <c r="I88" i="6" s="1"/>
  <c r="S87" i="6"/>
  <c r="R87" i="6"/>
  <c r="Q87" i="6"/>
  <c r="P87" i="6"/>
  <c r="O87" i="6"/>
  <c r="N87" i="6"/>
  <c r="I87" i="6"/>
  <c r="H87" i="6"/>
  <c r="G87" i="6"/>
  <c r="S86" i="6"/>
  <c r="R86" i="6"/>
  <c r="Q86" i="6"/>
  <c r="P86" i="6"/>
  <c r="O86" i="6"/>
  <c r="N86" i="6"/>
  <c r="I86" i="6"/>
  <c r="H86" i="6"/>
  <c r="G86" i="6"/>
  <c r="S85" i="6"/>
  <c r="R85" i="6"/>
  <c r="Q85" i="6"/>
  <c r="P85" i="6"/>
  <c r="O85" i="6"/>
  <c r="N85" i="6"/>
  <c r="I85" i="6"/>
  <c r="H85" i="6"/>
  <c r="G85" i="6"/>
  <c r="V84" i="6"/>
  <c r="M84" i="6"/>
  <c r="Q84" i="6" s="1"/>
  <c r="L84" i="6"/>
  <c r="K84" i="6"/>
  <c r="J84" i="6"/>
  <c r="S84" i="6" s="1"/>
  <c r="F84" i="6"/>
  <c r="E84" i="6"/>
  <c r="W84" i="6" s="1"/>
  <c r="D84" i="6"/>
  <c r="A84" i="6"/>
  <c r="S83" i="6"/>
  <c r="R83" i="6"/>
  <c r="Q83" i="6"/>
  <c r="P83" i="6"/>
  <c r="O83" i="6"/>
  <c r="N83" i="6"/>
  <c r="I83" i="6"/>
  <c r="H83" i="6"/>
  <c r="G83" i="6"/>
  <c r="A83" i="6"/>
  <c r="S82" i="6"/>
  <c r="R82" i="6"/>
  <c r="Q82" i="6"/>
  <c r="P82" i="6"/>
  <c r="O82" i="6"/>
  <c r="N82" i="6"/>
  <c r="H82" i="6"/>
  <c r="G82" i="6"/>
  <c r="I82" i="6" s="1"/>
  <c r="S81" i="6"/>
  <c r="R81" i="6"/>
  <c r="Q81" i="6"/>
  <c r="P81" i="6"/>
  <c r="O81" i="6"/>
  <c r="N81" i="6"/>
  <c r="H81" i="6"/>
  <c r="I81" i="6" s="1"/>
  <c r="G81" i="6"/>
  <c r="S80" i="6"/>
  <c r="R80" i="6"/>
  <c r="Q80" i="6"/>
  <c r="P80" i="6"/>
  <c r="O80" i="6"/>
  <c r="N80" i="6"/>
  <c r="H80" i="6"/>
  <c r="I80" i="6" s="1"/>
  <c r="G80" i="6"/>
  <c r="S79" i="6"/>
  <c r="R79" i="6"/>
  <c r="Q79" i="6"/>
  <c r="P79" i="6"/>
  <c r="O79" i="6"/>
  <c r="N79" i="6"/>
  <c r="H79" i="6"/>
  <c r="I79" i="6" s="1"/>
  <c r="G79" i="6"/>
  <c r="S78" i="6"/>
  <c r="R78" i="6"/>
  <c r="Q78" i="6"/>
  <c r="P78" i="6"/>
  <c r="O78" i="6"/>
  <c r="N78" i="6"/>
  <c r="H78" i="6"/>
  <c r="G78" i="6"/>
  <c r="I78" i="6" s="1"/>
  <c r="S77" i="6"/>
  <c r="R77" i="6"/>
  <c r="Q77" i="6"/>
  <c r="P77" i="6"/>
  <c r="O77" i="6"/>
  <c r="N77" i="6"/>
  <c r="I77" i="6"/>
  <c r="H77" i="6"/>
  <c r="G77" i="6"/>
  <c r="S76" i="6"/>
  <c r="R76" i="6"/>
  <c r="Q76" i="6"/>
  <c r="P76" i="6"/>
  <c r="O76" i="6"/>
  <c r="N76" i="6"/>
  <c r="H76" i="6"/>
  <c r="G76" i="6"/>
  <c r="S75" i="6"/>
  <c r="R75" i="6"/>
  <c r="Q75" i="6"/>
  <c r="P75" i="6"/>
  <c r="O75" i="6"/>
  <c r="N75" i="6"/>
  <c r="H75" i="6"/>
  <c r="I75" i="6" s="1"/>
  <c r="G75" i="6"/>
  <c r="S74" i="6"/>
  <c r="R74" i="6"/>
  <c r="Q74" i="6"/>
  <c r="P74" i="6"/>
  <c r="O74" i="6"/>
  <c r="N74" i="6"/>
  <c r="H74" i="6"/>
  <c r="G74" i="6"/>
  <c r="I74" i="6" s="1"/>
  <c r="S73" i="6"/>
  <c r="R73" i="6"/>
  <c r="Q73" i="6"/>
  <c r="P73" i="6"/>
  <c r="O73" i="6"/>
  <c r="N73" i="6"/>
  <c r="H73" i="6"/>
  <c r="I73" i="6" s="1"/>
  <c r="G73" i="6"/>
  <c r="W72" i="6"/>
  <c r="M72" i="6"/>
  <c r="L72" i="6"/>
  <c r="S72" i="6" s="1"/>
  <c r="K72" i="6"/>
  <c r="J72" i="6"/>
  <c r="F72" i="6"/>
  <c r="E72" i="6"/>
  <c r="G72" i="6" s="1"/>
  <c r="D72" i="6"/>
  <c r="A72" i="6"/>
  <c r="S71" i="6"/>
  <c r="R71" i="6"/>
  <c r="Q71" i="6"/>
  <c r="P71" i="6"/>
  <c r="O71" i="6"/>
  <c r="N71" i="6"/>
  <c r="H71" i="6"/>
  <c r="I71" i="6" s="1"/>
  <c r="G71" i="6"/>
  <c r="A71" i="6"/>
  <c r="S70" i="6"/>
  <c r="R70" i="6"/>
  <c r="Q70" i="6"/>
  <c r="P70" i="6"/>
  <c r="O70" i="6"/>
  <c r="N70" i="6"/>
  <c r="H70" i="6"/>
  <c r="I70" i="6" s="1"/>
  <c r="G70" i="6"/>
  <c r="S69" i="6"/>
  <c r="R69" i="6"/>
  <c r="Q69" i="6"/>
  <c r="P69" i="6"/>
  <c r="O69" i="6"/>
  <c r="N69" i="6"/>
  <c r="I69" i="6"/>
  <c r="H69" i="6"/>
  <c r="G69" i="6"/>
  <c r="S68" i="6"/>
  <c r="R68" i="6"/>
  <c r="Q68" i="6"/>
  <c r="P68" i="6"/>
  <c r="O68" i="6"/>
  <c r="N68" i="6"/>
  <c r="H68" i="6"/>
  <c r="G68" i="6"/>
  <c r="S67" i="6"/>
  <c r="R67" i="6"/>
  <c r="Q67" i="6"/>
  <c r="P67" i="6"/>
  <c r="O67" i="6"/>
  <c r="N67" i="6"/>
  <c r="H67" i="6"/>
  <c r="I67" i="6" s="1"/>
  <c r="G67" i="6"/>
  <c r="S66" i="6"/>
  <c r="R66" i="6"/>
  <c r="Q66" i="6"/>
  <c r="P66" i="6"/>
  <c r="O66" i="6"/>
  <c r="N66" i="6"/>
  <c r="H66" i="6"/>
  <c r="I66" i="6" s="1"/>
  <c r="G66" i="6"/>
  <c r="S65" i="6"/>
  <c r="R65" i="6"/>
  <c r="Q65" i="6"/>
  <c r="P65" i="6"/>
  <c r="O65" i="6"/>
  <c r="N65" i="6"/>
  <c r="I65" i="6"/>
  <c r="H65" i="6"/>
  <c r="G65" i="6"/>
  <c r="S64" i="6"/>
  <c r="R64" i="6"/>
  <c r="Q64" i="6"/>
  <c r="P64" i="6"/>
  <c r="O64" i="6"/>
  <c r="N64" i="6"/>
  <c r="H64" i="6"/>
  <c r="I64" i="6" s="1"/>
  <c r="G64" i="6"/>
  <c r="S63" i="6"/>
  <c r="R63" i="6"/>
  <c r="Q63" i="6"/>
  <c r="P63" i="6"/>
  <c r="O63" i="6"/>
  <c r="N63" i="6"/>
  <c r="H63" i="6"/>
  <c r="I63" i="6" s="1"/>
  <c r="G63" i="6"/>
  <c r="S62" i="6"/>
  <c r="R62" i="6"/>
  <c r="Q62" i="6"/>
  <c r="P62" i="6"/>
  <c r="O62" i="6"/>
  <c r="N62" i="6"/>
  <c r="H62" i="6"/>
  <c r="I62" i="6" s="1"/>
  <c r="G62" i="6"/>
  <c r="S61" i="6"/>
  <c r="R61" i="6"/>
  <c r="Q61" i="6"/>
  <c r="P61" i="6"/>
  <c r="O61" i="6"/>
  <c r="N61" i="6"/>
  <c r="I61" i="6"/>
  <c r="H61" i="6"/>
  <c r="G61" i="6"/>
  <c r="S60" i="6"/>
  <c r="P60" i="6"/>
  <c r="O60" i="6"/>
  <c r="N60" i="6"/>
  <c r="M60" i="6"/>
  <c r="L60" i="6"/>
  <c r="K60" i="6"/>
  <c r="J60" i="6"/>
  <c r="F60" i="6"/>
  <c r="E60" i="6"/>
  <c r="D60" i="6"/>
  <c r="A60" i="6"/>
  <c r="S59" i="6"/>
  <c r="R59" i="6"/>
  <c r="Q59" i="6"/>
  <c r="P59" i="6"/>
  <c r="O59" i="6"/>
  <c r="N59" i="6"/>
  <c r="H59" i="6"/>
  <c r="I59" i="6" s="1"/>
  <c r="G59" i="6"/>
  <c r="A59" i="6"/>
  <c r="S58" i="6"/>
  <c r="R58" i="6"/>
  <c r="Q58" i="6"/>
  <c r="P58" i="6"/>
  <c r="O58" i="6"/>
  <c r="N58" i="6"/>
  <c r="I58" i="6"/>
  <c r="H58" i="6"/>
  <c r="G58" i="6"/>
  <c r="S57" i="6"/>
  <c r="R57" i="6"/>
  <c r="Q57" i="6"/>
  <c r="P57" i="6"/>
  <c r="O57" i="6"/>
  <c r="N57" i="6"/>
  <c r="I57" i="6"/>
  <c r="H57" i="6"/>
  <c r="G57" i="6"/>
  <c r="S56" i="6"/>
  <c r="R56" i="6"/>
  <c r="Q56" i="6"/>
  <c r="P56" i="6"/>
  <c r="O56" i="6"/>
  <c r="N56" i="6"/>
  <c r="H56" i="6"/>
  <c r="G56" i="6"/>
  <c r="S55" i="6"/>
  <c r="R55" i="6"/>
  <c r="Q55" i="6"/>
  <c r="P55" i="6"/>
  <c r="O55" i="6"/>
  <c r="N55" i="6"/>
  <c r="H55" i="6"/>
  <c r="G55" i="6"/>
  <c r="I55" i="6" s="1"/>
  <c r="S54" i="6"/>
  <c r="R54" i="6"/>
  <c r="Q54" i="6"/>
  <c r="P54" i="6"/>
  <c r="O54" i="6"/>
  <c r="N54" i="6"/>
  <c r="I54" i="6"/>
  <c r="H54" i="6"/>
  <c r="G54" i="6"/>
  <c r="S53" i="6"/>
  <c r="R53" i="6"/>
  <c r="Q53" i="6"/>
  <c r="P53" i="6"/>
  <c r="O53" i="6"/>
  <c r="N53" i="6"/>
  <c r="I53" i="6"/>
  <c r="H53" i="6"/>
  <c r="G53" i="6"/>
  <c r="S52" i="6"/>
  <c r="R52" i="6"/>
  <c r="Q52" i="6"/>
  <c r="P52" i="6"/>
  <c r="O52" i="6"/>
  <c r="N52" i="6"/>
  <c r="H52" i="6"/>
  <c r="G52" i="6"/>
  <c r="S51" i="6"/>
  <c r="R51" i="6"/>
  <c r="Q51" i="6"/>
  <c r="P51" i="6"/>
  <c r="O51" i="6"/>
  <c r="N51" i="6"/>
  <c r="H51" i="6"/>
  <c r="G51" i="6"/>
  <c r="I51" i="6" s="1"/>
  <c r="S50" i="6"/>
  <c r="R50" i="6"/>
  <c r="Q50" i="6"/>
  <c r="P50" i="6"/>
  <c r="O50" i="6"/>
  <c r="N50" i="6"/>
  <c r="I50" i="6"/>
  <c r="H50" i="6"/>
  <c r="G50" i="6"/>
  <c r="S49" i="6"/>
  <c r="R49" i="6"/>
  <c r="Q49" i="6"/>
  <c r="P49" i="6"/>
  <c r="O49" i="6"/>
  <c r="N49" i="6"/>
  <c r="I49" i="6"/>
  <c r="H49" i="6"/>
  <c r="G49" i="6"/>
  <c r="S48" i="6"/>
  <c r="O48" i="6"/>
  <c r="N48" i="6"/>
  <c r="M48" i="6"/>
  <c r="L48" i="6"/>
  <c r="K48" i="6"/>
  <c r="J48" i="6"/>
  <c r="H48" i="6"/>
  <c r="F48" i="6"/>
  <c r="E48" i="6"/>
  <c r="U509" i="6" s="1"/>
  <c r="D48" i="6"/>
  <c r="T168" i="6" s="1"/>
  <c r="A48" i="6"/>
  <c r="S47" i="6"/>
  <c r="R47" i="6"/>
  <c r="Q47" i="6"/>
  <c r="P47" i="6"/>
  <c r="O47" i="6"/>
  <c r="N47" i="6"/>
  <c r="I47" i="6"/>
  <c r="H47" i="6"/>
  <c r="G47" i="6"/>
  <c r="A47" i="6"/>
  <c r="S46" i="6"/>
  <c r="R46" i="6"/>
  <c r="Q46" i="6"/>
  <c r="P46" i="6"/>
  <c r="O46" i="6"/>
  <c r="N46" i="6"/>
  <c r="H46" i="6"/>
  <c r="I46" i="6" s="1"/>
  <c r="G46" i="6"/>
  <c r="S45" i="6"/>
  <c r="R45" i="6"/>
  <c r="Q45" i="6"/>
  <c r="P45" i="6"/>
  <c r="O45" i="6"/>
  <c r="N45" i="6"/>
  <c r="H45" i="6"/>
  <c r="G45" i="6"/>
  <c r="I45" i="6" s="1"/>
  <c r="S44" i="6"/>
  <c r="R44" i="6"/>
  <c r="Q44" i="6"/>
  <c r="P44" i="6"/>
  <c r="O44" i="6"/>
  <c r="N44" i="6"/>
  <c r="H44" i="6"/>
  <c r="I44" i="6" s="1"/>
  <c r="G44" i="6"/>
  <c r="S43" i="6"/>
  <c r="R43" i="6"/>
  <c r="Q43" i="6"/>
  <c r="P43" i="6"/>
  <c r="O43" i="6"/>
  <c r="N43" i="6"/>
  <c r="H43" i="6"/>
  <c r="G43" i="6"/>
  <c r="S42" i="6"/>
  <c r="R42" i="6"/>
  <c r="Q42" i="6"/>
  <c r="P42" i="6"/>
  <c r="O42" i="6"/>
  <c r="N42" i="6"/>
  <c r="H42" i="6"/>
  <c r="I42" i="6" s="1"/>
  <c r="G42" i="6"/>
  <c r="S41" i="6"/>
  <c r="R41" i="6"/>
  <c r="R48" i="6" s="1"/>
  <c r="Q41" i="6"/>
  <c r="P41" i="6"/>
  <c r="O41" i="6"/>
  <c r="N41" i="6"/>
  <c r="H41" i="6"/>
  <c r="G41" i="6"/>
  <c r="I41" i="6" s="1"/>
  <c r="S40" i="6"/>
  <c r="R40" i="6"/>
  <c r="Q40" i="6"/>
  <c r="P40" i="6"/>
  <c r="O40" i="6"/>
  <c r="N40" i="6"/>
  <c r="H40" i="6"/>
  <c r="I40" i="6" s="1"/>
  <c r="G40" i="6"/>
  <c r="S39" i="6"/>
  <c r="R39" i="6"/>
  <c r="Q39" i="6"/>
  <c r="P39" i="6"/>
  <c r="O39" i="6"/>
  <c r="N39" i="6"/>
  <c r="H39" i="6"/>
  <c r="G39" i="6"/>
  <c r="S38" i="6"/>
  <c r="R38" i="6"/>
  <c r="Q38" i="6"/>
  <c r="P38" i="6"/>
  <c r="O38" i="6"/>
  <c r="N38" i="6"/>
  <c r="H38" i="6"/>
  <c r="I38" i="6" s="1"/>
  <c r="G38" i="6"/>
  <c r="S37" i="6"/>
  <c r="R37" i="6"/>
  <c r="Q37" i="6"/>
  <c r="P37" i="6"/>
  <c r="O37" i="6"/>
  <c r="N37" i="6"/>
  <c r="H37" i="6"/>
  <c r="G37" i="6"/>
  <c r="I37" i="6" s="1"/>
  <c r="S36" i="6"/>
  <c r="O36" i="6"/>
  <c r="N36" i="6"/>
  <c r="M36" i="6"/>
  <c r="L36" i="6"/>
  <c r="K36" i="6"/>
  <c r="J36" i="6"/>
  <c r="F36" i="6"/>
  <c r="E36" i="6"/>
  <c r="W36" i="6" s="1"/>
  <c r="D36" i="6"/>
  <c r="P36" i="6" s="1"/>
  <c r="A36" i="6"/>
  <c r="S35" i="6"/>
  <c r="R35" i="6"/>
  <c r="Q35" i="6"/>
  <c r="P35" i="6"/>
  <c r="O35" i="6"/>
  <c r="N35" i="6"/>
  <c r="H35" i="6"/>
  <c r="I35" i="6" s="1"/>
  <c r="G35" i="6"/>
  <c r="A35" i="6"/>
  <c r="S34" i="6"/>
  <c r="R34" i="6"/>
  <c r="Q34" i="6"/>
  <c r="P34" i="6"/>
  <c r="O34" i="6"/>
  <c r="N34" i="6"/>
  <c r="H34" i="6"/>
  <c r="I34" i="6" s="1"/>
  <c r="G34" i="6"/>
  <c r="S33" i="6"/>
  <c r="R33" i="6"/>
  <c r="Q33" i="6"/>
  <c r="P33" i="6"/>
  <c r="O33" i="6"/>
  <c r="N33" i="6"/>
  <c r="H33" i="6"/>
  <c r="I33" i="6" s="1"/>
  <c r="G33" i="6"/>
  <c r="S32" i="6"/>
  <c r="R32" i="6"/>
  <c r="Q32" i="6"/>
  <c r="P32" i="6"/>
  <c r="O32" i="6"/>
  <c r="N32" i="6"/>
  <c r="I32" i="6"/>
  <c r="H32" i="6"/>
  <c r="G32" i="6"/>
  <c r="S31" i="6"/>
  <c r="R31" i="6"/>
  <c r="Q31" i="6"/>
  <c r="P31" i="6"/>
  <c r="O31" i="6"/>
  <c r="N31" i="6"/>
  <c r="H31" i="6"/>
  <c r="G31" i="6"/>
  <c r="S30" i="6"/>
  <c r="R30" i="6"/>
  <c r="Q30" i="6"/>
  <c r="P30" i="6"/>
  <c r="O30" i="6"/>
  <c r="N30" i="6"/>
  <c r="H30" i="6"/>
  <c r="I30" i="6" s="1"/>
  <c r="G30" i="6"/>
  <c r="S29" i="6"/>
  <c r="R29" i="6"/>
  <c r="Q29" i="6"/>
  <c r="P29" i="6"/>
  <c r="O29" i="6"/>
  <c r="N29" i="6"/>
  <c r="H29" i="6"/>
  <c r="I29" i="6" s="1"/>
  <c r="G29" i="6"/>
  <c r="S28" i="6"/>
  <c r="R28" i="6"/>
  <c r="Q28" i="6"/>
  <c r="P28" i="6"/>
  <c r="O28" i="6"/>
  <c r="N28" i="6"/>
  <c r="I28" i="6"/>
  <c r="H28" i="6"/>
  <c r="G28" i="6"/>
  <c r="S27" i="6"/>
  <c r="R27" i="6"/>
  <c r="Q27" i="6"/>
  <c r="P27" i="6"/>
  <c r="O27" i="6"/>
  <c r="N27" i="6"/>
  <c r="I27" i="6"/>
  <c r="H27" i="6"/>
  <c r="G27" i="6"/>
  <c r="S26" i="6"/>
  <c r="R26" i="6"/>
  <c r="Q26" i="6"/>
  <c r="P26" i="6"/>
  <c r="O26" i="6"/>
  <c r="N26" i="6"/>
  <c r="H26" i="6"/>
  <c r="I26" i="6" s="1"/>
  <c r="G26" i="6"/>
  <c r="S25" i="6"/>
  <c r="R25" i="6"/>
  <c r="Q25" i="6"/>
  <c r="P25" i="6"/>
  <c r="O25" i="6"/>
  <c r="N25" i="6"/>
  <c r="H25" i="6"/>
  <c r="I25" i="6" s="1"/>
  <c r="G25" i="6"/>
  <c r="V24" i="6"/>
  <c r="T24" i="6"/>
  <c r="R24" i="6"/>
  <c r="Q24" i="6"/>
  <c r="M24" i="6"/>
  <c r="L24" i="6"/>
  <c r="K24" i="6"/>
  <c r="J24" i="6"/>
  <c r="H24" i="6"/>
  <c r="F24" i="6"/>
  <c r="E24" i="6"/>
  <c r="D24" i="6"/>
  <c r="A24" i="6"/>
  <c r="S23" i="6"/>
  <c r="R23" i="6"/>
  <c r="Q23" i="6"/>
  <c r="P23" i="6"/>
  <c r="O23" i="6"/>
  <c r="N23" i="6"/>
  <c r="I23" i="6"/>
  <c r="H23" i="6"/>
  <c r="G23" i="6"/>
  <c r="A23" i="6"/>
  <c r="S22" i="6"/>
  <c r="R22" i="6"/>
  <c r="Q22" i="6"/>
  <c r="P22" i="6"/>
  <c r="O22" i="6"/>
  <c r="N22" i="6"/>
  <c r="H22" i="6"/>
  <c r="G22" i="6"/>
  <c r="I22" i="6" s="1"/>
  <c r="S21" i="6"/>
  <c r="R21" i="6"/>
  <c r="Q21" i="6"/>
  <c r="P21" i="6"/>
  <c r="O21" i="6"/>
  <c r="N21" i="6"/>
  <c r="I21" i="6"/>
  <c r="H21" i="6"/>
  <c r="G21" i="6"/>
  <c r="S20" i="6"/>
  <c r="R20" i="6"/>
  <c r="Q20" i="6"/>
  <c r="P20" i="6"/>
  <c r="O20" i="6"/>
  <c r="N20" i="6"/>
  <c r="I20" i="6"/>
  <c r="H20" i="6"/>
  <c r="G20" i="6"/>
  <c r="S19" i="6"/>
  <c r="R19" i="6"/>
  <c r="Q19" i="6"/>
  <c r="P19" i="6"/>
  <c r="O19" i="6"/>
  <c r="N19" i="6"/>
  <c r="H19" i="6"/>
  <c r="I19" i="6" s="1"/>
  <c r="G19" i="6"/>
  <c r="S18" i="6"/>
  <c r="R18" i="6"/>
  <c r="Q18" i="6"/>
  <c r="P18" i="6"/>
  <c r="O18" i="6"/>
  <c r="N18" i="6"/>
  <c r="H18" i="6"/>
  <c r="G18" i="6"/>
  <c r="I18" i="6" s="1"/>
  <c r="S17" i="6"/>
  <c r="R17" i="6"/>
  <c r="Q17" i="6"/>
  <c r="P17" i="6"/>
  <c r="O17" i="6"/>
  <c r="N17" i="6"/>
  <c r="I17" i="6"/>
  <c r="H17" i="6"/>
  <c r="G17" i="6"/>
  <c r="S16" i="6"/>
  <c r="R16" i="6"/>
  <c r="Q16" i="6"/>
  <c r="P16" i="6"/>
  <c r="O16" i="6"/>
  <c r="N16" i="6"/>
  <c r="I16" i="6"/>
  <c r="H16" i="6"/>
  <c r="G16" i="6"/>
  <c r="S15" i="6"/>
  <c r="R15" i="6"/>
  <c r="Q15" i="6"/>
  <c r="P15" i="6"/>
  <c r="O15" i="6"/>
  <c r="N15" i="6"/>
  <c r="H15" i="6"/>
  <c r="I15" i="6" s="1"/>
  <c r="G15" i="6"/>
  <c r="S14" i="6"/>
  <c r="R14" i="6"/>
  <c r="Q14" i="6"/>
  <c r="P14" i="6"/>
  <c r="O14" i="6"/>
  <c r="N14" i="6"/>
  <c r="H14" i="6"/>
  <c r="G14" i="6"/>
  <c r="I14" i="6" s="1"/>
  <c r="S13" i="6"/>
  <c r="R13" i="6"/>
  <c r="Q13" i="6"/>
  <c r="P13" i="6"/>
  <c r="O13" i="6"/>
  <c r="N13" i="6"/>
  <c r="I13" i="6"/>
  <c r="H13" i="6"/>
  <c r="G13" i="6"/>
  <c r="K9" i="6"/>
  <c r="S8" i="6"/>
  <c r="S9" i="6" s="1"/>
  <c r="N8" i="6"/>
  <c r="N9" i="6" s="1"/>
  <c r="K8" i="6"/>
  <c r="S4" i="6"/>
  <c r="S5" i="6" s="1"/>
  <c r="N4" i="6"/>
  <c r="N5" i="6" s="1"/>
  <c r="K4" i="6"/>
  <c r="K5" i="6" s="1"/>
  <c r="Y2" i="6"/>
  <c r="X2" i="6"/>
  <c r="X982" i="5"/>
  <c r="W982" i="5"/>
  <c r="V982" i="5"/>
  <c r="U982" i="5"/>
  <c r="S982" i="5"/>
  <c r="N982" i="5"/>
  <c r="M982" i="5"/>
  <c r="L982" i="5"/>
  <c r="K982" i="5"/>
  <c r="I982" i="5"/>
  <c r="G982" i="5"/>
  <c r="F982" i="5"/>
  <c r="D982" i="5"/>
  <c r="A982" i="5"/>
  <c r="T981" i="5"/>
  <c r="R981" i="5"/>
  <c r="Q981" i="5"/>
  <c r="P981" i="5"/>
  <c r="O981" i="5"/>
  <c r="J981" i="5"/>
  <c r="I981" i="5"/>
  <c r="H981" i="5"/>
  <c r="T980" i="5"/>
  <c r="R980" i="5"/>
  <c r="Q980" i="5"/>
  <c r="P980" i="5"/>
  <c r="O980" i="5"/>
  <c r="J980" i="5"/>
  <c r="I980" i="5"/>
  <c r="H980" i="5"/>
  <c r="T979" i="5"/>
  <c r="R979" i="5"/>
  <c r="Q979" i="5"/>
  <c r="P979" i="5"/>
  <c r="O979" i="5"/>
  <c r="I979" i="5"/>
  <c r="H979" i="5"/>
  <c r="T978" i="5"/>
  <c r="R978" i="5"/>
  <c r="Q978" i="5"/>
  <c r="P978" i="5"/>
  <c r="O978" i="5"/>
  <c r="J978" i="5"/>
  <c r="I978" i="5"/>
  <c r="H978" i="5"/>
  <c r="T977" i="5"/>
  <c r="R977" i="5"/>
  <c r="Q977" i="5"/>
  <c r="P977" i="5"/>
  <c r="O977" i="5"/>
  <c r="J977" i="5"/>
  <c r="I977" i="5"/>
  <c r="H977" i="5"/>
  <c r="T976" i="5"/>
  <c r="R976" i="5"/>
  <c r="Q976" i="5"/>
  <c r="P976" i="5"/>
  <c r="O976" i="5"/>
  <c r="I976" i="5"/>
  <c r="H976" i="5"/>
  <c r="H982" i="5" s="1"/>
  <c r="W973" i="5"/>
  <c r="U973" i="5"/>
  <c r="T973" i="5"/>
  <c r="S973" i="5"/>
  <c r="R973" i="5"/>
  <c r="N973" i="5"/>
  <c r="P973" i="5" s="1"/>
  <c r="M973" i="5"/>
  <c r="L973" i="5"/>
  <c r="K973" i="5"/>
  <c r="G973" i="5"/>
  <c r="F973" i="5"/>
  <c r="D973" i="5"/>
  <c r="A973" i="5"/>
  <c r="T972" i="5"/>
  <c r="S972" i="5"/>
  <c r="R972" i="5"/>
  <c r="Q972" i="5"/>
  <c r="P972" i="5"/>
  <c r="O972" i="5"/>
  <c r="I972" i="5"/>
  <c r="H972" i="5"/>
  <c r="J972" i="5" s="1"/>
  <c r="A972" i="5"/>
  <c r="T971" i="5"/>
  <c r="S971" i="5"/>
  <c r="R971" i="5"/>
  <c r="Q971" i="5"/>
  <c r="P971" i="5"/>
  <c r="O971" i="5"/>
  <c r="J971" i="5"/>
  <c r="I971" i="5"/>
  <c r="H971" i="5"/>
  <c r="T970" i="5"/>
  <c r="S970" i="5"/>
  <c r="R970" i="5"/>
  <c r="Q970" i="5"/>
  <c r="P970" i="5"/>
  <c r="O970" i="5"/>
  <c r="I970" i="5"/>
  <c r="J970" i="5" s="1"/>
  <c r="H970" i="5"/>
  <c r="T969" i="5"/>
  <c r="S969" i="5"/>
  <c r="R969" i="5"/>
  <c r="Q969" i="5"/>
  <c r="P969" i="5"/>
  <c r="O969" i="5"/>
  <c r="J969" i="5"/>
  <c r="I969" i="5"/>
  <c r="H969" i="5"/>
  <c r="T968" i="5"/>
  <c r="S968" i="5"/>
  <c r="R968" i="5"/>
  <c r="Q968" i="5"/>
  <c r="P968" i="5"/>
  <c r="O968" i="5"/>
  <c r="I968" i="5"/>
  <c r="H968" i="5"/>
  <c r="J968" i="5" s="1"/>
  <c r="T967" i="5"/>
  <c r="S967" i="5"/>
  <c r="R967" i="5"/>
  <c r="Q967" i="5"/>
  <c r="P967" i="5"/>
  <c r="O967" i="5"/>
  <c r="J967" i="5"/>
  <c r="I967" i="5"/>
  <c r="H967" i="5"/>
  <c r="T966" i="5"/>
  <c r="S966" i="5"/>
  <c r="R966" i="5"/>
  <c r="Q966" i="5"/>
  <c r="P966" i="5"/>
  <c r="O966" i="5"/>
  <c r="J966" i="5"/>
  <c r="I966" i="5"/>
  <c r="H966" i="5"/>
  <c r="T965" i="5"/>
  <c r="S965" i="5"/>
  <c r="R965" i="5"/>
  <c r="Q965" i="5"/>
  <c r="P965" i="5"/>
  <c r="O965" i="5"/>
  <c r="J965" i="5"/>
  <c r="I965" i="5"/>
  <c r="H965" i="5"/>
  <c r="T964" i="5"/>
  <c r="S964" i="5"/>
  <c r="R964" i="5"/>
  <c r="Q964" i="5"/>
  <c r="P964" i="5"/>
  <c r="O964" i="5"/>
  <c r="I964" i="5"/>
  <c r="H964" i="5"/>
  <c r="J964" i="5" s="1"/>
  <c r="T963" i="5"/>
  <c r="S963" i="5"/>
  <c r="R963" i="5"/>
  <c r="Q963" i="5"/>
  <c r="P963" i="5"/>
  <c r="O963" i="5"/>
  <c r="J963" i="5"/>
  <c r="I963" i="5"/>
  <c r="H963" i="5"/>
  <c r="T962" i="5"/>
  <c r="S962" i="5"/>
  <c r="R962" i="5"/>
  <c r="Q962" i="5"/>
  <c r="P962" i="5"/>
  <c r="O962" i="5"/>
  <c r="J962" i="5"/>
  <c r="I962" i="5"/>
  <c r="H962" i="5"/>
  <c r="T961" i="5"/>
  <c r="S961" i="5"/>
  <c r="R961" i="5"/>
  <c r="Q961" i="5"/>
  <c r="P961" i="5"/>
  <c r="O961" i="5"/>
  <c r="J961" i="5"/>
  <c r="I961" i="5"/>
  <c r="H961" i="5"/>
  <c r="T960" i="5"/>
  <c r="S960" i="5"/>
  <c r="R960" i="5"/>
  <c r="Q960" i="5"/>
  <c r="P960" i="5"/>
  <c r="O960" i="5"/>
  <c r="I960" i="5"/>
  <c r="H960" i="5"/>
  <c r="J960" i="5" s="1"/>
  <c r="T959" i="5"/>
  <c r="S959" i="5"/>
  <c r="R959" i="5"/>
  <c r="Q959" i="5"/>
  <c r="P959" i="5"/>
  <c r="O959" i="5"/>
  <c r="J959" i="5"/>
  <c r="I959" i="5"/>
  <c r="H959" i="5"/>
  <c r="T958" i="5"/>
  <c r="S958" i="5"/>
  <c r="R958" i="5"/>
  <c r="Q958" i="5"/>
  <c r="P958" i="5"/>
  <c r="O958" i="5"/>
  <c r="J958" i="5"/>
  <c r="I958" i="5"/>
  <c r="H958" i="5"/>
  <c r="T957" i="5"/>
  <c r="S957" i="5"/>
  <c r="R957" i="5"/>
  <c r="Q957" i="5"/>
  <c r="P957" i="5"/>
  <c r="O957" i="5"/>
  <c r="J957" i="5"/>
  <c r="I957" i="5"/>
  <c r="H957" i="5"/>
  <c r="T956" i="5"/>
  <c r="S956" i="5"/>
  <c r="R956" i="5"/>
  <c r="Q956" i="5"/>
  <c r="P956" i="5"/>
  <c r="O956" i="5"/>
  <c r="I956" i="5"/>
  <c r="H956" i="5"/>
  <c r="J956" i="5" s="1"/>
  <c r="W955" i="5"/>
  <c r="T955" i="5"/>
  <c r="R955" i="5"/>
  <c r="P955" i="5"/>
  <c r="O955" i="5"/>
  <c r="N955" i="5"/>
  <c r="M955" i="5"/>
  <c r="L955" i="5"/>
  <c r="K955" i="5"/>
  <c r="Q955" i="5" s="1"/>
  <c r="I955" i="5"/>
  <c r="H955" i="5"/>
  <c r="G955" i="5"/>
  <c r="F955" i="5"/>
  <c r="D955" i="5"/>
  <c r="A955" i="5"/>
  <c r="T954" i="5"/>
  <c r="S954" i="5"/>
  <c r="R954" i="5"/>
  <c r="Q954" i="5"/>
  <c r="P954" i="5"/>
  <c r="O954" i="5"/>
  <c r="I954" i="5"/>
  <c r="J954" i="5" s="1"/>
  <c r="H954" i="5"/>
  <c r="A954" i="5"/>
  <c r="T953" i="5"/>
  <c r="S953" i="5"/>
  <c r="R953" i="5"/>
  <c r="Q953" i="5"/>
  <c r="P953" i="5"/>
  <c r="O953" i="5"/>
  <c r="I953" i="5"/>
  <c r="H953" i="5"/>
  <c r="J953" i="5" s="1"/>
  <c r="T952" i="5"/>
  <c r="S952" i="5"/>
  <c r="R952" i="5"/>
  <c r="Q952" i="5"/>
  <c r="P952" i="5"/>
  <c r="O952" i="5"/>
  <c r="I952" i="5"/>
  <c r="J952" i="5" s="1"/>
  <c r="H952" i="5"/>
  <c r="T951" i="5"/>
  <c r="S951" i="5"/>
  <c r="R951" i="5"/>
  <c r="Q951" i="5"/>
  <c r="P951" i="5"/>
  <c r="O951" i="5"/>
  <c r="I951" i="5"/>
  <c r="H951" i="5"/>
  <c r="T950" i="5"/>
  <c r="S950" i="5"/>
  <c r="R950" i="5"/>
  <c r="Q950" i="5"/>
  <c r="P950" i="5"/>
  <c r="O950" i="5"/>
  <c r="I950" i="5"/>
  <c r="J950" i="5" s="1"/>
  <c r="H950" i="5"/>
  <c r="T949" i="5"/>
  <c r="S949" i="5"/>
  <c r="R949" i="5"/>
  <c r="Q949" i="5"/>
  <c r="P949" i="5"/>
  <c r="O949" i="5"/>
  <c r="I949" i="5"/>
  <c r="H949" i="5"/>
  <c r="J949" i="5" s="1"/>
  <c r="T948" i="5"/>
  <c r="S948" i="5"/>
  <c r="R948" i="5"/>
  <c r="Q948" i="5"/>
  <c r="P948" i="5"/>
  <c r="O948" i="5"/>
  <c r="J948" i="5"/>
  <c r="I948" i="5"/>
  <c r="H948" i="5"/>
  <c r="T947" i="5"/>
  <c r="S947" i="5"/>
  <c r="R947" i="5"/>
  <c r="Q947" i="5"/>
  <c r="P947" i="5"/>
  <c r="O947" i="5"/>
  <c r="I947" i="5"/>
  <c r="J947" i="5" s="1"/>
  <c r="H947" i="5"/>
  <c r="T946" i="5"/>
  <c r="S946" i="5"/>
  <c r="R946" i="5"/>
  <c r="Q946" i="5"/>
  <c r="P946" i="5"/>
  <c r="O946" i="5"/>
  <c r="I946" i="5"/>
  <c r="J946" i="5" s="1"/>
  <c r="H946" i="5"/>
  <c r="T945" i="5"/>
  <c r="S945" i="5"/>
  <c r="R945" i="5"/>
  <c r="Q945" i="5"/>
  <c r="P945" i="5"/>
  <c r="O945" i="5"/>
  <c r="I945" i="5"/>
  <c r="H945" i="5"/>
  <c r="J945" i="5" s="1"/>
  <c r="T944" i="5"/>
  <c r="S944" i="5"/>
  <c r="R944" i="5"/>
  <c r="Q944" i="5"/>
  <c r="P944" i="5"/>
  <c r="O944" i="5"/>
  <c r="I944" i="5"/>
  <c r="J944" i="5" s="1"/>
  <c r="H944" i="5"/>
  <c r="T943" i="5"/>
  <c r="S943" i="5"/>
  <c r="R943" i="5"/>
  <c r="Q943" i="5"/>
  <c r="P943" i="5"/>
  <c r="O943" i="5"/>
  <c r="I943" i="5"/>
  <c r="H943" i="5"/>
  <c r="T942" i="5"/>
  <c r="S942" i="5"/>
  <c r="R942" i="5"/>
  <c r="Q942" i="5"/>
  <c r="P942" i="5"/>
  <c r="O942" i="5"/>
  <c r="J942" i="5"/>
  <c r="I942" i="5"/>
  <c r="H942" i="5"/>
  <c r="T941" i="5"/>
  <c r="S941" i="5"/>
  <c r="R941" i="5"/>
  <c r="Q941" i="5"/>
  <c r="P941" i="5"/>
  <c r="O941" i="5"/>
  <c r="I941" i="5"/>
  <c r="H941" i="5"/>
  <c r="J941" i="5" s="1"/>
  <c r="T940" i="5"/>
  <c r="S940" i="5"/>
  <c r="R940" i="5"/>
  <c r="Q940" i="5"/>
  <c r="P940" i="5"/>
  <c r="O940" i="5"/>
  <c r="I940" i="5"/>
  <c r="J940" i="5" s="1"/>
  <c r="H940" i="5"/>
  <c r="T939" i="5"/>
  <c r="S939" i="5"/>
  <c r="R939" i="5"/>
  <c r="Q939" i="5"/>
  <c r="P939" i="5"/>
  <c r="O939" i="5"/>
  <c r="I939" i="5"/>
  <c r="H939" i="5"/>
  <c r="T938" i="5"/>
  <c r="S938" i="5"/>
  <c r="R938" i="5"/>
  <c r="Q938" i="5"/>
  <c r="P938" i="5"/>
  <c r="O938" i="5"/>
  <c r="I938" i="5"/>
  <c r="H938" i="5"/>
  <c r="J938" i="5" s="1"/>
  <c r="W937" i="5"/>
  <c r="P937" i="5"/>
  <c r="O937" i="5"/>
  <c r="N937" i="5"/>
  <c r="R937" i="5" s="1"/>
  <c r="M937" i="5"/>
  <c r="L937" i="5"/>
  <c r="K937" i="5"/>
  <c r="Q937" i="5" s="1"/>
  <c r="I937" i="5"/>
  <c r="J937" i="5" s="1"/>
  <c r="H937" i="5"/>
  <c r="G937" i="5"/>
  <c r="F937" i="5"/>
  <c r="X937" i="5" s="1"/>
  <c r="D937" i="5"/>
  <c r="A937" i="5"/>
  <c r="T936" i="5"/>
  <c r="S936" i="5"/>
  <c r="R936" i="5"/>
  <c r="Q936" i="5"/>
  <c r="P936" i="5"/>
  <c r="O936" i="5"/>
  <c r="J936" i="5"/>
  <c r="I936" i="5"/>
  <c r="H936" i="5"/>
  <c r="A936" i="5"/>
  <c r="T935" i="5"/>
  <c r="S935" i="5"/>
  <c r="R935" i="5"/>
  <c r="Q935" i="5"/>
  <c r="P935" i="5"/>
  <c r="O935" i="5"/>
  <c r="I935" i="5"/>
  <c r="H935" i="5"/>
  <c r="J935" i="5" s="1"/>
  <c r="T934" i="5"/>
  <c r="S934" i="5"/>
  <c r="R934" i="5"/>
  <c r="Q934" i="5"/>
  <c r="P934" i="5"/>
  <c r="O934" i="5"/>
  <c r="I934" i="5"/>
  <c r="J934" i="5" s="1"/>
  <c r="H934" i="5"/>
  <c r="T933" i="5"/>
  <c r="S933" i="5"/>
  <c r="R933" i="5"/>
  <c r="Q933" i="5"/>
  <c r="P933" i="5"/>
  <c r="O933" i="5"/>
  <c r="I933" i="5"/>
  <c r="H933" i="5"/>
  <c r="T932" i="5"/>
  <c r="S932" i="5"/>
  <c r="R932" i="5"/>
  <c r="Q932" i="5"/>
  <c r="P932" i="5"/>
  <c r="O932" i="5"/>
  <c r="J932" i="5"/>
  <c r="I932" i="5"/>
  <c r="H932" i="5"/>
  <c r="T931" i="5"/>
  <c r="S931" i="5"/>
  <c r="R931" i="5"/>
  <c r="Q931" i="5"/>
  <c r="P931" i="5"/>
  <c r="O931" i="5"/>
  <c r="J931" i="5"/>
  <c r="I931" i="5"/>
  <c r="H931" i="5"/>
  <c r="T930" i="5"/>
  <c r="S930" i="5"/>
  <c r="R930" i="5"/>
  <c r="Q930" i="5"/>
  <c r="P930" i="5"/>
  <c r="O930" i="5"/>
  <c r="J930" i="5"/>
  <c r="I930" i="5"/>
  <c r="H930" i="5"/>
  <c r="T929" i="5"/>
  <c r="S929" i="5"/>
  <c r="R929" i="5"/>
  <c r="Q929" i="5"/>
  <c r="P929" i="5"/>
  <c r="O929" i="5"/>
  <c r="I929" i="5"/>
  <c r="J929" i="5" s="1"/>
  <c r="H929" i="5"/>
  <c r="T928" i="5"/>
  <c r="S928" i="5"/>
  <c r="R928" i="5"/>
  <c r="Q928" i="5"/>
  <c r="P928" i="5"/>
  <c r="O928" i="5"/>
  <c r="J928" i="5"/>
  <c r="I928" i="5"/>
  <c r="H928" i="5"/>
  <c r="T927" i="5"/>
  <c r="S927" i="5"/>
  <c r="R927" i="5"/>
  <c r="Q927" i="5"/>
  <c r="P927" i="5"/>
  <c r="O927" i="5"/>
  <c r="I927" i="5"/>
  <c r="J927" i="5" s="1"/>
  <c r="H927" i="5"/>
  <c r="T926" i="5"/>
  <c r="S926" i="5"/>
  <c r="R926" i="5"/>
  <c r="Q926" i="5"/>
  <c r="P926" i="5"/>
  <c r="O926" i="5"/>
  <c r="J926" i="5"/>
  <c r="I926" i="5"/>
  <c r="H926" i="5"/>
  <c r="T925" i="5"/>
  <c r="S925" i="5"/>
  <c r="R925" i="5"/>
  <c r="Q925" i="5"/>
  <c r="P925" i="5"/>
  <c r="O925" i="5"/>
  <c r="I925" i="5"/>
  <c r="H925" i="5"/>
  <c r="T924" i="5"/>
  <c r="S924" i="5"/>
  <c r="R924" i="5"/>
  <c r="Q924" i="5"/>
  <c r="P924" i="5"/>
  <c r="O924" i="5"/>
  <c r="J924" i="5"/>
  <c r="I924" i="5"/>
  <c r="H924" i="5"/>
  <c r="T923" i="5"/>
  <c r="S923" i="5"/>
  <c r="R923" i="5"/>
  <c r="Q923" i="5"/>
  <c r="P923" i="5"/>
  <c r="O923" i="5"/>
  <c r="I923" i="5"/>
  <c r="J923" i="5" s="1"/>
  <c r="H923" i="5"/>
  <c r="T922" i="5"/>
  <c r="S922" i="5"/>
  <c r="R922" i="5"/>
  <c r="Q922" i="5"/>
  <c r="P922" i="5"/>
  <c r="O922" i="5"/>
  <c r="I922" i="5"/>
  <c r="J922" i="5" s="1"/>
  <c r="H922" i="5"/>
  <c r="T921" i="5"/>
  <c r="S921" i="5"/>
  <c r="R921" i="5"/>
  <c r="Q921" i="5"/>
  <c r="P921" i="5"/>
  <c r="O921" i="5"/>
  <c r="I921" i="5"/>
  <c r="J921" i="5" s="1"/>
  <c r="H921" i="5"/>
  <c r="T920" i="5"/>
  <c r="S920" i="5"/>
  <c r="R920" i="5"/>
  <c r="Q920" i="5"/>
  <c r="P920" i="5"/>
  <c r="O920" i="5"/>
  <c r="J920" i="5"/>
  <c r="I920" i="5"/>
  <c r="H920" i="5"/>
  <c r="P919" i="5"/>
  <c r="N919" i="5"/>
  <c r="M919" i="5"/>
  <c r="L919" i="5"/>
  <c r="K919" i="5"/>
  <c r="T919" i="5" s="1"/>
  <c r="G919" i="5"/>
  <c r="F919" i="5"/>
  <c r="X919" i="5" s="1"/>
  <c r="D919" i="5"/>
  <c r="Q919" i="5" s="1"/>
  <c r="A919" i="5"/>
  <c r="T918" i="5"/>
  <c r="S918" i="5"/>
  <c r="R918" i="5"/>
  <c r="Q918" i="5"/>
  <c r="P918" i="5"/>
  <c r="O918" i="5"/>
  <c r="J918" i="5"/>
  <c r="I918" i="5"/>
  <c r="H918" i="5"/>
  <c r="A918" i="5"/>
  <c r="T917" i="5"/>
  <c r="S917" i="5"/>
  <c r="R917" i="5"/>
  <c r="Q917" i="5"/>
  <c r="P917" i="5"/>
  <c r="O917" i="5"/>
  <c r="I917" i="5"/>
  <c r="J917" i="5" s="1"/>
  <c r="H917" i="5"/>
  <c r="T916" i="5"/>
  <c r="S916" i="5"/>
  <c r="R916" i="5"/>
  <c r="Q916" i="5"/>
  <c r="P916" i="5"/>
  <c r="O916" i="5"/>
  <c r="I916" i="5"/>
  <c r="J916" i="5" s="1"/>
  <c r="H916" i="5"/>
  <c r="T915" i="5"/>
  <c r="S915" i="5"/>
  <c r="R915" i="5"/>
  <c r="Q915" i="5"/>
  <c r="P915" i="5"/>
  <c r="O915" i="5"/>
  <c r="I915" i="5"/>
  <c r="H915" i="5"/>
  <c r="T914" i="5"/>
  <c r="S914" i="5"/>
  <c r="R914" i="5"/>
  <c r="Q914" i="5"/>
  <c r="P914" i="5"/>
  <c r="O914" i="5"/>
  <c r="J914" i="5"/>
  <c r="I914" i="5"/>
  <c r="H914" i="5"/>
  <c r="T913" i="5"/>
  <c r="S913" i="5"/>
  <c r="R913" i="5"/>
  <c r="Q913" i="5"/>
  <c r="P913" i="5"/>
  <c r="O913" i="5"/>
  <c r="I913" i="5"/>
  <c r="H913" i="5"/>
  <c r="J913" i="5" s="1"/>
  <c r="T912" i="5"/>
  <c r="S912" i="5"/>
  <c r="R912" i="5"/>
  <c r="Q912" i="5"/>
  <c r="P912" i="5"/>
  <c r="O912" i="5"/>
  <c r="I912" i="5"/>
  <c r="J912" i="5" s="1"/>
  <c r="H912" i="5"/>
  <c r="T911" i="5"/>
  <c r="S911" i="5"/>
  <c r="R911" i="5"/>
  <c r="Q911" i="5"/>
  <c r="P911" i="5"/>
  <c r="O911" i="5"/>
  <c r="I911" i="5"/>
  <c r="H911" i="5"/>
  <c r="T910" i="5"/>
  <c r="S910" i="5"/>
  <c r="R910" i="5"/>
  <c r="Q910" i="5"/>
  <c r="P910" i="5"/>
  <c r="O910" i="5"/>
  <c r="J910" i="5"/>
  <c r="I910" i="5"/>
  <c r="H910" i="5"/>
  <c r="T909" i="5"/>
  <c r="S909" i="5"/>
  <c r="R909" i="5"/>
  <c r="Q909" i="5"/>
  <c r="P909" i="5"/>
  <c r="O909" i="5"/>
  <c r="J909" i="5"/>
  <c r="I909" i="5"/>
  <c r="H909" i="5"/>
  <c r="T908" i="5"/>
  <c r="S908" i="5"/>
  <c r="R908" i="5"/>
  <c r="Q908" i="5"/>
  <c r="P908" i="5"/>
  <c r="O908" i="5"/>
  <c r="I908" i="5"/>
  <c r="J908" i="5" s="1"/>
  <c r="H908" i="5"/>
  <c r="T907" i="5"/>
  <c r="S907" i="5"/>
  <c r="R907" i="5"/>
  <c r="Q907" i="5"/>
  <c r="P907" i="5"/>
  <c r="O907" i="5"/>
  <c r="I907" i="5"/>
  <c r="J907" i="5" s="1"/>
  <c r="H907" i="5"/>
  <c r="T906" i="5"/>
  <c r="S906" i="5"/>
  <c r="R906" i="5"/>
  <c r="Q906" i="5"/>
  <c r="P906" i="5"/>
  <c r="O906" i="5"/>
  <c r="J906" i="5"/>
  <c r="I906" i="5"/>
  <c r="H906" i="5"/>
  <c r="T905" i="5"/>
  <c r="S905" i="5"/>
  <c r="R905" i="5"/>
  <c r="Q905" i="5"/>
  <c r="P905" i="5"/>
  <c r="O905" i="5"/>
  <c r="I905" i="5"/>
  <c r="J905" i="5" s="1"/>
  <c r="H905" i="5"/>
  <c r="T904" i="5"/>
  <c r="S904" i="5"/>
  <c r="R904" i="5"/>
  <c r="Q904" i="5"/>
  <c r="P904" i="5"/>
  <c r="O904" i="5"/>
  <c r="I904" i="5"/>
  <c r="J904" i="5" s="1"/>
  <c r="H904" i="5"/>
  <c r="T903" i="5"/>
  <c r="S903" i="5"/>
  <c r="R903" i="5"/>
  <c r="Q903" i="5"/>
  <c r="P903" i="5"/>
  <c r="O903" i="5"/>
  <c r="I903" i="5"/>
  <c r="J903" i="5" s="1"/>
  <c r="H903" i="5"/>
  <c r="T902" i="5"/>
  <c r="S902" i="5"/>
  <c r="R902" i="5"/>
  <c r="Q902" i="5"/>
  <c r="P902" i="5"/>
  <c r="O902" i="5"/>
  <c r="J902" i="5"/>
  <c r="I902" i="5"/>
  <c r="H902" i="5"/>
  <c r="T901" i="5"/>
  <c r="P901" i="5"/>
  <c r="O901" i="5"/>
  <c r="N901" i="5"/>
  <c r="M901" i="5"/>
  <c r="L901" i="5"/>
  <c r="K901" i="5"/>
  <c r="H901" i="5"/>
  <c r="G901" i="5"/>
  <c r="F901" i="5"/>
  <c r="X901" i="5" s="1"/>
  <c r="D901" i="5"/>
  <c r="Q901" i="5" s="1"/>
  <c r="A901" i="5"/>
  <c r="T900" i="5"/>
  <c r="S900" i="5"/>
  <c r="R900" i="5"/>
  <c r="Q900" i="5"/>
  <c r="P900" i="5"/>
  <c r="O900" i="5"/>
  <c r="I900" i="5"/>
  <c r="J900" i="5" s="1"/>
  <c r="H900" i="5"/>
  <c r="A900" i="5"/>
  <c r="T899" i="5"/>
  <c r="S899" i="5"/>
  <c r="R899" i="5"/>
  <c r="Q899" i="5"/>
  <c r="P899" i="5"/>
  <c r="O899" i="5"/>
  <c r="I899" i="5"/>
  <c r="J899" i="5" s="1"/>
  <c r="H899" i="5"/>
  <c r="T898" i="5"/>
  <c r="S898" i="5"/>
  <c r="R898" i="5"/>
  <c r="Q898" i="5"/>
  <c r="P898" i="5"/>
  <c r="O898" i="5"/>
  <c r="I898" i="5"/>
  <c r="H898" i="5"/>
  <c r="T897" i="5"/>
  <c r="S897" i="5"/>
  <c r="R897" i="5"/>
  <c r="Q897" i="5"/>
  <c r="P897" i="5"/>
  <c r="O897" i="5"/>
  <c r="I897" i="5"/>
  <c r="H897" i="5"/>
  <c r="T896" i="5"/>
  <c r="S896" i="5"/>
  <c r="R896" i="5"/>
  <c r="Q896" i="5"/>
  <c r="P896" i="5"/>
  <c r="O896" i="5"/>
  <c r="I896" i="5"/>
  <c r="H896" i="5"/>
  <c r="J896" i="5" s="1"/>
  <c r="T895" i="5"/>
  <c r="S895" i="5"/>
  <c r="R895" i="5"/>
  <c r="Q895" i="5"/>
  <c r="P895" i="5"/>
  <c r="O895" i="5"/>
  <c r="J895" i="5"/>
  <c r="I895" i="5"/>
  <c r="H895" i="5"/>
  <c r="T894" i="5"/>
  <c r="S894" i="5"/>
  <c r="R894" i="5"/>
  <c r="Q894" i="5"/>
  <c r="P894" i="5"/>
  <c r="O894" i="5"/>
  <c r="I894" i="5"/>
  <c r="J894" i="5" s="1"/>
  <c r="H894" i="5"/>
  <c r="T893" i="5"/>
  <c r="S893" i="5"/>
  <c r="R893" i="5"/>
  <c r="Q893" i="5"/>
  <c r="P893" i="5"/>
  <c r="O893" i="5"/>
  <c r="I893" i="5"/>
  <c r="H893" i="5"/>
  <c r="J893" i="5" s="1"/>
  <c r="T892" i="5"/>
  <c r="S892" i="5"/>
  <c r="R892" i="5"/>
  <c r="Q892" i="5"/>
  <c r="P892" i="5"/>
  <c r="O892" i="5"/>
  <c r="I892" i="5"/>
  <c r="H892" i="5"/>
  <c r="J892" i="5" s="1"/>
  <c r="T891" i="5"/>
  <c r="S891" i="5"/>
  <c r="R891" i="5"/>
  <c r="Q891" i="5"/>
  <c r="P891" i="5"/>
  <c r="O891" i="5"/>
  <c r="J891" i="5"/>
  <c r="I891" i="5"/>
  <c r="H891" i="5"/>
  <c r="T890" i="5"/>
  <c r="S890" i="5"/>
  <c r="R890" i="5"/>
  <c r="Q890" i="5"/>
  <c r="P890" i="5"/>
  <c r="O890" i="5"/>
  <c r="I890" i="5"/>
  <c r="J890" i="5" s="1"/>
  <c r="H890" i="5"/>
  <c r="T889" i="5"/>
  <c r="S889" i="5"/>
  <c r="R889" i="5"/>
  <c r="Q889" i="5"/>
  <c r="P889" i="5"/>
  <c r="O889" i="5"/>
  <c r="J889" i="5"/>
  <c r="I889" i="5"/>
  <c r="H889" i="5"/>
  <c r="T888" i="5"/>
  <c r="S888" i="5"/>
  <c r="R888" i="5"/>
  <c r="Q888" i="5"/>
  <c r="P888" i="5"/>
  <c r="O888" i="5"/>
  <c r="I888" i="5"/>
  <c r="H888" i="5"/>
  <c r="J888" i="5" s="1"/>
  <c r="T887" i="5"/>
  <c r="S887" i="5"/>
  <c r="R887" i="5"/>
  <c r="Q887" i="5"/>
  <c r="P887" i="5"/>
  <c r="O887" i="5"/>
  <c r="I887" i="5"/>
  <c r="J887" i="5" s="1"/>
  <c r="H887" i="5"/>
  <c r="T886" i="5"/>
  <c r="S886" i="5"/>
  <c r="R886" i="5"/>
  <c r="Q886" i="5"/>
  <c r="P886" i="5"/>
  <c r="O886" i="5"/>
  <c r="I886" i="5"/>
  <c r="J886" i="5" s="1"/>
  <c r="H886" i="5"/>
  <c r="T885" i="5"/>
  <c r="S885" i="5"/>
  <c r="R885" i="5"/>
  <c r="Q885" i="5"/>
  <c r="P885" i="5"/>
  <c r="O885" i="5"/>
  <c r="I885" i="5"/>
  <c r="H885" i="5"/>
  <c r="T884" i="5"/>
  <c r="S884" i="5"/>
  <c r="R884" i="5"/>
  <c r="Q884" i="5"/>
  <c r="P884" i="5"/>
  <c r="O884" i="5"/>
  <c r="J884" i="5"/>
  <c r="I884" i="5"/>
  <c r="H884" i="5"/>
  <c r="W883" i="5"/>
  <c r="R883" i="5"/>
  <c r="P883" i="5"/>
  <c r="O883" i="5"/>
  <c r="N883" i="5"/>
  <c r="M883" i="5"/>
  <c r="L883" i="5"/>
  <c r="K883" i="5"/>
  <c r="T883" i="5" s="1"/>
  <c r="H883" i="5"/>
  <c r="G883" i="5"/>
  <c r="F883" i="5"/>
  <c r="X883" i="5" s="1"/>
  <c r="D883" i="5"/>
  <c r="A883" i="5"/>
  <c r="T882" i="5"/>
  <c r="S882" i="5"/>
  <c r="R882" i="5"/>
  <c r="Q882" i="5"/>
  <c r="P882" i="5"/>
  <c r="O882" i="5"/>
  <c r="I882" i="5"/>
  <c r="J882" i="5" s="1"/>
  <c r="H882" i="5"/>
  <c r="A882" i="5"/>
  <c r="T881" i="5"/>
  <c r="S881" i="5"/>
  <c r="R881" i="5"/>
  <c r="Q881" i="5"/>
  <c r="P881" i="5"/>
  <c r="O881" i="5"/>
  <c r="I881" i="5"/>
  <c r="J881" i="5" s="1"/>
  <c r="H881" i="5"/>
  <c r="T880" i="5"/>
  <c r="S880" i="5"/>
  <c r="R880" i="5"/>
  <c r="Q880" i="5"/>
  <c r="P880" i="5"/>
  <c r="O880" i="5"/>
  <c r="I880" i="5"/>
  <c r="H880" i="5"/>
  <c r="T879" i="5"/>
  <c r="S879" i="5"/>
  <c r="R879" i="5"/>
  <c r="Q879" i="5"/>
  <c r="P879" i="5"/>
  <c r="O879" i="5"/>
  <c r="I879" i="5"/>
  <c r="H879" i="5"/>
  <c r="T878" i="5"/>
  <c r="S878" i="5"/>
  <c r="R878" i="5"/>
  <c r="Q878" i="5"/>
  <c r="P878" i="5"/>
  <c r="O878" i="5"/>
  <c r="I878" i="5"/>
  <c r="J878" i="5" s="1"/>
  <c r="H878" i="5"/>
  <c r="T877" i="5"/>
  <c r="S877" i="5"/>
  <c r="R877" i="5"/>
  <c r="Q877" i="5"/>
  <c r="P877" i="5"/>
  <c r="O877" i="5"/>
  <c r="J877" i="5"/>
  <c r="I877" i="5"/>
  <c r="H877" i="5"/>
  <c r="T876" i="5"/>
  <c r="S876" i="5"/>
  <c r="R876" i="5"/>
  <c r="Q876" i="5"/>
  <c r="P876" i="5"/>
  <c r="O876" i="5"/>
  <c r="I876" i="5"/>
  <c r="J876" i="5" s="1"/>
  <c r="H876" i="5"/>
  <c r="T875" i="5"/>
  <c r="S875" i="5"/>
  <c r="R875" i="5"/>
  <c r="Q875" i="5"/>
  <c r="P875" i="5"/>
  <c r="O875" i="5"/>
  <c r="J875" i="5"/>
  <c r="I875" i="5"/>
  <c r="H875" i="5"/>
  <c r="T874" i="5"/>
  <c r="S874" i="5"/>
  <c r="R874" i="5"/>
  <c r="Q874" i="5"/>
  <c r="P874" i="5"/>
  <c r="O874" i="5"/>
  <c r="I874" i="5"/>
  <c r="J874" i="5" s="1"/>
  <c r="H874" i="5"/>
  <c r="T873" i="5"/>
  <c r="S873" i="5"/>
  <c r="R873" i="5"/>
  <c r="Q873" i="5"/>
  <c r="P873" i="5"/>
  <c r="O873" i="5"/>
  <c r="J873" i="5"/>
  <c r="I873" i="5"/>
  <c r="H873" i="5"/>
  <c r="T872" i="5"/>
  <c r="S872" i="5"/>
  <c r="R872" i="5"/>
  <c r="Q872" i="5"/>
  <c r="P872" i="5"/>
  <c r="O872" i="5"/>
  <c r="I872" i="5"/>
  <c r="J872" i="5" s="1"/>
  <c r="H872" i="5"/>
  <c r="T871" i="5"/>
  <c r="S871" i="5"/>
  <c r="R871" i="5"/>
  <c r="Q871" i="5"/>
  <c r="P871" i="5"/>
  <c r="O871" i="5"/>
  <c r="I871" i="5"/>
  <c r="J871" i="5" s="1"/>
  <c r="H871" i="5"/>
  <c r="T870" i="5"/>
  <c r="S870" i="5"/>
  <c r="R870" i="5"/>
  <c r="Q870" i="5"/>
  <c r="P870" i="5"/>
  <c r="O870" i="5"/>
  <c r="I870" i="5"/>
  <c r="J870" i="5" s="1"/>
  <c r="H870" i="5"/>
  <c r="T869" i="5"/>
  <c r="S869" i="5"/>
  <c r="R869" i="5"/>
  <c r="Q869" i="5"/>
  <c r="P869" i="5"/>
  <c r="O869" i="5"/>
  <c r="I869" i="5"/>
  <c r="J869" i="5" s="1"/>
  <c r="H869" i="5"/>
  <c r="T868" i="5"/>
  <c r="S868" i="5"/>
  <c r="R868" i="5"/>
  <c r="Q868" i="5"/>
  <c r="P868" i="5"/>
  <c r="O868" i="5"/>
  <c r="J868" i="5"/>
  <c r="I868" i="5"/>
  <c r="H868" i="5"/>
  <c r="T867" i="5"/>
  <c r="S867" i="5"/>
  <c r="R867" i="5"/>
  <c r="Q867" i="5"/>
  <c r="P867" i="5"/>
  <c r="O867" i="5"/>
  <c r="J867" i="5"/>
  <c r="I867" i="5"/>
  <c r="H867" i="5"/>
  <c r="T866" i="5"/>
  <c r="S866" i="5"/>
  <c r="S883" i="5" s="1"/>
  <c r="R866" i="5"/>
  <c r="Q866" i="5"/>
  <c r="P866" i="5"/>
  <c r="O866" i="5"/>
  <c r="I866" i="5"/>
  <c r="J866" i="5" s="1"/>
  <c r="H866" i="5"/>
  <c r="X865" i="5"/>
  <c r="W865" i="5"/>
  <c r="U865" i="5"/>
  <c r="N865" i="5"/>
  <c r="M865" i="5"/>
  <c r="L865" i="5"/>
  <c r="K865" i="5"/>
  <c r="T865" i="5" s="1"/>
  <c r="I865" i="5"/>
  <c r="H865" i="5"/>
  <c r="G865" i="5"/>
  <c r="F865" i="5"/>
  <c r="D865" i="5"/>
  <c r="R865" i="5" s="1"/>
  <c r="A865" i="5"/>
  <c r="T864" i="5"/>
  <c r="S864" i="5"/>
  <c r="R864" i="5"/>
  <c r="Q864" i="5"/>
  <c r="P864" i="5"/>
  <c r="O864" i="5"/>
  <c r="I864" i="5"/>
  <c r="J864" i="5" s="1"/>
  <c r="H864" i="5"/>
  <c r="A864" i="5"/>
  <c r="T863" i="5"/>
  <c r="S863" i="5"/>
  <c r="R863" i="5"/>
  <c r="Q863" i="5"/>
  <c r="P863" i="5"/>
  <c r="O863" i="5"/>
  <c r="J863" i="5"/>
  <c r="I863" i="5"/>
  <c r="H863" i="5"/>
  <c r="T862" i="5"/>
  <c r="S862" i="5"/>
  <c r="R862" i="5"/>
  <c r="Q862" i="5"/>
  <c r="P862" i="5"/>
  <c r="O862" i="5"/>
  <c r="I862" i="5"/>
  <c r="H862" i="5"/>
  <c r="T861" i="5"/>
  <c r="S861" i="5"/>
  <c r="R861" i="5"/>
  <c r="Q861" i="5"/>
  <c r="P861" i="5"/>
  <c r="O861" i="5"/>
  <c r="J861" i="5"/>
  <c r="I861" i="5"/>
  <c r="H861" i="5"/>
  <c r="T860" i="5"/>
  <c r="S860" i="5"/>
  <c r="R860" i="5"/>
  <c r="Q860" i="5"/>
  <c r="P860" i="5"/>
  <c r="O860" i="5"/>
  <c r="J860" i="5"/>
  <c r="I860" i="5"/>
  <c r="H860" i="5"/>
  <c r="T859" i="5"/>
  <c r="S859" i="5"/>
  <c r="R859" i="5"/>
  <c r="Q859" i="5"/>
  <c r="P859" i="5"/>
  <c r="O859" i="5"/>
  <c r="J859" i="5"/>
  <c r="I859" i="5"/>
  <c r="H859" i="5"/>
  <c r="T858" i="5"/>
  <c r="S858" i="5"/>
  <c r="R858" i="5"/>
  <c r="Q858" i="5"/>
  <c r="P858" i="5"/>
  <c r="O858" i="5"/>
  <c r="I858" i="5"/>
  <c r="J858" i="5" s="1"/>
  <c r="H858" i="5"/>
  <c r="T857" i="5"/>
  <c r="S857" i="5"/>
  <c r="R857" i="5"/>
  <c r="Q857" i="5"/>
  <c r="P857" i="5"/>
  <c r="O857" i="5"/>
  <c r="J857" i="5"/>
  <c r="I857" i="5"/>
  <c r="H857" i="5"/>
  <c r="T856" i="5"/>
  <c r="S856" i="5"/>
  <c r="R856" i="5"/>
  <c r="Q856" i="5"/>
  <c r="P856" i="5"/>
  <c r="O856" i="5"/>
  <c r="J856" i="5"/>
  <c r="I856" i="5"/>
  <c r="H856" i="5"/>
  <c r="T855" i="5"/>
  <c r="S855" i="5"/>
  <c r="R855" i="5"/>
  <c r="Q855" i="5"/>
  <c r="P855" i="5"/>
  <c r="O855" i="5"/>
  <c r="J855" i="5"/>
  <c r="I855" i="5"/>
  <c r="H855" i="5"/>
  <c r="T854" i="5"/>
  <c r="S854" i="5"/>
  <c r="R854" i="5"/>
  <c r="Q854" i="5"/>
  <c r="P854" i="5"/>
  <c r="O854" i="5"/>
  <c r="I854" i="5"/>
  <c r="H854" i="5"/>
  <c r="T853" i="5"/>
  <c r="S853" i="5"/>
  <c r="R853" i="5"/>
  <c r="Q853" i="5"/>
  <c r="P853" i="5"/>
  <c r="O853" i="5"/>
  <c r="J853" i="5"/>
  <c r="I853" i="5"/>
  <c r="H853" i="5"/>
  <c r="T852" i="5"/>
  <c r="S852" i="5"/>
  <c r="R852" i="5"/>
  <c r="Q852" i="5"/>
  <c r="P852" i="5"/>
  <c r="O852" i="5"/>
  <c r="J852" i="5"/>
  <c r="I852" i="5"/>
  <c r="H852" i="5"/>
  <c r="T851" i="5"/>
  <c r="S851" i="5"/>
  <c r="R851" i="5"/>
  <c r="Q851" i="5"/>
  <c r="P851" i="5"/>
  <c r="O851" i="5"/>
  <c r="I851" i="5"/>
  <c r="H851" i="5"/>
  <c r="J851" i="5" s="1"/>
  <c r="T850" i="5"/>
  <c r="S850" i="5"/>
  <c r="S865" i="5" s="1"/>
  <c r="R850" i="5"/>
  <c r="Q850" i="5"/>
  <c r="P850" i="5"/>
  <c r="O850" i="5"/>
  <c r="I850" i="5"/>
  <c r="H850" i="5"/>
  <c r="T849" i="5"/>
  <c r="S849" i="5"/>
  <c r="R849" i="5"/>
  <c r="Q849" i="5"/>
  <c r="P849" i="5"/>
  <c r="O849" i="5"/>
  <c r="J849" i="5"/>
  <c r="I849" i="5"/>
  <c r="H849" i="5"/>
  <c r="T848" i="5"/>
  <c r="S848" i="5"/>
  <c r="R848" i="5"/>
  <c r="Q848" i="5"/>
  <c r="P848" i="5"/>
  <c r="O848" i="5"/>
  <c r="J848" i="5"/>
  <c r="I848" i="5"/>
  <c r="H848" i="5"/>
  <c r="W847" i="5"/>
  <c r="R847" i="5"/>
  <c r="P847" i="5"/>
  <c r="O847" i="5"/>
  <c r="N847" i="5"/>
  <c r="M847" i="5"/>
  <c r="L847" i="5"/>
  <c r="K847" i="5"/>
  <c r="T847" i="5" s="1"/>
  <c r="G847" i="5"/>
  <c r="F847" i="5"/>
  <c r="D847" i="5"/>
  <c r="A847" i="5"/>
  <c r="T846" i="5"/>
  <c r="S846" i="5"/>
  <c r="R846" i="5"/>
  <c r="Q846" i="5"/>
  <c r="P846" i="5"/>
  <c r="O846" i="5"/>
  <c r="I846" i="5"/>
  <c r="H846" i="5"/>
  <c r="A846" i="5"/>
  <c r="T845" i="5"/>
  <c r="S845" i="5"/>
  <c r="R845" i="5"/>
  <c r="Q845" i="5"/>
  <c r="P845" i="5"/>
  <c r="O845" i="5"/>
  <c r="J845" i="5"/>
  <c r="I845" i="5"/>
  <c r="H845" i="5"/>
  <c r="T844" i="5"/>
  <c r="S844" i="5"/>
  <c r="R844" i="5"/>
  <c r="Q844" i="5"/>
  <c r="P844" i="5"/>
  <c r="O844" i="5"/>
  <c r="I844" i="5"/>
  <c r="H844" i="5"/>
  <c r="J844" i="5" s="1"/>
  <c r="T843" i="5"/>
  <c r="S843" i="5"/>
  <c r="R843" i="5"/>
  <c r="Q843" i="5"/>
  <c r="P843" i="5"/>
  <c r="O843" i="5"/>
  <c r="I843" i="5"/>
  <c r="J843" i="5" s="1"/>
  <c r="H843" i="5"/>
  <c r="T842" i="5"/>
  <c r="S842" i="5"/>
  <c r="R842" i="5"/>
  <c r="Q842" i="5"/>
  <c r="P842" i="5"/>
  <c r="O842" i="5"/>
  <c r="I842" i="5"/>
  <c r="H842" i="5"/>
  <c r="T841" i="5"/>
  <c r="S841" i="5"/>
  <c r="R841" i="5"/>
  <c r="Q841" i="5"/>
  <c r="P841" i="5"/>
  <c r="O841" i="5"/>
  <c r="J841" i="5"/>
  <c r="I841" i="5"/>
  <c r="H841" i="5"/>
  <c r="T840" i="5"/>
  <c r="S840" i="5"/>
  <c r="R840" i="5"/>
  <c r="Q840" i="5"/>
  <c r="P840" i="5"/>
  <c r="O840" i="5"/>
  <c r="I840" i="5"/>
  <c r="H840" i="5"/>
  <c r="J840" i="5" s="1"/>
  <c r="T839" i="5"/>
  <c r="S839" i="5"/>
  <c r="R839" i="5"/>
  <c r="Q839" i="5"/>
  <c r="P839" i="5"/>
  <c r="O839" i="5"/>
  <c r="I839" i="5"/>
  <c r="J839" i="5" s="1"/>
  <c r="H839" i="5"/>
  <c r="T838" i="5"/>
  <c r="S838" i="5"/>
  <c r="R838" i="5"/>
  <c r="Q838" i="5"/>
  <c r="P838" i="5"/>
  <c r="O838" i="5"/>
  <c r="I838" i="5"/>
  <c r="J838" i="5" s="1"/>
  <c r="H838" i="5"/>
  <c r="T837" i="5"/>
  <c r="S837" i="5"/>
  <c r="R837" i="5"/>
  <c r="Q837" i="5"/>
  <c r="P837" i="5"/>
  <c r="O837" i="5"/>
  <c r="J837" i="5"/>
  <c r="I837" i="5"/>
  <c r="H837" i="5"/>
  <c r="T836" i="5"/>
  <c r="S836" i="5"/>
  <c r="R836" i="5"/>
  <c r="Q836" i="5"/>
  <c r="P836" i="5"/>
  <c r="O836" i="5"/>
  <c r="I836" i="5"/>
  <c r="H836" i="5"/>
  <c r="J836" i="5" s="1"/>
  <c r="T835" i="5"/>
  <c r="S835" i="5"/>
  <c r="R835" i="5"/>
  <c r="Q835" i="5"/>
  <c r="P835" i="5"/>
  <c r="O835" i="5"/>
  <c r="I835" i="5"/>
  <c r="H835" i="5"/>
  <c r="T834" i="5"/>
  <c r="S834" i="5"/>
  <c r="R834" i="5"/>
  <c r="Q834" i="5"/>
  <c r="P834" i="5"/>
  <c r="O834" i="5"/>
  <c r="I834" i="5"/>
  <c r="J834" i="5" s="1"/>
  <c r="H834" i="5"/>
  <c r="T833" i="5"/>
  <c r="S833" i="5"/>
  <c r="R833" i="5"/>
  <c r="Q833" i="5"/>
  <c r="P833" i="5"/>
  <c r="O833" i="5"/>
  <c r="J833" i="5"/>
  <c r="I833" i="5"/>
  <c r="H833" i="5"/>
  <c r="T832" i="5"/>
  <c r="S832" i="5"/>
  <c r="S847" i="5" s="1"/>
  <c r="R832" i="5"/>
  <c r="Q832" i="5"/>
  <c r="P832" i="5"/>
  <c r="O832" i="5"/>
  <c r="I832" i="5"/>
  <c r="H832" i="5"/>
  <c r="J832" i="5" s="1"/>
  <c r="T831" i="5"/>
  <c r="S831" i="5"/>
  <c r="R831" i="5"/>
  <c r="Q831" i="5"/>
  <c r="P831" i="5"/>
  <c r="O831" i="5"/>
  <c r="I831" i="5"/>
  <c r="H831" i="5"/>
  <c r="T830" i="5"/>
  <c r="S830" i="5"/>
  <c r="R830" i="5"/>
  <c r="Q830" i="5"/>
  <c r="P830" i="5"/>
  <c r="O830" i="5"/>
  <c r="I830" i="5"/>
  <c r="H830" i="5"/>
  <c r="W829" i="5"/>
  <c r="N829" i="5"/>
  <c r="M829" i="5"/>
  <c r="L829" i="5"/>
  <c r="K829" i="5"/>
  <c r="J829" i="5"/>
  <c r="I829" i="5"/>
  <c r="G829" i="5"/>
  <c r="F829" i="5"/>
  <c r="H829" i="5" s="1"/>
  <c r="D829" i="5"/>
  <c r="A829" i="5"/>
  <c r="T828" i="5"/>
  <c r="S828" i="5"/>
  <c r="R828" i="5"/>
  <c r="Q828" i="5"/>
  <c r="P828" i="5"/>
  <c r="O828" i="5"/>
  <c r="I828" i="5"/>
  <c r="H828" i="5"/>
  <c r="J828" i="5" s="1"/>
  <c r="A828" i="5"/>
  <c r="T827" i="5"/>
  <c r="S827" i="5"/>
  <c r="R827" i="5"/>
  <c r="Q827" i="5"/>
  <c r="P827" i="5"/>
  <c r="O827" i="5"/>
  <c r="J827" i="5"/>
  <c r="I827" i="5"/>
  <c r="H827" i="5"/>
  <c r="T826" i="5"/>
  <c r="S826" i="5"/>
  <c r="R826" i="5"/>
  <c r="Q826" i="5"/>
  <c r="P826" i="5"/>
  <c r="O826" i="5"/>
  <c r="I826" i="5"/>
  <c r="J826" i="5" s="1"/>
  <c r="H826" i="5"/>
  <c r="T825" i="5"/>
  <c r="S825" i="5"/>
  <c r="R825" i="5"/>
  <c r="Q825" i="5"/>
  <c r="P825" i="5"/>
  <c r="O825" i="5"/>
  <c r="I825" i="5"/>
  <c r="J825" i="5" s="1"/>
  <c r="H825" i="5"/>
  <c r="T824" i="5"/>
  <c r="S824" i="5"/>
  <c r="R824" i="5"/>
  <c r="Q824" i="5"/>
  <c r="P824" i="5"/>
  <c r="O824" i="5"/>
  <c r="I824" i="5"/>
  <c r="J824" i="5" s="1"/>
  <c r="H824" i="5"/>
  <c r="T823" i="5"/>
  <c r="S823" i="5"/>
  <c r="R823" i="5"/>
  <c r="Q823" i="5"/>
  <c r="P823" i="5"/>
  <c r="O823" i="5"/>
  <c r="J823" i="5"/>
  <c r="I823" i="5"/>
  <c r="H823" i="5"/>
  <c r="T822" i="5"/>
  <c r="S822" i="5"/>
  <c r="R822" i="5"/>
  <c r="Q822" i="5"/>
  <c r="P822" i="5"/>
  <c r="O822" i="5"/>
  <c r="I822" i="5"/>
  <c r="J822" i="5" s="1"/>
  <c r="H822" i="5"/>
  <c r="T821" i="5"/>
  <c r="S821" i="5"/>
  <c r="R821" i="5"/>
  <c r="Q821" i="5"/>
  <c r="P821" i="5"/>
  <c r="O821" i="5"/>
  <c r="I821" i="5"/>
  <c r="J821" i="5" s="1"/>
  <c r="H821" i="5"/>
  <c r="T820" i="5"/>
  <c r="S820" i="5"/>
  <c r="R820" i="5"/>
  <c r="Q820" i="5"/>
  <c r="P820" i="5"/>
  <c r="O820" i="5"/>
  <c r="I820" i="5"/>
  <c r="J820" i="5" s="1"/>
  <c r="H820" i="5"/>
  <c r="T819" i="5"/>
  <c r="S819" i="5"/>
  <c r="R819" i="5"/>
  <c r="Q819" i="5"/>
  <c r="P819" i="5"/>
  <c r="O819" i="5"/>
  <c r="J819" i="5"/>
  <c r="I819" i="5"/>
  <c r="H819" i="5"/>
  <c r="T818" i="5"/>
  <c r="S818" i="5"/>
  <c r="R818" i="5"/>
  <c r="Q818" i="5"/>
  <c r="P818" i="5"/>
  <c r="O818" i="5"/>
  <c r="J818" i="5"/>
  <c r="I818" i="5"/>
  <c r="H818" i="5"/>
  <c r="T817" i="5"/>
  <c r="S817" i="5"/>
  <c r="R817" i="5"/>
  <c r="Q817" i="5"/>
  <c r="P817" i="5"/>
  <c r="O817" i="5"/>
  <c r="I817" i="5"/>
  <c r="J817" i="5" s="1"/>
  <c r="H817" i="5"/>
  <c r="T816" i="5"/>
  <c r="S816" i="5"/>
  <c r="R816" i="5"/>
  <c r="Q816" i="5"/>
  <c r="P816" i="5"/>
  <c r="O816" i="5"/>
  <c r="I816" i="5"/>
  <c r="J816" i="5" s="1"/>
  <c r="H816" i="5"/>
  <c r="T815" i="5"/>
  <c r="S815" i="5"/>
  <c r="R815" i="5"/>
  <c r="Q815" i="5"/>
  <c r="P815" i="5"/>
  <c r="O815" i="5"/>
  <c r="I815" i="5"/>
  <c r="J815" i="5" s="1"/>
  <c r="H815" i="5"/>
  <c r="T814" i="5"/>
  <c r="S814" i="5"/>
  <c r="R814" i="5"/>
  <c r="Q814" i="5"/>
  <c r="P814" i="5"/>
  <c r="O814" i="5"/>
  <c r="I814" i="5"/>
  <c r="J814" i="5" s="1"/>
  <c r="H814" i="5"/>
  <c r="T813" i="5"/>
  <c r="S813" i="5"/>
  <c r="R813" i="5"/>
  <c r="Q813" i="5"/>
  <c r="P813" i="5"/>
  <c r="O813" i="5"/>
  <c r="I813" i="5"/>
  <c r="J813" i="5" s="1"/>
  <c r="H813" i="5"/>
  <c r="X812" i="5"/>
  <c r="W812" i="5"/>
  <c r="U812" i="5"/>
  <c r="T812" i="5"/>
  <c r="N812" i="5"/>
  <c r="M812" i="5"/>
  <c r="L812" i="5"/>
  <c r="K812" i="5"/>
  <c r="I812" i="5"/>
  <c r="J812" i="5" s="1"/>
  <c r="H812" i="5"/>
  <c r="G812" i="5"/>
  <c r="F812" i="5"/>
  <c r="D812" i="5"/>
  <c r="R812" i="5" s="1"/>
  <c r="A812" i="5"/>
  <c r="T811" i="5"/>
  <c r="S811" i="5"/>
  <c r="R811" i="5"/>
  <c r="Q811" i="5"/>
  <c r="P811" i="5"/>
  <c r="O811" i="5"/>
  <c r="J811" i="5"/>
  <c r="I811" i="5"/>
  <c r="H811" i="5"/>
  <c r="A811" i="5"/>
  <c r="T810" i="5"/>
  <c r="S810" i="5"/>
  <c r="R810" i="5"/>
  <c r="Q810" i="5"/>
  <c r="P810" i="5"/>
  <c r="O810" i="5"/>
  <c r="J810" i="5"/>
  <c r="I810" i="5"/>
  <c r="H810" i="5"/>
  <c r="T809" i="5"/>
  <c r="S809" i="5"/>
  <c r="R809" i="5"/>
  <c r="Q809" i="5"/>
  <c r="P809" i="5"/>
  <c r="O809" i="5"/>
  <c r="I809" i="5"/>
  <c r="H809" i="5"/>
  <c r="J809" i="5" s="1"/>
  <c r="T808" i="5"/>
  <c r="S808" i="5"/>
  <c r="R808" i="5"/>
  <c r="Q808" i="5"/>
  <c r="P808" i="5"/>
  <c r="O808" i="5"/>
  <c r="J808" i="5"/>
  <c r="I808" i="5"/>
  <c r="H808" i="5"/>
  <c r="T807" i="5"/>
  <c r="S807" i="5"/>
  <c r="R807" i="5"/>
  <c r="Q807" i="5"/>
  <c r="P807" i="5"/>
  <c r="O807" i="5"/>
  <c r="J807" i="5"/>
  <c r="I807" i="5"/>
  <c r="H807" i="5"/>
  <c r="T806" i="5"/>
  <c r="S806" i="5"/>
  <c r="R806" i="5"/>
  <c r="Q806" i="5"/>
  <c r="P806" i="5"/>
  <c r="O806" i="5"/>
  <c r="J806" i="5"/>
  <c r="I806" i="5"/>
  <c r="H806" i="5"/>
  <c r="T805" i="5"/>
  <c r="S805" i="5"/>
  <c r="R805" i="5"/>
  <c r="Q805" i="5"/>
  <c r="P805" i="5"/>
  <c r="O805" i="5"/>
  <c r="I805" i="5"/>
  <c r="H805" i="5"/>
  <c r="J805" i="5" s="1"/>
  <c r="T804" i="5"/>
  <c r="S804" i="5"/>
  <c r="R804" i="5"/>
  <c r="Q804" i="5"/>
  <c r="P804" i="5"/>
  <c r="O804" i="5"/>
  <c r="J804" i="5"/>
  <c r="I804" i="5"/>
  <c r="H804" i="5"/>
  <c r="T803" i="5"/>
  <c r="S803" i="5"/>
  <c r="R803" i="5"/>
  <c r="Q803" i="5"/>
  <c r="P803" i="5"/>
  <c r="O803" i="5"/>
  <c r="J803" i="5"/>
  <c r="I803" i="5"/>
  <c r="H803" i="5"/>
  <c r="T802" i="5"/>
  <c r="S802" i="5"/>
  <c r="R802" i="5"/>
  <c r="Q802" i="5"/>
  <c r="P802" i="5"/>
  <c r="O802" i="5"/>
  <c r="I802" i="5"/>
  <c r="H802" i="5"/>
  <c r="J802" i="5" s="1"/>
  <c r="T801" i="5"/>
  <c r="S801" i="5"/>
  <c r="R801" i="5"/>
  <c r="Q801" i="5"/>
  <c r="P801" i="5"/>
  <c r="O801" i="5"/>
  <c r="I801" i="5"/>
  <c r="H801" i="5"/>
  <c r="J801" i="5" s="1"/>
  <c r="T800" i="5"/>
  <c r="S800" i="5"/>
  <c r="R800" i="5"/>
  <c r="Q800" i="5"/>
  <c r="P800" i="5"/>
  <c r="O800" i="5"/>
  <c r="J800" i="5"/>
  <c r="I800" i="5"/>
  <c r="H800" i="5"/>
  <c r="T799" i="5"/>
  <c r="S799" i="5"/>
  <c r="R799" i="5"/>
  <c r="Q799" i="5"/>
  <c r="P799" i="5"/>
  <c r="O799" i="5"/>
  <c r="J799" i="5"/>
  <c r="I799" i="5"/>
  <c r="H799" i="5"/>
  <c r="T798" i="5"/>
  <c r="S798" i="5"/>
  <c r="R798" i="5"/>
  <c r="Q798" i="5"/>
  <c r="P798" i="5"/>
  <c r="O798" i="5"/>
  <c r="J798" i="5"/>
  <c r="I798" i="5"/>
  <c r="H798" i="5"/>
  <c r="T797" i="5"/>
  <c r="S797" i="5"/>
  <c r="S812" i="5" s="1"/>
  <c r="R797" i="5"/>
  <c r="Q797" i="5"/>
  <c r="P797" i="5"/>
  <c r="O797" i="5"/>
  <c r="I797" i="5"/>
  <c r="H797" i="5"/>
  <c r="J797" i="5" s="1"/>
  <c r="X796" i="5"/>
  <c r="R796" i="5"/>
  <c r="O796" i="5"/>
  <c r="N796" i="5"/>
  <c r="P796" i="5" s="1"/>
  <c r="M796" i="5"/>
  <c r="T796" i="5" s="1"/>
  <c r="L796" i="5"/>
  <c r="K796" i="5"/>
  <c r="I796" i="5"/>
  <c r="J796" i="5" s="1"/>
  <c r="G796" i="5"/>
  <c r="F796" i="5"/>
  <c r="H796" i="5" s="1"/>
  <c r="D796" i="5"/>
  <c r="Q796" i="5" s="1"/>
  <c r="A796" i="5"/>
  <c r="T795" i="5"/>
  <c r="S795" i="5"/>
  <c r="R795" i="5"/>
  <c r="Q795" i="5"/>
  <c r="P795" i="5"/>
  <c r="O795" i="5"/>
  <c r="J795" i="5"/>
  <c r="I795" i="5"/>
  <c r="H795" i="5"/>
  <c r="A795" i="5"/>
  <c r="T794" i="5"/>
  <c r="S794" i="5"/>
  <c r="R794" i="5"/>
  <c r="Q794" i="5"/>
  <c r="P794" i="5"/>
  <c r="O794" i="5"/>
  <c r="I794" i="5"/>
  <c r="H794" i="5"/>
  <c r="T793" i="5"/>
  <c r="S793" i="5"/>
  <c r="R793" i="5"/>
  <c r="Q793" i="5"/>
  <c r="P793" i="5"/>
  <c r="O793" i="5"/>
  <c r="I793" i="5"/>
  <c r="J793" i="5" s="1"/>
  <c r="H793" i="5"/>
  <c r="T792" i="5"/>
  <c r="S792" i="5"/>
  <c r="R792" i="5"/>
  <c r="Q792" i="5"/>
  <c r="P792" i="5"/>
  <c r="O792" i="5"/>
  <c r="J792" i="5"/>
  <c r="I792" i="5"/>
  <c r="H792" i="5"/>
  <c r="T791" i="5"/>
  <c r="S791" i="5"/>
  <c r="R791" i="5"/>
  <c r="Q791" i="5"/>
  <c r="P791" i="5"/>
  <c r="O791" i="5"/>
  <c r="I791" i="5"/>
  <c r="H791" i="5"/>
  <c r="J791" i="5" s="1"/>
  <c r="T790" i="5"/>
  <c r="S790" i="5"/>
  <c r="R790" i="5"/>
  <c r="Q790" i="5"/>
  <c r="P790" i="5"/>
  <c r="O790" i="5"/>
  <c r="I790" i="5"/>
  <c r="J790" i="5" s="1"/>
  <c r="H790" i="5"/>
  <c r="T789" i="5"/>
  <c r="S789" i="5"/>
  <c r="R789" i="5"/>
  <c r="Q789" i="5"/>
  <c r="P789" i="5"/>
  <c r="O789" i="5"/>
  <c r="I789" i="5"/>
  <c r="H789" i="5"/>
  <c r="T788" i="5"/>
  <c r="S788" i="5"/>
  <c r="R788" i="5"/>
  <c r="Q788" i="5"/>
  <c r="P788" i="5"/>
  <c r="O788" i="5"/>
  <c r="J788" i="5"/>
  <c r="I788" i="5"/>
  <c r="H788" i="5"/>
  <c r="T787" i="5"/>
  <c r="S787" i="5"/>
  <c r="R787" i="5"/>
  <c r="Q787" i="5"/>
  <c r="P787" i="5"/>
  <c r="O787" i="5"/>
  <c r="I787" i="5"/>
  <c r="H787" i="5"/>
  <c r="J787" i="5" s="1"/>
  <c r="T786" i="5"/>
  <c r="S786" i="5"/>
  <c r="R786" i="5"/>
  <c r="Q786" i="5"/>
  <c r="P786" i="5"/>
  <c r="O786" i="5"/>
  <c r="I786" i="5"/>
  <c r="J786" i="5" s="1"/>
  <c r="H786" i="5"/>
  <c r="T785" i="5"/>
  <c r="S785" i="5"/>
  <c r="R785" i="5"/>
  <c r="Q785" i="5"/>
  <c r="P785" i="5"/>
  <c r="O785" i="5"/>
  <c r="I785" i="5"/>
  <c r="J785" i="5" s="1"/>
  <c r="H785" i="5"/>
  <c r="T784" i="5"/>
  <c r="S784" i="5"/>
  <c r="R784" i="5"/>
  <c r="Q784" i="5"/>
  <c r="P784" i="5"/>
  <c r="O784" i="5"/>
  <c r="J784" i="5"/>
  <c r="I784" i="5"/>
  <c r="H784" i="5"/>
  <c r="T783" i="5"/>
  <c r="S783" i="5"/>
  <c r="R783" i="5"/>
  <c r="Q783" i="5"/>
  <c r="P783" i="5"/>
  <c r="O783" i="5"/>
  <c r="I783" i="5"/>
  <c r="H783" i="5"/>
  <c r="J783" i="5" s="1"/>
  <c r="T782" i="5"/>
  <c r="S782" i="5"/>
  <c r="R782" i="5"/>
  <c r="Q782" i="5"/>
  <c r="P782" i="5"/>
  <c r="O782" i="5"/>
  <c r="I782" i="5"/>
  <c r="H782" i="5"/>
  <c r="T781" i="5"/>
  <c r="S781" i="5"/>
  <c r="S796" i="5" s="1"/>
  <c r="R781" i="5"/>
  <c r="Q781" i="5"/>
  <c r="P781" i="5"/>
  <c r="O781" i="5"/>
  <c r="I781" i="5"/>
  <c r="J781" i="5" s="1"/>
  <c r="H781" i="5"/>
  <c r="W780" i="5"/>
  <c r="N780" i="5"/>
  <c r="M780" i="5"/>
  <c r="L780" i="5"/>
  <c r="K780" i="5"/>
  <c r="G780" i="5"/>
  <c r="F780" i="5"/>
  <c r="I780" i="5" s="1"/>
  <c r="D780" i="5"/>
  <c r="A780" i="5"/>
  <c r="T779" i="5"/>
  <c r="S779" i="5"/>
  <c r="R779" i="5"/>
  <c r="Q779" i="5"/>
  <c r="P779" i="5"/>
  <c r="O779" i="5"/>
  <c r="I779" i="5"/>
  <c r="H779" i="5"/>
  <c r="J779" i="5" s="1"/>
  <c r="A779" i="5"/>
  <c r="T778" i="5"/>
  <c r="S778" i="5"/>
  <c r="R778" i="5"/>
  <c r="Q778" i="5"/>
  <c r="P778" i="5"/>
  <c r="O778" i="5"/>
  <c r="I778" i="5"/>
  <c r="J778" i="5" s="1"/>
  <c r="H778" i="5"/>
  <c r="T777" i="5"/>
  <c r="S777" i="5"/>
  <c r="R777" i="5"/>
  <c r="Q777" i="5"/>
  <c r="P777" i="5"/>
  <c r="O777" i="5"/>
  <c r="I777" i="5"/>
  <c r="J777" i="5" s="1"/>
  <c r="H777" i="5"/>
  <c r="T776" i="5"/>
  <c r="S776" i="5"/>
  <c r="R776" i="5"/>
  <c r="Q776" i="5"/>
  <c r="P776" i="5"/>
  <c r="O776" i="5"/>
  <c r="I776" i="5"/>
  <c r="J776" i="5" s="1"/>
  <c r="H776" i="5"/>
  <c r="T775" i="5"/>
  <c r="S775" i="5"/>
  <c r="R775" i="5"/>
  <c r="Q775" i="5"/>
  <c r="P775" i="5"/>
  <c r="O775" i="5"/>
  <c r="I775" i="5"/>
  <c r="J775" i="5" s="1"/>
  <c r="H775" i="5"/>
  <c r="T774" i="5"/>
  <c r="S774" i="5"/>
  <c r="R774" i="5"/>
  <c r="Q774" i="5"/>
  <c r="P774" i="5"/>
  <c r="O774" i="5"/>
  <c r="J774" i="5"/>
  <c r="I774" i="5"/>
  <c r="H774" i="5"/>
  <c r="T773" i="5"/>
  <c r="S773" i="5"/>
  <c r="R773" i="5"/>
  <c r="Q773" i="5"/>
  <c r="P773" i="5"/>
  <c r="O773" i="5"/>
  <c r="I773" i="5"/>
  <c r="J773" i="5" s="1"/>
  <c r="H773" i="5"/>
  <c r="T772" i="5"/>
  <c r="S772" i="5"/>
  <c r="R772" i="5"/>
  <c r="Q772" i="5"/>
  <c r="P772" i="5"/>
  <c r="O772" i="5"/>
  <c r="I772" i="5"/>
  <c r="J772" i="5" s="1"/>
  <c r="H772" i="5"/>
  <c r="T771" i="5"/>
  <c r="S771" i="5"/>
  <c r="R771" i="5"/>
  <c r="Q771" i="5"/>
  <c r="P771" i="5"/>
  <c r="O771" i="5"/>
  <c r="I771" i="5"/>
  <c r="J771" i="5" s="1"/>
  <c r="H771" i="5"/>
  <c r="T770" i="5"/>
  <c r="S770" i="5"/>
  <c r="R770" i="5"/>
  <c r="Q770" i="5"/>
  <c r="P770" i="5"/>
  <c r="O770" i="5"/>
  <c r="J770" i="5"/>
  <c r="I770" i="5"/>
  <c r="H770" i="5"/>
  <c r="T769" i="5"/>
  <c r="S769" i="5"/>
  <c r="R769" i="5"/>
  <c r="Q769" i="5"/>
  <c r="P769" i="5"/>
  <c r="O769" i="5"/>
  <c r="J769" i="5"/>
  <c r="I769" i="5"/>
  <c r="H769" i="5"/>
  <c r="T768" i="5"/>
  <c r="S768" i="5"/>
  <c r="R768" i="5"/>
  <c r="Q768" i="5"/>
  <c r="P768" i="5"/>
  <c r="O768" i="5"/>
  <c r="I768" i="5"/>
  <c r="J768" i="5" s="1"/>
  <c r="H768" i="5"/>
  <c r="T767" i="5"/>
  <c r="S767" i="5"/>
  <c r="R767" i="5"/>
  <c r="Q767" i="5"/>
  <c r="P767" i="5"/>
  <c r="O767" i="5"/>
  <c r="I767" i="5"/>
  <c r="J767" i="5" s="1"/>
  <c r="H767" i="5"/>
  <c r="T766" i="5"/>
  <c r="S766" i="5"/>
  <c r="R766" i="5"/>
  <c r="Q766" i="5"/>
  <c r="P766" i="5"/>
  <c r="O766" i="5"/>
  <c r="J766" i="5"/>
  <c r="I766" i="5"/>
  <c r="H766" i="5"/>
  <c r="T765" i="5"/>
  <c r="S765" i="5"/>
  <c r="R765" i="5"/>
  <c r="Q765" i="5"/>
  <c r="P765" i="5"/>
  <c r="O765" i="5"/>
  <c r="J765" i="5"/>
  <c r="I765" i="5"/>
  <c r="H765" i="5"/>
  <c r="X764" i="5"/>
  <c r="W764" i="5"/>
  <c r="O764" i="5"/>
  <c r="N764" i="5"/>
  <c r="M764" i="5"/>
  <c r="L764" i="5"/>
  <c r="K764" i="5"/>
  <c r="I764" i="5"/>
  <c r="H764" i="5"/>
  <c r="J764" i="5" s="1"/>
  <c r="G764" i="5"/>
  <c r="F764" i="5"/>
  <c r="D764" i="5"/>
  <c r="A764" i="5"/>
  <c r="T763" i="5"/>
  <c r="S763" i="5"/>
  <c r="R763" i="5"/>
  <c r="Q763" i="5"/>
  <c r="P763" i="5"/>
  <c r="O763" i="5"/>
  <c r="I763" i="5"/>
  <c r="J763" i="5" s="1"/>
  <c r="H763" i="5"/>
  <c r="A763" i="5"/>
  <c r="T762" i="5"/>
  <c r="S762" i="5"/>
  <c r="R762" i="5"/>
  <c r="Q762" i="5"/>
  <c r="P762" i="5"/>
  <c r="O762" i="5"/>
  <c r="J762" i="5"/>
  <c r="I762" i="5"/>
  <c r="H762" i="5"/>
  <c r="T761" i="5"/>
  <c r="S761" i="5"/>
  <c r="R761" i="5"/>
  <c r="Q761" i="5"/>
  <c r="P761" i="5"/>
  <c r="O761" i="5"/>
  <c r="J761" i="5"/>
  <c r="I761" i="5"/>
  <c r="H761" i="5"/>
  <c r="T760" i="5"/>
  <c r="S760" i="5"/>
  <c r="R760" i="5"/>
  <c r="Q760" i="5"/>
  <c r="P760" i="5"/>
  <c r="O760" i="5"/>
  <c r="I760" i="5"/>
  <c r="H760" i="5"/>
  <c r="J760" i="5" s="1"/>
  <c r="T759" i="5"/>
  <c r="S759" i="5"/>
  <c r="R759" i="5"/>
  <c r="Q759" i="5"/>
  <c r="P759" i="5"/>
  <c r="O759" i="5"/>
  <c r="J759" i="5"/>
  <c r="I759" i="5"/>
  <c r="H759" i="5"/>
  <c r="T758" i="5"/>
  <c r="S758" i="5"/>
  <c r="R758" i="5"/>
  <c r="Q758" i="5"/>
  <c r="P758" i="5"/>
  <c r="O758" i="5"/>
  <c r="J758" i="5"/>
  <c r="I758" i="5"/>
  <c r="H758" i="5"/>
  <c r="T757" i="5"/>
  <c r="S757" i="5"/>
  <c r="R757" i="5"/>
  <c r="Q757" i="5"/>
  <c r="P757" i="5"/>
  <c r="O757" i="5"/>
  <c r="J757" i="5"/>
  <c r="I757" i="5"/>
  <c r="H757" i="5"/>
  <c r="T756" i="5"/>
  <c r="S756" i="5"/>
  <c r="R756" i="5"/>
  <c r="Q756" i="5"/>
  <c r="P756" i="5"/>
  <c r="O756" i="5"/>
  <c r="I756" i="5"/>
  <c r="H756" i="5"/>
  <c r="J756" i="5" s="1"/>
  <c r="T755" i="5"/>
  <c r="S755" i="5"/>
  <c r="R755" i="5"/>
  <c r="Q755" i="5"/>
  <c r="P755" i="5"/>
  <c r="O755" i="5"/>
  <c r="J755" i="5"/>
  <c r="I755" i="5"/>
  <c r="H755" i="5"/>
  <c r="T754" i="5"/>
  <c r="S754" i="5"/>
  <c r="R754" i="5"/>
  <c r="Q754" i="5"/>
  <c r="P754" i="5"/>
  <c r="O754" i="5"/>
  <c r="J754" i="5"/>
  <c r="I754" i="5"/>
  <c r="H754" i="5"/>
  <c r="T753" i="5"/>
  <c r="S753" i="5"/>
  <c r="R753" i="5"/>
  <c r="Q753" i="5"/>
  <c r="P753" i="5"/>
  <c r="O753" i="5"/>
  <c r="J753" i="5"/>
  <c r="I753" i="5"/>
  <c r="H753" i="5"/>
  <c r="T752" i="5"/>
  <c r="S752" i="5"/>
  <c r="R752" i="5"/>
  <c r="Q752" i="5"/>
  <c r="P752" i="5"/>
  <c r="O752" i="5"/>
  <c r="I752" i="5"/>
  <c r="H752" i="5"/>
  <c r="J752" i="5" s="1"/>
  <c r="T751" i="5"/>
  <c r="S751" i="5"/>
  <c r="R751" i="5"/>
  <c r="Q751" i="5"/>
  <c r="P751" i="5"/>
  <c r="O751" i="5"/>
  <c r="J751" i="5"/>
  <c r="I751" i="5"/>
  <c r="H751" i="5"/>
  <c r="T750" i="5"/>
  <c r="S750" i="5"/>
  <c r="R750" i="5"/>
  <c r="Q750" i="5"/>
  <c r="P750" i="5"/>
  <c r="O750" i="5"/>
  <c r="J750" i="5"/>
  <c r="I750" i="5"/>
  <c r="H750" i="5"/>
  <c r="T749" i="5"/>
  <c r="S749" i="5"/>
  <c r="R749" i="5"/>
  <c r="Q749" i="5"/>
  <c r="P749" i="5"/>
  <c r="O749" i="5"/>
  <c r="I749" i="5"/>
  <c r="H749" i="5"/>
  <c r="J749" i="5" s="1"/>
  <c r="X748" i="5"/>
  <c r="W748" i="5"/>
  <c r="R748" i="5"/>
  <c r="P748" i="5"/>
  <c r="O748" i="5"/>
  <c r="N748" i="5"/>
  <c r="M748" i="5"/>
  <c r="T748" i="5" s="1"/>
  <c r="L748" i="5"/>
  <c r="K748" i="5"/>
  <c r="Q748" i="5" s="1"/>
  <c r="I748" i="5"/>
  <c r="J748" i="5" s="1"/>
  <c r="H748" i="5"/>
  <c r="G748" i="5"/>
  <c r="F748" i="5"/>
  <c r="D748" i="5"/>
  <c r="A748" i="5"/>
  <c r="T747" i="5"/>
  <c r="S747" i="5"/>
  <c r="R747" i="5"/>
  <c r="Q747" i="5"/>
  <c r="P747" i="5"/>
  <c r="O747" i="5"/>
  <c r="J747" i="5"/>
  <c r="I747" i="5"/>
  <c r="H747" i="5"/>
  <c r="A747" i="5"/>
  <c r="T746" i="5"/>
  <c r="S746" i="5"/>
  <c r="R746" i="5"/>
  <c r="Q746" i="5"/>
  <c r="P746" i="5"/>
  <c r="O746" i="5"/>
  <c r="I746" i="5"/>
  <c r="H746" i="5"/>
  <c r="J746" i="5" s="1"/>
  <c r="T745" i="5"/>
  <c r="S745" i="5"/>
  <c r="R745" i="5"/>
  <c r="Q745" i="5"/>
  <c r="P745" i="5"/>
  <c r="O745" i="5"/>
  <c r="I745" i="5"/>
  <c r="J745" i="5" s="1"/>
  <c r="H745" i="5"/>
  <c r="T744" i="5"/>
  <c r="S744" i="5"/>
  <c r="R744" i="5"/>
  <c r="Q744" i="5"/>
  <c r="P744" i="5"/>
  <c r="O744" i="5"/>
  <c r="I744" i="5"/>
  <c r="J744" i="5" s="1"/>
  <c r="H744" i="5"/>
  <c r="T743" i="5"/>
  <c r="S743" i="5"/>
  <c r="R743" i="5"/>
  <c r="Q743" i="5"/>
  <c r="P743" i="5"/>
  <c r="O743" i="5"/>
  <c r="J743" i="5"/>
  <c r="I743" i="5"/>
  <c r="H743" i="5"/>
  <c r="T742" i="5"/>
  <c r="S742" i="5"/>
  <c r="R742" i="5"/>
  <c r="Q742" i="5"/>
  <c r="P742" i="5"/>
  <c r="O742" i="5"/>
  <c r="I742" i="5"/>
  <c r="H742" i="5"/>
  <c r="J742" i="5" s="1"/>
  <c r="T741" i="5"/>
  <c r="S741" i="5"/>
  <c r="R741" i="5"/>
  <c r="Q741" i="5"/>
  <c r="P741" i="5"/>
  <c r="O741" i="5"/>
  <c r="I741" i="5"/>
  <c r="H741" i="5"/>
  <c r="T740" i="5"/>
  <c r="S740" i="5"/>
  <c r="R740" i="5"/>
  <c r="Q740" i="5"/>
  <c r="P740" i="5"/>
  <c r="O740" i="5"/>
  <c r="I740" i="5"/>
  <c r="J740" i="5" s="1"/>
  <c r="H740" i="5"/>
  <c r="T739" i="5"/>
  <c r="S739" i="5"/>
  <c r="R739" i="5"/>
  <c r="Q739" i="5"/>
  <c r="P739" i="5"/>
  <c r="O739" i="5"/>
  <c r="J739" i="5"/>
  <c r="I739" i="5"/>
  <c r="H739" i="5"/>
  <c r="T738" i="5"/>
  <c r="S738" i="5"/>
  <c r="R738" i="5"/>
  <c r="Q738" i="5"/>
  <c r="P738" i="5"/>
  <c r="O738" i="5"/>
  <c r="I738" i="5"/>
  <c r="H738" i="5"/>
  <c r="J738" i="5" s="1"/>
  <c r="T737" i="5"/>
  <c r="S737" i="5"/>
  <c r="R737" i="5"/>
  <c r="Q737" i="5"/>
  <c r="P737" i="5"/>
  <c r="O737" i="5"/>
  <c r="I737" i="5"/>
  <c r="H737" i="5"/>
  <c r="T736" i="5"/>
  <c r="S736" i="5"/>
  <c r="R736" i="5"/>
  <c r="Q736" i="5"/>
  <c r="P736" i="5"/>
  <c r="O736" i="5"/>
  <c r="I736" i="5"/>
  <c r="H736" i="5"/>
  <c r="T735" i="5"/>
  <c r="S735" i="5"/>
  <c r="R735" i="5"/>
  <c r="Q735" i="5"/>
  <c r="P735" i="5"/>
  <c r="O735" i="5"/>
  <c r="J735" i="5"/>
  <c r="I735" i="5"/>
  <c r="H735" i="5"/>
  <c r="T734" i="5"/>
  <c r="S734" i="5"/>
  <c r="R734" i="5"/>
  <c r="Q734" i="5"/>
  <c r="P734" i="5"/>
  <c r="O734" i="5"/>
  <c r="I734" i="5"/>
  <c r="H734" i="5"/>
  <c r="J734" i="5" s="1"/>
  <c r="T733" i="5"/>
  <c r="S733" i="5"/>
  <c r="R733" i="5"/>
  <c r="Q733" i="5"/>
  <c r="P733" i="5"/>
  <c r="O733" i="5"/>
  <c r="I733" i="5"/>
  <c r="H733" i="5"/>
  <c r="X732" i="5"/>
  <c r="Q732" i="5"/>
  <c r="N732" i="5"/>
  <c r="M732" i="5"/>
  <c r="L732" i="5"/>
  <c r="K732" i="5"/>
  <c r="G732" i="5"/>
  <c r="F732" i="5"/>
  <c r="H732" i="5" s="1"/>
  <c r="D732" i="5"/>
  <c r="A732" i="5"/>
  <c r="T731" i="5"/>
  <c r="S731" i="5"/>
  <c r="R731" i="5"/>
  <c r="Q731" i="5"/>
  <c r="P731" i="5"/>
  <c r="O731" i="5"/>
  <c r="J731" i="5"/>
  <c r="I731" i="5"/>
  <c r="H731" i="5"/>
  <c r="A731" i="5"/>
  <c r="T730" i="5"/>
  <c r="S730" i="5"/>
  <c r="R730" i="5"/>
  <c r="Q730" i="5"/>
  <c r="P730" i="5"/>
  <c r="O730" i="5"/>
  <c r="I730" i="5"/>
  <c r="J730" i="5" s="1"/>
  <c r="H730" i="5"/>
  <c r="T729" i="5"/>
  <c r="S729" i="5"/>
  <c r="R729" i="5"/>
  <c r="Q729" i="5"/>
  <c r="P729" i="5"/>
  <c r="O729" i="5"/>
  <c r="I729" i="5"/>
  <c r="J729" i="5" s="1"/>
  <c r="H729" i="5"/>
  <c r="T728" i="5"/>
  <c r="S728" i="5"/>
  <c r="R728" i="5"/>
  <c r="Q728" i="5"/>
  <c r="P728" i="5"/>
  <c r="O728" i="5"/>
  <c r="I728" i="5"/>
  <c r="J728" i="5" s="1"/>
  <c r="H728" i="5"/>
  <c r="T727" i="5"/>
  <c r="S727" i="5"/>
  <c r="R727" i="5"/>
  <c r="Q727" i="5"/>
  <c r="P727" i="5"/>
  <c r="O727" i="5"/>
  <c r="I727" i="5"/>
  <c r="J727" i="5" s="1"/>
  <c r="H727" i="5"/>
  <c r="T726" i="5"/>
  <c r="S726" i="5"/>
  <c r="R726" i="5"/>
  <c r="Q726" i="5"/>
  <c r="P726" i="5"/>
  <c r="O726" i="5"/>
  <c r="I726" i="5"/>
  <c r="J726" i="5" s="1"/>
  <c r="H726" i="5"/>
  <c r="T725" i="5"/>
  <c r="S725" i="5"/>
  <c r="R725" i="5"/>
  <c r="Q725" i="5"/>
  <c r="P725" i="5"/>
  <c r="O725" i="5"/>
  <c r="I725" i="5"/>
  <c r="J725" i="5" s="1"/>
  <c r="H725" i="5"/>
  <c r="T724" i="5"/>
  <c r="S724" i="5"/>
  <c r="R724" i="5"/>
  <c r="Q724" i="5"/>
  <c r="P724" i="5"/>
  <c r="O724" i="5"/>
  <c r="I724" i="5"/>
  <c r="J724" i="5" s="1"/>
  <c r="H724" i="5"/>
  <c r="T723" i="5"/>
  <c r="S723" i="5"/>
  <c r="R723" i="5"/>
  <c r="Q723" i="5"/>
  <c r="P723" i="5"/>
  <c r="O723" i="5"/>
  <c r="I723" i="5"/>
  <c r="J723" i="5" s="1"/>
  <c r="H723" i="5"/>
  <c r="T722" i="5"/>
  <c r="S722" i="5"/>
  <c r="R722" i="5"/>
  <c r="Q722" i="5"/>
  <c r="P722" i="5"/>
  <c r="O722" i="5"/>
  <c r="I722" i="5"/>
  <c r="J722" i="5" s="1"/>
  <c r="H722" i="5"/>
  <c r="T721" i="5"/>
  <c r="S721" i="5"/>
  <c r="R721" i="5"/>
  <c r="Q721" i="5"/>
  <c r="P721" i="5"/>
  <c r="O721" i="5"/>
  <c r="J721" i="5"/>
  <c r="I721" i="5"/>
  <c r="H721" i="5"/>
  <c r="T720" i="5"/>
  <c r="S720" i="5"/>
  <c r="R720" i="5"/>
  <c r="Q720" i="5"/>
  <c r="P720" i="5"/>
  <c r="O720" i="5"/>
  <c r="I720" i="5"/>
  <c r="J720" i="5" s="1"/>
  <c r="H720" i="5"/>
  <c r="T719" i="5"/>
  <c r="S719" i="5"/>
  <c r="R719" i="5"/>
  <c r="Q719" i="5"/>
  <c r="P719" i="5"/>
  <c r="O719" i="5"/>
  <c r="I719" i="5"/>
  <c r="J719" i="5" s="1"/>
  <c r="H719" i="5"/>
  <c r="T718" i="5"/>
  <c r="S718" i="5"/>
  <c r="R718" i="5"/>
  <c r="Q718" i="5"/>
  <c r="P718" i="5"/>
  <c r="O718" i="5"/>
  <c r="I718" i="5"/>
  <c r="J718" i="5" s="1"/>
  <c r="H718" i="5"/>
  <c r="T717" i="5"/>
  <c r="S717" i="5"/>
  <c r="R717" i="5"/>
  <c r="Q717" i="5"/>
  <c r="P717" i="5"/>
  <c r="O717" i="5"/>
  <c r="J717" i="5"/>
  <c r="I717" i="5"/>
  <c r="H717" i="5"/>
  <c r="N716" i="5"/>
  <c r="M716" i="5"/>
  <c r="L716" i="5"/>
  <c r="K716" i="5"/>
  <c r="T716" i="5" s="1"/>
  <c r="G716" i="5"/>
  <c r="F716" i="5"/>
  <c r="D716" i="5"/>
  <c r="Q716" i="5" s="1"/>
  <c r="A716" i="5"/>
  <c r="T715" i="5"/>
  <c r="S715" i="5"/>
  <c r="R715" i="5"/>
  <c r="Q715" i="5"/>
  <c r="P715" i="5"/>
  <c r="O715" i="5"/>
  <c r="I715" i="5"/>
  <c r="J715" i="5" s="1"/>
  <c r="H715" i="5"/>
  <c r="A715" i="5"/>
  <c r="T714" i="5"/>
  <c r="S714" i="5"/>
  <c r="R714" i="5"/>
  <c r="Q714" i="5"/>
  <c r="P714" i="5"/>
  <c r="O714" i="5"/>
  <c r="J714" i="5"/>
  <c r="I714" i="5"/>
  <c r="H714" i="5"/>
  <c r="T713" i="5"/>
  <c r="S713" i="5"/>
  <c r="R713" i="5"/>
  <c r="Q713" i="5"/>
  <c r="P713" i="5"/>
  <c r="O713" i="5"/>
  <c r="J713" i="5"/>
  <c r="I713" i="5"/>
  <c r="H713" i="5"/>
  <c r="T712" i="5"/>
  <c r="S712" i="5"/>
  <c r="R712" i="5"/>
  <c r="Q712" i="5"/>
  <c r="P712" i="5"/>
  <c r="O712" i="5"/>
  <c r="J712" i="5"/>
  <c r="I712" i="5"/>
  <c r="H712" i="5"/>
  <c r="T711" i="5"/>
  <c r="S711" i="5"/>
  <c r="R711" i="5"/>
  <c r="Q711" i="5"/>
  <c r="P711" i="5"/>
  <c r="O711" i="5"/>
  <c r="I711" i="5"/>
  <c r="H711" i="5"/>
  <c r="J711" i="5" s="1"/>
  <c r="T710" i="5"/>
  <c r="S710" i="5"/>
  <c r="R710" i="5"/>
  <c r="Q710" i="5"/>
  <c r="P710" i="5"/>
  <c r="O710" i="5"/>
  <c r="J710" i="5"/>
  <c r="I710" i="5"/>
  <c r="H710" i="5"/>
  <c r="T709" i="5"/>
  <c r="S709" i="5"/>
  <c r="R709" i="5"/>
  <c r="Q709" i="5"/>
  <c r="P709" i="5"/>
  <c r="O709" i="5"/>
  <c r="J709" i="5"/>
  <c r="I709" i="5"/>
  <c r="H709" i="5"/>
  <c r="T708" i="5"/>
  <c r="S708" i="5"/>
  <c r="R708" i="5"/>
  <c r="Q708" i="5"/>
  <c r="P708" i="5"/>
  <c r="O708" i="5"/>
  <c r="J708" i="5"/>
  <c r="I708" i="5"/>
  <c r="H708" i="5"/>
  <c r="T707" i="5"/>
  <c r="S707" i="5"/>
  <c r="R707" i="5"/>
  <c r="Q707" i="5"/>
  <c r="P707" i="5"/>
  <c r="O707" i="5"/>
  <c r="I707" i="5"/>
  <c r="H707" i="5"/>
  <c r="J707" i="5" s="1"/>
  <c r="T706" i="5"/>
  <c r="S706" i="5"/>
  <c r="R706" i="5"/>
  <c r="Q706" i="5"/>
  <c r="P706" i="5"/>
  <c r="O706" i="5"/>
  <c r="J706" i="5"/>
  <c r="I706" i="5"/>
  <c r="H706" i="5"/>
  <c r="T705" i="5"/>
  <c r="S705" i="5"/>
  <c r="R705" i="5"/>
  <c r="Q705" i="5"/>
  <c r="P705" i="5"/>
  <c r="O705" i="5"/>
  <c r="J705" i="5"/>
  <c r="I705" i="5"/>
  <c r="H705" i="5"/>
  <c r="T704" i="5"/>
  <c r="S704" i="5"/>
  <c r="R704" i="5"/>
  <c r="Q704" i="5"/>
  <c r="P704" i="5"/>
  <c r="O704" i="5"/>
  <c r="J704" i="5"/>
  <c r="I704" i="5"/>
  <c r="H704" i="5"/>
  <c r="T703" i="5"/>
  <c r="S703" i="5"/>
  <c r="R703" i="5"/>
  <c r="Q703" i="5"/>
  <c r="P703" i="5"/>
  <c r="O703" i="5"/>
  <c r="I703" i="5"/>
  <c r="H703" i="5"/>
  <c r="J703" i="5" s="1"/>
  <c r="T702" i="5"/>
  <c r="S702" i="5"/>
  <c r="R702" i="5"/>
  <c r="Q702" i="5"/>
  <c r="P702" i="5"/>
  <c r="O702" i="5"/>
  <c r="J702" i="5"/>
  <c r="I702" i="5"/>
  <c r="H702" i="5"/>
  <c r="T701" i="5"/>
  <c r="S701" i="5"/>
  <c r="S716" i="5" s="1"/>
  <c r="R701" i="5"/>
  <c r="Q701" i="5"/>
  <c r="P701" i="5"/>
  <c r="O701" i="5"/>
  <c r="J701" i="5"/>
  <c r="I701" i="5"/>
  <c r="H701" i="5"/>
  <c r="W700" i="5"/>
  <c r="R700" i="5"/>
  <c r="P700" i="5"/>
  <c r="O700" i="5"/>
  <c r="N700" i="5"/>
  <c r="M700" i="5"/>
  <c r="L700" i="5"/>
  <c r="K700" i="5"/>
  <c r="T700" i="5" s="1"/>
  <c r="G700" i="5"/>
  <c r="F700" i="5"/>
  <c r="D700" i="5"/>
  <c r="A700" i="5"/>
  <c r="T699" i="5"/>
  <c r="S699" i="5"/>
  <c r="R699" i="5"/>
  <c r="Q699" i="5"/>
  <c r="P699" i="5"/>
  <c r="O699" i="5"/>
  <c r="I699" i="5"/>
  <c r="H699" i="5"/>
  <c r="J699" i="5" s="1"/>
  <c r="A699" i="5"/>
  <c r="T698" i="5"/>
  <c r="S698" i="5"/>
  <c r="R698" i="5"/>
  <c r="Q698" i="5"/>
  <c r="P698" i="5"/>
  <c r="O698" i="5"/>
  <c r="J698" i="5"/>
  <c r="I698" i="5"/>
  <c r="H698" i="5"/>
  <c r="T697" i="5"/>
  <c r="S697" i="5"/>
  <c r="R697" i="5"/>
  <c r="Q697" i="5"/>
  <c r="P697" i="5"/>
  <c r="O697" i="5"/>
  <c r="I697" i="5"/>
  <c r="H697" i="5"/>
  <c r="J697" i="5" s="1"/>
  <c r="T696" i="5"/>
  <c r="S696" i="5"/>
  <c r="R696" i="5"/>
  <c r="Q696" i="5"/>
  <c r="P696" i="5"/>
  <c r="O696" i="5"/>
  <c r="I696" i="5"/>
  <c r="J696" i="5" s="1"/>
  <c r="H696" i="5"/>
  <c r="T695" i="5"/>
  <c r="S695" i="5"/>
  <c r="R695" i="5"/>
  <c r="Q695" i="5"/>
  <c r="P695" i="5"/>
  <c r="O695" i="5"/>
  <c r="I695" i="5"/>
  <c r="J695" i="5" s="1"/>
  <c r="H695" i="5"/>
  <c r="T694" i="5"/>
  <c r="S694" i="5"/>
  <c r="R694" i="5"/>
  <c r="Q694" i="5"/>
  <c r="P694" i="5"/>
  <c r="O694" i="5"/>
  <c r="J694" i="5"/>
  <c r="I694" i="5"/>
  <c r="H694" i="5"/>
  <c r="T693" i="5"/>
  <c r="S693" i="5"/>
  <c r="R693" i="5"/>
  <c r="Q693" i="5"/>
  <c r="P693" i="5"/>
  <c r="O693" i="5"/>
  <c r="I693" i="5"/>
  <c r="H693" i="5"/>
  <c r="J693" i="5" s="1"/>
  <c r="T692" i="5"/>
  <c r="S692" i="5"/>
  <c r="R692" i="5"/>
  <c r="Q692" i="5"/>
  <c r="P692" i="5"/>
  <c r="O692" i="5"/>
  <c r="I692" i="5"/>
  <c r="H692" i="5"/>
  <c r="T691" i="5"/>
  <c r="S691" i="5"/>
  <c r="R691" i="5"/>
  <c r="Q691" i="5"/>
  <c r="P691" i="5"/>
  <c r="O691" i="5"/>
  <c r="I691" i="5"/>
  <c r="H691" i="5"/>
  <c r="T690" i="5"/>
  <c r="S690" i="5"/>
  <c r="R690" i="5"/>
  <c r="Q690" i="5"/>
  <c r="P690" i="5"/>
  <c r="O690" i="5"/>
  <c r="J690" i="5"/>
  <c r="I690" i="5"/>
  <c r="H690" i="5"/>
  <c r="T689" i="5"/>
  <c r="S689" i="5"/>
  <c r="R689" i="5"/>
  <c r="Q689" i="5"/>
  <c r="P689" i="5"/>
  <c r="O689" i="5"/>
  <c r="I689" i="5"/>
  <c r="H689" i="5"/>
  <c r="J689" i="5" s="1"/>
  <c r="T688" i="5"/>
  <c r="S688" i="5"/>
  <c r="R688" i="5"/>
  <c r="Q688" i="5"/>
  <c r="P688" i="5"/>
  <c r="O688" i="5"/>
  <c r="I688" i="5"/>
  <c r="H688" i="5"/>
  <c r="T687" i="5"/>
  <c r="S687" i="5"/>
  <c r="R687" i="5"/>
  <c r="Q687" i="5"/>
  <c r="P687" i="5"/>
  <c r="O687" i="5"/>
  <c r="I687" i="5"/>
  <c r="H687" i="5"/>
  <c r="T686" i="5"/>
  <c r="S686" i="5"/>
  <c r="R686" i="5"/>
  <c r="Q686" i="5"/>
  <c r="P686" i="5"/>
  <c r="O686" i="5"/>
  <c r="J686" i="5"/>
  <c r="I686" i="5"/>
  <c r="H686" i="5"/>
  <c r="T685" i="5"/>
  <c r="S685" i="5"/>
  <c r="R685" i="5"/>
  <c r="Q685" i="5"/>
  <c r="P685" i="5"/>
  <c r="O685" i="5"/>
  <c r="I685" i="5"/>
  <c r="H685" i="5"/>
  <c r="J685" i="5" s="1"/>
  <c r="X684" i="5"/>
  <c r="T684" i="5"/>
  <c r="P684" i="5"/>
  <c r="O684" i="5"/>
  <c r="N684" i="5"/>
  <c r="M684" i="5"/>
  <c r="L684" i="5"/>
  <c r="K684" i="5"/>
  <c r="G684" i="5"/>
  <c r="H684" i="5" s="1"/>
  <c r="F684" i="5"/>
  <c r="D684" i="5"/>
  <c r="A684" i="5"/>
  <c r="T683" i="5"/>
  <c r="S683" i="5"/>
  <c r="R683" i="5"/>
  <c r="Q683" i="5"/>
  <c r="P683" i="5"/>
  <c r="O683" i="5"/>
  <c r="I683" i="5"/>
  <c r="H683" i="5"/>
  <c r="A683" i="5"/>
  <c r="T682" i="5"/>
  <c r="S682" i="5"/>
  <c r="R682" i="5"/>
  <c r="Q682" i="5"/>
  <c r="P682" i="5"/>
  <c r="O682" i="5"/>
  <c r="I682" i="5"/>
  <c r="J682" i="5" s="1"/>
  <c r="H682" i="5"/>
  <c r="T681" i="5"/>
  <c r="S681" i="5"/>
  <c r="R681" i="5"/>
  <c r="Q681" i="5"/>
  <c r="P681" i="5"/>
  <c r="O681" i="5"/>
  <c r="I681" i="5"/>
  <c r="J681" i="5" s="1"/>
  <c r="H681" i="5"/>
  <c r="T680" i="5"/>
  <c r="S680" i="5"/>
  <c r="R680" i="5"/>
  <c r="Q680" i="5"/>
  <c r="P680" i="5"/>
  <c r="O680" i="5"/>
  <c r="I680" i="5"/>
  <c r="J680" i="5" s="1"/>
  <c r="H680" i="5"/>
  <c r="T679" i="5"/>
  <c r="S679" i="5"/>
  <c r="S684" i="5" s="1"/>
  <c r="R679" i="5"/>
  <c r="Q679" i="5"/>
  <c r="P679" i="5"/>
  <c r="O679" i="5"/>
  <c r="I679" i="5"/>
  <c r="J679" i="5" s="1"/>
  <c r="H679" i="5"/>
  <c r="T678" i="5"/>
  <c r="S678" i="5"/>
  <c r="R678" i="5"/>
  <c r="Q678" i="5"/>
  <c r="P678" i="5"/>
  <c r="O678" i="5"/>
  <c r="I678" i="5"/>
  <c r="J678" i="5" s="1"/>
  <c r="H678" i="5"/>
  <c r="T677" i="5"/>
  <c r="S677" i="5"/>
  <c r="R677" i="5"/>
  <c r="Q677" i="5"/>
  <c r="P677" i="5"/>
  <c r="O677" i="5"/>
  <c r="I677" i="5"/>
  <c r="J677" i="5" s="1"/>
  <c r="H677" i="5"/>
  <c r="T676" i="5"/>
  <c r="S676" i="5"/>
  <c r="R676" i="5"/>
  <c r="Q676" i="5"/>
  <c r="P676" i="5"/>
  <c r="O676" i="5"/>
  <c r="I676" i="5"/>
  <c r="J676" i="5" s="1"/>
  <c r="H676" i="5"/>
  <c r="T675" i="5"/>
  <c r="S675" i="5"/>
  <c r="R675" i="5"/>
  <c r="Q675" i="5"/>
  <c r="P675" i="5"/>
  <c r="O675" i="5"/>
  <c r="I675" i="5"/>
  <c r="J675" i="5" s="1"/>
  <c r="H675" i="5"/>
  <c r="T674" i="5"/>
  <c r="S674" i="5"/>
  <c r="R674" i="5"/>
  <c r="Q674" i="5"/>
  <c r="P674" i="5"/>
  <c r="O674" i="5"/>
  <c r="I674" i="5"/>
  <c r="J674" i="5" s="1"/>
  <c r="H674" i="5"/>
  <c r="T673" i="5"/>
  <c r="S673" i="5"/>
  <c r="R673" i="5"/>
  <c r="Q673" i="5"/>
  <c r="P673" i="5"/>
  <c r="O673" i="5"/>
  <c r="I673" i="5"/>
  <c r="J673" i="5" s="1"/>
  <c r="H673" i="5"/>
  <c r="T672" i="5"/>
  <c r="S672" i="5"/>
  <c r="R672" i="5"/>
  <c r="Q672" i="5"/>
  <c r="P672" i="5"/>
  <c r="O672" i="5"/>
  <c r="J672" i="5"/>
  <c r="I672" i="5"/>
  <c r="H672" i="5"/>
  <c r="T671" i="5"/>
  <c r="S671" i="5"/>
  <c r="R671" i="5"/>
  <c r="Q671" i="5"/>
  <c r="P671" i="5"/>
  <c r="O671" i="5"/>
  <c r="J671" i="5"/>
  <c r="I671" i="5"/>
  <c r="H671" i="5"/>
  <c r="T670" i="5"/>
  <c r="S670" i="5"/>
  <c r="R670" i="5"/>
  <c r="Q670" i="5"/>
  <c r="P670" i="5"/>
  <c r="O670" i="5"/>
  <c r="I670" i="5"/>
  <c r="J670" i="5" s="1"/>
  <c r="H670" i="5"/>
  <c r="T669" i="5"/>
  <c r="S669" i="5"/>
  <c r="R669" i="5"/>
  <c r="Q669" i="5"/>
  <c r="P669" i="5"/>
  <c r="O669" i="5"/>
  <c r="I669" i="5"/>
  <c r="J669" i="5" s="1"/>
  <c r="H669" i="5"/>
  <c r="T668" i="5"/>
  <c r="Q668" i="5"/>
  <c r="N668" i="5"/>
  <c r="M668" i="5"/>
  <c r="L668" i="5"/>
  <c r="K668" i="5"/>
  <c r="G668" i="5"/>
  <c r="F668" i="5"/>
  <c r="D668" i="5"/>
  <c r="U668" i="5" s="1"/>
  <c r="A668" i="5"/>
  <c r="T667" i="5"/>
  <c r="S667" i="5"/>
  <c r="R667" i="5"/>
  <c r="Q667" i="5"/>
  <c r="P667" i="5"/>
  <c r="O667" i="5"/>
  <c r="J667" i="5"/>
  <c r="I667" i="5"/>
  <c r="H667" i="5"/>
  <c r="A667" i="5"/>
  <c r="T666" i="5"/>
  <c r="S666" i="5"/>
  <c r="R666" i="5"/>
  <c r="Q666" i="5"/>
  <c r="P666" i="5"/>
  <c r="O666" i="5"/>
  <c r="I666" i="5"/>
  <c r="H666" i="5"/>
  <c r="J666" i="5" s="1"/>
  <c r="T665" i="5"/>
  <c r="S665" i="5"/>
  <c r="R665" i="5"/>
  <c r="Q665" i="5"/>
  <c r="P665" i="5"/>
  <c r="O665" i="5"/>
  <c r="J665" i="5"/>
  <c r="I665" i="5"/>
  <c r="H665" i="5"/>
  <c r="T664" i="5"/>
  <c r="S664" i="5"/>
  <c r="R664" i="5"/>
  <c r="Q664" i="5"/>
  <c r="P664" i="5"/>
  <c r="O664" i="5"/>
  <c r="J664" i="5"/>
  <c r="I664" i="5"/>
  <c r="H664" i="5"/>
  <c r="T663" i="5"/>
  <c r="S663" i="5"/>
  <c r="R663" i="5"/>
  <c r="Q663" i="5"/>
  <c r="P663" i="5"/>
  <c r="O663" i="5"/>
  <c r="J663" i="5"/>
  <c r="I663" i="5"/>
  <c r="H663" i="5"/>
  <c r="T662" i="5"/>
  <c r="S662" i="5"/>
  <c r="R662" i="5"/>
  <c r="Q662" i="5"/>
  <c r="P662" i="5"/>
  <c r="O662" i="5"/>
  <c r="I662" i="5"/>
  <c r="H662" i="5"/>
  <c r="J662" i="5" s="1"/>
  <c r="T661" i="5"/>
  <c r="S661" i="5"/>
  <c r="R661" i="5"/>
  <c r="Q661" i="5"/>
  <c r="P661" i="5"/>
  <c r="O661" i="5"/>
  <c r="J661" i="5"/>
  <c r="I661" i="5"/>
  <c r="H661" i="5"/>
  <c r="T660" i="5"/>
  <c r="S660" i="5"/>
  <c r="R660" i="5"/>
  <c r="Q660" i="5"/>
  <c r="P660" i="5"/>
  <c r="O660" i="5"/>
  <c r="J660" i="5"/>
  <c r="I660" i="5"/>
  <c r="H660" i="5"/>
  <c r="T659" i="5"/>
  <c r="S659" i="5"/>
  <c r="R659" i="5"/>
  <c r="Q659" i="5"/>
  <c r="P659" i="5"/>
  <c r="O659" i="5"/>
  <c r="J659" i="5"/>
  <c r="I659" i="5"/>
  <c r="H659" i="5"/>
  <c r="T658" i="5"/>
  <c r="S658" i="5"/>
  <c r="R658" i="5"/>
  <c r="Q658" i="5"/>
  <c r="P658" i="5"/>
  <c r="O658" i="5"/>
  <c r="I658" i="5"/>
  <c r="H658" i="5"/>
  <c r="J658" i="5" s="1"/>
  <c r="T657" i="5"/>
  <c r="S657" i="5"/>
  <c r="R657" i="5"/>
  <c r="Q657" i="5"/>
  <c r="P657" i="5"/>
  <c r="O657" i="5"/>
  <c r="J657" i="5"/>
  <c r="I657" i="5"/>
  <c r="H657" i="5"/>
  <c r="T656" i="5"/>
  <c r="S656" i="5"/>
  <c r="R656" i="5"/>
  <c r="Q656" i="5"/>
  <c r="P656" i="5"/>
  <c r="O656" i="5"/>
  <c r="J656" i="5"/>
  <c r="I656" i="5"/>
  <c r="H656" i="5"/>
  <c r="T655" i="5"/>
  <c r="S655" i="5"/>
  <c r="R655" i="5"/>
  <c r="Q655" i="5"/>
  <c r="P655" i="5"/>
  <c r="O655" i="5"/>
  <c r="I655" i="5"/>
  <c r="H655" i="5"/>
  <c r="J655" i="5" s="1"/>
  <c r="T654" i="5"/>
  <c r="S654" i="5"/>
  <c r="R654" i="5"/>
  <c r="Q654" i="5"/>
  <c r="P654" i="5"/>
  <c r="O654" i="5"/>
  <c r="I654" i="5"/>
  <c r="H654" i="5"/>
  <c r="J654" i="5" s="1"/>
  <c r="T653" i="5"/>
  <c r="S653" i="5"/>
  <c r="R653" i="5"/>
  <c r="Q653" i="5"/>
  <c r="P653" i="5"/>
  <c r="O653" i="5"/>
  <c r="J653" i="5"/>
  <c r="I653" i="5"/>
  <c r="H653" i="5"/>
  <c r="U652" i="5"/>
  <c r="R652" i="5"/>
  <c r="O652" i="5"/>
  <c r="N652" i="5"/>
  <c r="P652" i="5" s="1"/>
  <c r="M652" i="5"/>
  <c r="L652" i="5"/>
  <c r="K652" i="5"/>
  <c r="T652" i="5" s="1"/>
  <c r="I652" i="5"/>
  <c r="G652" i="5"/>
  <c r="F652" i="5"/>
  <c r="D652" i="5"/>
  <c r="Q652" i="5" s="1"/>
  <c r="A652" i="5"/>
  <c r="T651" i="5"/>
  <c r="S651" i="5"/>
  <c r="R651" i="5"/>
  <c r="Q651" i="5"/>
  <c r="P651" i="5"/>
  <c r="O651" i="5"/>
  <c r="I651" i="5"/>
  <c r="H651" i="5"/>
  <c r="J651" i="5" s="1"/>
  <c r="A651" i="5"/>
  <c r="T650" i="5"/>
  <c r="S650" i="5"/>
  <c r="R650" i="5"/>
  <c r="Q650" i="5"/>
  <c r="P650" i="5"/>
  <c r="O650" i="5"/>
  <c r="I650" i="5"/>
  <c r="H650" i="5"/>
  <c r="T649" i="5"/>
  <c r="S649" i="5"/>
  <c r="R649" i="5"/>
  <c r="Q649" i="5"/>
  <c r="P649" i="5"/>
  <c r="O649" i="5"/>
  <c r="J649" i="5"/>
  <c r="I649" i="5"/>
  <c r="H649" i="5"/>
  <c r="T648" i="5"/>
  <c r="S648" i="5"/>
  <c r="R648" i="5"/>
  <c r="Q648" i="5"/>
  <c r="P648" i="5"/>
  <c r="O648" i="5"/>
  <c r="I648" i="5"/>
  <c r="H648" i="5"/>
  <c r="J648" i="5" s="1"/>
  <c r="T647" i="5"/>
  <c r="S647" i="5"/>
  <c r="R647" i="5"/>
  <c r="Q647" i="5"/>
  <c r="P647" i="5"/>
  <c r="O647" i="5"/>
  <c r="I647" i="5"/>
  <c r="H647" i="5"/>
  <c r="T646" i="5"/>
  <c r="S646" i="5"/>
  <c r="R646" i="5"/>
  <c r="Q646" i="5"/>
  <c r="P646" i="5"/>
  <c r="O646" i="5"/>
  <c r="I646" i="5"/>
  <c r="J646" i="5" s="1"/>
  <c r="H646" i="5"/>
  <c r="T645" i="5"/>
  <c r="S645" i="5"/>
  <c r="R645" i="5"/>
  <c r="Q645" i="5"/>
  <c r="P645" i="5"/>
  <c r="O645" i="5"/>
  <c r="J645" i="5"/>
  <c r="I645" i="5"/>
  <c r="H645" i="5"/>
  <c r="T644" i="5"/>
  <c r="S644" i="5"/>
  <c r="R644" i="5"/>
  <c r="Q644" i="5"/>
  <c r="P644" i="5"/>
  <c r="O644" i="5"/>
  <c r="I644" i="5"/>
  <c r="H644" i="5"/>
  <c r="J644" i="5" s="1"/>
  <c r="T643" i="5"/>
  <c r="S643" i="5"/>
  <c r="R643" i="5"/>
  <c r="Q643" i="5"/>
  <c r="P643" i="5"/>
  <c r="O643" i="5"/>
  <c r="I643" i="5"/>
  <c r="H643" i="5"/>
  <c r="T642" i="5"/>
  <c r="S642" i="5"/>
  <c r="R642" i="5"/>
  <c r="Q642" i="5"/>
  <c r="P642" i="5"/>
  <c r="O642" i="5"/>
  <c r="I642" i="5"/>
  <c r="J642" i="5" s="1"/>
  <c r="H642" i="5"/>
  <c r="T641" i="5"/>
  <c r="S641" i="5"/>
  <c r="R641" i="5"/>
  <c r="Q641" i="5"/>
  <c r="P641" i="5"/>
  <c r="O641" i="5"/>
  <c r="J641" i="5"/>
  <c r="I641" i="5"/>
  <c r="H641" i="5"/>
  <c r="T640" i="5"/>
  <c r="S640" i="5"/>
  <c r="R640" i="5"/>
  <c r="Q640" i="5"/>
  <c r="P640" i="5"/>
  <c r="O640" i="5"/>
  <c r="I640" i="5"/>
  <c r="H640" i="5"/>
  <c r="J640" i="5" s="1"/>
  <c r="T639" i="5"/>
  <c r="S639" i="5"/>
  <c r="R639" i="5"/>
  <c r="Q639" i="5"/>
  <c r="P639" i="5"/>
  <c r="O639" i="5"/>
  <c r="I639" i="5"/>
  <c r="J639" i="5" s="1"/>
  <c r="H639" i="5"/>
  <c r="T638" i="5"/>
  <c r="S638" i="5"/>
  <c r="R638" i="5"/>
  <c r="Q638" i="5"/>
  <c r="P638" i="5"/>
  <c r="O638" i="5"/>
  <c r="I638" i="5"/>
  <c r="J638" i="5" s="1"/>
  <c r="H638" i="5"/>
  <c r="T637" i="5"/>
  <c r="S637" i="5"/>
  <c r="S652" i="5" s="1"/>
  <c r="R637" i="5"/>
  <c r="Q637" i="5"/>
  <c r="P637" i="5"/>
  <c r="O637" i="5"/>
  <c r="J637" i="5"/>
  <c r="I637" i="5"/>
  <c r="H637" i="5"/>
  <c r="W636" i="5"/>
  <c r="V636" i="5"/>
  <c r="T636" i="5"/>
  <c r="R636" i="5"/>
  <c r="P636" i="5"/>
  <c r="O636" i="5"/>
  <c r="N636" i="5"/>
  <c r="M636" i="5"/>
  <c r="L636" i="5"/>
  <c r="K636" i="5"/>
  <c r="Q636" i="5" s="1"/>
  <c r="G636" i="5"/>
  <c r="H636" i="5" s="1"/>
  <c r="F636" i="5"/>
  <c r="X636" i="5" s="1"/>
  <c r="D636" i="5"/>
  <c r="A636" i="5"/>
  <c r="T635" i="5"/>
  <c r="S635" i="5"/>
  <c r="R635" i="5"/>
  <c r="Q635" i="5"/>
  <c r="P635" i="5"/>
  <c r="O635" i="5"/>
  <c r="I635" i="5"/>
  <c r="H635" i="5"/>
  <c r="A635" i="5"/>
  <c r="T634" i="5"/>
  <c r="S634" i="5"/>
  <c r="R634" i="5"/>
  <c r="Q634" i="5"/>
  <c r="P634" i="5"/>
  <c r="O634" i="5"/>
  <c r="I634" i="5"/>
  <c r="J634" i="5" s="1"/>
  <c r="H634" i="5"/>
  <c r="T633" i="5"/>
  <c r="S633" i="5"/>
  <c r="R633" i="5"/>
  <c r="Q633" i="5"/>
  <c r="P633" i="5"/>
  <c r="O633" i="5"/>
  <c r="I633" i="5"/>
  <c r="J633" i="5" s="1"/>
  <c r="H633" i="5"/>
  <c r="T632" i="5"/>
  <c r="S632" i="5"/>
  <c r="R632" i="5"/>
  <c r="Q632" i="5"/>
  <c r="P632" i="5"/>
  <c r="O632" i="5"/>
  <c r="I632" i="5"/>
  <c r="H632" i="5"/>
  <c r="T631" i="5"/>
  <c r="S631" i="5"/>
  <c r="R631" i="5"/>
  <c r="Q631" i="5"/>
  <c r="P631" i="5"/>
  <c r="O631" i="5"/>
  <c r="J631" i="5"/>
  <c r="I631" i="5"/>
  <c r="H631" i="5"/>
  <c r="T630" i="5"/>
  <c r="S630" i="5"/>
  <c r="R630" i="5"/>
  <c r="Q630" i="5"/>
  <c r="P630" i="5"/>
  <c r="O630" i="5"/>
  <c r="J630" i="5"/>
  <c r="I630" i="5"/>
  <c r="H630" i="5"/>
  <c r="T629" i="5"/>
  <c r="S629" i="5"/>
  <c r="R629" i="5"/>
  <c r="Q629" i="5"/>
  <c r="P629" i="5"/>
  <c r="O629" i="5"/>
  <c r="I629" i="5"/>
  <c r="J629" i="5" s="1"/>
  <c r="H629" i="5"/>
  <c r="T628" i="5"/>
  <c r="S628" i="5"/>
  <c r="R628" i="5"/>
  <c r="Q628" i="5"/>
  <c r="P628" i="5"/>
  <c r="O628" i="5"/>
  <c r="I628" i="5"/>
  <c r="H628" i="5"/>
  <c r="T627" i="5"/>
  <c r="S627" i="5"/>
  <c r="R627" i="5"/>
  <c r="Q627" i="5"/>
  <c r="P627" i="5"/>
  <c r="O627" i="5"/>
  <c r="J627" i="5"/>
  <c r="I627" i="5"/>
  <c r="H627" i="5"/>
  <c r="T626" i="5"/>
  <c r="S626" i="5"/>
  <c r="R626" i="5"/>
  <c r="Q626" i="5"/>
  <c r="P626" i="5"/>
  <c r="O626" i="5"/>
  <c r="I626" i="5"/>
  <c r="J626" i="5" s="1"/>
  <c r="H626" i="5"/>
  <c r="T625" i="5"/>
  <c r="S625" i="5"/>
  <c r="R625" i="5"/>
  <c r="Q625" i="5"/>
  <c r="P625" i="5"/>
  <c r="O625" i="5"/>
  <c r="I625" i="5"/>
  <c r="J625" i="5" s="1"/>
  <c r="H625" i="5"/>
  <c r="T624" i="5"/>
  <c r="S624" i="5"/>
  <c r="R624" i="5"/>
  <c r="Q624" i="5"/>
  <c r="P624" i="5"/>
  <c r="O624" i="5"/>
  <c r="I624" i="5"/>
  <c r="J624" i="5" s="1"/>
  <c r="H624" i="5"/>
  <c r="T623" i="5"/>
  <c r="S623" i="5"/>
  <c r="R623" i="5"/>
  <c r="Q623" i="5"/>
  <c r="P623" i="5"/>
  <c r="O623" i="5"/>
  <c r="J623" i="5"/>
  <c r="I623" i="5"/>
  <c r="H623" i="5"/>
  <c r="T622" i="5"/>
  <c r="S622" i="5"/>
  <c r="R622" i="5"/>
  <c r="Q622" i="5"/>
  <c r="P622" i="5"/>
  <c r="O622" i="5"/>
  <c r="J622" i="5"/>
  <c r="I622" i="5"/>
  <c r="H622" i="5"/>
  <c r="T621" i="5"/>
  <c r="S621" i="5"/>
  <c r="R621" i="5"/>
  <c r="Q621" i="5"/>
  <c r="P621" i="5"/>
  <c r="O621" i="5"/>
  <c r="I621" i="5"/>
  <c r="J621" i="5" s="1"/>
  <c r="H621" i="5"/>
  <c r="X620" i="5"/>
  <c r="W620" i="5"/>
  <c r="T620" i="5"/>
  <c r="Q620" i="5"/>
  <c r="P620" i="5"/>
  <c r="N620" i="5"/>
  <c r="M620" i="5"/>
  <c r="L620" i="5"/>
  <c r="K620" i="5"/>
  <c r="O620" i="5" s="1"/>
  <c r="H620" i="5"/>
  <c r="G620" i="5"/>
  <c r="F620" i="5"/>
  <c r="D620" i="5"/>
  <c r="R620" i="5" s="1"/>
  <c r="A620" i="5"/>
  <c r="T619" i="5"/>
  <c r="S619" i="5"/>
  <c r="R619" i="5"/>
  <c r="Q619" i="5"/>
  <c r="P619" i="5"/>
  <c r="O619" i="5"/>
  <c r="I619" i="5"/>
  <c r="J619" i="5" s="1"/>
  <c r="H619" i="5"/>
  <c r="A619" i="5"/>
  <c r="T618" i="5"/>
  <c r="S618" i="5"/>
  <c r="R618" i="5"/>
  <c r="Q618" i="5"/>
  <c r="P618" i="5"/>
  <c r="O618" i="5"/>
  <c r="J618" i="5"/>
  <c r="I618" i="5"/>
  <c r="H618" i="5"/>
  <c r="T617" i="5"/>
  <c r="S617" i="5"/>
  <c r="R617" i="5"/>
  <c r="Q617" i="5"/>
  <c r="P617" i="5"/>
  <c r="O617" i="5"/>
  <c r="I617" i="5"/>
  <c r="H617" i="5"/>
  <c r="J617" i="5" s="1"/>
  <c r="T616" i="5"/>
  <c r="S616" i="5"/>
  <c r="R616" i="5"/>
  <c r="Q616" i="5"/>
  <c r="P616" i="5"/>
  <c r="O616" i="5"/>
  <c r="J616" i="5"/>
  <c r="I616" i="5"/>
  <c r="H616" i="5"/>
  <c r="T615" i="5"/>
  <c r="S615" i="5"/>
  <c r="R615" i="5"/>
  <c r="Q615" i="5"/>
  <c r="P615" i="5"/>
  <c r="O615" i="5"/>
  <c r="J615" i="5"/>
  <c r="I615" i="5"/>
  <c r="H615" i="5"/>
  <c r="T614" i="5"/>
  <c r="S614" i="5"/>
  <c r="R614" i="5"/>
  <c r="Q614" i="5"/>
  <c r="P614" i="5"/>
  <c r="O614" i="5"/>
  <c r="J614" i="5"/>
  <c r="I614" i="5"/>
  <c r="H614" i="5"/>
  <c r="T613" i="5"/>
  <c r="S613" i="5"/>
  <c r="R613" i="5"/>
  <c r="Q613" i="5"/>
  <c r="P613" i="5"/>
  <c r="O613" i="5"/>
  <c r="I613" i="5"/>
  <c r="H613" i="5"/>
  <c r="J613" i="5" s="1"/>
  <c r="T612" i="5"/>
  <c r="S612" i="5"/>
  <c r="R612" i="5"/>
  <c r="Q612" i="5"/>
  <c r="P612" i="5"/>
  <c r="O612" i="5"/>
  <c r="I612" i="5"/>
  <c r="J612" i="5" s="1"/>
  <c r="H612" i="5"/>
  <c r="T611" i="5"/>
  <c r="S611" i="5"/>
  <c r="R611" i="5"/>
  <c r="Q611" i="5"/>
  <c r="P611" i="5"/>
  <c r="O611" i="5"/>
  <c r="J611" i="5"/>
  <c r="I611" i="5"/>
  <c r="H611" i="5"/>
  <c r="T610" i="5"/>
  <c r="S610" i="5"/>
  <c r="R610" i="5"/>
  <c r="Q610" i="5"/>
  <c r="P610" i="5"/>
  <c r="O610" i="5"/>
  <c r="I610" i="5"/>
  <c r="H610" i="5"/>
  <c r="J610" i="5" s="1"/>
  <c r="T609" i="5"/>
  <c r="S609" i="5"/>
  <c r="R609" i="5"/>
  <c r="Q609" i="5"/>
  <c r="P609" i="5"/>
  <c r="O609" i="5"/>
  <c r="I609" i="5"/>
  <c r="H609" i="5"/>
  <c r="J609" i="5" s="1"/>
  <c r="T608" i="5"/>
  <c r="S608" i="5"/>
  <c r="R608" i="5"/>
  <c r="Q608" i="5"/>
  <c r="P608" i="5"/>
  <c r="O608" i="5"/>
  <c r="I608" i="5"/>
  <c r="J608" i="5" s="1"/>
  <c r="H608" i="5"/>
  <c r="T607" i="5"/>
  <c r="S607" i="5"/>
  <c r="R607" i="5"/>
  <c r="Q607" i="5"/>
  <c r="P607" i="5"/>
  <c r="O607" i="5"/>
  <c r="J607" i="5"/>
  <c r="I607" i="5"/>
  <c r="H607" i="5"/>
  <c r="T606" i="5"/>
  <c r="S606" i="5"/>
  <c r="R606" i="5"/>
  <c r="Q606" i="5"/>
  <c r="P606" i="5"/>
  <c r="O606" i="5"/>
  <c r="J606" i="5"/>
  <c r="I606" i="5"/>
  <c r="H606" i="5"/>
  <c r="T605" i="5"/>
  <c r="S605" i="5"/>
  <c r="R605" i="5"/>
  <c r="Q605" i="5"/>
  <c r="P605" i="5"/>
  <c r="O605" i="5"/>
  <c r="I605" i="5"/>
  <c r="H605" i="5"/>
  <c r="J605" i="5" s="1"/>
  <c r="X604" i="5"/>
  <c r="O604" i="5"/>
  <c r="N604" i="5"/>
  <c r="P604" i="5" s="1"/>
  <c r="M604" i="5"/>
  <c r="T604" i="5" s="1"/>
  <c r="L604" i="5"/>
  <c r="K604" i="5"/>
  <c r="I604" i="5"/>
  <c r="J604" i="5" s="1"/>
  <c r="H604" i="5"/>
  <c r="G604" i="5"/>
  <c r="F604" i="5"/>
  <c r="D604" i="5"/>
  <c r="W604" i="5" s="1"/>
  <c r="A604" i="5"/>
  <c r="T603" i="5"/>
  <c r="S603" i="5"/>
  <c r="R603" i="5"/>
  <c r="Q603" i="5"/>
  <c r="P603" i="5"/>
  <c r="O603" i="5"/>
  <c r="J603" i="5"/>
  <c r="I603" i="5"/>
  <c r="H603" i="5"/>
  <c r="A603" i="5"/>
  <c r="T602" i="5"/>
  <c r="S602" i="5"/>
  <c r="R602" i="5"/>
  <c r="Q602" i="5"/>
  <c r="P602" i="5"/>
  <c r="O602" i="5"/>
  <c r="I602" i="5"/>
  <c r="H602" i="5"/>
  <c r="T601" i="5"/>
  <c r="S601" i="5"/>
  <c r="R601" i="5"/>
  <c r="Q601" i="5"/>
  <c r="P601" i="5"/>
  <c r="O601" i="5"/>
  <c r="I601" i="5"/>
  <c r="H601" i="5"/>
  <c r="T600" i="5"/>
  <c r="S600" i="5"/>
  <c r="R600" i="5"/>
  <c r="Q600" i="5"/>
  <c r="P600" i="5"/>
  <c r="O600" i="5"/>
  <c r="J600" i="5"/>
  <c r="I600" i="5"/>
  <c r="H600" i="5"/>
  <c r="T599" i="5"/>
  <c r="S599" i="5"/>
  <c r="R599" i="5"/>
  <c r="Q599" i="5"/>
  <c r="P599" i="5"/>
  <c r="O599" i="5"/>
  <c r="I599" i="5"/>
  <c r="J599" i="5" s="1"/>
  <c r="H599" i="5"/>
  <c r="T598" i="5"/>
  <c r="S598" i="5"/>
  <c r="R598" i="5"/>
  <c r="Q598" i="5"/>
  <c r="P598" i="5"/>
  <c r="O598" i="5"/>
  <c r="I598" i="5"/>
  <c r="H598" i="5"/>
  <c r="T597" i="5"/>
  <c r="S597" i="5"/>
  <c r="R597" i="5"/>
  <c r="Q597" i="5"/>
  <c r="P597" i="5"/>
  <c r="O597" i="5"/>
  <c r="I597" i="5"/>
  <c r="J597" i="5" s="1"/>
  <c r="H597" i="5"/>
  <c r="T596" i="5"/>
  <c r="S596" i="5"/>
  <c r="R596" i="5"/>
  <c r="Q596" i="5"/>
  <c r="P596" i="5"/>
  <c r="O596" i="5"/>
  <c r="J596" i="5"/>
  <c r="I596" i="5"/>
  <c r="H596" i="5"/>
  <c r="T595" i="5"/>
  <c r="S595" i="5"/>
  <c r="R595" i="5"/>
  <c r="Q595" i="5"/>
  <c r="P595" i="5"/>
  <c r="O595" i="5"/>
  <c r="J595" i="5"/>
  <c r="I595" i="5"/>
  <c r="H595" i="5"/>
  <c r="T594" i="5"/>
  <c r="S594" i="5"/>
  <c r="R594" i="5"/>
  <c r="Q594" i="5"/>
  <c r="P594" i="5"/>
  <c r="O594" i="5"/>
  <c r="I594" i="5"/>
  <c r="H594" i="5"/>
  <c r="T593" i="5"/>
  <c r="S593" i="5"/>
  <c r="R593" i="5"/>
  <c r="Q593" i="5"/>
  <c r="P593" i="5"/>
  <c r="O593" i="5"/>
  <c r="I593" i="5"/>
  <c r="J593" i="5" s="1"/>
  <c r="H593" i="5"/>
  <c r="T592" i="5"/>
  <c r="S592" i="5"/>
  <c r="R592" i="5"/>
  <c r="Q592" i="5"/>
  <c r="P592" i="5"/>
  <c r="O592" i="5"/>
  <c r="J592" i="5"/>
  <c r="I592" i="5"/>
  <c r="H592" i="5"/>
  <c r="T591" i="5"/>
  <c r="S591" i="5"/>
  <c r="R591" i="5"/>
  <c r="Q591" i="5"/>
  <c r="P591" i="5"/>
  <c r="O591" i="5"/>
  <c r="I591" i="5"/>
  <c r="J591" i="5" s="1"/>
  <c r="H591" i="5"/>
  <c r="T590" i="5"/>
  <c r="S590" i="5"/>
  <c r="R590" i="5"/>
  <c r="Q590" i="5"/>
  <c r="P590" i="5"/>
  <c r="O590" i="5"/>
  <c r="I590" i="5"/>
  <c r="J590" i="5" s="1"/>
  <c r="H590" i="5"/>
  <c r="T589" i="5"/>
  <c r="S589" i="5"/>
  <c r="R589" i="5"/>
  <c r="Q589" i="5"/>
  <c r="P589" i="5"/>
  <c r="O589" i="5"/>
  <c r="I589" i="5"/>
  <c r="J589" i="5" s="1"/>
  <c r="H589" i="5"/>
  <c r="W588" i="5"/>
  <c r="N588" i="5"/>
  <c r="M588" i="5"/>
  <c r="L588" i="5"/>
  <c r="K588" i="5"/>
  <c r="G588" i="5"/>
  <c r="F588" i="5"/>
  <c r="X588" i="5" s="1"/>
  <c r="D588" i="5"/>
  <c r="A588" i="5"/>
  <c r="T587" i="5"/>
  <c r="S587" i="5"/>
  <c r="R587" i="5"/>
  <c r="Q587" i="5"/>
  <c r="P587" i="5"/>
  <c r="O587" i="5"/>
  <c r="I587" i="5"/>
  <c r="J587" i="5" s="1"/>
  <c r="H587" i="5"/>
  <c r="A587" i="5"/>
  <c r="T586" i="5"/>
  <c r="S586" i="5"/>
  <c r="R586" i="5"/>
  <c r="Q586" i="5"/>
  <c r="P586" i="5"/>
  <c r="O586" i="5"/>
  <c r="J586" i="5"/>
  <c r="I586" i="5"/>
  <c r="H586" i="5"/>
  <c r="T585" i="5"/>
  <c r="S585" i="5"/>
  <c r="R585" i="5"/>
  <c r="Q585" i="5"/>
  <c r="P585" i="5"/>
  <c r="O585" i="5"/>
  <c r="I585" i="5"/>
  <c r="J585" i="5" s="1"/>
  <c r="H585" i="5"/>
  <c r="T584" i="5"/>
  <c r="S584" i="5"/>
  <c r="R584" i="5"/>
  <c r="Q584" i="5"/>
  <c r="P584" i="5"/>
  <c r="O584" i="5"/>
  <c r="I584" i="5"/>
  <c r="J584" i="5" s="1"/>
  <c r="H584" i="5"/>
  <c r="T583" i="5"/>
  <c r="S583" i="5"/>
  <c r="R583" i="5"/>
  <c r="Q583" i="5"/>
  <c r="P583" i="5"/>
  <c r="O583" i="5"/>
  <c r="I583" i="5"/>
  <c r="J583" i="5" s="1"/>
  <c r="H583" i="5"/>
  <c r="T582" i="5"/>
  <c r="S582" i="5"/>
  <c r="R582" i="5"/>
  <c r="Q582" i="5"/>
  <c r="P582" i="5"/>
  <c r="O582" i="5"/>
  <c r="I582" i="5"/>
  <c r="H582" i="5"/>
  <c r="T581" i="5"/>
  <c r="S581" i="5"/>
  <c r="R581" i="5"/>
  <c r="Q581" i="5"/>
  <c r="P581" i="5"/>
  <c r="O581" i="5"/>
  <c r="I581" i="5"/>
  <c r="J581" i="5" s="1"/>
  <c r="H581" i="5"/>
  <c r="T580" i="5"/>
  <c r="S580" i="5"/>
  <c r="R580" i="5"/>
  <c r="Q580" i="5"/>
  <c r="P580" i="5"/>
  <c r="O580" i="5"/>
  <c r="I580" i="5"/>
  <c r="J580" i="5" s="1"/>
  <c r="H580" i="5"/>
  <c r="T579" i="5"/>
  <c r="S579" i="5"/>
  <c r="R579" i="5"/>
  <c r="Q579" i="5"/>
  <c r="P579" i="5"/>
  <c r="O579" i="5"/>
  <c r="J579" i="5"/>
  <c r="I579" i="5"/>
  <c r="H579" i="5"/>
  <c r="T578" i="5"/>
  <c r="S578" i="5"/>
  <c r="R578" i="5"/>
  <c r="Q578" i="5"/>
  <c r="P578" i="5"/>
  <c r="O578" i="5"/>
  <c r="J578" i="5"/>
  <c r="I578" i="5"/>
  <c r="H578" i="5"/>
  <c r="T577" i="5"/>
  <c r="S577" i="5"/>
  <c r="R577" i="5"/>
  <c r="Q577" i="5"/>
  <c r="P577" i="5"/>
  <c r="O577" i="5"/>
  <c r="I577" i="5"/>
  <c r="J577" i="5" s="1"/>
  <c r="H577" i="5"/>
  <c r="T576" i="5"/>
  <c r="S576" i="5"/>
  <c r="R576" i="5"/>
  <c r="Q576" i="5"/>
  <c r="P576" i="5"/>
  <c r="O576" i="5"/>
  <c r="I576" i="5"/>
  <c r="J576" i="5" s="1"/>
  <c r="H576" i="5"/>
  <c r="T575" i="5"/>
  <c r="S575" i="5"/>
  <c r="R575" i="5"/>
  <c r="Q575" i="5"/>
  <c r="P575" i="5"/>
  <c r="O575" i="5"/>
  <c r="J575" i="5"/>
  <c r="I575" i="5"/>
  <c r="H575" i="5"/>
  <c r="T574" i="5"/>
  <c r="S574" i="5"/>
  <c r="R574" i="5"/>
  <c r="Q574" i="5"/>
  <c r="P574" i="5"/>
  <c r="O574" i="5"/>
  <c r="J574" i="5"/>
  <c r="I574" i="5"/>
  <c r="H574" i="5"/>
  <c r="T573" i="5"/>
  <c r="S573" i="5"/>
  <c r="R573" i="5"/>
  <c r="Q573" i="5"/>
  <c r="P573" i="5"/>
  <c r="O573" i="5"/>
  <c r="I573" i="5"/>
  <c r="J573" i="5" s="1"/>
  <c r="H573" i="5"/>
  <c r="T572" i="5"/>
  <c r="S572" i="5"/>
  <c r="R572" i="5"/>
  <c r="Q572" i="5"/>
  <c r="P572" i="5"/>
  <c r="O572" i="5"/>
  <c r="I572" i="5"/>
  <c r="J572" i="5" s="1"/>
  <c r="H572" i="5"/>
  <c r="T571" i="5"/>
  <c r="S571" i="5"/>
  <c r="R571" i="5"/>
  <c r="Q571" i="5"/>
  <c r="P571" i="5"/>
  <c r="O571" i="5"/>
  <c r="I571" i="5"/>
  <c r="H571" i="5"/>
  <c r="Q570" i="5"/>
  <c r="N570" i="5"/>
  <c r="R570" i="5" s="1"/>
  <c r="M570" i="5"/>
  <c r="T570" i="5" s="1"/>
  <c r="L570" i="5"/>
  <c r="K570" i="5"/>
  <c r="O570" i="5" s="1"/>
  <c r="I570" i="5"/>
  <c r="J570" i="5" s="1"/>
  <c r="H570" i="5"/>
  <c r="G570" i="5"/>
  <c r="F570" i="5"/>
  <c r="D570" i="5"/>
  <c r="W570" i="5" s="1"/>
  <c r="A570" i="5"/>
  <c r="T569" i="5"/>
  <c r="S569" i="5"/>
  <c r="R569" i="5"/>
  <c r="Q569" i="5"/>
  <c r="P569" i="5"/>
  <c r="O569" i="5"/>
  <c r="J569" i="5"/>
  <c r="I569" i="5"/>
  <c r="H569" i="5"/>
  <c r="A569" i="5"/>
  <c r="T568" i="5"/>
  <c r="S568" i="5"/>
  <c r="R568" i="5"/>
  <c r="Q568" i="5"/>
  <c r="P568" i="5"/>
  <c r="O568" i="5"/>
  <c r="J568" i="5"/>
  <c r="I568" i="5"/>
  <c r="H568" i="5"/>
  <c r="T567" i="5"/>
  <c r="S567" i="5"/>
  <c r="R567" i="5"/>
  <c r="Q567" i="5"/>
  <c r="P567" i="5"/>
  <c r="O567" i="5"/>
  <c r="I567" i="5"/>
  <c r="J567" i="5" s="1"/>
  <c r="H567" i="5"/>
  <c r="T566" i="5"/>
  <c r="S566" i="5"/>
  <c r="R566" i="5"/>
  <c r="Q566" i="5"/>
  <c r="P566" i="5"/>
  <c r="O566" i="5"/>
  <c r="I566" i="5"/>
  <c r="J566" i="5" s="1"/>
  <c r="H566" i="5"/>
  <c r="T565" i="5"/>
  <c r="S565" i="5"/>
  <c r="R565" i="5"/>
  <c r="Q565" i="5"/>
  <c r="P565" i="5"/>
  <c r="O565" i="5"/>
  <c r="J565" i="5"/>
  <c r="I565" i="5"/>
  <c r="H565" i="5"/>
  <c r="T564" i="5"/>
  <c r="S564" i="5"/>
  <c r="R564" i="5"/>
  <c r="Q564" i="5"/>
  <c r="P564" i="5"/>
  <c r="O564" i="5"/>
  <c r="I564" i="5"/>
  <c r="H564" i="5"/>
  <c r="J564" i="5" s="1"/>
  <c r="T563" i="5"/>
  <c r="S563" i="5"/>
  <c r="R563" i="5"/>
  <c r="Q563" i="5"/>
  <c r="P563" i="5"/>
  <c r="O563" i="5"/>
  <c r="I563" i="5"/>
  <c r="J563" i="5" s="1"/>
  <c r="H563" i="5"/>
  <c r="T562" i="5"/>
  <c r="S562" i="5"/>
  <c r="R562" i="5"/>
  <c r="Q562" i="5"/>
  <c r="P562" i="5"/>
  <c r="O562" i="5"/>
  <c r="I562" i="5"/>
  <c r="J562" i="5" s="1"/>
  <c r="H562" i="5"/>
  <c r="T561" i="5"/>
  <c r="S561" i="5"/>
  <c r="R561" i="5"/>
  <c r="Q561" i="5"/>
  <c r="P561" i="5"/>
  <c r="O561" i="5"/>
  <c r="J561" i="5"/>
  <c r="I561" i="5"/>
  <c r="H561" i="5"/>
  <c r="T560" i="5"/>
  <c r="S560" i="5"/>
  <c r="R560" i="5"/>
  <c r="Q560" i="5"/>
  <c r="P560" i="5"/>
  <c r="O560" i="5"/>
  <c r="J560" i="5"/>
  <c r="I560" i="5"/>
  <c r="H560" i="5"/>
  <c r="T559" i="5"/>
  <c r="S559" i="5"/>
  <c r="R559" i="5"/>
  <c r="Q559" i="5"/>
  <c r="P559" i="5"/>
  <c r="O559" i="5"/>
  <c r="I559" i="5"/>
  <c r="J559" i="5" s="1"/>
  <c r="H559" i="5"/>
  <c r="T558" i="5"/>
  <c r="S558" i="5"/>
  <c r="R558" i="5"/>
  <c r="Q558" i="5"/>
  <c r="P558" i="5"/>
  <c r="O558" i="5"/>
  <c r="I558" i="5"/>
  <c r="J558" i="5" s="1"/>
  <c r="H558" i="5"/>
  <c r="T557" i="5"/>
  <c r="S557" i="5"/>
  <c r="R557" i="5"/>
  <c r="Q557" i="5"/>
  <c r="P557" i="5"/>
  <c r="O557" i="5"/>
  <c r="J557" i="5"/>
  <c r="I557" i="5"/>
  <c r="H557" i="5"/>
  <c r="T556" i="5"/>
  <c r="S556" i="5"/>
  <c r="R556" i="5"/>
  <c r="Q556" i="5"/>
  <c r="P556" i="5"/>
  <c r="O556" i="5"/>
  <c r="I556" i="5"/>
  <c r="H556" i="5"/>
  <c r="J556" i="5" s="1"/>
  <c r="T555" i="5"/>
  <c r="S555" i="5"/>
  <c r="R555" i="5"/>
  <c r="Q555" i="5"/>
  <c r="P555" i="5"/>
  <c r="O555" i="5"/>
  <c r="I555" i="5"/>
  <c r="J555" i="5" s="1"/>
  <c r="H555" i="5"/>
  <c r="T554" i="5"/>
  <c r="S554" i="5"/>
  <c r="R554" i="5"/>
  <c r="Q554" i="5"/>
  <c r="P554" i="5"/>
  <c r="O554" i="5"/>
  <c r="I554" i="5"/>
  <c r="J554" i="5" s="1"/>
  <c r="H554" i="5"/>
  <c r="T553" i="5"/>
  <c r="S553" i="5"/>
  <c r="R553" i="5"/>
  <c r="Q553" i="5"/>
  <c r="P553" i="5"/>
  <c r="O553" i="5"/>
  <c r="J553" i="5"/>
  <c r="I553" i="5"/>
  <c r="H553" i="5"/>
  <c r="W552" i="5"/>
  <c r="R552" i="5"/>
  <c r="P552" i="5"/>
  <c r="N552" i="5"/>
  <c r="M552" i="5"/>
  <c r="L552" i="5"/>
  <c r="K552" i="5"/>
  <c r="Q552" i="5" s="1"/>
  <c r="I552" i="5"/>
  <c r="G552" i="5"/>
  <c r="F552" i="5"/>
  <c r="X552" i="5" s="1"/>
  <c r="D552" i="5"/>
  <c r="A552" i="5"/>
  <c r="T551" i="5"/>
  <c r="S551" i="5"/>
  <c r="R551" i="5"/>
  <c r="Q551" i="5"/>
  <c r="P551" i="5"/>
  <c r="O551" i="5"/>
  <c r="J551" i="5"/>
  <c r="I551" i="5"/>
  <c r="H551" i="5"/>
  <c r="A551" i="5"/>
  <c r="T550" i="5"/>
  <c r="S550" i="5"/>
  <c r="R550" i="5"/>
  <c r="Q550" i="5"/>
  <c r="P550" i="5"/>
  <c r="O550" i="5"/>
  <c r="I550" i="5"/>
  <c r="H550" i="5"/>
  <c r="J550" i="5" s="1"/>
  <c r="T549" i="5"/>
  <c r="S549" i="5"/>
  <c r="R549" i="5"/>
  <c r="Q549" i="5"/>
  <c r="P549" i="5"/>
  <c r="O549" i="5"/>
  <c r="I549" i="5"/>
  <c r="H549" i="5"/>
  <c r="T548" i="5"/>
  <c r="S548" i="5"/>
  <c r="R548" i="5"/>
  <c r="Q548" i="5"/>
  <c r="P548" i="5"/>
  <c r="O548" i="5"/>
  <c r="I548" i="5"/>
  <c r="H548" i="5"/>
  <c r="T547" i="5"/>
  <c r="S547" i="5"/>
  <c r="R547" i="5"/>
  <c r="Q547" i="5"/>
  <c r="P547" i="5"/>
  <c r="O547" i="5"/>
  <c r="I547" i="5"/>
  <c r="J547" i="5" s="1"/>
  <c r="H547" i="5"/>
  <c r="T546" i="5"/>
  <c r="S546" i="5"/>
  <c r="R546" i="5"/>
  <c r="Q546" i="5"/>
  <c r="P546" i="5"/>
  <c r="O546" i="5"/>
  <c r="J546" i="5"/>
  <c r="I546" i="5"/>
  <c r="H546" i="5"/>
  <c r="T545" i="5"/>
  <c r="S545" i="5"/>
  <c r="R545" i="5"/>
  <c r="Q545" i="5"/>
  <c r="P545" i="5"/>
  <c r="O545" i="5"/>
  <c r="I545" i="5"/>
  <c r="H545" i="5"/>
  <c r="J545" i="5" s="1"/>
  <c r="T544" i="5"/>
  <c r="S544" i="5"/>
  <c r="R544" i="5"/>
  <c r="Q544" i="5"/>
  <c r="P544" i="5"/>
  <c r="O544" i="5"/>
  <c r="I544" i="5"/>
  <c r="H544" i="5"/>
  <c r="T543" i="5"/>
  <c r="S543" i="5"/>
  <c r="R543" i="5"/>
  <c r="Q543" i="5"/>
  <c r="P543" i="5"/>
  <c r="O543" i="5"/>
  <c r="I543" i="5"/>
  <c r="J543" i="5" s="1"/>
  <c r="H543" i="5"/>
  <c r="T542" i="5"/>
  <c r="S542" i="5"/>
  <c r="R542" i="5"/>
  <c r="Q542" i="5"/>
  <c r="P542" i="5"/>
  <c r="O542" i="5"/>
  <c r="J542" i="5"/>
  <c r="I542" i="5"/>
  <c r="H542" i="5"/>
  <c r="T541" i="5"/>
  <c r="S541" i="5"/>
  <c r="R541" i="5"/>
  <c r="Q541" i="5"/>
  <c r="P541" i="5"/>
  <c r="O541" i="5"/>
  <c r="I541" i="5"/>
  <c r="H541" i="5"/>
  <c r="J541" i="5" s="1"/>
  <c r="T540" i="5"/>
  <c r="S540" i="5"/>
  <c r="R540" i="5"/>
  <c r="Q540" i="5"/>
  <c r="P540" i="5"/>
  <c r="O540" i="5"/>
  <c r="I540" i="5"/>
  <c r="J540" i="5" s="1"/>
  <c r="H540" i="5"/>
  <c r="T539" i="5"/>
  <c r="S539" i="5"/>
  <c r="R539" i="5"/>
  <c r="Q539" i="5"/>
  <c r="P539" i="5"/>
  <c r="O539" i="5"/>
  <c r="I539" i="5"/>
  <c r="J539" i="5" s="1"/>
  <c r="H539" i="5"/>
  <c r="T538" i="5"/>
  <c r="S538" i="5"/>
  <c r="R538" i="5"/>
  <c r="Q538" i="5"/>
  <c r="P538" i="5"/>
  <c r="O538" i="5"/>
  <c r="J538" i="5"/>
  <c r="I538" i="5"/>
  <c r="H538" i="5"/>
  <c r="T537" i="5"/>
  <c r="S537" i="5"/>
  <c r="R537" i="5"/>
  <c r="Q537" i="5"/>
  <c r="P537" i="5"/>
  <c r="O537" i="5"/>
  <c r="I537" i="5"/>
  <c r="H537" i="5"/>
  <c r="J537" i="5" s="1"/>
  <c r="T536" i="5"/>
  <c r="S536" i="5"/>
  <c r="R536" i="5"/>
  <c r="Q536" i="5"/>
  <c r="P536" i="5"/>
  <c r="O536" i="5"/>
  <c r="I536" i="5"/>
  <c r="J536" i="5" s="1"/>
  <c r="H536" i="5"/>
  <c r="T535" i="5"/>
  <c r="S535" i="5"/>
  <c r="R535" i="5"/>
  <c r="Q535" i="5"/>
  <c r="P535" i="5"/>
  <c r="O535" i="5"/>
  <c r="I535" i="5"/>
  <c r="J535" i="5" s="1"/>
  <c r="H535" i="5"/>
  <c r="W534" i="5"/>
  <c r="V534" i="5"/>
  <c r="U534" i="5"/>
  <c r="R534" i="5"/>
  <c r="N534" i="5"/>
  <c r="P534" i="5" s="1"/>
  <c r="M534" i="5"/>
  <c r="L534" i="5"/>
  <c r="K534" i="5"/>
  <c r="Q534" i="5" s="1"/>
  <c r="I534" i="5"/>
  <c r="G534" i="5"/>
  <c r="F534" i="5"/>
  <c r="D534" i="5"/>
  <c r="A534" i="5"/>
  <c r="T533" i="5"/>
  <c r="S533" i="5"/>
  <c r="R533" i="5"/>
  <c r="Q533" i="5"/>
  <c r="P533" i="5"/>
  <c r="O533" i="5"/>
  <c r="I533" i="5"/>
  <c r="H533" i="5"/>
  <c r="J533" i="5" s="1"/>
  <c r="A533" i="5"/>
  <c r="T532" i="5"/>
  <c r="S532" i="5"/>
  <c r="R532" i="5"/>
  <c r="Q532" i="5"/>
  <c r="P532" i="5"/>
  <c r="O532" i="5"/>
  <c r="I532" i="5"/>
  <c r="H532" i="5"/>
  <c r="T531" i="5"/>
  <c r="S531" i="5"/>
  <c r="R531" i="5"/>
  <c r="Q531" i="5"/>
  <c r="P531" i="5"/>
  <c r="O531" i="5"/>
  <c r="J531" i="5"/>
  <c r="I531" i="5"/>
  <c r="H531" i="5"/>
  <c r="T530" i="5"/>
  <c r="S530" i="5"/>
  <c r="R530" i="5"/>
  <c r="Q530" i="5"/>
  <c r="P530" i="5"/>
  <c r="O530" i="5"/>
  <c r="I530" i="5"/>
  <c r="J530" i="5" s="1"/>
  <c r="H530" i="5"/>
  <c r="T529" i="5"/>
  <c r="S529" i="5"/>
  <c r="R529" i="5"/>
  <c r="Q529" i="5"/>
  <c r="P529" i="5"/>
  <c r="O529" i="5"/>
  <c r="I529" i="5"/>
  <c r="J529" i="5" s="1"/>
  <c r="H529" i="5"/>
  <c r="T528" i="5"/>
  <c r="S528" i="5"/>
  <c r="R528" i="5"/>
  <c r="Q528" i="5"/>
  <c r="P528" i="5"/>
  <c r="O528" i="5"/>
  <c r="I528" i="5"/>
  <c r="J528" i="5" s="1"/>
  <c r="H528" i="5"/>
  <c r="T527" i="5"/>
  <c r="S527" i="5"/>
  <c r="R527" i="5"/>
  <c r="Q527" i="5"/>
  <c r="P527" i="5"/>
  <c r="O527" i="5"/>
  <c r="J527" i="5"/>
  <c r="I527" i="5"/>
  <c r="H527" i="5"/>
  <c r="T526" i="5"/>
  <c r="S526" i="5"/>
  <c r="R526" i="5"/>
  <c r="Q526" i="5"/>
  <c r="P526" i="5"/>
  <c r="O526" i="5"/>
  <c r="I526" i="5"/>
  <c r="J526" i="5" s="1"/>
  <c r="H526" i="5"/>
  <c r="T525" i="5"/>
  <c r="S525" i="5"/>
  <c r="R525" i="5"/>
  <c r="Q525" i="5"/>
  <c r="P525" i="5"/>
  <c r="O525" i="5"/>
  <c r="I525" i="5"/>
  <c r="H525" i="5"/>
  <c r="T524" i="5"/>
  <c r="S524" i="5"/>
  <c r="R524" i="5"/>
  <c r="Q524" i="5"/>
  <c r="P524" i="5"/>
  <c r="O524" i="5"/>
  <c r="I524" i="5"/>
  <c r="H524" i="5"/>
  <c r="T523" i="5"/>
  <c r="S523" i="5"/>
  <c r="R523" i="5"/>
  <c r="Q523" i="5"/>
  <c r="P523" i="5"/>
  <c r="O523" i="5"/>
  <c r="J523" i="5"/>
  <c r="I523" i="5"/>
  <c r="H523" i="5"/>
  <c r="T522" i="5"/>
  <c r="S522" i="5"/>
  <c r="R522" i="5"/>
  <c r="Q522" i="5"/>
  <c r="P522" i="5"/>
  <c r="O522" i="5"/>
  <c r="I522" i="5"/>
  <c r="J522" i="5" s="1"/>
  <c r="H522" i="5"/>
  <c r="T521" i="5"/>
  <c r="S521" i="5"/>
  <c r="R521" i="5"/>
  <c r="Q521" i="5"/>
  <c r="P521" i="5"/>
  <c r="O521" i="5"/>
  <c r="I521" i="5"/>
  <c r="J521" i="5" s="1"/>
  <c r="H521" i="5"/>
  <c r="T520" i="5"/>
  <c r="S520" i="5"/>
  <c r="R520" i="5"/>
  <c r="Q520" i="5"/>
  <c r="P520" i="5"/>
  <c r="O520" i="5"/>
  <c r="I520" i="5"/>
  <c r="J520" i="5" s="1"/>
  <c r="H520" i="5"/>
  <c r="T519" i="5"/>
  <c r="S519" i="5"/>
  <c r="R519" i="5"/>
  <c r="Q519" i="5"/>
  <c r="P519" i="5"/>
  <c r="O519" i="5"/>
  <c r="J519" i="5"/>
  <c r="I519" i="5"/>
  <c r="H519" i="5"/>
  <c r="T518" i="5"/>
  <c r="S518" i="5"/>
  <c r="R518" i="5"/>
  <c r="Q518" i="5"/>
  <c r="P518" i="5"/>
  <c r="O518" i="5"/>
  <c r="I518" i="5"/>
  <c r="J518" i="5" s="1"/>
  <c r="H518" i="5"/>
  <c r="T517" i="5"/>
  <c r="S517" i="5"/>
  <c r="R517" i="5"/>
  <c r="Q517" i="5"/>
  <c r="P517" i="5"/>
  <c r="O517" i="5"/>
  <c r="I517" i="5"/>
  <c r="J517" i="5" s="1"/>
  <c r="H517" i="5"/>
  <c r="Q516" i="5"/>
  <c r="P516" i="5"/>
  <c r="N516" i="5"/>
  <c r="M516" i="5"/>
  <c r="L516" i="5"/>
  <c r="K516" i="5"/>
  <c r="T516" i="5" s="1"/>
  <c r="G516" i="5"/>
  <c r="F516" i="5"/>
  <c r="X516" i="5" s="1"/>
  <c r="D516" i="5"/>
  <c r="A516" i="5"/>
  <c r="T515" i="5"/>
  <c r="S515" i="5"/>
  <c r="R515" i="5"/>
  <c r="Q515" i="5"/>
  <c r="P515" i="5"/>
  <c r="O515" i="5"/>
  <c r="J515" i="5"/>
  <c r="I515" i="5"/>
  <c r="H515" i="5"/>
  <c r="A515" i="5"/>
  <c r="T514" i="5"/>
  <c r="S514" i="5"/>
  <c r="R514" i="5"/>
  <c r="Q514" i="5"/>
  <c r="P514" i="5"/>
  <c r="O514" i="5"/>
  <c r="I514" i="5"/>
  <c r="H514" i="5"/>
  <c r="J514" i="5" s="1"/>
  <c r="T513" i="5"/>
  <c r="S513" i="5"/>
  <c r="R513" i="5"/>
  <c r="Q513" i="5"/>
  <c r="P513" i="5"/>
  <c r="O513" i="5"/>
  <c r="J513" i="5"/>
  <c r="I513" i="5"/>
  <c r="H513" i="5"/>
  <c r="T512" i="5"/>
  <c r="S512" i="5"/>
  <c r="R512" i="5"/>
  <c r="Q512" i="5"/>
  <c r="P512" i="5"/>
  <c r="O512" i="5"/>
  <c r="J512" i="5"/>
  <c r="I512" i="5"/>
  <c r="H512" i="5"/>
  <c r="T511" i="5"/>
  <c r="S511" i="5"/>
  <c r="R511" i="5"/>
  <c r="Q511" i="5"/>
  <c r="P511" i="5"/>
  <c r="O511" i="5"/>
  <c r="I511" i="5"/>
  <c r="J511" i="5" s="1"/>
  <c r="H511" i="5"/>
  <c r="T510" i="5"/>
  <c r="S510" i="5"/>
  <c r="R510" i="5"/>
  <c r="Q510" i="5"/>
  <c r="P510" i="5"/>
  <c r="O510" i="5"/>
  <c r="I510" i="5"/>
  <c r="H510" i="5"/>
  <c r="J510" i="5" s="1"/>
  <c r="T509" i="5"/>
  <c r="S509" i="5"/>
  <c r="R509" i="5"/>
  <c r="Q509" i="5"/>
  <c r="P509" i="5"/>
  <c r="O509" i="5"/>
  <c r="I509" i="5"/>
  <c r="J509" i="5" s="1"/>
  <c r="H509" i="5"/>
  <c r="T508" i="5"/>
  <c r="S508" i="5"/>
  <c r="R508" i="5"/>
  <c r="Q508" i="5"/>
  <c r="P508" i="5"/>
  <c r="O508" i="5"/>
  <c r="I508" i="5"/>
  <c r="J508" i="5" s="1"/>
  <c r="H508" i="5"/>
  <c r="T507" i="5"/>
  <c r="S507" i="5"/>
  <c r="R507" i="5"/>
  <c r="Q507" i="5"/>
  <c r="P507" i="5"/>
  <c r="O507" i="5"/>
  <c r="I507" i="5"/>
  <c r="J507" i="5" s="1"/>
  <c r="H507" i="5"/>
  <c r="T506" i="5"/>
  <c r="S506" i="5"/>
  <c r="R506" i="5"/>
  <c r="Q506" i="5"/>
  <c r="P506" i="5"/>
  <c r="O506" i="5"/>
  <c r="I506" i="5"/>
  <c r="H506" i="5"/>
  <c r="J506" i="5" s="1"/>
  <c r="T505" i="5"/>
  <c r="S505" i="5"/>
  <c r="R505" i="5"/>
  <c r="Q505" i="5"/>
  <c r="P505" i="5"/>
  <c r="O505" i="5"/>
  <c r="I505" i="5"/>
  <c r="J505" i="5" s="1"/>
  <c r="H505" i="5"/>
  <c r="T504" i="5"/>
  <c r="S504" i="5"/>
  <c r="R504" i="5"/>
  <c r="Q504" i="5"/>
  <c r="P504" i="5"/>
  <c r="O504" i="5"/>
  <c r="J504" i="5"/>
  <c r="I504" i="5"/>
  <c r="H504" i="5"/>
  <c r="T503" i="5"/>
  <c r="S503" i="5"/>
  <c r="R503" i="5"/>
  <c r="Q503" i="5"/>
  <c r="P503" i="5"/>
  <c r="O503" i="5"/>
  <c r="I503" i="5"/>
  <c r="J503" i="5" s="1"/>
  <c r="H503" i="5"/>
  <c r="T502" i="5"/>
  <c r="S502" i="5"/>
  <c r="R502" i="5"/>
  <c r="Q502" i="5"/>
  <c r="P502" i="5"/>
  <c r="O502" i="5"/>
  <c r="I502" i="5"/>
  <c r="H502" i="5"/>
  <c r="J502" i="5" s="1"/>
  <c r="T501" i="5"/>
  <c r="S501" i="5"/>
  <c r="R501" i="5"/>
  <c r="Q501" i="5"/>
  <c r="P501" i="5"/>
  <c r="O501" i="5"/>
  <c r="I501" i="5"/>
  <c r="J501" i="5" s="1"/>
  <c r="H501" i="5"/>
  <c r="T500" i="5"/>
  <c r="S500" i="5"/>
  <c r="R500" i="5"/>
  <c r="Q500" i="5"/>
  <c r="P500" i="5"/>
  <c r="O500" i="5"/>
  <c r="J500" i="5"/>
  <c r="I500" i="5"/>
  <c r="H500" i="5"/>
  <c r="T499" i="5"/>
  <c r="S499" i="5"/>
  <c r="R499" i="5"/>
  <c r="Q499" i="5"/>
  <c r="P499" i="5"/>
  <c r="O499" i="5"/>
  <c r="I499" i="5"/>
  <c r="J499" i="5" s="1"/>
  <c r="H499" i="5"/>
  <c r="X498" i="5"/>
  <c r="W498" i="5"/>
  <c r="U498" i="5"/>
  <c r="R498" i="5"/>
  <c r="N498" i="5"/>
  <c r="M498" i="5"/>
  <c r="L498" i="5"/>
  <c r="K498" i="5"/>
  <c r="I498" i="5"/>
  <c r="J498" i="5" s="1"/>
  <c r="H498" i="5"/>
  <c r="G498" i="5"/>
  <c r="F498" i="5"/>
  <c r="V498" i="5" s="1"/>
  <c r="D498" i="5"/>
  <c r="A498" i="5"/>
  <c r="T497" i="5"/>
  <c r="S497" i="5"/>
  <c r="R497" i="5"/>
  <c r="Q497" i="5"/>
  <c r="P497" i="5"/>
  <c r="O497" i="5"/>
  <c r="J497" i="5"/>
  <c r="I497" i="5"/>
  <c r="H497" i="5"/>
  <c r="A497" i="5"/>
  <c r="T496" i="5"/>
  <c r="S496" i="5"/>
  <c r="R496" i="5"/>
  <c r="Q496" i="5"/>
  <c r="P496" i="5"/>
  <c r="O496" i="5"/>
  <c r="I496" i="5"/>
  <c r="H496" i="5"/>
  <c r="J496" i="5" s="1"/>
  <c r="T495" i="5"/>
  <c r="S495" i="5"/>
  <c r="R495" i="5"/>
  <c r="Q495" i="5"/>
  <c r="P495" i="5"/>
  <c r="O495" i="5"/>
  <c r="I495" i="5"/>
  <c r="H495" i="5"/>
  <c r="T494" i="5"/>
  <c r="S494" i="5"/>
  <c r="R494" i="5"/>
  <c r="Q494" i="5"/>
  <c r="P494" i="5"/>
  <c r="O494" i="5"/>
  <c r="I494" i="5"/>
  <c r="J494" i="5" s="1"/>
  <c r="H494" i="5"/>
  <c r="T493" i="5"/>
  <c r="S493" i="5"/>
  <c r="R493" i="5"/>
  <c r="Q493" i="5"/>
  <c r="P493" i="5"/>
  <c r="O493" i="5"/>
  <c r="J493" i="5"/>
  <c r="I493" i="5"/>
  <c r="H493" i="5"/>
  <c r="T492" i="5"/>
  <c r="S492" i="5"/>
  <c r="R492" i="5"/>
  <c r="Q492" i="5"/>
  <c r="P492" i="5"/>
  <c r="O492" i="5"/>
  <c r="I492" i="5"/>
  <c r="H492" i="5"/>
  <c r="J492" i="5" s="1"/>
  <c r="T491" i="5"/>
  <c r="S491" i="5"/>
  <c r="R491" i="5"/>
  <c r="Q491" i="5"/>
  <c r="P491" i="5"/>
  <c r="O491" i="5"/>
  <c r="I491" i="5"/>
  <c r="J491" i="5" s="1"/>
  <c r="H491" i="5"/>
  <c r="T490" i="5"/>
  <c r="S490" i="5"/>
  <c r="R490" i="5"/>
  <c r="Q490" i="5"/>
  <c r="P490" i="5"/>
  <c r="O490" i="5"/>
  <c r="I490" i="5"/>
  <c r="J490" i="5" s="1"/>
  <c r="H490" i="5"/>
  <c r="T489" i="5"/>
  <c r="S489" i="5"/>
  <c r="R489" i="5"/>
  <c r="Q489" i="5"/>
  <c r="P489" i="5"/>
  <c r="O489" i="5"/>
  <c r="J489" i="5"/>
  <c r="I489" i="5"/>
  <c r="H489" i="5"/>
  <c r="T488" i="5"/>
  <c r="S488" i="5"/>
  <c r="R488" i="5"/>
  <c r="Q488" i="5"/>
  <c r="P488" i="5"/>
  <c r="O488" i="5"/>
  <c r="I488" i="5"/>
  <c r="H488" i="5"/>
  <c r="J488" i="5" s="1"/>
  <c r="T487" i="5"/>
  <c r="S487" i="5"/>
  <c r="R487" i="5"/>
  <c r="Q487" i="5"/>
  <c r="P487" i="5"/>
  <c r="O487" i="5"/>
  <c r="I487" i="5"/>
  <c r="J487" i="5" s="1"/>
  <c r="H487" i="5"/>
  <c r="T486" i="5"/>
  <c r="S486" i="5"/>
  <c r="R486" i="5"/>
  <c r="Q486" i="5"/>
  <c r="P486" i="5"/>
  <c r="O486" i="5"/>
  <c r="I486" i="5"/>
  <c r="J486" i="5" s="1"/>
  <c r="H486" i="5"/>
  <c r="T485" i="5"/>
  <c r="S485" i="5"/>
  <c r="R485" i="5"/>
  <c r="Q485" i="5"/>
  <c r="P485" i="5"/>
  <c r="O485" i="5"/>
  <c r="J485" i="5"/>
  <c r="I485" i="5"/>
  <c r="H485" i="5"/>
  <c r="T484" i="5"/>
  <c r="S484" i="5"/>
  <c r="R484" i="5"/>
  <c r="Q484" i="5"/>
  <c r="P484" i="5"/>
  <c r="O484" i="5"/>
  <c r="J484" i="5"/>
  <c r="I484" i="5"/>
  <c r="H484" i="5"/>
  <c r="T483" i="5"/>
  <c r="S483" i="5"/>
  <c r="R483" i="5"/>
  <c r="Q483" i="5"/>
  <c r="P483" i="5"/>
  <c r="O483" i="5"/>
  <c r="I483" i="5"/>
  <c r="J483" i="5" s="1"/>
  <c r="H483" i="5"/>
  <c r="T482" i="5"/>
  <c r="S482" i="5"/>
  <c r="R482" i="5"/>
  <c r="Q482" i="5"/>
  <c r="P482" i="5"/>
  <c r="O482" i="5"/>
  <c r="I482" i="5"/>
  <c r="J482" i="5" s="1"/>
  <c r="H482" i="5"/>
  <c r="T481" i="5"/>
  <c r="S481" i="5"/>
  <c r="S498" i="5" s="1"/>
  <c r="R481" i="5"/>
  <c r="Q481" i="5"/>
  <c r="P481" i="5"/>
  <c r="O481" i="5"/>
  <c r="J481" i="5"/>
  <c r="I481" i="5"/>
  <c r="H481" i="5"/>
  <c r="W480" i="5"/>
  <c r="R480" i="5"/>
  <c r="P480" i="5"/>
  <c r="O480" i="5"/>
  <c r="N480" i="5"/>
  <c r="M480" i="5"/>
  <c r="L480" i="5"/>
  <c r="K480" i="5"/>
  <c r="T480" i="5" s="1"/>
  <c r="G480" i="5"/>
  <c r="F480" i="5"/>
  <c r="D480" i="5"/>
  <c r="U480" i="5" s="1"/>
  <c r="A480" i="5"/>
  <c r="T479" i="5"/>
  <c r="S479" i="5"/>
  <c r="R479" i="5"/>
  <c r="Q479" i="5"/>
  <c r="P479" i="5"/>
  <c r="O479" i="5"/>
  <c r="I479" i="5"/>
  <c r="J479" i="5" s="1"/>
  <c r="H479" i="5"/>
  <c r="A479" i="5"/>
  <c r="T478" i="5"/>
  <c r="S478" i="5"/>
  <c r="R478" i="5"/>
  <c r="Q478" i="5"/>
  <c r="P478" i="5"/>
  <c r="O478" i="5"/>
  <c r="J478" i="5"/>
  <c r="I478" i="5"/>
  <c r="H478" i="5"/>
  <c r="T477" i="5"/>
  <c r="S477" i="5"/>
  <c r="R477" i="5"/>
  <c r="Q477" i="5"/>
  <c r="P477" i="5"/>
  <c r="O477" i="5"/>
  <c r="J477" i="5"/>
  <c r="I477" i="5"/>
  <c r="H477" i="5"/>
  <c r="T476" i="5"/>
  <c r="S476" i="5"/>
  <c r="R476" i="5"/>
  <c r="Q476" i="5"/>
  <c r="P476" i="5"/>
  <c r="O476" i="5"/>
  <c r="I476" i="5"/>
  <c r="J476" i="5" s="1"/>
  <c r="H476" i="5"/>
  <c r="T475" i="5"/>
  <c r="S475" i="5"/>
  <c r="R475" i="5"/>
  <c r="Q475" i="5"/>
  <c r="P475" i="5"/>
  <c r="O475" i="5"/>
  <c r="I475" i="5"/>
  <c r="H475" i="5"/>
  <c r="T474" i="5"/>
  <c r="S474" i="5"/>
  <c r="R474" i="5"/>
  <c r="Q474" i="5"/>
  <c r="P474" i="5"/>
  <c r="O474" i="5"/>
  <c r="J474" i="5"/>
  <c r="I474" i="5"/>
  <c r="H474" i="5"/>
  <c r="T473" i="5"/>
  <c r="S473" i="5"/>
  <c r="R473" i="5"/>
  <c r="Q473" i="5"/>
  <c r="P473" i="5"/>
  <c r="O473" i="5"/>
  <c r="J473" i="5"/>
  <c r="I473" i="5"/>
  <c r="H473" i="5"/>
  <c r="T472" i="5"/>
  <c r="S472" i="5"/>
  <c r="R472" i="5"/>
  <c r="Q472" i="5"/>
  <c r="P472" i="5"/>
  <c r="O472" i="5"/>
  <c r="I472" i="5"/>
  <c r="J472" i="5" s="1"/>
  <c r="H472" i="5"/>
  <c r="T471" i="5"/>
  <c r="S471" i="5"/>
  <c r="R471" i="5"/>
  <c r="Q471" i="5"/>
  <c r="P471" i="5"/>
  <c r="O471" i="5"/>
  <c r="I471" i="5"/>
  <c r="H471" i="5"/>
  <c r="T470" i="5"/>
  <c r="S470" i="5"/>
  <c r="R470" i="5"/>
  <c r="Q470" i="5"/>
  <c r="P470" i="5"/>
  <c r="O470" i="5"/>
  <c r="J470" i="5"/>
  <c r="I470" i="5"/>
  <c r="H470" i="5"/>
  <c r="T469" i="5"/>
  <c r="S469" i="5"/>
  <c r="R469" i="5"/>
  <c r="Q469" i="5"/>
  <c r="P469" i="5"/>
  <c r="O469" i="5"/>
  <c r="J469" i="5"/>
  <c r="I469" i="5"/>
  <c r="H469" i="5"/>
  <c r="T468" i="5"/>
  <c r="S468" i="5"/>
  <c r="R468" i="5"/>
  <c r="Q468" i="5"/>
  <c r="P468" i="5"/>
  <c r="O468" i="5"/>
  <c r="I468" i="5"/>
  <c r="H468" i="5"/>
  <c r="T467" i="5"/>
  <c r="S467" i="5"/>
  <c r="R467" i="5"/>
  <c r="Q467" i="5"/>
  <c r="P467" i="5"/>
  <c r="O467" i="5"/>
  <c r="I467" i="5"/>
  <c r="J467" i="5" s="1"/>
  <c r="H467" i="5"/>
  <c r="T466" i="5"/>
  <c r="S466" i="5"/>
  <c r="R466" i="5"/>
  <c r="Q466" i="5"/>
  <c r="P466" i="5"/>
  <c r="O466" i="5"/>
  <c r="J466" i="5"/>
  <c r="I466" i="5"/>
  <c r="H466" i="5"/>
  <c r="T465" i="5"/>
  <c r="S465" i="5"/>
  <c r="R465" i="5"/>
  <c r="Q465" i="5"/>
  <c r="P465" i="5"/>
  <c r="O465" i="5"/>
  <c r="J465" i="5"/>
  <c r="I465" i="5"/>
  <c r="H465" i="5"/>
  <c r="T464" i="5"/>
  <c r="S464" i="5"/>
  <c r="R464" i="5"/>
  <c r="Q464" i="5"/>
  <c r="P464" i="5"/>
  <c r="O464" i="5"/>
  <c r="I464" i="5"/>
  <c r="H464" i="5"/>
  <c r="T463" i="5"/>
  <c r="S463" i="5"/>
  <c r="R463" i="5"/>
  <c r="Q463" i="5"/>
  <c r="P463" i="5"/>
  <c r="O463" i="5"/>
  <c r="I463" i="5"/>
  <c r="J463" i="5" s="1"/>
  <c r="H463" i="5"/>
  <c r="W462" i="5"/>
  <c r="N462" i="5"/>
  <c r="M462" i="5"/>
  <c r="L462" i="5"/>
  <c r="K462" i="5"/>
  <c r="G462" i="5"/>
  <c r="F462" i="5"/>
  <c r="I462" i="5" s="1"/>
  <c r="D462" i="5"/>
  <c r="A462" i="5"/>
  <c r="T461" i="5"/>
  <c r="S461" i="5"/>
  <c r="R461" i="5"/>
  <c r="Q461" i="5"/>
  <c r="P461" i="5"/>
  <c r="O461" i="5"/>
  <c r="J461" i="5"/>
  <c r="I461" i="5"/>
  <c r="H461" i="5"/>
  <c r="A461" i="5"/>
  <c r="T460" i="5"/>
  <c r="S460" i="5"/>
  <c r="R460" i="5"/>
  <c r="Q460" i="5"/>
  <c r="P460" i="5"/>
  <c r="O460" i="5"/>
  <c r="J460" i="5"/>
  <c r="I460" i="5"/>
  <c r="H460" i="5"/>
  <c r="T459" i="5"/>
  <c r="S459" i="5"/>
  <c r="R459" i="5"/>
  <c r="Q459" i="5"/>
  <c r="P459" i="5"/>
  <c r="O459" i="5"/>
  <c r="J459" i="5"/>
  <c r="I459" i="5"/>
  <c r="H459" i="5"/>
  <c r="T458" i="5"/>
  <c r="S458" i="5"/>
  <c r="R458" i="5"/>
  <c r="Q458" i="5"/>
  <c r="P458" i="5"/>
  <c r="O458" i="5"/>
  <c r="I458" i="5"/>
  <c r="J458" i="5" s="1"/>
  <c r="H458" i="5"/>
  <c r="T457" i="5"/>
  <c r="S457" i="5"/>
  <c r="R457" i="5"/>
  <c r="Q457" i="5"/>
  <c r="P457" i="5"/>
  <c r="O457" i="5"/>
  <c r="I457" i="5"/>
  <c r="H457" i="5"/>
  <c r="J457" i="5" s="1"/>
  <c r="T456" i="5"/>
  <c r="S456" i="5"/>
  <c r="R456" i="5"/>
  <c r="Q456" i="5"/>
  <c r="P456" i="5"/>
  <c r="O456" i="5"/>
  <c r="I456" i="5"/>
  <c r="J456" i="5" s="1"/>
  <c r="H456" i="5"/>
  <c r="T455" i="5"/>
  <c r="S455" i="5"/>
  <c r="R455" i="5"/>
  <c r="Q455" i="5"/>
  <c r="P455" i="5"/>
  <c r="O455" i="5"/>
  <c r="J455" i="5"/>
  <c r="I455" i="5"/>
  <c r="H455" i="5"/>
  <c r="T454" i="5"/>
  <c r="S454" i="5"/>
  <c r="R454" i="5"/>
  <c r="Q454" i="5"/>
  <c r="P454" i="5"/>
  <c r="O454" i="5"/>
  <c r="I454" i="5"/>
  <c r="J454" i="5" s="1"/>
  <c r="H454" i="5"/>
  <c r="T453" i="5"/>
  <c r="S453" i="5"/>
  <c r="R453" i="5"/>
  <c r="Q453" i="5"/>
  <c r="P453" i="5"/>
  <c r="O453" i="5"/>
  <c r="I453" i="5"/>
  <c r="H453" i="5"/>
  <c r="J453" i="5" s="1"/>
  <c r="T452" i="5"/>
  <c r="S452" i="5"/>
  <c r="R452" i="5"/>
  <c r="Q452" i="5"/>
  <c r="P452" i="5"/>
  <c r="O452" i="5"/>
  <c r="I452" i="5"/>
  <c r="J452" i="5" s="1"/>
  <c r="H452" i="5"/>
  <c r="T451" i="5"/>
  <c r="S451" i="5"/>
  <c r="R451" i="5"/>
  <c r="Q451" i="5"/>
  <c r="P451" i="5"/>
  <c r="O451" i="5"/>
  <c r="J451" i="5"/>
  <c r="I451" i="5"/>
  <c r="H451" i="5"/>
  <c r="T450" i="5"/>
  <c r="S450" i="5"/>
  <c r="R450" i="5"/>
  <c r="Q450" i="5"/>
  <c r="P450" i="5"/>
  <c r="O450" i="5"/>
  <c r="I450" i="5"/>
  <c r="J450" i="5" s="1"/>
  <c r="H450" i="5"/>
  <c r="T449" i="5"/>
  <c r="S449" i="5"/>
  <c r="R449" i="5"/>
  <c r="Q449" i="5"/>
  <c r="P449" i="5"/>
  <c r="O449" i="5"/>
  <c r="I449" i="5"/>
  <c r="H449" i="5"/>
  <c r="J449" i="5" s="1"/>
  <c r="T448" i="5"/>
  <c r="S448" i="5"/>
  <c r="R448" i="5"/>
  <c r="Q448" i="5"/>
  <c r="P448" i="5"/>
  <c r="O448" i="5"/>
  <c r="I448" i="5"/>
  <c r="J448" i="5" s="1"/>
  <c r="H448" i="5"/>
  <c r="T447" i="5"/>
  <c r="S447" i="5"/>
  <c r="R447" i="5"/>
  <c r="Q447" i="5"/>
  <c r="P447" i="5"/>
  <c r="O447" i="5"/>
  <c r="J447" i="5"/>
  <c r="I447" i="5"/>
  <c r="H447" i="5"/>
  <c r="T446" i="5"/>
  <c r="S446" i="5"/>
  <c r="R446" i="5"/>
  <c r="Q446" i="5"/>
  <c r="P446" i="5"/>
  <c r="O446" i="5"/>
  <c r="I446" i="5"/>
  <c r="J446" i="5" s="1"/>
  <c r="H446" i="5"/>
  <c r="T445" i="5"/>
  <c r="S445" i="5"/>
  <c r="S462" i="5" s="1"/>
  <c r="R445" i="5"/>
  <c r="Q445" i="5"/>
  <c r="P445" i="5"/>
  <c r="O445" i="5"/>
  <c r="I445" i="5"/>
  <c r="H445" i="5"/>
  <c r="J445" i="5" s="1"/>
  <c r="T444" i="5"/>
  <c r="R444" i="5"/>
  <c r="P444" i="5"/>
  <c r="O444" i="5"/>
  <c r="N444" i="5"/>
  <c r="M444" i="5"/>
  <c r="L444" i="5"/>
  <c r="K444" i="5"/>
  <c r="G444" i="5"/>
  <c r="F444" i="5"/>
  <c r="D444" i="5"/>
  <c r="A444" i="5"/>
  <c r="T443" i="5"/>
  <c r="S443" i="5"/>
  <c r="R443" i="5"/>
  <c r="Q443" i="5"/>
  <c r="P443" i="5"/>
  <c r="O443" i="5"/>
  <c r="I443" i="5"/>
  <c r="J443" i="5" s="1"/>
  <c r="H443" i="5"/>
  <c r="A443" i="5"/>
  <c r="T442" i="5"/>
  <c r="S442" i="5"/>
  <c r="R442" i="5"/>
  <c r="Q442" i="5"/>
  <c r="P442" i="5"/>
  <c r="O442" i="5"/>
  <c r="I442" i="5"/>
  <c r="H442" i="5"/>
  <c r="T441" i="5"/>
  <c r="S441" i="5"/>
  <c r="R441" i="5"/>
  <c r="Q441" i="5"/>
  <c r="P441" i="5"/>
  <c r="O441" i="5"/>
  <c r="I441" i="5"/>
  <c r="J441" i="5" s="1"/>
  <c r="H441" i="5"/>
  <c r="T440" i="5"/>
  <c r="S440" i="5"/>
  <c r="R440" i="5"/>
  <c r="Q440" i="5"/>
  <c r="P440" i="5"/>
  <c r="O440" i="5"/>
  <c r="J440" i="5"/>
  <c r="I440" i="5"/>
  <c r="H440" i="5"/>
  <c r="T439" i="5"/>
  <c r="S439" i="5"/>
  <c r="R439" i="5"/>
  <c r="Q439" i="5"/>
  <c r="P439" i="5"/>
  <c r="O439" i="5"/>
  <c r="I439" i="5"/>
  <c r="H439" i="5"/>
  <c r="J439" i="5" s="1"/>
  <c r="T438" i="5"/>
  <c r="S438" i="5"/>
  <c r="R438" i="5"/>
  <c r="Q438" i="5"/>
  <c r="P438" i="5"/>
  <c r="O438" i="5"/>
  <c r="I438" i="5"/>
  <c r="J438" i="5" s="1"/>
  <c r="H438" i="5"/>
  <c r="T437" i="5"/>
  <c r="S437" i="5"/>
  <c r="R437" i="5"/>
  <c r="Q437" i="5"/>
  <c r="P437" i="5"/>
  <c r="O437" i="5"/>
  <c r="I437" i="5"/>
  <c r="J437" i="5" s="1"/>
  <c r="H437" i="5"/>
  <c r="T436" i="5"/>
  <c r="S436" i="5"/>
  <c r="R436" i="5"/>
  <c r="Q436" i="5"/>
  <c r="P436" i="5"/>
  <c r="O436" i="5"/>
  <c r="J436" i="5"/>
  <c r="I436" i="5"/>
  <c r="H436" i="5"/>
  <c r="T435" i="5"/>
  <c r="S435" i="5"/>
  <c r="R435" i="5"/>
  <c r="Q435" i="5"/>
  <c r="P435" i="5"/>
  <c r="O435" i="5"/>
  <c r="I435" i="5"/>
  <c r="H435" i="5"/>
  <c r="J435" i="5" s="1"/>
  <c r="T434" i="5"/>
  <c r="S434" i="5"/>
  <c r="R434" i="5"/>
  <c r="Q434" i="5"/>
  <c r="P434" i="5"/>
  <c r="O434" i="5"/>
  <c r="I434" i="5"/>
  <c r="J434" i="5" s="1"/>
  <c r="H434" i="5"/>
  <c r="T433" i="5"/>
  <c r="S433" i="5"/>
  <c r="R433" i="5"/>
  <c r="Q433" i="5"/>
  <c r="P433" i="5"/>
  <c r="O433" i="5"/>
  <c r="I433" i="5"/>
  <c r="J433" i="5" s="1"/>
  <c r="H433" i="5"/>
  <c r="T432" i="5"/>
  <c r="S432" i="5"/>
  <c r="R432" i="5"/>
  <c r="Q432" i="5"/>
  <c r="P432" i="5"/>
  <c r="O432" i="5"/>
  <c r="J432" i="5"/>
  <c r="I432" i="5"/>
  <c r="H432" i="5"/>
  <c r="T431" i="5"/>
  <c r="S431" i="5"/>
  <c r="R431" i="5"/>
  <c r="Q431" i="5"/>
  <c r="P431" i="5"/>
  <c r="O431" i="5"/>
  <c r="J431" i="5"/>
  <c r="I431" i="5"/>
  <c r="H431" i="5"/>
  <c r="T430" i="5"/>
  <c r="S430" i="5"/>
  <c r="R430" i="5"/>
  <c r="Q430" i="5"/>
  <c r="P430" i="5"/>
  <c r="O430" i="5"/>
  <c r="I430" i="5"/>
  <c r="J430" i="5" s="1"/>
  <c r="H430" i="5"/>
  <c r="T429" i="5"/>
  <c r="S429" i="5"/>
  <c r="R429" i="5"/>
  <c r="Q429" i="5"/>
  <c r="P429" i="5"/>
  <c r="O429" i="5"/>
  <c r="I429" i="5"/>
  <c r="J429" i="5" s="1"/>
  <c r="H429" i="5"/>
  <c r="T428" i="5"/>
  <c r="S428" i="5"/>
  <c r="R428" i="5"/>
  <c r="Q428" i="5"/>
  <c r="P428" i="5"/>
  <c r="O428" i="5"/>
  <c r="J428" i="5"/>
  <c r="I428" i="5"/>
  <c r="H428" i="5"/>
  <c r="T427" i="5"/>
  <c r="S427" i="5"/>
  <c r="S444" i="5" s="1"/>
  <c r="R427" i="5"/>
  <c r="Q427" i="5"/>
  <c r="P427" i="5"/>
  <c r="O427" i="5"/>
  <c r="I427" i="5"/>
  <c r="H427" i="5"/>
  <c r="J427" i="5" s="1"/>
  <c r="X426" i="5"/>
  <c r="W426" i="5"/>
  <c r="P426" i="5"/>
  <c r="O426" i="5"/>
  <c r="N426" i="5"/>
  <c r="M426" i="5"/>
  <c r="T426" i="5" s="1"/>
  <c r="L426" i="5"/>
  <c r="K426" i="5"/>
  <c r="Q426" i="5" s="1"/>
  <c r="H426" i="5"/>
  <c r="G426" i="5"/>
  <c r="F426" i="5"/>
  <c r="D426" i="5"/>
  <c r="U426" i="5" s="1"/>
  <c r="A426" i="5"/>
  <c r="T425" i="5"/>
  <c r="S425" i="5"/>
  <c r="R425" i="5"/>
  <c r="Q425" i="5"/>
  <c r="P425" i="5"/>
  <c r="O425" i="5"/>
  <c r="I425" i="5"/>
  <c r="J425" i="5" s="1"/>
  <c r="H425" i="5"/>
  <c r="A425" i="5"/>
  <c r="T424" i="5"/>
  <c r="S424" i="5"/>
  <c r="R424" i="5"/>
  <c r="Q424" i="5"/>
  <c r="P424" i="5"/>
  <c r="O424" i="5"/>
  <c r="J424" i="5"/>
  <c r="I424" i="5"/>
  <c r="H424" i="5"/>
  <c r="T423" i="5"/>
  <c r="S423" i="5"/>
  <c r="R423" i="5"/>
  <c r="Q423" i="5"/>
  <c r="P423" i="5"/>
  <c r="O423" i="5"/>
  <c r="I423" i="5"/>
  <c r="J423" i="5" s="1"/>
  <c r="H423" i="5"/>
  <c r="T422" i="5"/>
  <c r="S422" i="5"/>
  <c r="R422" i="5"/>
  <c r="Q422" i="5"/>
  <c r="P422" i="5"/>
  <c r="O422" i="5"/>
  <c r="I422" i="5"/>
  <c r="H422" i="5"/>
  <c r="T421" i="5"/>
  <c r="S421" i="5"/>
  <c r="R421" i="5"/>
  <c r="Q421" i="5"/>
  <c r="P421" i="5"/>
  <c r="O421" i="5"/>
  <c r="J421" i="5"/>
  <c r="I421" i="5"/>
  <c r="H421" i="5"/>
  <c r="T420" i="5"/>
  <c r="S420" i="5"/>
  <c r="R420" i="5"/>
  <c r="Q420" i="5"/>
  <c r="P420" i="5"/>
  <c r="O420" i="5"/>
  <c r="J420" i="5"/>
  <c r="I420" i="5"/>
  <c r="H420" i="5"/>
  <c r="T419" i="5"/>
  <c r="S419" i="5"/>
  <c r="R419" i="5"/>
  <c r="Q419" i="5"/>
  <c r="P419" i="5"/>
  <c r="O419" i="5"/>
  <c r="I419" i="5"/>
  <c r="J419" i="5" s="1"/>
  <c r="H419" i="5"/>
  <c r="T418" i="5"/>
  <c r="S418" i="5"/>
  <c r="R418" i="5"/>
  <c r="Q418" i="5"/>
  <c r="P418" i="5"/>
  <c r="O418" i="5"/>
  <c r="I418" i="5"/>
  <c r="H418" i="5"/>
  <c r="T417" i="5"/>
  <c r="S417" i="5"/>
  <c r="R417" i="5"/>
  <c r="Q417" i="5"/>
  <c r="P417" i="5"/>
  <c r="O417" i="5"/>
  <c r="J417" i="5"/>
  <c r="I417" i="5"/>
  <c r="H417" i="5"/>
  <c r="T416" i="5"/>
  <c r="S416" i="5"/>
  <c r="R416" i="5"/>
  <c r="Q416" i="5"/>
  <c r="P416" i="5"/>
  <c r="O416" i="5"/>
  <c r="J416" i="5"/>
  <c r="I416" i="5"/>
  <c r="H416" i="5"/>
  <c r="T415" i="5"/>
  <c r="S415" i="5"/>
  <c r="R415" i="5"/>
  <c r="Q415" i="5"/>
  <c r="P415" i="5"/>
  <c r="O415" i="5"/>
  <c r="I415" i="5"/>
  <c r="H415" i="5"/>
  <c r="T414" i="5"/>
  <c r="S414" i="5"/>
  <c r="R414" i="5"/>
  <c r="Q414" i="5"/>
  <c r="P414" i="5"/>
  <c r="O414" i="5"/>
  <c r="I414" i="5"/>
  <c r="J414" i="5" s="1"/>
  <c r="H414" i="5"/>
  <c r="T413" i="5"/>
  <c r="S413" i="5"/>
  <c r="R413" i="5"/>
  <c r="Q413" i="5"/>
  <c r="P413" i="5"/>
  <c r="O413" i="5"/>
  <c r="J413" i="5"/>
  <c r="I413" i="5"/>
  <c r="H413" i="5"/>
  <c r="T412" i="5"/>
  <c r="S412" i="5"/>
  <c r="R412" i="5"/>
  <c r="Q412" i="5"/>
  <c r="P412" i="5"/>
  <c r="O412" i="5"/>
  <c r="J412" i="5"/>
  <c r="I412" i="5"/>
  <c r="H412" i="5"/>
  <c r="T411" i="5"/>
  <c r="S411" i="5"/>
  <c r="R411" i="5"/>
  <c r="Q411" i="5"/>
  <c r="P411" i="5"/>
  <c r="O411" i="5"/>
  <c r="I411" i="5"/>
  <c r="H411" i="5"/>
  <c r="T410" i="5"/>
  <c r="S410" i="5"/>
  <c r="R410" i="5"/>
  <c r="Q410" i="5"/>
  <c r="P410" i="5"/>
  <c r="O410" i="5"/>
  <c r="I410" i="5"/>
  <c r="J410" i="5" s="1"/>
  <c r="H410" i="5"/>
  <c r="T409" i="5"/>
  <c r="S409" i="5"/>
  <c r="R409" i="5"/>
  <c r="Q409" i="5"/>
  <c r="P409" i="5"/>
  <c r="O409" i="5"/>
  <c r="J409" i="5"/>
  <c r="I409" i="5"/>
  <c r="H409" i="5"/>
  <c r="W408" i="5"/>
  <c r="R408" i="5"/>
  <c r="N408" i="5"/>
  <c r="M408" i="5"/>
  <c r="L408" i="5"/>
  <c r="K408" i="5"/>
  <c r="H408" i="5"/>
  <c r="G408" i="5"/>
  <c r="F408" i="5"/>
  <c r="X408" i="5" s="1"/>
  <c r="D408" i="5"/>
  <c r="U408" i="5" s="1"/>
  <c r="A408" i="5"/>
  <c r="T407" i="5"/>
  <c r="S407" i="5"/>
  <c r="R407" i="5"/>
  <c r="Q407" i="5"/>
  <c r="P407" i="5"/>
  <c r="O407" i="5"/>
  <c r="I407" i="5"/>
  <c r="J407" i="5" s="1"/>
  <c r="H407" i="5"/>
  <c r="A407" i="5"/>
  <c r="T406" i="5"/>
  <c r="S406" i="5"/>
  <c r="R406" i="5"/>
  <c r="Q406" i="5"/>
  <c r="P406" i="5"/>
  <c r="O406" i="5"/>
  <c r="J406" i="5"/>
  <c r="I406" i="5"/>
  <c r="H406" i="5"/>
  <c r="T405" i="5"/>
  <c r="S405" i="5"/>
  <c r="R405" i="5"/>
  <c r="Q405" i="5"/>
  <c r="P405" i="5"/>
  <c r="O405" i="5"/>
  <c r="I405" i="5"/>
  <c r="J405" i="5" s="1"/>
  <c r="H405" i="5"/>
  <c r="T404" i="5"/>
  <c r="S404" i="5"/>
  <c r="R404" i="5"/>
  <c r="Q404" i="5"/>
  <c r="P404" i="5"/>
  <c r="O404" i="5"/>
  <c r="I404" i="5"/>
  <c r="H404" i="5"/>
  <c r="J404" i="5" s="1"/>
  <c r="T403" i="5"/>
  <c r="S403" i="5"/>
  <c r="R403" i="5"/>
  <c r="Q403" i="5"/>
  <c r="P403" i="5"/>
  <c r="O403" i="5"/>
  <c r="I403" i="5"/>
  <c r="H403" i="5"/>
  <c r="T402" i="5"/>
  <c r="S402" i="5"/>
  <c r="R402" i="5"/>
  <c r="Q402" i="5"/>
  <c r="P402" i="5"/>
  <c r="O402" i="5"/>
  <c r="I402" i="5"/>
  <c r="J402" i="5" s="1"/>
  <c r="H402" i="5"/>
  <c r="T401" i="5"/>
  <c r="S401" i="5"/>
  <c r="R401" i="5"/>
  <c r="Q401" i="5"/>
  <c r="P401" i="5"/>
  <c r="O401" i="5"/>
  <c r="I401" i="5"/>
  <c r="J401" i="5" s="1"/>
  <c r="H401" i="5"/>
  <c r="T400" i="5"/>
  <c r="S400" i="5"/>
  <c r="R400" i="5"/>
  <c r="Q400" i="5"/>
  <c r="P400" i="5"/>
  <c r="O400" i="5"/>
  <c r="I400" i="5"/>
  <c r="H400" i="5"/>
  <c r="J400" i="5" s="1"/>
  <c r="T399" i="5"/>
  <c r="S399" i="5"/>
  <c r="R399" i="5"/>
  <c r="Q399" i="5"/>
  <c r="P399" i="5"/>
  <c r="O399" i="5"/>
  <c r="I399" i="5"/>
  <c r="J399" i="5" s="1"/>
  <c r="H399" i="5"/>
  <c r="T398" i="5"/>
  <c r="S398" i="5"/>
  <c r="R398" i="5"/>
  <c r="Q398" i="5"/>
  <c r="P398" i="5"/>
  <c r="O398" i="5"/>
  <c r="I398" i="5"/>
  <c r="J398" i="5" s="1"/>
  <c r="H398" i="5"/>
  <c r="T397" i="5"/>
  <c r="S397" i="5"/>
  <c r="R397" i="5"/>
  <c r="Q397" i="5"/>
  <c r="P397" i="5"/>
  <c r="O397" i="5"/>
  <c r="I397" i="5"/>
  <c r="J397" i="5" s="1"/>
  <c r="H397" i="5"/>
  <c r="T396" i="5"/>
  <c r="S396" i="5"/>
  <c r="R396" i="5"/>
  <c r="Q396" i="5"/>
  <c r="P396" i="5"/>
  <c r="O396" i="5"/>
  <c r="I396" i="5"/>
  <c r="H396" i="5"/>
  <c r="J396" i="5" s="1"/>
  <c r="T395" i="5"/>
  <c r="S395" i="5"/>
  <c r="R395" i="5"/>
  <c r="Q395" i="5"/>
  <c r="P395" i="5"/>
  <c r="O395" i="5"/>
  <c r="I395" i="5"/>
  <c r="H395" i="5"/>
  <c r="J395" i="5" s="1"/>
  <c r="T394" i="5"/>
  <c r="S394" i="5"/>
  <c r="R394" i="5"/>
  <c r="Q394" i="5"/>
  <c r="P394" i="5"/>
  <c r="O394" i="5"/>
  <c r="I394" i="5"/>
  <c r="J394" i="5" s="1"/>
  <c r="H394" i="5"/>
  <c r="T393" i="5"/>
  <c r="S393" i="5"/>
  <c r="R393" i="5"/>
  <c r="Q393" i="5"/>
  <c r="P393" i="5"/>
  <c r="O393" i="5"/>
  <c r="I393" i="5"/>
  <c r="J393" i="5" s="1"/>
  <c r="H393" i="5"/>
  <c r="T392" i="5"/>
  <c r="S392" i="5"/>
  <c r="R392" i="5"/>
  <c r="Q392" i="5"/>
  <c r="P392" i="5"/>
  <c r="O392" i="5"/>
  <c r="I392" i="5"/>
  <c r="H392" i="5"/>
  <c r="J392" i="5" s="1"/>
  <c r="T391" i="5"/>
  <c r="S391" i="5"/>
  <c r="R391" i="5"/>
  <c r="Q391" i="5"/>
  <c r="P391" i="5"/>
  <c r="O391" i="5"/>
  <c r="I391" i="5"/>
  <c r="H391" i="5"/>
  <c r="J391" i="5" s="1"/>
  <c r="R390" i="5"/>
  <c r="Q390" i="5"/>
  <c r="O390" i="5"/>
  <c r="N390" i="5"/>
  <c r="P390" i="5" s="1"/>
  <c r="M390" i="5"/>
  <c r="L390" i="5"/>
  <c r="K390" i="5"/>
  <c r="G390" i="5"/>
  <c r="F390" i="5"/>
  <c r="D390" i="5"/>
  <c r="A390" i="5"/>
  <c r="T389" i="5"/>
  <c r="S389" i="5"/>
  <c r="R389" i="5"/>
  <c r="Q389" i="5"/>
  <c r="P389" i="5"/>
  <c r="O389" i="5"/>
  <c r="I389" i="5"/>
  <c r="J389" i="5" s="1"/>
  <c r="H389" i="5"/>
  <c r="A389" i="5"/>
  <c r="T388" i="5"/>
  <c r="S388" i="5"/>
  <c r="R388" i="5"/>
  <c r="Q388" i="5"/>
  <c r="P388" i="5"/>
  <c r="O388" i="5"/>
  <c r="I388" i="5"/>
  <c r="J388" i="5" s="1"/>
  <c r="H388" i="5"/>
  <c r="T387" i="5"/>
  <c r="S387" i="5"/>
  <c r="R387" i="5"/>
  <c r="Q387" i="5"/>
  <c r="P387" i="5"/>
  <c r="O387" i="5"/>
  <c r="I387" i="5"/>
  <c r="J387" i="5" s="1"/>
  <c r="H387" i="5"/>
  <c r="T386" i="5"/>
  <c r="S386" i="5"/>
  <c r="R386" i="5"/>
  <c r="Q386" i="5"/>
  <c r="P386" i="5"/>
  <c r="O386" i="5"/>
  <c r="I386" i="5"/>
  <c r="H386" i="5"/>
  <c r="J386" i="5" s="1"/>
  <c r="T385" i="5"/>
  <c r="S385" i="5"/>
  <c r="R385" i="5"/>
  <c r="Q385" i="5"/>
  <c r="P385" i="5"/>
  <c r="O385" i="5"/>
  <c r="I385" i="5"/>
  <c r="J385" i="5" s="1"/>
  <c r="H385" i="5"/>
  <c r="T384" i="5"/>
  <c r="S384" i="5"/>
  <c r="R384" i="5"/>
  <c r="Q384" i="5"/>
  <c r="P384" i="5"/>
  <c r="O384" i="5"/>
  <c r="I384" i="5"/>
  <c r="J384" i="5" s="1"/>
  <c r="H384" i="5"/>
  <c r="T383" i="5"/>
  <c r="S383" i="5"/>
  <c r="R383" i="5"/>
  <c r="Q383" i="5"/>
  <c r="P383" i="5"/>
  <c r="O383" i="5"/>
  <c r="I383" i="5"/>
  <c r="J383" i="5" s="1"/>
  <c r="H383" i="5"/>
  <c r="T382" i="5"/>
  <c r="S382" i="5"/>
  <c r="R382" i="5"/>
  <c r="Q382" i="5"/>
  <c r="P382" i="5"/>
  <c r="O382" i="5"/>
  <c r="J382" i="5"/>
  <c r="I382" i="5"/>
  <c r="H382" i="5"/>
  <c r="T381" i="5"/>
  <c r="S381" i="5"/>
  <c r="R381" i="5"/>
  <c r="Q381" i="5"/>
  <c r="P381" i="5"/>
  <c r="O381" i="5"/>
  <c r="I381" i="5"/>
  <c r="J381" i="5" s="1"/>
  <c r="H381" i="5"/>
  <c r="T380" i="5"/>
  <c r="S380" i="5"/>
  <c r="R380" i="5"/>
  <c r="Q380" i="5"/>
  <c r="P380" i="5"/>
  <c r="O380" i="5"/>
  <c r="I380" i="5"/>
  <c r="J380" i="5" s="1"/>
  <c r="H380" i="5"/>
  <c r="T379" i="5"/>
  <c r="S379" i="5"/>
  <c r="R379" i="5"/>
  <c r="Q379" i="5"/>
  <c r="P379" i="5"/>
  <c r="O379" i="5"/>
  <c r="J379" i="5"/>
  <c r="I379" i="5"/>
  <c r="H379" i="5"/>
  <c r="T378" i="5"/>
  <c r="S378" i="5"/>
  <c r="R378" i="5"/>
  <c r="Q378" i="5"/>
  <c r="P378" i="5"/>
  <c r="O378" i="5"/>
  <c r="I378" i="5"/>
  <c r="H378" i="5"/>
  <c r="J378" i="5" s="1"/>
  <c r="T377" i="5"/>
  <c r="S377" i="5"/>
  <c r="R377" i="5"/>
  <c r="Q377" i="5"/>
  <c r="P377" i="5"/>
  <c r="O377" i="5"/>
  <c r="I377" i="5"/>
  <c r="H377" i="5"/>
  <c r="T376" i="5"/>
  <c r="S376" i="5"/>
  <c r="R376" i="5"/>
  <c r="Q376" i="5"/>
  <c r="P376" i="5"/>
  <c r="O376" i="5"/>
  <c r="I376" i="5"/>
  <c r="J376" i="5" s="1"/>
  <c r="H376" i="5"/>
  <c r="T375" i="5"/>
  <c r="S375" i="5"/>
  <c r="R375" i="5"/>
  <c r="Q375" i="5"/>
  <c r="P375" i="5"/>
  <c r="O375" i="5"/>
  <c r="I375" i="5"/>
  <c r="J375" i="5" s="1"/>
  <c r="H375" i="5"/>
  <c r="T374" i="5"/>
  <c r="S374" i="5"/>
  <c r="R374" i="5"/>
  <c r="Q374" i="5"/>
  <c r="P374" i="5"/>
  <c r="O374" i="5"/>
  <c r="J374" i="5"/>
  <c r="I374" i="5"/>
  <c r="H374" i="5"/>
  <c r="T373" i="5"/>
  <c r="S373" i="5"/>
  <c r="S390" i="5" s="1"/>
  <c r="R373" i="5"/>
  <c r="Q373" i="5"/>
  <c r="P373" i="5"/>
  <c r="O373" i="5"/>
  <c r="I373" i="5"/>
  <c r="H373" i="5"/>
  <c r="X372" i="5"/>
  <c r="V372" i="5"/>
  <c r="U372" i="5"/>
  <c r="N372" i="5"/>
  <c r="R372" i="5" s="1"/>
  <c r="M372" i="5"/>
  <c r="T372" i="5" s="1"/>
  <c r="L372" i="5"/>
  <c r="K372" i="5"/>
  <c r="I372" i="5"/>
  <c r="J372" i="5" s="1"/>
  <c r="H372" i="5"/>
  <c r="G372" i="5"/>
  <c r="F372" i="5"/>
  <c r="D372" i="5"/>
  <c r="Q372" i="5" s="1"/>
  <c r="A372" i="5"/>
  <c r="T371" i="5"/>
  <c r="S371" i="5"/>
  <c r="R371" i="5"/>
  <c r="Q371" i="5"/>
  <c r="P371" i="5"/>
  <c r="O371" i="5"/>
  <c r="J371" i="5"/>
  <c r="I371" i="5"/>
  <c r="H371" i="5"/>
  <c r="A371" i="5"/>
  <c r="T370" i="5"/>
  <c r="S370" i="5"/>
  <c r="R370" i="5"/>
  <c r="Q370" i="5"/>
  <c r="P370" i="5"/>
  <c r="O370" i="5"/>
  <c r="I370" i="5"/>
  <c r="J370" i="5" s="1"/>
  <c r="H370" i="5"/>
  <c r="T369" i="5"/>
  <c r="S369" i="5"/>
  <c r="R369" i="5"/>
  <c r="Q369" i="5"/>
  <c r="P369" i="5"/>
  <c r="O369" i="5"/>
  <c r="I369" i="5"/>
  <c r="H369" i="5"/>
  <c r="T368" i="5"/>
  <c r="S368" i="5"/>
  <c r="R368" i="5"/>
  <c r="Q368" i="5"/>
  <c r="P368" i="5"/>
  <c r="O368" i="5"/>
  <c r="J368" i="5"/>
  <c r="I368" i="5"/>
  <c r="H368" i="5"/>
  <c r="T367" i="5"/>
  <c r="S367" i="5"/>
  <c r="R367" i="5"/>
  <c r="Q367" i="5"/>
  <c r="P367" i="5"/>
  <c r="O367" i="5"/>
  <c r="J367" i="5"/>
  <c r="I367" i="5"/>
  <c r="H367" i="5"/>
  <c r="T366" i="5"/>
  <c r="S366" i="5"/>
  <c r="R366" i="5"/>
  <c r="Q366" i="5"/>
  <c r="P366" i="5"/>
  <c r="O366" i="5"/>
  <c r="I366" i="5"/>
  <c r="J366" i="5" s="1"/>
  <c r="H366" i="5"/>
  <c r="T365" i="5"/>
  <c r="S365" i="5"/>
  <c r="R365" i="5"/>
  <c r="Q365" i="5"/>
  <c r="P365" i="5"/>
  <c r="O365" i="5"/>
  <c r="I365" i="5"/>
  <c r="J365" i="5" s="1"/>
  <c r="H365" i="5"/>
  <c r="T364" i="5"/>
  <c r="S364" i="5"/>
  <c r="R364" i="5"/>
  <c r="Q364" i="5"/>
  <c r="P364" i="5"/>
  <c r="O364" i="5"/>
  <c r="J364" i="5"/>
  <c r="I364" i="5"/>
  <c r="H364" i="5"/>
  <c r="T363" i="5"/>
  <c r="S363" i="5"/>
  <c r="R363" i="5"/>
  <c r="Q363" i="5"/>
  <c r="P363" i="5"/>
  <c r="O363" i="5"/>
  <c r="J363" i="5"/>
  <c r="I363" i="5"/>
  <c r="H363" i="5"/>
  <c r="T362" i="5"/>
  <c r="S362" i="5"/>
  <c r="R362" i="5"/>
  <c r="Q362" i="5"/>
  <c r="P362" i="5"/>
  <c r="O362" i="5"/>
  <c r="I362" i="5"/>
  <c r="H362" i="5"/>
  <c r="T361" i="5"/>
  <c r="S361" i="5"/>
  <c r="R361" i="5"/>
  <c r="Q361" i="5"/>
  <c r="P361" i="5"/>
  <c r="O361" i="5"/>
  <c r="I361" i="5"/>
  <c r="J361" i="5" s="1"/>
  <c r="H361" i="5"/>
  <c r="T360" i="5"/>
  <c r="S360" i="5"/>
  <c r="R360" i="5"/>
  <c r="Q360" i="5"/>
  <c r="P360" i="5"/>
  <c r="O360" i="5"/>
  <c r="J360" i="5"/>
  <c r="I360" i="5"/>
  <c r="H360" i="5"/>
  <c r="T359" i="5"/>
  <c r="S359" i="5"/>
  <c r="R359" i="5"/>
  <c r="Q359" i="5"/>
  <c r="P359" i="5"/>
  <c r="O359" i="5"/>
  <c r="J359" i="5"/>
  <c r="I359" i="5"/>
  <c r="H359" i="5"/>
  <c r="T358" i="5"/>
  <c r="S358" i="5"/>
  <c r="R358" i="5"/>
  <c r="Q358" i="5"/>
  <c r="P358" i="5"/>
  <c r="O358" i="5"/>
  <c r="I358" i="5"/>
  <c r="J358" i="5" s="1"/>
  <c r="H358" i="5"/>
  <c r="T357" i="5"/>
  <c r="S357" i="5"/>
  <c r="R357" i="5"/>
  <c r="Q357" i="5"/>
  <c r="P357" i="5"/>
  <c r="O357" i="5"/>
  <c r="I357" i="5"/>
  <c r="J357" i="5" s="1"/>
  <c r="H357" i="5"/>
  <c r="T356" i="5"/>
  <c r="S356" i="5"/>
  <c r="R356" i="5"/>
  <c r="Q356" i="5"/>
  <c r="P356" i="5"/>
  <c r="O356" i="5"/>
  <c r="J356" i="5"/>
  <c r="I356" i="5"/>
  <c r="H356" i="5"/>
  <c r="T355" i="5"/>
  <c r="S355" i="5"/>
  <c r="R355" i="5"/>
  <c r="Q355" i="5"/>
  <c r="P355" i="5"/>
  <c r="O355" i="5"/>
  <c r="J355" i="5"/>
  <c r="I355" i="5"/>
  <c r="H355" i="5"/>
  <c r="X354" i="5"/>
  <c r="T354" i="5"/>
  <c r="P354" i="5"/>
  <c r="O354" i="5"/>
  <c r="N354" i="5"/>
  <c r="R354" i="5" s="1"/>
  <c r="M354" i="5"/>
  <c r="L354" i="5"/>
  <c r="K354" i="5"/>
  <c r="G354" i="5"/>
  <c r="H354" i="5" s="1"/>
  <c r="F354" i="5"/>
  <c r="D354" i="5"/>
  <c r="Q354" i="5" s="1"/>
  <c r="A354" i="5"/>
  <c r="T353" i="5"/>
  <c r="S353" i="5"/>
  <c r="R353" i="5"/>
  <c r="Q353" i="5"/>
  <c r="P353" i="5"/>
  <c r="O353" i="5"/>
  <c r="I353" i="5"/>
  <c r="J353" i="5" s="1"/>
  <c r="H353" i="5"/>
  <c r="A353" i="5"/>
  <c r="T352" i="5"/>
  <c r="S352" i="5"/>
  <c r="R352" i="5"/>
  <c r="Q352" i="5"/>
  <c r="P352" i="5"/>
  <c r="O352" i="5"/>
  <c r="I352" i="5"/>
  <c r="H352" i="5"/>
  <c r="J352" i="5" s="1"/>
  <c r="T351" i="5"/>
  <c r="S351" i="5"/>
  <c r="R351" i="5"/>
  <c r="Q351" i="5"/>
  <c r="P351" i="5"/>
  <c r="O351" i="5"/>
  <c r="I351" i="5"/>
  <c r="J351" i="5" s="1"/>
  <c r="H351" i="5"/>
  <c r="T350" i="5"/>
  <c r="S350" i="5"/>
  <c r="R350" i="5"/>
  <c r="Q350" i="5"/>
  <c r="P350" i="5"/>
  <c r="O350" i="5"/>
  <c r="I350" i="5"/>
  <c r="H350" i="5"/>
  <c r="T349" i="5"/>
  <c r="S349" i="5"/>
  <c r="R349" i="5"/>
  <c r="Q349" i="5"/>
  <c r="P349" i="5"/>
  <c r="O349" i="5"/>
  <c r="I349" i="5"/>
  <c r="J349" i="5" s="1"/>
  <c r="H349" i="5"/>
  <c r="T348" i="5"/>
  <c r="S348" i="5"/>
  <c r="R348" i="5"/>
  <c r="Q348" i="5"/>
  <c r="P348" i="5"/>
  <c r="O348" i="5"/>
  <c r="I348" i="5"/>
  <c r="H348" i="5"/>
  <c r="J348" i="5" s="1"/>
  <c r="T347" i="5"/>
  <c r="S347" i="5"/>
  <c r="R347" i="5"/>
  <c r="Q347" i="5"/>
  <c r="P347" i="5"/>
  <c r="O347" i="5"/>
  <c r="I347" i="5"/>
  <c r="J347" i="5" s="1"/>
  <c r="H347" i="5"/>
  <c r="T346" i="5"/>
  <c r="S346" i="5"/>
  <c r="R346" i="5"/>
  <c r="Q346" i="5"/>
  <c r="P346" i="5"/>
  <c r="O346" i="5"/>
  <c r="J346" i="5"/>
  <c r="I346" i="5"/>
  <c r="H346" i="5"/>
  <c r="T345" i="5"/>
  <c r="S345" i="5"/>
  <c r="R345" i="5"/>
  <c r="Q345" i="5"/>
  <c r="P345" i="5"/>
  <c r="O345" i="5"/>
  <c r="I345" i="5"/>
  <c r="J345" i="5" s="1"/>
  <c r="H345" i="5"/>
  <c r="T344" i="5"/>
  <c r="S344" i="5"/>
  <c r="R344" i="5"/>
  <c r="Q344" i="5"/>
  <c r="P344" i="5"/>
  <c r="O344" i="5"/>
  <c r="I344" i="5"/>
  <c r="H344" i="5"/>
  <c r="J344" i="5" s="1"/>
  <c r="T343" i="5"/>
  <c r="S343" i="5"/>
  <c r="R343" i="5"/>
  <c r="Q343" i="5"/>
  <c r="P343" i="5"/>
  <c r="O343" i="5"/>
  <c r="I343" i="5"/>
  <c r="J343" i="5" s="1"/>
  <c r="H343" i="5"/>
  <c r="T342" i="5"/>
  <c r="S342" i="5"/>
  <c r="R342" i="5"/>
  <c r="Q342" i="5"/>
  <c r="P342" i="5"/>
  <c r="O342" i="5"/>
  <c r="I342" i="5"/>
  <c r="H342" i="5"/>
  <c r="J342" i="5" s="1"/>
  <c r="T341" i="5"/>
  <c r="S341" i="5"/>
  <c r="R341" i="5"/>
  <c r="Q341" i="5"/>
  <c r="P341" i="5"/>
  <c r="O341" i="5"/>
  <c r="I341" i="5"/>
  <c r="J341" i="5" s="1"/>
  <c r="H341" i="5"/>
  <c r="T340" i="5"/>
  <c r="S340" i="5"/>
  <c r="S354" i="5" s="1"/>
  <c r="R340" i="5"/>
  <c r="Q340" i="5"/>
  <c r="P340" i="5"/>
  <c r="O340" i="5"/>
  <c r="I340" i="5"/>
  <c r="H340" i="5"/>
  <c r="J340" i="5" s="1"/>
  <c r="T339" i="5"/>
  <c r="S339" i="5"/>
  <c r="R339" i="5"/>
  <c r="Q339" i="5"/>
  <c r="P339" i="5"/>
  <c r="O339" i="5"/>
  <c r="I339" i="5"/>
  <c r="J339" i="5" s="1"/>
  <c r="H339" i="5"/>
  <c r="T338" i="5"/>
  <c r="S338" i="5"/>
  <c r="R338" i="5"/>
  <c r="Q338" i="5"/>
  <c r="P338" i="5"/>
  <c r="O338" i="5"/>
  <c r="I338" i="5"/>
  <c r="H338" i="5"/>
  <c r="J338" i="5" s="1"/>
  <c r="T337" i="5"/>
  <c r="S337" i="5"/>
  <c r="R337" i="5"/>
  <c r="Q337" i="5"/>
  <c r="P337" i="5"/>
  <c r="O337" i="5"/>
  <c r="J337" i="5"/>
  <c r="I337" i="5"/>
  <c r="H337" i="5"/>
  <c r="X336" i="5"/>
  <c r="W336" i="5"/>
  <c r="V336" i="5"/>
  <c r="N336" i="5"/>
  <c r="M336" i="5"/>
  <c r="L336" i="5"/>
  <c r="K336" i="5"/>
  <c r="J336" i="5"/>
  <c r="I336" i="5"/>
  <c r="G336" i="5"/>
  <c r="H336" i="5" s="1"/>
  <c r="F336" i="5"/>
  <c r="D336" i="5"/>
  <c r="A336" i="5"/>
  <c r="T335" i="5"/>
  <c r="S335" i="5"/>
  <c r="R335" i="5"/>
  <c r="Q335" i="5"/>
  <c r="P335" i="5"/>
  <c r="O335" i="5"/>
  <c r="I335" i="5"/>
  <c r="J335" i="5" s="1"/>
  <c r="H335" i="5"/>
  <c r="A335" i="5"/>
  <c r="T334" i="5"/>
  <c r="S334" i="5"/>
  <c r="R334" i="5"/>
  <c r="Q334" i="5"/>
  <c r="P334" i="5"/>
  <c r="O334" i="5"/>
  <c r="J334" i="5"/>
  <c r="I334" i="5"/>
  <c r="H334" i="5"/>
  <c r="T333" i="5"/>
  <c r="S333" i="5"/>
  <c r="R333" i="5"/>
  <c r="Q333" i="5"/>
  <c r="P333" i="5"/>
  <c r="O333" i="5"/>
  <c r="I333" i="5"/>
  <c r="H333" i="5"/>
  <c r="J333" i="5" s="1"/>
  <c r="T332" i="5"/>
  <c r="S332" i="5"/>
  <c r="R332" i="5"/>
  <c r="Q332" i="5"/>
  <c r="P332" i="5"/>
  <c r="O332" i="5"/>
  <c r="I332" i="5"/>
  <c r="H332" i="5"/>
  <c r="T331" i="5"/>
  <c r="S331" i="5"/>
  <c r="R331" i="5"/>
  <c r="Q331" i="5"/>
  <c r="P331" i="5"/>
  <c r="O331" i="5"/>
  <c r="I331" i="5"/>
  <c r="J331" i="5" s="1"/>
  <c r="H331" i="5"/>
  <c r="T330" i="5"/>
  <c r="S330" i="5"/>
  <c r="R330" i="5"/>
  <c r="Q330" i="5"/>
  <c r="P330" i="5"/>
  <c r="O330" i="5"/>
  <c r="I330" i="5"/>
  <c r="J330" i="5" s="1"/>
  <c r="H330" i="5"/>
  <c r="T329" i="5"/>
  <c r="S329" i="5"/>
  <c r="R329" i="5"/>
  <c r="Q329" i="5"/>
  <c r="P329" i="5"/>
  <c r="O329" i="5"/>
  <c r="I329" i="5"/>
  <c r="H329" i="5"/>
  <c r="J329" i="5" s="1"/>
  <c r="T328" i="5"/>
  <c r="S328" i="5"/>
  <c r="R328" i="5"/>
  <c r="Q328" i="5"/>
  <c r="P328" i="5"/>
  <c r="O328" i="5"/>
  <c r="I328" i="5"/>
  <c r="J328" i="5" s="1"/>
  <c r="H328" i="5"/>
  <c r="T327" i="5"/>
  <c r="S327" i="5"/>
  <c r="R327" i="5"/>
  <c r="Q327" i="5"/>
  <c r="P327" i="5"/>
  <c r="O327" i="5"/>
  <c r="I327" i="5"/>
  <c r="J327" i="5" s="1"/>
  <c r="H327" i="5"/>
  <c r="T326" i="5"/>
  <c r="S326" i="5"/>
  <c r="R326" i="5"/>
  <c r="Q326" i="5"/>
  <c r="P326" i="5"/>
  <c r="O326" i="5"/>
  <c r="I326" i="5"/>
  <c r="J326" i="5" s="1"/>
  <c r="H326" i="5"/>
  <c r="T325" i="5"/>
  <c r="S325" i="5"/>
  <c r="R325" i="5"/>
  <c r="Q325" i="5"/>
  <c r="P325" i="5"/>
  <c r="O325" i="5"/>
  <c r="I325" i="5"/>
  <c r="H325" i="5"/>
  <c r="J325" i="5" s="1"/>
  <c r="T324" i="5"/>
  <c r="S324" i="5"/>
  <c r="R324" i="5"/>
  <c r="Q324" i="5"/>
  <c r="P324" i="5"/>
  <c r="O324" i="5"/>
  <c r="I324" i="5"/>
  <c r="J324" i="5" s="1"/>
  <c r="H324" i="5"/>
  <c r="T323" i="5"/>
  <c r="S323" i="5"/>
  <c r="R323" i="5"/>
  <c r="Q323" i="5"/>
  <c r="P323" i="5"/>
  <c r="O323" i="5"/>
  <c r="I323" i="5"/>
  <c r="J323" i="5" s="1"/>
  <c r="H323" i="5"/>
  <c r="T322" i="5"/>
  <c r="S322" i="5"/>
  <c r="R322" i="5"/>
  <c r="Q322" i="5"/>
  <c r="P322" i="5"/>
  <c r="O322" i="5"/>
  <c r="I322" i="5"/>
  <c r="J322" i="5" s="1"/>
  <c r="H322" i="5"/>
  <c r="T321" i="5"/>
  <c r="S321" i="5"/>
  <c r="R321" i="5"/>
  <c r="Q321" i="5"/>
  <c r="P321" i="5"/>
  <c r="O321" i="5"/>
  <c r="J321" i="5"/>
  <c r="I321" i="5"/>
  <c r="H321" i="5"/>
  <c r="T320" i="5"/>
  <c r="S320" i="5"/>
  <c r="R320" i="5"/>
  <c r="Q320" i="5"/>
  <c r="P320" i="5"/>
  <c r="O320" i="5"/>
  <c r="I320" i="5"/>
  <c r="J320" i="5" s="1"/>
  <c r="H320" i="5"/>
  <c r="T319" i="5"/>
  <c r="S319" i="5"/>
  <c r="R319" i="5"/>
  <c r="Q319" i="5"/>
  <c r="P319" i="5"/>
  <c r="O319" i="5"/>
  <c r="I319" i="5"/>
  <c r="J319" i="5" s="1"/>
  <c r="H319" i="5"/>
  <c r="N318" i="5"/>
  <c r="P318" i="5" s="1"/>
  <c r="M318" i="5"/>
  <c r="L318" i="5"/>
  <c r="K318" i="5"/>
  <c r="O318" i="5" s="1"/>
  <c r="G318" i="5"/>
  <c r="F318" i="5"/>
  <c r="D318" i="5"/>
  <c r="A318" i="5"/>
  <c r="T317" i="5"/>
  <c r="S317" i="5"/>
  <c r="R317" i="5"/>
  <c r="Q317" i="5"/>
  <c r="P317" i="5"/>
  <c r="O317" i="5"/>
  <c r="I317" i="5"/>
  <c r="H317" i="5"/>
  <c r="J317" i="5" s="1"/>
  <c r="E317" i="5"/>
  <c r="A317" i="5"/>
  <c r="T316" i="5"/>
  <c r="S316" i="5"/>
  <c r="R316" i="5"/>
  <c r="Q316" i="5"/>
  <c r="P316" i="5"/>
  <c r="O316" i="5"/>
  <c r="I316" i="5"/>
  <c r="J316" i="5" s="1"/>
  <c r="H316" i="5"/>
  <c r="E316" i="5"/>
  <c r="T315" i="5"/>
  <c r="S315" i="5"/>
  <c r="R315" i="5"/>
  <c r="Q315" i="5"/>
  <c r="P315" i="5"/>
  <c r="O315" i="5"/>
  <c r="I315" i="5"/>
  <c r="J315" i="5" s="1"/>
  <c r="H315" i="5"/>
  <c r="E315" i="5"/>
  <c r="T314" i="5"/>
  <c r="S314" i="5"/>
  <c r="R314" i="5"/>
  <c r="Q314" i="5"/>
  <c r="P314" i="5"/>
  <c r="O314" i="5"/>
  <c r="J314" i="5"/>
  <c r="I314" i="5"/>
  <c r="H314" i="5"/>
  <c r="E314" i="5"/>
  <c r="T313" i="5"/>
  <c r="S313" i="5"/>
  <c r="R313" i="5"/>
  <c r="Q313" i="5"/>
  <c r="P313" i="5"/>
  <c r="O313" i="5"/>
  <c r="I313" i="5"/>
  <c r="J313" i="5" s="1"/>
  <c r="H313" i="5"/>
  <c r="E313" i="5"/>
  <c r="T312" i="5"/>
  <c r="S312" i="5"/>
  <c r="R312" i="5"/>
  <c r="Q312" i="5"/>
  <c r="P312" i="5"/>
  <c r="O312" i="5"/>
  <c r="I312" i="5"/>
  <c r="J312" i="5" s="1"/>
  <c r="H312" i="5"/>
  <c r="E312" i="5"/>
  <c r="T311" i="5"/>
  <c r="S311" i="5"/>
  <c r="R311" i="5"/>
  <c r="Q311" i="5"/>
  <c r="P311" i="5"/>
  <c r="O311" i="5"/>
  <c r="I311" i="5"/>
  <c r="H311" i="5"/>
  <c r="E311" i="5"/>
  <c r="T310" i="5"/>
  <c r="S310" i="5"/>
  <c r="R310" i="5"/>
  <c r="Q310" i="5"/>
  <c r="P310" i="5"/>
  <c r="O310" i="5"/>
  <c r="J310" i="5"/>
  <c r="I310" i="5"/>
  <c r="H310" i="5"/>
  <c r="E310" i="5"/>
  <c r="T309" i="5"/>
  <c r="S309" i="5"/>
  <c r="R309" i="5"/>
  <c r="Q309" i="5"/>
  <c r="P309" i="5"/>
  <c r="O309" i="5"/>
  <c r="I309" i="5"/>
  <c r="H309" i="5"/>
  <c r="E309" i="5"/>
  <c r="T308" i="5"/>
  <c r="S308" i="5"/>
  <c r="R308" i="5"/>
  <c r="Q308" i="5"/>
  <c r="P308" i="5"/>
  <c r="O308" i="5"/>
  <c r="J308" i="5"/>
  <c r="I308" i="5"/>
  <c r="H308" i="5"/>
  <c r="E308" i="5"/>
  <c r="T307" i="5"/>
  <c r="S307" i="5"/>
  <c r="R307" i="5"/>
  <c r="Q307" i="5"/>
  <c r="P307" i="5"/>
  <c r="O307" i="5"/>
  <c r="I307" i="5"/>
  <c r="J307" i="5" s="1"/>
  <c r="H307" i="5"/>
  <c r="E307" i="5"/>
  <c r="T306" i="5"/>
  <c r="S306" i="5"/>
  <c r="R306" i="5"/>
  <c r="Q306" i="5"/>
  <c r="P306" i="5"/>
  <c r="O306" i="5"/>
  <c r="J306" i="5"/>
  <c r="I306" i="5"/>
  <c r="H306" i="5"/>
  <c r="E306" i="5"/>
  <c r="T305" i="5"/>
  <c r="S305" i="5"/>
  <c r="R305" i="5"/>
  <c r="Q305" i="5"/>
  <c r="P305" i="5"/>
  <c r="O305" i="5"/>
  <c r="I305" i="5"/>
  <c r="J305" i="5" s="1"/>
  <c r="H305" i="5"/>
  <c r="E305" i="5"/>
  <c r="T304" i="5"/>
  <c r="S304" i="5"/>
  <c r="R304" i="5"/>
  <c r="Q304" i="5"/>
  <c r="P304" i="5"/>
  <c r="O304" i="5"/>
  <c r="J304" i="5"/>
  <c r="I304" i="5"/>
  <c r="H304" i="5"/>
  <c r="E304" i="5"/>
  <c r="T303" i="5"/>
  <c r="S303" i="5"/>
  <c r="R303" i="5"/>
  <c r="Q303" i="5"/>
  <c r="P303" i="5"/>
  <c r="O303" i="5"/>
  <c r="I303" i="5"/>
  <c r="H303" i="5"/>
  <c r="E303" i="5"/>
  <c r="T302" i="5"/>
  <c r="S302" i="5"/>
  <c r="R302" i="5"/>
  <c r="Q302" i="5"/>
  <c r="P302" i="5"/>
  <c r="O302" i="5"/>
  <c r="J302" i="5"/>
  <c r="I302" i="5"/>
  <c r="H302" i="5"/>
  <c r="E302" i="5"/>
  <c r="T301" i="5"/>
  <c r="S301" i="5"/>
  <c r="S318" i="5" s="1"/>
  <c r="R301" i="5"/>
  <c r="Q301" i="5"/>
  <c r="P301" i="5"/>
  <c r="O301" i="5"/>
  <c r="I301" i="5"/>
  <c r="J301" i="5" s="1"/>
  <c r="H301" i="5"/>
  <c r="E301" i="5"/>
  <c r="R300" i="5"/>
  <c r="Q300" i="5"/>
  <c r="N300" i="5"/>
  <c r="P300" i="5" s="1"/>
  <c r="M300" i="5"/>
  <c r="L300" i="5"/>
  <c r="K300" i="5"/>
  <c r="O300" i="5" s="1"/>
  <c r="G300" i="5"/>
  <c r="F300" i="5"/>
  <c r="D300" i="5"/>
  <c r="W300" i="5" s="1"/>
  <c r="A300" i="5"/>
  <c r="T299" i="5"/>
  <c r="S299" i="5"/>
  <c r="R299" i="5"/>
  <c r="Q299" i="5"/>
  <c r="P299" i="5"/>
  <c r="O299" i="5"/>
  <c r="I299" i="5"/>
  <c r="H299" i="5"/>
  <c r="J299" i="5" s="1"/>
  <c r="A299" i="5"/>
  <c r="T298" i="5"/>
  <c r="S298" i="5"/>
  <c r="R298" i="5"/>
  <c r="Q298" i="5"/>
  <c r="P298" i="5"/>
  <c r="O298" i="5"/>
  <c r="I298" i="5"/>
  <c r="J298" i="5" s="1"/>
  <c r="H298" i="5"/>
  <c r="T297" i="5"/>
  <c r="S297" i="5"/>
  <c r="R297" i="5"/>
  <c r="Q297" i="5"/>
  <c r="P297" i="5"/>
  <c r="O297" i="5"/>
  <c r="J297" i="5"/>
  <c r="I297" i="5"/>
  <c r="H297" i="5"/>
  <c r="T296" i="5"/>
  <c r="S296" i="5"/>
  <c r="R296" i="5"/>
  <c r="Q296" i="5"/>
  <c r="P296" i="5"/>
  <c r="O296" i="5"/>
  <c r="J296" i="5"/>
  <c r="I296" i="5"/>
  <c r="H296" i="5"/>
  <c r="T295" i="5"/>
  <c r="S295" i="5"/>
  <c r="R295" i="5"/>
  <c r="Q295" i="5"/>
  <c r="P295" i="5"/>
  <c r="O295" i="5"/>
  <c r="I295" i="5"/>
  <c r="J295" i="5" s="1"/>
  <c r="H295" i="5"/>
  <c r="T294" i="5"/>
  <c r="S294" i="5"/>
  <c r="R294" i="5"/>
  <c r="Q294" i="5"/>
  <c r="P294" i="5"/>
  <c r="O294" i="5"/>
  <c r="I294" i="5"/>
  <c r="H294" i="5"/>
  <c r="T293" i="5"/>
  <c r="S293" i="5"/>
  <c r="R293" i="5"/>
  <c r="Q293" i="5"/>
  <c r="P293" i="5"/>
  <c r="O293" i="5"/>
  <c r="J293" i="5"/>
  <c r="I293" i="5"/>
  <c r="H293" i="5"/>
  <c r="T292" i="5"/>
  <c r="S292" i="5"/>
  <c r="R292" i="5"/>
  <c r="Q292" i="5"/>
  <c r="P292" i="5"/>
  <c r="O292" i="5"/>
  <c r="J292" i="5"/>
  <c r="I292" i="5"/>
  <c r="H292" i="5"/>
  <c r="T291" i="5"/>
  <c r="S291" i="5"/>
  <c r="R291" i="5"/>
  <c r="Q291" i="5"/>
  <c r="P291" i="5"/>
  <c r="O291" i="5"/>
  <c r="I291" i="5"/>
  <c r="J291" i="5" s="1"/>
  <c r="H291" i="5"/>
  <c r="T290" i="5"/>
  <c r="S290" i="5"/>
  <c r="R290" i="5"/>
  <c r="Q290" i="5"/>
  <c r="P290" i="5"/>
  <c r="O290" i="5"/>
  <c r="I290" i="5"/>
  <c r="J290" i="5" s="1"/>
  <c r="H290" i="5"/>
  <c r="T289" i="5"/>
  <c r="S289" i="5"/>
  <c r="R289" i="5"/>
  <c r="Q289" i="5"/>
  <c r="P289" i="5"/>
  <c r="O289" i="5"/>
  <c r="J289" i="5"/>
  <c r="I289" i="5"/>
  <c r="H289" i="5"/>
  <c r="T288" i="5"/>
  <c r="S288" i="5"/>
  <c r="R288" i="5"/>
  <c r="Q288" i="5"/>
  <c r="P288" i="5"/>
  <c r="O288" i="5"/>
  <c r="J288" i="5"/>
  <c r="I288" i="5"/>
  <c r="H288" i="5"/>
  <c r="T287" i="5"/>
  <c r="S287" i="5"/>
  <c r="R287" i="5"/>
  <c r="Q287" i="5"/>
  <c r="P287" i="5"/>
  <c r="O287" i="5"/>
  <c r="I287" i="5"/>
  <c r="H287" i="5"/>
  <c r="T286" i="5"/>
  <c r="S286" i="5"/>
  <c r="R286" i="5"/>
  <c r="Q286" i="5"/>
  <c r="P286" i="5"/>
  <c r="O286" i="5"/>
  <c r="I286" i="5"/>
  <c r="J286" i="5" s="1"/>
  <c r="H286" i="5"/>
  <c r="T285" i="5"/>
  <c r="S285" i="5"/>
  <c r="R285" i="5"/>
  <c r="Q285" i="5"/>
  <c r="P285" i="5"/>
  <c r="O285" i="5"/>
  <c r="J285" i="5"/>
  <c r="I285" i="5"/>
  <c r="H285" i="5"/>
  <c r="T284" i="5"/>
  <c r="S284" i="5"/>
  <c r="R284" i="5"/>
  <c r="Q284" i="5"/>
  <c r="P284" i="5"/>
  <c r="O284" i="5"/>
  <c r="J284" i="5"/>
  <c r="I284" i="5"/>
  <c r="H284" i="5"/>
  <c r="T283" i="5"/>
  <c r="S283" i="5"/>
  <c r="R283" i="5"/>
  <c r="Q283" i="5"/>
  <c r="P283" i="5"/>
  <c r="O283" i="5"/>
  <c r="I283" i="5"/>
  <c r="J283" i="5" s="1"/>
  <c r="H283" i="5"/>
  <c r="X282" i="5"/>
  <c r="Q282" i="5"/>
  <c r="P282" i="5"/>
  <c r="N282" i="5"/>
  <c r="M282" i="5"/>
  <c r="L282" i="5"/>
  <c r="K282" i="5"/>
  <c r="T282" i="5" s="1"/>
  <c r="G282" i="5"/>
  <c r="F282" i="5"/>
  <c r="V282" i="5" s="1"/>
  <c r="D282" i="5"/>
  <c r="A282" i="5"/>
  <c r="T281" i="5"/>
  <c r="S281" i="5"/>
  <c r="R281" i="5"/>
  <c r="Q281" i="5"/>
  <c r="P281" i="5"/>
  <c r="O281" i="5"/>
  <c r="J281" i="5"/>
  <c r="I281" i="5"/>
  <c r="H281" i="5"/>
  <c r="A281" i="5"/>
  <c r="T280" i="5"/>
  <c r="S280" i="5"/>
  <c r="R280" i="5"/>
  <c r="Q280" i="5"/>
  <c r="P280" i="5"/>
  <c r="O280" i="5"/>
  <c r="I280" i="5"/>
  <c r="H280" i="5"/>
  <c r="J280" i="5" s="1"/>
  <c r="T279" i="5"/>
  <c r="S279" i="5"/>
  <c r="R279" i="5"/>
  <c r="Q279" i="5"/>
  <c r="P279" i="5"/>
  <c r="O279" i="5"/>
  <c r="I279" i="5"/>
  <c r="H279" i="5"/>
  <c r="J279" i="5" s="1"/>
  <c r="T278" i="5"/>
  <c r="S278" i="5"/>
  <c r="R278" i="5"/>
  <c r="Q278" i="5"/>
  <c r="P278" i="5"/>
  <c r="O278" i="5"/>
  <c r="J278" i="5"/>
  <c r="I278" i="5"/>
  <c r="H278" i="5"/>
  <c r="T277" i="5"/>
  <c r="S277" i="5"/>
  <c r="R277" i="5"/>
  <c r="Q277" i="5"/>
  <c r="P277" i="5"/>
  <c r="O277" i="5"/>
  <c r="I277" i="5"/>
  <c r="J277" i="5" s="1"/>
  <c r="H277" i="5"/>
  <c r="T276" i="5"/>
  <c r="S276" i="5"/>
  <c r="R276" i="5"/>
  <c r="Q276" i="5"/>
  <c r="P276" i="5"/>
  <c r="O276" i="5"/>
  <c r="I276" i="5"/>
  <c r="J276" i="5" s="1"/>
  <c r="H276" i="5"/>
  <c r="T275" i="5"/>
  <c r="S275" i="5"/>
  <c r="R275" i="5"/>
  <c r="Q275" i="5"/>
  <c r="P275" i="5"/>
  <c r="O275" i="5"/>
  <c r="I275" i="5"/>
  <c r="J275" i="5" s="1"/>
  <c r="H275" i="5"/>
  <c r="T274" i="5"/>
  <c r="S274" i="5"/>
  <c r="R274" i="5"/>
  <c r="Q274" i="5"/>
  <c r="P274" i="5"/>
  <c r="O274" i="5"/>
  <c r="J274" i="5"/>
  <c r="I274" i="5"/>
  <c r="H274" i="5"/>
  <c r="T273" i="5"/>
  <c r="S273" i="5"/>
  <c r="R273" i="5"/>
  <c r="Q273" i="5"/>
  <c r="P273" i="5"/>
  <c r="O273" i="5"/>
  <c r="I273" i="5"/>
  <c r="J273" i="5" s="1"/>
  <c r="H273" i="5"/>
  <c r="T272" i="5"/>
  <c r="S272" i="5"/>
  <c r="R272" i="5"/>
  <c r="Q272" i="5"/>
  <c r="P272" i="5"/>
  <c r="O272" i="5"/>
  <c r="I272" i="5"/>
  <c r="J272" i="5" s="1"/>
  <c r="H272" i="5"/>
  <c r="T271" i="5"/>
  <c r="S271" i="5"/>
  <c r="R271" i="5"/>
  <c r="Q271" i="5"/>
  <c r="P271" i="5"/>
  <c r="O271" i="5"/>
  <c r="I271" i="5"/>
  <c r="J271" i="5" s="1"/>
  <c r="H271" i="5"/>
  <c r="T270" i="5"/>
  <c r="S270" i="5"/>
  <c r="R270" i="5"/>
  <c r="Q270" i="5"/>
  <c r="P270" i="5"/>
  <c r="O270" i="5"/>
  <c r="J270" i="5"/>
  <c r="I270" i="5"/>
  <c r="H270" i="5"/>
  <c r="T269" i="5"/>
  <c r="S269" i="5"/>
  <c r="R269" i="5"/>
  <c r="Q269" i="5"/>
  <c r="P269" i="5"/>
  <c r="O269" i="5"/>
  <c r="I269" i="5"/>
  <c r="J269" i="5" s="1"/>
  <c r="H269" i="5"/>
  <c r="T268" i="5"/>
  <c r="S268" i="5"/>
  <c r="R268" i="5"/>
  <c r="Q268" i="5"/>
  <c r="P268" i="5"/>
  <c r="O268" i="5"/>
  <c r="I268" i="5"/>
  <c r="J268" i="5" s="1"/>
  <c r="H268" i="5"/>
  <c r="T267" i="5"/>
  <c r="S267" i="5"/>
  <c r="R267" i="5"/>
  <c r="Q267" i="5"/>
  <c r="P267" i="5"/>
  <c r="O267" i="5"/>
  <c r="I267" i="5"/>
  <c r="J267" i="5" s="1"/>
  <c r="H267" i="5"/>
  <c r="T266" i="5"/>
  <c r="S266" i="5"/>
  <c r="R266" i="5"/>
  <c r="Q266" i="5"/>
  <c r="P266" i="5"/>
  <c r="O266" i="5"/>
  <c r="J266" i="5"/>
  <c r="I266" i="5"/>
  <c r="H266" i="5"/>
  <c r="T265" i="5"/>
  <c r="S265" i="5"/>
  <c r="R265" i="5"/>
  <c r="Q265" i="5"/>
  <c r="P265" i="5"/>
  <c r="O265" i="5"/>
  <c r="I265" i="5"/>
  <c r="H265" i="5"/>
  <c r="J265" i="5" s="1"/>
  <c r="X264" i="5"/>
  <c r="W264" i="5"/>
  <c r="U264" i="5"/>
  <c r="N264" i="5"/>
  <c r="M264" i="5"/>
  <c r="L264" i="5"/>
  <c r="K264" i="5"/>
  <c r="I264" i="5"/>
  <c r="H264" i="5"/>
  <c r="G264" i="5"/>
  <c r="F264" i="5"/>
  <c r="V264" i="5" s="1"/>
  <c r="D264" i="5"/>
  <c r="R264" i="5" s="1"/>
  <c r="A264" i="5"/>
  <c r="T263" i="5"/>
  <c r="S263" i="5"/>
  <c r="R263" i="5"/>
  <c r="Q263" i="5"/>
  <c r="P263" i="5"/>
  <c r="O263" i="5"/>
  <c r="I263" i="5"/>
  <c r="J263" i="5" s="1"/>
  <c r="H263" i="5"/>
  <c r="A263" i="5"/>
  <c r="T262" i="5"/>
  <c r="S262" i="5"/>
  <c r="R262" i="5"/>
  <c r="Q262" i="5"/>
  <c r="P262" i="5"/>
  <c r="O262" i="5"/>
  <c r="I262" i="5"/>
  <c r="H262" i="5"/>
  <c r="J262" i="5" s="1"/>
  <c r="T261" i="5"/>
  <c r="S261" i="5"/>
  <c r="R261" i="5"/>
  <c r="Q261" i="5"/>
  <c r="P261" i="5"/>
  <c r="O261" i="5"/>
  <c r="I261" i="5"/>
  <c r="H261" i="5"/>
  <c r="T260" i="5"/>
  <c r="S260" i="5"/>
  <c r="R260" i="5"/>
  <c r="Q260" i="5"/>
  <c r="P260" i="5"/>
  <c r="O260" i="5"/>
  <c r="I260" i="5"/>
  <c r="J260" i="5" s="1"/>
  <c r="H260" i="5"/>
  <c r="T259" i="5"/>
  <c r="S259" i="5"/>
  <c r="R259" i="5"/>
  <c r="Q259" i="5"/>
  <c r="P259" i="5"/>
  <c r="O259" i="5"/>
  <c r="I259" i="5"/>
  <c r="J259" i="5" s="1"/>
  <c r="H259" i="5"/>
  <c r="T258" i="5"/>
  <c r="S258" i="5"/>
  <c r="R258" i="5"/>
  <c r="Q258" i="5"/>
  <c r="P258" i="5"/>
  <c r="O258" i="5"/>
  <c r="I258" i="5"/>
  <c r="H258" i="5"/>
  <c r="J258" i="5" s="1"/>
  <c r="T257" i="5"/>
  <c r="S257" i="5"/>
  <c r="R257" i="5"/>
  <c r="Q257" i="5"/>
  <c r="P257" i="5"/>
  <c r="O257" i="5"/>
  <c r="I257" i="5"/>
  <c r="J257" i="5" s="1"/>
  <c r="H257" i="5"/>
  <c r="T256" i="5"/>
  <c r="S256" i="5"/>
  <c r="R256" i="5"/>
  <c r="Q256" i="5"/>
  <c r="P256" i="5"/>
  <c r="O256" i="5"/>
  <c r="I256" i="5"/>
  <c r="J256" i="5" s="1"/>
  <c r="H256" i="5"/>
  <c r="T255" i="5"/>
  <c r="S255" i="5"/>
  <c r="R255" i="5"/>
  <c r="Q255" i="5"/>
  <c r="P255" i="5"/>
  <c r="O255" i="5"/>
  <c r="I255" i="5"/>
  <c r="J255" i="5" s="1"/>
  <c r="H255" i="5"/>
  <c r="T254" i="5"/>
  <c r="S254" i="5"/>
  <c r="R254" i="5"/>
  <c r="Q254" i="5"/>
  <c r="P254" i="5"/>
  <c r="O254" i="5"/>
  <c r="I254" i="5"/>
  <c r="H254" i="5"/>
  <c r="J254" i="5" s="1"/>
  <c r="T253" i="5"/>
  <c r="S253" i="5"/>
  <c r="R253" i="5"/>
  <c r="Q253" i="5"/>
  <c r="P253" i="5"/>
  <c r="O253" i="5"/>
  <c r="I253" i="5"/>
  <c r="J253" i="5" s="1"/>
  <c r="H253" i="5"/>
  <c r="T252" i="5"/>
  <c r="S252" i="5"/>
  <c r="R252" i="5"/>
  <c r="Q252" i="5"/>
  <c r="P252" i="5"/>
  <c r="O252" i="5"/>
  <c r="I252" i="5"/>
  <c r="J252" i="5" s="1"/>
  <c r="H252" i="5"/>
  <c r="T251" i="5"/>
  <c r="S251" i="5"/>
  <c r="R251" i="5"/>
  <c r="Q251" i="5"/>
  <c r="P251" i="5"/>
  <c r="O251" i="5"/>
  <c r="I251" i="5"/>
  <c r="J251" i="5" s="1"/>
  <c r="H251" i="5"/>
  <c r="T250" i="5"/>
  <c r="S250" i="5"/>
  <c r="R250" i="5"/>
  <c r="Q250" i="5"/>
  <c r="P250" i="5"/>
  <c r="O250" i="5"/>
  <c r="J250" i="5"/>
  <c r="I250" i="5"/>
  <c r="H250" i="5"/>
  <c r="T249" i="5"/>
  <c r="S249" i="5"/>
  <c r="S264" i="5" s="1"/>
  <c r="R249" i="5"/>
  <c r="Q249" i="5"/>
  <c r="P249" i="5"/>
  <c r="O249" i="5"/>
  <c r="I249" i="5"/>
  <c r="J249" i="5" s="1"/>
  <c r="H249" i="5"/>
  <c r="T248" i="5"/>
  <c r="S248" i="5"/>
  <c r="R248" i="5"/>
  <c r="Q248" i="5"/>
  <c r="P248" i="5"/>
  <c r="O248" i="5"/>
  <c r="I248" i="5"/>
  <c r="J248" i="5" s="1"/>
  <c r="H248" i="5"/>
  <c r="T247" i="5"/>
  <c r="S247" i="5"/>
  <c r="R247" i="5"/>
  <c r="Q247" i="5"/>
  <c r="P247" i="5"/>
  <c r="O247" i="5"/>
  <c r="J247" i="5"/>
  <c r="I247" i="5"/>
  <c r="H247" i="5"/>
  <c r="W246" i="5"/>
  <c r="N246" i="5"/>
  <c r="M246" i="5"/>
  <c r="L246" i="5"/>
  <c r="K246" i="5"/>
  <c r="O246" i="5" s="1"/>
  <c r="G246" i="5"/>
  <c r="F246" i="5"/>
  <c r="V408" i="5" s="1"/>
  <c r="D246" i="5"/>
  <c r="A246" i="5"/>
  <c r="T245" i="5"/>
  <c r="S245" i="5"/>
  <c r="R245" i="5"/>
  <c r="Q245" i="5"/>
  <c r="P245" i="5"/>
  <c r="O245" i="5"/>
  <c r="I245" i="5"/>
  <c r="J245" i="5" s="1"/>
  <c r="H245" i="5"/>
  <c r="A245" i="5"/>
  <c r="T244" i="5"/>
  <c r="S244" i="5"/>
  <c r="R244" i="5"/>
  <c r="Q244" i="5"/>
  <c r="P244" i="5"/>
  <c r="O244" i="5"/>
  <c r="J244" i="5"/>
  <c r="I244" i="5"/>
  <c r="H244" i="5"/>
  <c r="T243" i="5"/>
  <c r="S243" i="5"/>
  <c r="R243" i="5"/>
  <c r="Q243" i="5"/>
  <c r="P243" i="5"/>
  <c r="O243" i="5"/>
  <c r="J243" i="5"/>
  <c r="I243" i="5"/>
  <c r="H243" i="5"/>
  <c r="T242" i="5"/>
  <c r="S242" i="5"/>
  <c r="R242" i="5"/>
  <c r="Q242" i="5"/>
  <c r="P242" i="5"/>
  <c r="O242" i="5"/>
  <c r="I242" i="5"/>
  <c r="J242" i="5" s="1"/>
  <c r="H242" i="5"/>
  <c r="T241" i="5"/>
  <c r="S241" i="5"/>
  <c r="R241" i="5"/>
  <c r="Q241" i="5"/>
  <c r="P241" i="5"/>
  <c r="O241" i="5"/>
  <c r="I241" i="5"/>
  <c r="H241" i="5"/>
  <c r="T240" i="5"/>
  <c r="S240" i="5"/>
  <c r="R240" i="5"/>
  <c r="Q240" i="5"/>
  <c r="P240" i="5"/>
  <c r="O240" i="5"/>
  <c r="J240" i="5"/>
  <c r="I240" i="5"/>
  <c r="H240" i="5"/>
  <c r="T239" i="5"/>
  <c r="S239" i="5"/>
  <c r="R239" i="5"/>
  <c r="Q239" i="5"/>
  <c r="P239" i="5"/>
  <c r="O239" i="5"/>
  <c r="J239" i="5"/>
  <c r="I239" i="5"/>
  <c r="H239" i="5"/>
  <c r="T238" i="5"/>
  <c r="S238" i="5"/>
  <c r="R238" i="5"/>
  <c r="Q238" i="5"/>
  <c r="P238" i="5"/>
  <c r="O238" i="5"/>
  <c r="I238" i="5"/>
  <c r="J238" i="5" s="1"/>
  <c r="H238" i="5"/>
  <c r="T237" i="5"/>
  <c r="S237" i="5"/>
  <c r="R237" i="5"/>
  <c r="Q237" i="5"/>
  <c r="P237" i="5"/>
  <c r="O237" i="5"/>
  <c r="I237" i="5"/>
  <c r="H237" i="5"/>
  <c r="T236" i="5"/>
  <c r="S236" i="5"/>
  <c r="R236" i="5"/>
  <c r="Q236" i="5"/>
  <c r="P236" i="5"/>
  <c r="O236" i="5"/>
  <c r="J236" i="5"/>
  <c r="I236" i="5"/>
  <c r="H236" i="5"/>
  <c r="T235" i="5"/>
  <c r="S235" i="5"/>
  <c r="R235" i="5"/>
  <c r="Q235" i="5"/>
  <c r="P235" i="5"/>
  <c r="O235" i="5"/>
  <c r="J235" i="5"/>
  <c r="I235" i="5"/>
  <c r="H235" i="5"/>
  <c r="T234" i="5"/>
  <c r="S234" i="5"/>
  <c r="R234" i="5"/>
  <c r="Q234" i="5"/>
  <c r="P234" i="5"/>
  <c r="O234" i="5"/>
  <c r="I234" i="5"/>
  <c r="H234" i="5"/>
  <c r="T233" i="5"/>
  <c r="S233" i="5"/>
  <c r="R233" i="5"/>
  <c r="Q233" i="5"/>
  <c r="P233" i="5"/>
  <c r="O233" i="5"/>
  <c r="I233" i="5"/>
  <c r="J233" i="5" s="1"/>
  <c r="H233" i="5"/>
  <c r="T232" i="5"/>
  <c r="S232" i="5"/>
  <c r="R232" i="5"/>
  <c r="Q232" i="5"/>
  <c r="P232" i="5"/>
  <c r="O232" i="5"/>
  <c r="J232" i="5"/>
  <c r="I232" i="5"/>
  <c r="H232" i="5"/>
  <c r="T231" i="5"/>
  <c r="S231" i="5"/>
  <c r="R231" i="5"/>
  <c r="Q231" i="5"/>
  <c r="P231" i="5"/>
  <c r="O231" i="5"/>
  <c r="J231" i="5"/>
  <c r="I231" i="5"/>
  <c r="H231" i="5"/>
  <c r="T230" i="5"/>
  <c r="S230" i="5"/>
  <c r="R230" i="5"/>
  <c r="Q230" i="5"/>
  <c r="P230" i="5"/>
  <c r="O230" i="5"/>
  <c r="I230" i="5"/>
  <c r="H230" i="5"/>
  <c r="T229" i="5"/>
  <c r="S229" i="5"/>
  <c r="R229" i="5"/>
  <c r="Q229" i="5"/>
  <c r="P229" i="5"/>
  <c r="O229" i="5"/>
  <c r="I229" i="5"/>
  <c r="J229" i="5" s="1"/>
  <c r="H229" i="5"/>
  <c r="W228" i="5"/>
  <c r="V228" i="5"/>
  <c r="U228" i="5"/>
  <c r="R228" i="5"/>
  <c r="N228" i="5"/>
  <c r="M228" i="5"/>
  <c r="L228" i="5"/>
  <c r="K228" i="5"/>
  <c r="G228" i="5"/>
  <c r="F228" i="5"/>
  <c r="D228" i="5"/>
  <c r="U246" i="5" s="1"/>
  <c r="A228" i="5"/>
  <c r="T227" i="5"/>
  <c r="S227" i="5"/>
  <c r="R227" i="5"/>
  <c r="Q227" i="5"/>
  <c r="P227" i="5"/>
  <c r="O227" i="5"/>
  <c r="J227" i="5"/>
  <c r="I227" i="5"/>
  <c r="H227" i="5"/>
  <c r="A227" i="5"/>
  <c r="T226" i="5"/>
  <c r="S226" i="5"/>
  <c r="R226" i="5"/>
  <c r="Q226" i="5"/>
  <c r="P226" i="5"/>
  <c r="O226" i="5"/>
  <c r="J226" i="5"/>
  <c r="I226" i="5"/>
  <c r="H226" i="5"/>
  <c r="T225" i="5"/>
  <c r="S225" i="5"/>
  <c r="R225" i="5"/>
  <c r="Q225" i="5"/>
  <c r="P225" i="5"/>
  <c r="O225" i="5"/>
  <c r="J225" i="5"/>
  <c r="I225" i="5"/>
  <c r="H225" i="5"/>
  <c r="T224" i="5"/>
  <c r="S224" i="5"/>
  <c r="R224" i="5"/>
  <c r="Q224" i="5"/>
  <c r="P224" i="5"/>
  <c r="O224" i="5"/>
  <c r="I224" i="5"/>
  <c r="J224" i="5" s="1"/>
  <c r="H224" i="5"/>
  <c r="T223" i="5"/>
  <c r="S223" i="5"/>
  <c r="R223" i="5"/>
  <c r="Q223" i="5"/>
  <c r="P223" i="5"/>
  <c r="O223" i="5"/>
  <c r="I223" i="5"/>
  <c r="H223" i="5"/>
  <c r="J223" i="5" s="1"/>
  <c r="T222" i="5"/>
  <c r="S222" i="5"/>
  <c r="R222" i="5"/>
  <c r="Q222" i="5"/>
  <c r="P222" i="5"/>
  <c r="O222" i="5"/>
  <c r="I222" i="5"/>
  <c r="H222" i="5"/>
  <c r="T221" i="5"/>
  <c r="S221" i="5"/>
  <c r="R221" i="5"/>
  <c r="Q221" i="5"/>
  <c r="P221" i="5"/>
  <c r="O221" i="5"/>
  <c r="I221" i="5"/>
  <c r="J221" i="5" s="1"/>
  <c r="H221" i="5"/>
  <c r="T220" i="5"/>
  <c r="S220" i="5"/>
  <c r="R220" i="5"/>
  <c r="Q220" i="5"/>
  <c r="P220" i="5"/>
  <c r="O220" i="5"/>
  <c r="I220" i="5"/>
  <c r="J220" i="5" s="1"/>
  <c r="H220" i="5"/>
  <c r="T219" i="5"/>
  <c r="S219" i="5"/>
  <c r="R219" i="5"/>
  <c r="Q219" i="5"/>
  <c r="P219" i="5"/>
  <c r="O219" i="5"/>
  <c r="I219" i="5"/>
  <c r="H219" i="5"/>
  <c r="J219" i="5" s="1"/>
  <c r="T218" i="5"/>
  <c r="S218" i="5"/>
  <c r="R218" i="5"/>
  <c r="Q218" i="5"/>
  <c r="P218" i="5"/>
  <c r="O218" i="5"/>
  <c r="J218" i="5"/>
  <c r="I218" i="5"/>
  <c r="H218" i="5"/>
  <c r="T217" i="5"/>
  <c r="S217" i="5"/>
  <c r="R217" i="5"/>
  <c r="Q217" i="5"/>
  <c r="P217" i="5"/>
  <c r="O217" i="5"/>
  <c r="I217" i="5"/>
  <c r="J217" i="5" s="1"/>
  <c r="H217" i="5"/>
  <c r="T216" i="5"/>
  <c r="S216" i="5"/>
  <c r="R216" i="5"/>
  <c r="Q216" i="5"/>
  <c r="P216" i="5"/>
  <c r="O216" i="5"/>
  <c r="I216" i="5"/>
  <c r="J216" i="5" s="1"/>
  <c r="H216" i="5"/>
  <c r="T215" i="5"/>
  <c r="S215" i="5"/>
  <c r="R215" i="5"/>
  <c r="Q215" i="5"/>
  <c r="P215" i="5"/>
  <c r="O215" i="5"/>
  <c r="I215" i="5"/>
  <c r="H215" i="5"/>
  <c r="J215" i="5" s="1"/>
  <c r="T214" i="5"/>
  <c r="S214" i="5"/>
  <c r="R214" i="5"/>
  <c r="Q214" i="5"/>
  <c r="P214" i="5"/>
  <c r="O214" i="5"/>
  <c r="I214" i="5"/>
  <c r="H214" i="5"/>
  <c r="J214" i="5" s="1"/>
  <c r="T213" i="5"/>
  <c r="S213" i="5"/>
  <c r="R213" i="5"/>
  <c r="Q213" i="5"/>
  <c r="P213" i="5"/>
  <c r="O213" i="5"/>
  <c r="I213" i="5"/>
  <c r="J213" i="5" s="1"/>
  <c r="H213" i="5"/>
  <c r="T212" i="5"/>
  <c r="S212" i="5"/>
  <c r="R212" i="5"/>
  <c r="Q212" i="5"/>
  <c r="P212" i="5"/>
  <c r="O212" i="5"/>
  <c r="I212" i="5"/>
  <c r="J212" i="5" s="1"/>
  <c r="H212" i="5"/>
  <c r="T211" i="5"/>
  <c r="S211" i="5"/>
  <c r="R211" i="5"/>
  <c r="Q211" i="5"/>
  <c r="P211" i="5"/>
  <c r="O211" i="5"/>
  <c r="I211" i="5"/>
  <c r="H211" i="5"/>
  <c r="J211" i="5" s="1"/>
  <c r="U210" i="5"/>
  <c r="T210" i="5"/>
  <c r="R210" i="5"/>
  <c r="P210" i="5"/>
  <c r="O210" i="5"/>
  <c r="N210" i="5"/>
  <c r="M210" i="5"/>
  <c r="L210" i="5"/>
  <c r="K210" i="5"/>
  <c r="H210" i="5"/>
  <c r="G210" i="5"/>
  <c r="F210" i="5"/>
  <c r="X210" i="5" s="1"/>
  <c r="D210" i="5"/>
  <c r="W210" i="5" s="1"/>
  <c r="A210" i="5"/>
  <c r="T209" i="5"/>
  <c r="S209" i="5"/>
  <c r="R209" i="5"/>
  <c r="Q209" i="5"/>
  <c r="P209" i="5"/>
  <c r="O209" i="5"/>
  <c r="I209" i="5"/>
  <c r="J209" i="5" s="1"/>
  <c r="H209" i="5"/>
  <c r="A209" i="5"/>
  <c r="T208" i="5"/>
  <c r="S208" i="5"/>
  <c r="R208" i="5"/>
  <c r="Q208" i="5"/>
  <c r="P208" i="5"/>
  <c r="O208" i="5"/>
  <c r="I208" i="5"/>
  <c r="J208" i="5" s="1"/>
  <c r="H208" i="5"/>
  <c r="T207" i="5"/>
  <c r="S207" i="5"/>
  <c r="R207" i="5"/>
  <c r="Q207" i="5"/>
  <c r="P207" i="5"/>
  <c r="O207" i="5"/>
  <c r="I207" i="5"/>
  <c r="J207" i="5" s="1"/>
  <c r="H207" i="5"/>
  <c r="T206" i="5"/>
  <c r="S206" i="5"/>
  <c r="R206" i="5"/>
  <c r="Q206" i="5"/>
  <c r="P206" i="5"/>
  <c r="O206" i="5"/>
  <c r="J206" i="5"/>
  <c r="I206" i="5"/>
  <c r="H206" i="5"/>
  <c r="T205" i="5"/>
  <c r="S205" i="5"/>
  <c r="R205" i="5"/>
  <c r="Q205" i="5"/>
  <c r="P205" i="5"/>
  <c r="O205" i="5"/>
  <c r="J205" i="5"/>
  <c r="I205" i="5"/>
  <c r="H205" i="5"/>
  <c r="T204" i="5"/>
  <c r="S204" i="5"/>
  <c r="R204" i="5"/>
  <c r="Q204" i="5"/>
  <c r="P204" i="5"/>
  <c r="O204" i="5"/>
  <c r="I204" i="5"/>
  <c r="J204" i="5" s="1"/>
  <c r="H204" i="5"/>
  <c r="T203" i="5"/>
  <c r="S203" i="5"/>
  <c r="R203" i="5"/>
  <c r="Q203" i="5"/>
  <c r="P203" i="5"/>
  <c r="O203" i="5"/>
  <c r="I203" i="5"/>
  <c r="J203" i="5" s="1"/>
  <c r="H203" i="5"/>
  <c r="T202" i="5"/>
  <c r="S202" i="5"/>
  <c r="R202" i="5"/>
  <c r="Q202" i="5"/>
  <c r="P202" i="5"/>
  <c r="O202" i="5"/>
  <c r="I202" i="5"/>
  <c r="J202" i="5" s="1"/>
  <c r="H202" i="5"/>
  <c r="T201" i="5"/>
  <c r="S201" i="5"/>
  <c r="R201" i="5"/>
  <c r="Q201" i="5"/>
  <c r="P201" i="5"/>
  <c r="O201" i="5"/>
  <c r="I201" i="5"/>
  <c r="H201" i="5"/>
  <c r="J201" i="5" s="1"/>
  <c r="T200" i="5"/>
  <c r="S200" i="5"/>
  <c r="R200" i="5"/>
  <c r="Q200" i="5"/>
  <c r="P200" i="5"/>
  <c r="O200" i="5"/>
  <c r="I200" i="5"/>
  <c r="J200" i="5" s="1"/>
  <c r="H200" i="5"/>
  <c r="T199" i="5"/>
  <c r="S199" i="5"/>
  <c r="R199" i="5"/>
  <c r="Q199" i="5"/>
  <c r="P199" i="5"/>
  <c r="O199" i="5"/>
  <c r="J199" i="5"/>
  <c r="I199" i="5"/>
  <c r="H199" i="5"/>
  <c r="T198" i="5"/>
  <c r="S198" i="5"/>
  <c r="R198" i="5"/>
  <c r="Q198" i="5"/>
  <c r="P198" i="5"/>
  <c r="O198" i="5"/>
  <c r="I198" i="5"/>
  <c r="H198" i="5"/>
  <c r="J198" i="5" s="1"/>
  <c r="T197" i="5"/>
  <c r="S197" i="5"/>
  <c r="R197" i="5"/>
  <c r="Q197" i="5"/>
  <c r="P197" i="5"/>
  <c r="O197" i="5"/>
  <c r="I197" i="5"/>
  <c r="H197" i="5"/>
  <c r="J197" i="5" s="1"/>
  <c r="T196" i="5"/>
  <c r="S196" i="5"/>
  <c r="R196" i="5"/>
  <c r="Q196" i="5"/>
  <c r="P196" i="5"/>
  <c r="O196" i="5"/>
  <c r="I196" i="5"/>
  <c r="H196" i="5"/>
  <c r="T195" i="5"/>
  <c r="S195" i="5"/>
  <c r="R195" i="5"/>
  <c r="Q195" i="5"/>
  <c r="P195" i="5"/>
  <c r="O195" i="5"/>
  <c r="J195" i="5"/>
  <c r="I195" i="5"/>
  <c r="H195" i="5"/>
  <c r="T194" i="5"/>
  <c r="S194" i="5"/>
  <c r="R194" i="5"/>
  <c r="Q194" i="5"/>
  <c r="P194" i="5"/>
  <c r="O194" i="5"/>
  <c r="I194" i="5"/>
  <c r="J194" i="5" s="1"/>
  <c r="H194" i="5"/>
  <c r="T193" i="5"/>
  <c r="S193" i="5"/>
  <c r="S210" i="5" s="1"/>
  <c r="R193" i="5"/>
  <c r="Q193" i="5"/>
  <c r="P193" i="5"/>
  <c r="O193" i="5"/>
  <c r="I193" i="5"/>
  <c r="H193" i="5"/>
  <c r="J193" i="5" s="1"/>
  <c r="X192" i="5"/>
  <c r="W192" i="5"/>
  <c r="U192" i="5"/>
  <c r="R192" i="5"/>
  <c r="N192" i="5"/>
  <c r="M192" i="5"/>
  <c r="L192" i="5"/>
  <c r="K192" i="5"/>
  <c r="T192" i="5" s="1"/>
  <c r="H192" i="5"/>
  <c r="G192" i="5"/>
  <c r="F192" i="5"/>
  <c r="V192" i="5" s="1"/>
  <c r="D192" i="5"/>
  <c r="A192" i="5"/>
  <c r="T191" i="5"/>
  <c r="S191" i="5"/>
  <c r="R191" i="5"/>
  <c r="Q191" i="5"/>
  <c r="P191" i="5"/>
  <c r="O191" i="5"/>
  <c r="I191" i="5"/>
  <c r="J191" i="5" s="1"/>
  <c r="H191" i="5"/>
  <c r="A191" i="5"/>
  <c r="T190" i="5"/>
  <c r="S190" i="5"/>
  <c r="R190" i="5"/>
  <c r="Q190" i="5"/>
  <c r="P190" i="5"/>
  <c r="O190" i="5"/>
  <c r="J190" i="5"/>
  <c r="I190" i="5"/>
  <c r="H190" i="5"/>
  <c r="T189" i="5"/>
  <c r="S189" i="5"/>
  <c r="R189" i="5"/>
  <c r="Q189" i="5"/>
  <c r="P189" i="5"/>
  <c r="O189" i="5"/>
  <c r="I189" i="5"/>
  <c r="H189" i="5"/>
  <c r="T188" i="5"/>
  <c r="S188" i="5"/>
  <c r="R188" i="5"/>
  <c r="Q188" i="5"/>
  <c r="P188" i="5"/>
  <c r="O188" i="5"/>
  <c r="J188" i="5"/>
  <c r="I188" i="5"/>
  <c r="H188" i="5"/>
  <c r="T187" i="5"/>
  <c r="S187" i="5"/>
  <c r="R187" i="5"/>
  <c r="Q187" i="5"/>
  <c r="P187" i="5"/>
  <c r="O187" i="5"/>
  <c r="I187" i="5"/>
  <c r="H187" i="5"/>
  <c r="T186" i="5"/>
  <c r="S186" i="5"/>
  <c r="R186" i="5"/>
  <c r="Q186" i="5"/>
  <c r="P186" i="5"/>
  <c r="O186" i="5"/>
  <c r="I186" i="5"/>
  <c r="J186" i="5" s="1"/>
  <c r="H186" i="5"/>
  <c r="T185" i="5"/>
  <c r="S185" i="5"/>
  <c r="R185" i="5"/>
  <c r="Q185" i="5"/>
  <c r="P185" i="5"/>
  <c r="O185" i="5"/>
  <c r="I185" i="5"/>
  <c r="J185" i="5" s="1"/>
  <c r="H185" i="5"/>
  <c r="T184" i="5"/>
  <c r="S184" i="5"/>
  <c r="R184" i="5"/>
  <c r="Q184" i="5"/>
  <c r="P184" i="5"/>
  <c r="O184" i="5"/>
  <c r="J184" i="5"/>
  <c r="I184" i="5"/>
  <c r="H184" i="5"/>
  <c r="T183" i="5"/>
  <c r="S183" i="5"/>
  <c r="R183" i="5"/>
  <c r="Q183" i="5"/>
  <c r="P183" i="5"/>
  <c r="O183" i="5"/>
  <c r="J183" i="5"/>
  <c r="I183" i="5"/>
  <c r="H183" i="5"/>
  <c r="T182" i="5"/>
  <c r="S182" i="5"/>
  <c r="R182" i="5"/>
  <c r="Q182" i="5"/>
  <c r="P182" i="5"/>
  <c r="O182" i="5"/>
  <c r="I182" i="5"/>
  <c r="H182" i="5"/>
  <c r="J182" i="5" s="1"/>
  <c r="T181" i="5"/>
  <c r="S181" i="5"/>
  <c r="R181" i="5"/>
  <c r="Q181" i="5"/>
  <c r="P181" i="5"/>
  <c r="O181" i="5"/>
  <c r="I181" i="5"/>
  <c r="H181" i="5"/>
  <c r="T180" i="5"/>
  <c r="S180" i="5"/>
  <c r="R180" i="5"/>
  <c r="Q180" i="5"/>
  <c r="P180" i="5"/>
  <c r="O180" i="5"/>
  <c r="J180" i="5"/>
  <c r="I180" i="5"/>
  <c r="H180" i="5"/>
  <c r="T179" i="5"/>
  <c r="S179" i="5"/>
  <c r="R179" i="5"/>
  <c r="Q179" i="5"/>
  <c r="P179" i="5"/>
  <c r="O179" i="5"/>
  <c r="I179" i="5"/>
  <c r="J179" i="5" s="1"/>
  <c r="H179" i="5"/>
  <c r="T178" i="5"/>
  <c r="S178" i="5"/>
  <c r="R178" i="5"/>
  <c r="Q178" i="5"/>
  <c r="P178" i="5"/>
  <c r="O178" i="5"/>
  <c r="I178" i="5"/>
  <c r="J178" i="5" s="1"/>
  <c r="H178" i="5"/>
  <c r="T177" i="5"/>
  <c r="S177" i="5"/>
  <c r="R177" i="5"/>
  <c r="Q177" i="5"/>
  <c r="P177" i="5"/>
  <c r="O177" i="5"/>
  <c r="I177" i="5"/>
  <c r="J177" i="5" s="1"/>
  <c r="H177" i="5"/>
  <c r="T176" i="5"/>
  <c r="S176" i="5"/>
  <c r="R176" i="5"/>
  <c r="Q176" i="5"/>
  <c r="P176" i="5"/>
  <c r="O176" i="5"/>
  <c r="J176" i="5"/>
  <c r="I176" i="5"/>
  <c r="H176" i="5"/>
  <c r="T175" i="5"/>
  <c r="S175" i="5"/>
  <c r="R175" i="5"/>
  <c r="Q175" i="5"/>
  <c r="P175" i="5"/>
  <c r="O175" i="5"/>
  <c r="I175" i="5"/>
  <c r="J175" i="5" s="1"/>
  <c r="H175" i="5"/>
  <c r="X174" i="5"/>
  <c r="W174" i="5"/>
  <c r="V174" i="5"/>
  <c r="N174" i="5"/>
  <c r="M174" i="5"/>
  <c r="L174" i="5"/>
  <c r="K174" i="5"/>
  <c r="G174" i="5"/>
  <c r="F174" i="5"/>
  <c r="H174" i="5" s="1"/>
  <c r="D174" i="5"/>
  <c r="U174" i="5" s="1"/>
  <c r="A174" i="5"/>
  <c r="T173" i="5"/>
  <c r="S173" i="5"/>
  <c r="R173" i="5"/>
  <c r="Q173" i="5"/>
  <c r="P173" i="5"/>
  <c r="O173" i="5"/>
  <c r="I173" i="5"/>
  <c r="J173" i="5" s="1"/>
  <c r="H173" i="5"/>
  <c r="A173" i="5"/>
  <c r="T172" i="5"/>
  <c r="S172" i="5"/>
  <c r="R172" i="5"/>
  <c r="Q172" i="5"/>
  <c r="P172" i="5"/>
  <c r="O172" i="5"/>
  <c r="J172" i="5"/>
  <c r="I172" i="5"/>
  <c r="H172" i="5"/>
  <c r="T171" i="5"/>
  <c r="S171" i="5"/>
  <c r="R171" i="5"/>
  <c r="Q171" i="5"/>
  <c r="P171" i="5"/>
  <c r="O171" i="5"/>
  <c r="J171" i="5"/>
  <c r="I171" i="5"/>
  <c r="H171" i="5"/>
  <c r="T170" i="5"/>
  <c r="S170" i="5"/>
  <c r="R170" i="5"/>
  <c r="Q170" i="5"/>
  <c r="P170" i="5"/>
  <c r="O170" i="5"/>
  <c r="I170" i="5"/>
  <c r="J170" i="5" s="1"/>
  <c r="H170" i="5"/>
  <c r="T169" i="5"/>
  <c r="S169" i="5"/>
  <c r="R169" i="5"/>
  <c r="Q169" i="5"/>
  <c r="P169" i="5"/>
  <c r="O169" i="5"/>
  <c r="I169" i="5"/>
  <c r="J169" i="5" s="1"/>
  <c r="H169" i="5"/>
  <c r="T168" i="5"/>
  <c r="S168" i="5"/>
  <c r="R168" i="5"/>
  <c r="Q168" i="5"/>
  <c r="P168" i="5"/>
  <c r="O168" i="5"/>
  <c r="J168" i="5"/>
  <c r="I168" i="5"/>
  <c r="H168" i="5"/>
  <c r="T167" i="5"/>
  <c r="S167" i="5"/>
  <c r="R167" i="5"/>
  <c r="Q167" i="5"/>
  <c r="P167" i="5"/>
  <c r="O167" i="5"/>
  <c r="I167" i="5"/>
  <c r="H167" i="5"/>
  <c r="J167" i="5" s="1"/>
  <c r="T166" i="5"/>
  <c r="S166" i="5"/>
  <c r="R166" i="5"/>
  <c r="Q166" i="5"/>
  <c r="P166" i="5"/>
  <c r="O166" i="5"/>
  <c r="I166" i="5"/>
  <c r="H166" i="5"/>
  <c r="T165" i="5"/>
  <c r="S165" i="5"/>
  <c r="R165" i="5"/>
  <c r="Q165" i="5"/>
  <c r="P165" i="5"/>
  <c r="O165" i="5"/>
  <c r="I165" i="5"/>
  <c r="J165" i="5" s="1"/>
  <c r="H165" i="5"/>
  <c r="T164" i="5"/>
  <c r="S164" i="5"/>
  <c r="R164" i="5"/>
  <c r="Q164" i="5"/>
  <c r="P164" i="5"/>
  <c r="O164" i="5"/>
  <c r="J164" i="5"/>
  <c r="I164" i="5"/>
  <c r="H164" i="5"/>
  <c r="T163" i="5"/>
  <c r="S163" i="5"/>
  <c r="R163" i="5"/>
  <c r="Q163" i="5"/>
  <c r="P163" i="5"/>
  <c r="O163" i="5"/>
  <c r="I163" i="5"/>
  <c r="H163" i="5"/>
  <c r="J163" i="5" s="1"/>
  <c r="T162" i="5"/>
  <c r="S162" i="5"/>
  <c r="R162" i="5"/>
  <c r="Q162" i="5"/>
  <c r="P162" i="5"/>
  <c r="O162" i="5"/>
  <c r="I162" i="5"/>
  <c r="H162" i="5"/>
  <c r="T161" i="5"/>
  <c r="S161" i="5"/>
  <c r="R161" i="5"/>
  <c r="Q161" i="5"/>
  <c r="P161" i="5"/>
  <c r="O161" i="5"/>
  <c r="I161" i="5"/>
  <c r="J161" i="5" s="1"/>
  <c r="H161" i="5"/>
  <c r="T160" i="5"/>
  <c r="S160" i="5"/>
  <c r="R160" i="5"/>
  <c r="Q160" i="5"/>
  <c r="P160" i="5"/>
  <c r="O160" i="5"/>
  <c r="J160" i="5"/>
  <c r="I160" i="5"/>
  <c r="H160" i="5"/>
  <c r="T159" i="5"/>
  <c r="S159" i="5"/>
  <c r="R159" i="5"/>
  <c r="Q159" i="5"/>
  <c r="P159" i="5"/>
  <c r="O159" i="5"/>
  <c r="J159" i="5"/>
  <c r="I159" i="5"/>
  <c r="H159" i="5"/>
  <c r="T158" i="5"/>
  <c r="S158" i="5"/>
  <c r="S174" i="5" s="1"/>
  <c r="R158" i="5"/>
  <c r="Q158" i="5"/>
  <c r="P158" i="5"/>
  <c r="O158" i="5"/>
  <c r="I158" i="5"/>
  <c r="H158" i="5"/>
  <c r="T157" i="5"/>
  <c r="S157" i="5"/>
  <c r="R157" i="5"/>
  <c r="Q157" i="5"/>
  <c r="P157" i="5"/>
  <c r="O157" i="5"/>
  <c r="I157" i="5"/>
  <c r="J157" i="5" s="1"/>
  <c r="H157" i="5"/>
  <c r="W156" i="5"/>
  <c r="U156" i="5"/>
  <c r="R156" i="5"/>
  <c r="N156" i="5"/>
  <c r="P156" i="5" s="1"/>
  <c r="M156" i="5"/>
  <c r="L156" i="5"/>
  <c r="K156" i="5"/>
  <c r="Q156" i="5" s="1"/>
  <c r="G156" i="5"/>
  <c r="F156" i="5"/>
  <c r="D156" i="5"/>
  <c r="A156" i="5"/>
  <c r="T155" i="5"/>
  <c r="S155" i="5"/>
  <c r="R155" i="5"/>
  <c r="Q155" i="5"/>
  <c r="P155" i="5"/>
  <c r="O155" i="5"/>
  <c r="J155" i="5"/>
  <c r="I155" i="5"/>
  <c r="H155" i="5"/>
  <c r="A155" i="5"/>
  <c r="T154" i="5"/>
  <c r="S154" i="5"/>
  <c r="R154" i="5"/>
  <c r="Q154" i="5"/>
  <c r="P154" i="5"/>
  <c r="O154" i="5"/>
  <c r="I154" i="5"/>
  <c r="H154" i="5"/>
  <c r="T153" i="5"/>
  <c r="S153" i="5"/>
  <c r="R153" i="5"/>
  <c r="Q153" i="5"/>
  <c r="P153" i="5"/>
  <c r="O153" i="5"/>
  <c r="I153" i="5"/>
  <c r="H153" i="5"/>
  <c r="J153" i="5" s="1"/>
  <c r="T152" i="5"/>
  <c r="S152" i="5"/>
  <c r="R152" i="5"/>
  <c r="Q152" i="5"/>
  <c r="P152" i="5"/>
  <c r="O152" i="5"/>
  <c r="J152" i="5"/>
  <c r="I152" i="5"/>
  <c r="H152" i="5"/>
  <c r="T151" i="5"/>
  <c r="S151" i="5"/>
  <c r="R151" i="5"/>
  <c r="Q151" i="5"/>
  <c r="P151" i="5"/>
  <c r="O151" i="5"/>
  <c r="I151" i="5"/>
  <c r="J151" i="5" s="1"/>
  <c r="H151" i="5"/>
  <c r="T150" i="5"/>
  <c r="S150" i="5"/>
  <c r="R150" i="5"/>
  <c r="Q150" i="5"/>
  <c r="P150" i="5"/>
  <c r="O150" i="5"/>
  <c r="I150" i="5"/>
  <c r="H150" i="5"/>
  <c r="T149" i="5"/>
  <c r="S149" i="5"/>
  <c r="R149" i="5"/>
  <c r="Q149" i="5"/>
  <c r="P149" i="5"/>
  <c r="O149" i="5"/>
  <c r="I149" i="5"/>
  <c r="H149" i="5"/>
  <c r="J149" i="5" s="1"/>
  <c r="T148" i="5"/>
  <c r="S148" i="5"/>
  <c r="R148" i="5"/>
  <c r="Q148" i="5"/>
  <c r="P148" i="5"/>
  <c r="O148" i="5"/>
  <c r="J148" i="5"/>
  <c r="I148" i="5"/>
  <c r="H148" i="5"/>
  <c r="T147" i="5"/>
  <c r="S147" i="5"/>
  <c r="R147" i="5"/>
  <c r="Q147" i="5"/>
  <c r="P147" i="5"/>
  <c r="O147" i="5"/>
  <c r="I147" i="5"/>
  <c r="J147" i="5" s="1"/>
  <c r="H147" i="5"/>
  <c r="T146" i="5"/>
  <c r="S146" i="5"/>
  <c r="R146" i="5"/>
  <c r="Q146" i="5"/>
  <c r="P146" i="5"/>
  <c r="O146" i="5"/>
  <c r="I146" i="5"/>
  <c r="J146" i="5" s="1"/>
  <c r="H146" i="5"/>
  <c r="T145" i="5"/>
  <c r="S145" i="5"/>
  <c r="R145" i="5"/>
  <c r="Q145" i="5"/>
  <c r="P145" i="5"/>
  <c r="O145" i="5"/>
  <c r="I145" i="5"/>
  <c r="H145" i="5"/>
  <c r="J145" i="5" s="1"/>
  <c r="T144" i="5"/>
  <c r="S144" i="5"/>
  <c r="R144" i="5"/>
  <c r="Q144" i="5"/>
  <c r="P144" i="5"/>
  <c r="O144" i="5"/>
  <c r="J144" i="5"/>
  <c r="I144" i="5"/>
  <c r="H144" i="5"/>
  <c r="T143" i="5"/>
  <c r="S143" i="5"/>
  <c r="R143" i="5"/>
  <c r="Q143" i="5"/>
  <c r="P143" i="5"/>
  <c r="O143" i="5"/>
  <c r="I143" i="5"/>
  <c r="H143" i="5"/>
  <c r="T142" i="5"/>
  <c r="S142" i="5"/>
  <c r="R142" i="5"/>
  <c r="Q142" i="5"/>
  <c r="P142" i="5"/>
  <c r="O142" i="5"/>
  <c r="I142" i="5"/>
  <c r="H142" i="5"/>
  <c r="T141" i="5"/>
  <c r="S141" i="5"/>
  <c r="R141" i="5"/>
  <c r="Q141" i="5"/>
  <c r="P141" i="5"/>
  <c r="O141" i="5"/>
  <c r="I141" i="5"/>
  <c r="H141" i="5"/>
  <c r="J141" i="5" s="1"/>
  <c r="T140" i="5"/>
  <c r="S140" i="5"/>
  <c r="S156" i="5" s="1"/>
  <c r="R140" i="5"/>
  <c r="Q140" i="5"/>
  <c r="P140" i="5"/>
  <c r="O140" i="5"/>
  <c r="J140" i="5"/>
  <c r="I140" i="5"/>
  <c r="H140" i="5"/>
  <c r="T139" i="5"/>
  <c r="S139" i="5"/>
  <c r="R139" i="5"/>
  <c r="Q139" i="5"/>
  <c r="P139" i="5"/>
  <c r="O139" i="5"/>
  <c r="I139" i="5"/>
  <c r="J139" i="5" s="1"/>
  <c r="H139" i="5"/>
  <c r="N138" i="5"/>
  <c r="M138" i="5"/>
  <c r="T138" i="5" s="1"/>
  <c r="L138" i="5"/>
  <c r="K138" i="5"/>
  <c r="O138" i="5" s="1"/>
  <c r="G138" i="5"/>
  <c r="F138" i="5"/>
  <c r="X138" i="5" s="1"/>
  <c r="D138" i="5"/>
  <c r="A138" i="5"/>
  <c r="T137" i="5"/>
  <c r="S137" i="5"/>
  <c r="R137" i="5"/>
  <c r="Q137" i="5"/>
  <c r="P137" i="5"/>
  <c r="O137" i="5"/>
  <c r="I137" i="5"/>
  <c r="H137" i="5"/>
  <c r="J137" i="5" s="1"/>
  <c r="A137" i="5"/>
  <c r="T136" i="5"/>
  <c r="S136" i="5"/>
  <c r="R136" i="5"/>
  <c r="Q136" i="5"/>
  <c r="P136" i="5"/>
  <c r="O136" i="5"/>
  <c r="I136" i="5"/>
  <c r="H136" i="5"/>
  <c r="J136" i="5" s="1"/>
  <c r="T135" i="5"/>
  <c r="S135" i="5"/>
  <c r="R135" i="5"/>
  <c r="Q135" i="5"/>
  <c r="P135" i="5"/>
  <c r="O135" i="5"/>
  <c r="I135" i="5"/>
  <c r="J135" i="5" s="1"/>
  <c r="H135" i="5"/>
  <c r="T134" i="5"/>
  <c r="S134" i="5"/>
  <c r="R134" i="5"/>
  <c r="Q134" i="5"/>
  <c r="P134" i="5"/>
  <c r="O134" i="5"/>
  <c r="I134" i="5"/>
  <c r="J134" i="5" s="1"/>
  <c r="H134" i="5"/>
  <c r="T133" i="5"/>
  <c r="S133" i="5"/>
  <c r="R133" i="5"/>
  <c r="Q133" i="5"/>
  <c r="P133" i="5"/>
  <c r="O133" i="5"/>
  <c r="I133" i="5"/>
  <c r="J133" i="5" s="1"/>
  <c r="H133" i="5"/>
  <c r="T132" i="5"/>
  <c r="S132" i="5"/>
  <c r="R132" i="5"/>
  <c r="Q132" i="5"/>
  <c r="P132" i="5"/>
  <c r="O132" i="5"/>
  <c r="I132" i="5"/>
  <c r="H132" i="5"/>
  <c r="J132" i="5" s="1"/>
  <c r="T131" i="5"/>
  <c r="S131" i="5"/>
  <c r="R131" i="5"/>
  <c r="Q131" i="5"/>
  <c r="P131" i="5"/>
  <c r="O131" i="5"/>
  <c r="J131" i="5"/>
  <c r="I131" i="5"/>
  <c r="H131" i="5"/>
  <c r="T130" i="5"/>
  <c r="S130" i="5"/>
  <c r="R130" i="5"/>
  <c r="Q130" i="5"/>
  <c r="P130" i="5"/>
  <c r="O130" i="5"/>
  <c r="J130" i="5"/>
  <c r="I130" i="5"/>
  <c r="H130" i="5"/>
  <c r="T129" i="5"/>
  <c r="S129" i="5"/>
  <c r="R129" i="5"/>
  <c r="Q129" i="5"/>
  <c r="P129" i="5"/>
  <c r="O129" i="5"/>
  <c r="I129" i="5"/>
  <c r="J129" i="5" s="1"/>
  <c r="H129" i="5"/>
  <c r="T128" i="5"/>
  <c r="S128" i="5"/>
  <c r="R128" i="5"/>
  <c r="Q128" i="5"/>
  <c r="P128" i="5"/>
  <c r="O128" i="5"/>
  <c r="I128" i="5"/>
  <c r="H128" i="5"/>
  <c r="J128" i="5" s="1"/>
  <c r="T127" i="5"/>
  <c r="S127" i="5"/>
  <c r="R127" i="5"/>
  <c r="Q127" i="5"/>
  <c r="P127" i="5"/>
  <c r="O127" i="5"/>
  <c r="I127" i="5"/>
  <c r="J127" i="5" s="1"/>
  <c r="H127" i="5"/>
  <c r="T126" i="5"/>
  <c r="S126" i="5"/>
  <c r="R126" i="5"/>
  <c r="Q126" i="5"/>
  <c r="P126" i="5"/>
  <c r="O126" i="5"/>
  <c r="I126" i="5"/>
  <c r="J126" i="5" s="1"/>
  <c r="H126" i="5"/>
  <c r="T125" i="5"/>
  <c r="S125" i="5"/>
  <c r="R125" i="5"/>
  <c r="Q125" i="5"/>
  <c r="P125" i="5"/>
  <c r="O125" i="5"/>
  <c r="I125" i="5"/>
  <c r="J125" i="5" s="1"/>
  <c r="H125" i="5"/>
  <c r="T124" i="5"/>
  <c r="S124" i="5"/>
  <c r="R124" i="5"/>
  <c r="Q124" i="5"/>
  <c r="P124" i="5"/>
  <c r="O124" i="5"/>
  <c r="I124" i="5"/>
  <c r="H124" i="5"/>
  <c r="J124" i="5" s="1"/>
  <c r="T123" i="5"/>
  <c r="S123" i="5"/>
  <c r="R123" i="5"/>
  <c r="Q123" i="5"/>
  <c r="P123" i="5"/>
  <c r="O123" i="5"/>
  <c r="I123" i="5"/>
  <c r="J123" i="5" s="1"/>
  <c r="H123" i="5"/>
  <c r="T122" i="5"/>
  <c r="S122" i="5"/>
  <c r="R122" i="5"/>
  <c r="Q122" i="5"/>
  <c r="P122" i="5"/>
  <c r="O122" i="5"/>
  <c r="J122" i="5"/>
  <c r="I122" i="5"/>
  <c r="H122" i="5"/>
  <c r="T121" i="5"/>
  <c r="S121" i="5"/>
  <c r="R121" i="5"/>
  <c r="Q121" i="5"/>
  <c r="P121" i="5"/>
  <c r="O121" i="5"/>
  <c r="I121" i="5"/>
  <c r="J121" i="5" s="1"/>
  <c r="H121" i="5"/>
  <c r="X120" i="5"/>
  <c r="W120" i="5"/>
  <c r="U120" i="5"/>
  <c r="N120" i="5"/>
  <c r="R120" i="5" s="1"/>
  <c r="M120" i="5"/>
  <c r="L120" i="5"/>
  <c r="K120" i="5"/>
  <c r="I120" i="5"/>
  <c r="J120" i="5" s="1"/>
  <c r="H120" i="5"/>
  <c r="G120" i="5"/>
  <c r="F120" i="5"/>
  <c r="V120" i="5" s="1"/>
  <c r="D120" i="5"/>
  <c r="A120" i="5"/>
  <c r="T119" i="5"/>
  <c r="S119" i="5"/>
  <c r="R119" i="5"/>
  <c r="Q119" i="5"/>
  <c r="P119" i="5"/>
  <c r="O119" i="5"/>
  <c r="J119" i="5"/>
  <c r="I119" i="5"/>
  <c r="H119" i="5"/>
  <c r="A119" i="5"/>
  <c r="T118" i="5"/>
  <c r="S118" i="5"/>
  <c r="R118" i="5"/>
  <c r="Q118" i="5"/>
  <c r="P118" i="5"/>
  <c r="O118" i="5"/>
  <c r="I118" i="5"/>
  <c r="H118" i="5"/>
  <c r="J118" i="5" s="1"/>
  <c r="T117" i="5"/>
  <c r="S117" i="5"/>
  <c r="R117" i="5"/>
  <c r="Q117" i="5"/>
  <c r="P117" i="5"/>
  <c r="O117" i="5"/>
  <c r="I117" i="5"/>
  <c r="H117" i="5"/>
  <c r="T116" i="5"/>
  <c r="S116" i="5"/>
  <c r="R116" i="5"/>
  <c r="Q116" i="5"/>
  <c r="P116" i="5"/>
  <c r="O116" i="5"/>
  <c r="I116" i="5"/>
  <c r="J116" i="5" s="1"/>
  <c r="H116" i="5"/>
  <c r="T115" i="5"/>
  <c r="S115" i="5"/>
  <c r="R115" i="5"/>
  <c r="Q115" i="5"/>
  <c r="P115" i="5"/>
  <c r="O115" i="5"/>
  <c r="J115" i="5"/>
  <c r="I115" i="5"/>
  <c r="H115" i="5"/>
  <c r="T114" i="5"/>
  <c r="S114" i="5"/>
  <c r="R114" i="5"/>
  <c r="Q114" i="5"/>
  <c r="P114" i="5"/>
  <c r="O114" i="5"/>
  <c r="I114" i="5"/>
  <c r="H114" i="5"/>
  <c r="J114" i="5" s="1"/>
  <c r="T113" i="5"/>
  <c r="S113" i="5"/>
  <c r="R113" i="5"/>
  <c r="Q113" i="5"/>
  <c r="P113" i="5"/>
  <c r="O113" i="5"/>
  <c r="I113" i="5"/>
  <c r="J113" i="5" s="1"/>
  <c r="H113" i="5"/>
  <c r="T112" i="5"/>
  <c r="S112" i="5"/>
  <c r="R112" i="5"/>
  <c r="Q112" i="5"/>
  <c r="P112" i="5"/>
  <c r="O112" i="5"/>
  <c r="I112" i="5"/>
  <c r="J112" i="5" s="1"/>
  <c r="H112" i="5"/>
  <c r="T111" i="5"/>
  <c r="S111" i="5"/>
  <c r="R111" i="5"/>
  <c r="Q111" i="5"/>
  <c r="P111" i="5"/>
  <c r="O111" i="5"/>
  <c r="J111" i="5"/>
  <c r="I111" i="5"/>
  <c r="H111" i="5"/>
  <c r="T110" i="5"/>
  <c r="S110" i="5"/>
  <c r="R110" i="5"/>
  <c r="Q110" i="5"/>
  <c r="P110" i="5"/>
  <c r="O110" i="5"/>
  <c r="I110" i="5"/>
  <c r="H110" i="5"/>
  <c r="J110" i="5" s="1"/>
  <c r="T109" i="5"/>
  <c r="S109" i="5"/>
  <c r="R109" i="5"/>
  <c r="Q109" i="5"/>
  <c r="P109" i="5"/>
  <c r="O109" i="5"/>
  <c r="I109" i="5"/>
  <c r="J109" i="5" s="1"/>
  <c r="H109" i="5"/>
  <c r="T108" i="5"/>
  <c r="S108" i="5"/>
  <c r="R108" i="5"/>
  <c r="Q108" i="5"/>
  <c r="P108" i="5"/>
  <c r="O108" i="5"/>
  <c r="I108" i="5"/>
  <c r="J108" i="5" s="1"/>
  <c r="H108" i="5"/>
  <c r="T107" i="5"/>
  <c r="S107" i="5"/>
  <c r="R107" i="5"/>
  <c r="Q107" i="5"/>
  <c r="P107" i="5"/>
  <c r="O107" i="5"/>
  <c r="J107" i="5"/>
  <c r="I107" i="5"/>
  <c r="H107" i="5"/>
  <c r="T106" i="5"/>
  <c r="S106" i="5"/>
  <c r="R106" i="5"/>
  <c r="Q106" i="5"/>
  <c r="P106" i="5"/>
  <c r="O106" i="5"/>
  <c r="J106" i="5"/>
  <c r="I106" i="5"/>
  <c r="H106" i="5"/>
  <c r="T105" i="5"/>
  <c r="S105" i="5"/>
  <c r="R105" i="5"/>
  <c r="Q105" i="5"/>
  <c r="P105" i="5"/>
  <c r="O105" i="5"/>
  <c r="I105" i="5"/>
  <c r="J105" i="5" s="1"/>
  <c r="H105" i="5"/>
  <c r="T104" i="5"/>
  <c r="S104" i="5"/>
  <c r="R104" i="5"/>
  <c r="Q104" i="5"/>
  <c r="P104" i="5"/>
  <c r="O104" i="5"/>
  <c r="I104" i="5"/>
  <c r="J104" i="5" s="1"/>
  <c r="H104" i="5"/>
  <c r="T103" i="5"/>
  <c r="S103" i="5"/>
  <c r="S120" i="5" s="1"/>
  <c r="R103" i="5"/>
  <c r="Q103" i="5"/>
  <c r="P103" i="5"/>
  <c r="O103" i="5"/>
  <c r="J103" i="5"/>
  <c r="I103" i="5"/>
  <c r="H103" i="5"/>
  <c r="W102" i="5"/>
  <c r="U102" i="5"/>
  <c r="T102" i="5"/>
  <c r="R102" i="5"/>
  <c r="P102" i="5"/>
  <c r="O102" i="5"/>
  <c r="N102" i="5"/>
  <c r="M102" i="5"/>
  <c r="L102" i="5"/>
  <c r="K102" i="5"/>
  <c r="Q102" i="5" s="1"/>
  <c r="G102" i="5"/>
  <c r="F102" i="5"/>
  <c r="D102" i="5"/>
  <c r="A102" i="5"/>
  <c r="T101" i="5"/>
  <c r="S101" i="5"/>
  <c r="R101" i="5"/>
  <c r="Q101" i="5"/>
  <c r="P101" i="5"/>
  <c r="O101" i="5"/>
  <c r="I101" i="5"/>
  <c r="J101" i="5" s="1"/>
  <c r="H101" i="5"/>
  <c r="A101" i="5"/>
  <c r="T100" i="5"/>
  <c r="S100" i="5"/>
  <c r="R100" i="5"/>
  <c r="Q100" i="5"/>
  <c r="P100" i="5"/>
  <c r="O100" i="5"/>
  <c r="I100" i="5"/>
  <c r="H100" i="5"/>
  <c r="J100" i="5" s="1"/>
  <c r="T99" i="5"/>
  <c r="S99" i="5"/>
  <c r="R99" i="5"/>
  <c r="Q99" i="5"/>
  <c r="P99" i="5"/>
  <c r="O99" i="5"/>
  <c r="J99" i="5"/>
  <c r="I99" i="5"/>
  <c r="H99" i="5"/>
  <c r="T98" i="5"/>
  <c r="S98" i="5"/>
  <c r="R98" i="5"/>
  <c r="Q98" i="5"/>
  <c r="P98" i="5"/>
  <c r="O98" i="5"/>
  <c r="I98" i="5"/>
  <c r="H98" i="5"/>
  <c r="T97" i="5"/>
  <c r="S97" i="5"/>
  <c r="R97" i="5"/>
  <c r="Q97" i="5"/>
  <c r="P97" i="5"/>
  <c r="O97" i="5"/>
  <c r="I97" i="5"/>
  <c r="H97" i="5"/>
  <c r="T96" i="5"/>
  <c r="S96" i="5"/>
  <c r="R96" i="5"/>
  <c r="Q96" i="5"/>
  <c r="P96" i="5"/>
  <c r="O96" i="5"/>
  <c r="I96" i="5"/>
  <c r="H96" i="5"/>
  <c r="J96" i="5" s="1"/>
  <c r="T95" i="5"/>
  <c r="S95" i="5"/>
  <c r="R95" i="5"/>
  <c r="Q95" i="5"/>
  <c r="P95" i="5"/>
  <c r="O95" i="5"/>
  <c r="J95" i="5"/>
  <c r="I95" i="5"/>
  <c r="H95" i="5"/>
  <c r="T94" i="5"/>
  <c r="S94" i="5"/>
  <c r="R94" i="5"/>
  <c r="Q94" i="5"/>
  <c r="P94" i="5"/>
  <c r="O94" i="5"/>
  <c r="I94" i="5"/>
  <c r="J94" i="5" s="1"/>
  <c r="H94" i="5"/>
  <c r="T93" i="5"/>
  <c r="S93" i="5"/>
  <c r="R93" i="5"/>
  <c r="Q93" i="5"/>
  <c r="P93" i="5"/>
  <c r="O93" i="5"/>
  <c r="I93" i="5"/>
  <c r="J93" i="5" s="1"/>
  <c r="H93" i="5"/>
  <c r="T92" i="5"/>
  <c r="S92" i="5"/>
  <c r="R92" i="5"/>
  <c r="Q92" i="5"/>
  <c r="P92" i="5"/>
  <c r="O92" i="5"/>
  <c r="I92" i="5"/>
  <c r="H92" i="5"/>
  <c r="J92" i="5" s="1"/>
  <c r="T91" i="5"/>
  <c r="S91" i="5"/>
  <c r="R91" i="5"/>
  <c r="Q91" i="5"/>
  <c r="P91" i="5"/>
  <c r="O91" i="5"/>
  <c r="J91" i="5"/>
  <c r="I91" i="5"/>
  <c r="H91" i="5"/>
  <c r="T90" i="5"/>
  <c r="S90" i="5"/>
  <c r="R90" i="5"/>
  <c r="Q90" i="5"/>
  <c r="P90" i="5"/>
  <c r="O90" i="5"/>
  <c r="I90" i="5"/>
  <c r="J90" i="5" s="1"/>
  <c r="H90" i="5"/>
  <c r="T89" i="5"/>
  <c r="S89" i="5"/>
  <c r="R89" i="5"/>
  <c r="Q89" i="5"/>
  <c r="P89" i="5"/>
  <c r="O89" i="5"/>
  <c r="I89" i="5"/>
  <c r="H89" i="5"/>
  <c r="T88" i="5"/>
  <c r="S88" i="5"/>
  <c r="R88" i="5"/>
  <c r="Q88" i="5"/>
  <c r="P88" i="5"/>
  <c r="O88" i="5"/>
  <c r="I88" i="5"/>
  <c r="H88" i="5"/>
  <c r="J88" i="5" s="1"/>
  <c r="T87" i="5"/>
  <c r="S87" i="5"/>
  <c r="R87" i="5"/>
  <c r="Q87" i="5"/>
  <c r="P87" i="5"/>
  <c r="O87" i="5"/>
  <c r="J87" i="5"/>
  <c r="I87" i="5"/>
  <c r="H87" i="5"/>
  <c r="T86" i="5"/>
  <c r="S86" i="5"/>
  <c r="R86" i="5"/>
  <c r="Q86" i="5"/>
  <c r="P86" i="5"/>
  <c r="O86" i="5"/>
  <c r="I86" i="5"/>
  <c r="J86" i="5" s="1"/>
  <c r="H86" i="5"/>
  <c r="T85" i="5"/>
  <c r="S85" i="5"/>
  <c r="R85" i="5"/>
  <c r="Q85" i="5"/>
  <c r="P85" i="5"/>
  <c r="O85" i="5"/>
  <c r="I85" i="5"/>
  <c r="H85" i="5"/>
  <c r="W84" i="5"/>
  <c r="V84" i="5"/>
  <c r="U84" i="5"/>
  <c r="N84" i="5"/>
  <c r="M84" i="5"/>
  <c r="L84" i="5"/>
  <c r="K84" i="5"/>
  <c r="G84" i="5"/>
  <c r="F84" i="5"/>
  <c r="I84" i="5" s="1"/>
  <c r="D84" i="5"/>
  <c r="A84" i="5"/>
  <c r="T83" i="5"/>
  <c r="S83" i="5"/>
  <c r="R83" i="5"/>
  <c r="Q83" i="5"/>
  <c r="P83" i="5"/>
  <c r="O83" i="5"/>
  <c r="J83" i="5"/>
  <c r="I83" i="5"/>
  <c r="H83" i="5"/>
  <c r="A83" i="5"/>
  <c r="T82" i="5"/>
  <c r="S82" i="5"/>
  <c r="R82" i="5"/>
  <c r="Q82" i="5"/>
  <c r="P82" i="5"/>
  <c r="O82" i="5"/>
  <c r="J82" i="5"/>
  <c r="I82" i="5"/>
  <c r="H82" i="5"/>
  <c r="T81" i="5"/>
  <c r="S81" i="5"/>
  <c r="R81" i="5"/>
  <c r="Q81" i="5"/>
  <c r="P81" i="5"/>
  <c r="O81" i="5"/>
  <c r="I81" i="5"/>
  <c r="J81" i="5" s="1"/>
  <c r="H81" i="5"/>
  <c r="T80" i="5"/>
  <c r="S80" i="5"/>
  <c r="R80" i="5"/>
  <c r="Q80" i="5"/>
  <c r="P80" i="5"/>
  <c r="O80" i="5"/>
  <c r="I80" i="5"/>
  <c r="J80" i="5" s="1"/>
  <c r="H80" i="5"/>
  <c r="T79" i="5"/>
  <c r="S79" i="5"/>
  <c r="R79" i="5"/>
  <c r="Q79" i="5"/>
  <c r="P79" i="5"/>
  <c r="O79" i="5"/>
  <c r="I79" i="5"/>
  <c r="J79" i="5" s="1"/>
  <c r="H79" i="5"/>
  <c r="T78" i="5"/>
  <c r="S78" i="5"/>
  <c r="R78" i="5"/>
  <c r="Q78" i="5"/>
  <c r="P78" i="5"/>
  <c r="O78" i="5"/>
  <c r="J78" i="5"/>
  <c r="I78" i="5"/>
  <c r="H78" i="5"/>
  <c r="T77" i="5"/>
  <c r="S77" i="5"/>
  <c r="R77" i="5"/>
  <c r="Q77" i="5"/>
  <c r="P77" i="5"/>
  <c r="O77" i="5"/>
  <c r="I77" i="5"/>
  <c r="J77" i="5" s="1"/>
  <c r="H77" i="5"/>
  <c r="T76" i="5"/>
  <c r="S76" i="5"/>
  <c r="R76" i="5"/>
  <c r="Q76" i="5"/>
  <c r="P76" i="5"/>
  <c r="O76" i="5"/>
  <c r="I76" i="5"/>
  <c r="J76" i="5" s="1"/>
  <c r="H76" i="5"/>
  <c r="T75" i="5"/>
  <c r="S75" i="5"/>
  <c r="R75" i="5"/>
  <c r="Q75" i="5"/>
  <c r="P75" i="5"/>
  <c r="O75" i="5"/>
  <c r="I75" i="5"/>
  <c r="J75" i="5" s="1"/>
  <c r="H75" i="5"/>
  <c r="T74" i="5"/>
  <c r="S74" i="5"/>
  <c r="R74" i="5"/>
  <c r="Q74" i="5"/>
  <c r="P74" i="5"/>
  <c r="O74" i="5"/>
  <c r="I74" i="5"/>
  <c r="J74" i="5" s="1"/>
  <c r="H74" i="5"/>
  <c r="T73" i="5"/>
  <c r="S73" i="5"/>
  <c r="R73" i="5"/>
  <c r="Q73" i="5"/>
  <c r="P73" i="5"/>
  <c r="O73" i="5"/>
  <c r="J73" i="5"/>
  <c r="I73" i="5"/>
  <c r="H73" i="5"/>
  <c r="T72" i="5"/>
  <c r="S72" i="5"/>
  <c r="R72" i="5"/>
  <c r="Q72" i="5"/>
  <c r="P72" i="5"/>
  <c r="O72" i="5"/>
  <c r="I72" i="5"/>
  <c r="J72" i="5" s="1"/>
  <c r="H72" i="5"/>
  <c r="T71" i="5"/>
  <c r="S71" i="5"/>
  <c r="R71" i="5"/>
  <c r="Q71" i="5"/>
  <c r="P71" i="5"/>
  <c r="O71" i="5"/>
  <c r="I71" i="5"/>
  <c r="J71" i="5" s="1"/>
  <c r="H71" i="5"/>
  <c r="T70" i="5"/>
  <c r="S70" i="5"/>
  <c r="R70" i="5"/>
  <c r="Q70" i="5"/>
  <c r="P70" i="5"/>
  <c r="O70" i="5"/>
  <c r="I70" i="5"/>
  <c r="J70" i="5" s="1"/>
  <c r="H70" i="5"/>
  <c r="T69" i="5"/>
  <c r="S69" i="5"/>
  <c r="R69" i="5"/>
  <c r="Q69" i="5"/>
  <c r="P69" i="5"/>
  <c r="O69" i="5"/>
  <c r="I69" i="5"/>
  <c r="J69" i="5" s="1"/>
  <c r="H69" i="5"/>
  <c r="T68" i="5"/>
  <c r="S68" i="5"/>
  <c r="R68" i="5"/>
  <c r="Q68" i="5"/>
  <c r="P68" i="5"/>
  <c r="O68" i="5"/>
  <c r="I68" i="5"/>
  <c r="J68" i="5" s="1"/>
  <c r="H68" i="5"/>
  <c r="T67" i="5"/>
  <c r="S67" i="5"/>
  <c r="R67" i="5"/>
  <c r="Q67" i="5"/>
  <c r="P67" i="5"/>
  <c r="O67" i="5"/>
  <c r="I67" i="5"/>
  <c r="J67" i="5" s="1"/>
  <c r="H67" i="5"/>
  <c r="T66" i="5"/>
  <c r="R66" i="5"/>
  <c r="Q66" i="5"/>
  <c r="N66" i="5"/>
  <c r="M66" i="5"/>
  <c r="L66" i="5"/>
  <c r="K66" i="5"/>
  <c r="P66" i="5" s="1"/>
  <c r="G66" i="5"/>
  <c r="F66" i="5"/>
  <c r="D66" i="5"/>
  <c r="W66" i="5" s="1"/>
  <c r="A66" i="5"/>
  <c r="T65" i="5"/>
  <c r="S65" i="5"/>
  <c r="R65" i="5"/>
  <c r="Q65" i="5"/>
  <c r="P65" i="5"/>
  <c r="O65" i="5"/>
  <c r="I65" i="5"/>
  <c r="J65" i="5" s="1"/>
  <c r="H65" i="5"/>
  <c r="A65" i="5"/>
  <c r="T64" i="5"/>
  <c r="S64" i="5"/>
  <c r="R64" i="5"/>
  <c r="Q64" i="5"/>
  <c r="P64" i="5"/>
  <c r="O64" i="5"/>
  <c r="I64" i="5"/>
  <c r="J64" i="5" s="1"/>
  <c r="H64" i="5"/>
  <c r="T63" i="5"/>
  <c r="S63" i="5"/>
  <c r="R63" i="5"/>
  <c r="Q63" i="5"/>
  <c r="P63" i="5"/>
  <c r="O63" i="5"/>
  <c r="I63" i="5"/>
  <c r="J63" i="5" s="1"/>
  <c r="H63" i="5"/>
  <c r="T62" i="5"/>
  <c r="S62" i="5"/>
  <c r="R62" i="5"/>
  <c r="Q62" i="5"/>
  <c r="P62" i="5"/>
  <c r="O62" i="5"/>
  <c r="J62" i="5"/>
  <c r="I62" i="5"/>
  <c r="H62" i="5"/>
  <c r="T61" i="5"/>
  <c r="S61" i="5"/>
  <c r="R61" i="5"/>
  <c r="Q61" i="5"/>
  <c r="P61" i="5"/>
  <c r="O61" i="5"/>
  <c r="J61" i="5"/>
  <c r="I61" i="5"/>
  <c r="H61" i="5"/>
  <c r="T60" i="5"/>
  <c r="S60" i="5"/>
  <c r="R60" i="5"/>
  <c r="Q60" i="5"/>
  <c r="P60" i="5"/>
  <c r="O60" i="5"/>
  <c r="I60" i="5"/>
  <c r="H60" i="5"/>
  <c r="T59" i="5"/>
  <c r="S59" i="5"/>
  <c r="R59" i="5"/>
  <c r="Q59" i="5"/>
  <c r="P59" i="5"/>
  <c r="O59" i="5"/>
  <c r="I59" i="5"/>
  <c r="J59" i="5" s="1"/>
  <c r="H59" i="5"/>
  <c r="T58" i="5"/>
  <c r="S58" i="5"/>
  <c r="R58" i="5"/>
  <c r="Q58" i="5"/>
  <c r="P58" i="5"/>
  <c r="O58" i="5"/>
  <c r="J58" i="5"/>
  <c r="I58" i="5"/>
  <c r="H58" i="5"/>
  <c r="T57" i="5"/>
  <c r="S57" i="5"/>
  <c r="R57" i="5"/>
  <c r="Q57" i="5"/>
  <c r="P57" i="5"/>
  <c r="O57" i="5"/>
  <c r="J57" i="5"/>
  <c r="I57" i="5"/>
  <c r="H57" i="5"/>
  <c r="T56" i="5"/>
  <c r="S56" i="5"/>
  <c r="R56" i="5"/>
  <c r="Q56" i="5"/>
  <c r="P56" i="5"/>
  <c r="O56" i="5"/>
  <c r="I56" i="5"/>
  <c r="J56" i="5" s="1"/>
  <c r="H56" i="5"/>
  <c r="T55" i="5"/>
  <c r="S55" i="5"/>
  <c r="R55" i="5"/>
  <c r="Q55" i="5"/>
  <c r="P55" i="5"/>
  <c r="O55" i="5"/>
  <c r="I55" i="5"/>
  <c r="J55" i="5" s="1"/>
  <c r="H55" i="5"/>
  <c r="T54" i="5"/>
  <c r="S54" i="5"/>
  <c r="R54" i="5"/>
  <c r="Q54" i="5"/>
  <c r="P54" i="5"/>
  <c r="O54" i="5"/>
  <c r="J54" i="5"/>
  <c r="I54" i="5"/>
  <c r="H54" i="5"/>
  <c r="T53" i="5"/>
  <c r="S53" i="5"/>
  <c r="R53" i="5"/>
  <c r="Q53" i="5"/>
  <c r="P53" i="5"/>
  <c r="O53" i="5"/>
  <c r="I53" i="5"/>
  <c r="H53" i="5"/>
  <c r="J53" i="5" s="1"/>
  <c r="T52" i="5"/>
  <c r="S52" i="5"/>
  <c r="R52" i="5"/>
  <c r="Q52" i="5"/>
  <c r="P52" i="5"/>
  <c r="O52" i="5"/>
  <c r="I52" i="5"/>
  <c r="J52" i="5" s="1"/>
  <c r="H52" i="5"/>
  <c r="T51" i="5"/>
  <c r="S51" i="5"/>
  <c r="R51" i="5"/>
  <c r="Q51" i="5"/>
  <c r="P51" i="5"/>
  <c r="O51" i="5"/>
  <c r="I51" i="5"/>
  <c r="J51" i="5" s="1"/>
  <c r="H51" i="5"/>
  <c r="T50" i="5"/>
  <c r="S50" i="5"/>
  <c r="R50" i="5"/>
  <c r="Q50" i="5"/>
  <c r="P50" i="5"/>
  <c r="O50" i="5"/>
  <c r="J50" i="5"/>
  <c r="I50" i="5"/>
  <c r="H50" i="5"/>
  <c r="T49" i="5"/>
  <c r="S49" i="5"/>
  <c r="S66" i="5" s="1"/>
  <c r="R49" i="5"/>
  <c r="Q49" i="5"/>
  <c r="P49" i="5"/>
  <c r="O49" i="5"/>
  <c r="I49" i="5"/>
  <c r="H49" i="5"/>
  <c r="J49" i="5" s="1"/>
  <c r="X48" i="5"/>
  <c r="P48" i="5"/>
  <c r="O48" i="5"/>
  <c r="N48" i="5"/>
  <c r="M48" i="5"/>
  <c r="T48" i="5" s="1"/>
  <c r="L48" i="5"/>
  <c r="K48" i="5"/>
  <c r="G48" i="5"/>
  <c r="F48" i="5"/>
  <c r="V48" i="5" s="1"/>
  <c r="D48" i="5"/>
  <c r="W48" i="5" s="1"/>
  <c r="A48" i="5"/>
  <c r="T47" i="5"/>
  <c r="S47" i="5"/>
  <c r="R47" i="5"/>
  <c r="Q47" i="5"/>
  <c r="P47" i="5"/>
  <c r="O47" i="5"/>
  <c r="I47" i="5"/>
  <c r="J47" i="5" s="1"/>
  <c r="H47" i="5"/>
  <c r="A47" i="5"/>
  <c r="T46" i="5"/>
  <c r="S46" i="5"/>
  <c r="R46" i="5"/>
  <c r="Q46" i="5"/>
  <c r="P46" i="5"/>
  <c r="O46" i="5"/>
  <c r="J46" i="5"/>
  <c r="I46" i="5"/>
  <c r="H46" i="5"/>
  <c r="T45" i="5"/>
  <c r="S45" i="5"/>
  <c r="R45" i="5"/>
  <c r="Q45" i="5"/>
  <c r="P45" i="5"/>
  <c r="O45" i="5"/>
  <c r="I45" i="5"/>
  <c r="J45" i="5" s="1"/>
  <c r="H45" i="5"/>
  <c r="T44" i="5"/>
  <c r="S44" i="5"/>
  <c r="R44" i="5"/>
  <c r="Q44" i="5"/>
  <c r="P44" i="5"/>
  <c r="O44" i="5"/>
  <c r="I44" i="5"/>
  <c r="H44" i="5"/>
  <c r="T43" i="5"/>
  <c r="S43" i="5"/>
  <c r="R43" i="5"/>
  <c r="Q43" i="5"/>
  <c r="P43" i="5"/>
  <c r="O43" i="5"/>
  <c r="I43" i="5"/>
  <c r="H43" i="5"/>
  <c r="J43" i="5" s="1"/>
  <c r="T42" i="5"/>
  <c r="S42" i="5"/>
  <c r="R42" i="5"/>
  <c r="Q42" i="5"/>
  <c r="P42" i="5"/>
  <c r="O42" i="5"/>
  <c r="J42" i="5"/>
  <c r="I42" i="5"/>
  <c r="H42" i="5"/>
  <c r="T41" i="5"/>
  <c r="S41" i="5"/>
  <c r="R41" i="5"/>
  <c r="Q41" i="5"/>
  <c r="P41" i="5"/>
  <c r="O41" i="5"/>
  <c r="I41" i="5"/>
  <c r="J41" i="5" s="1"/>
  <c r="H41" i="5"/>
  <c r="T40" i="5"/>
  <c r="S40" i="5"/>
  <c r="R40" i="5"/>
  <c r="Q40" i="5"/>
  <c r="P40" i="5"/>
  <c r="O40" i="5"/>
  <c r="I40" i="5"/>
  <c r="H40" i="5"/>
  <c r="T39" i="5"/>
  <c r="S39" i="5"/>
  <c r="R39" i="5"/>
  <c r="Q39" i="5"/>
  <c r="P39" i="5"/>
  <c r="O39" i="5"/>
  <c r="I39" i="5"/>
  <c r="H39" i="5"/>
  <c r="J39" i="5" s="1"/>
  <c r="T38" i="5"/>
  <c r="S38" i="5"/>
  <c r="R38" i="5"/>
  <c r="Q38" i="5"/>
  <c r="P38" i="5"/>
  <c r="O38" i="5"/>
  <c r="J38" i="5"/>
  <c r="I38" i="5"/>
  <c r="H38" i="5"/>
  <c r="T37" i="5"/>
  <c r="S37" i="5"/>
  <c r="R37" i="5"/>
  <c r="Q37" i="5"/>
  <c r="P37" i="5"/>
  <c r="O37" i="5"/>
  <c r="I37" i="5"/>
  <c r="H37" i="5"/>
  <c r="T36" i="5"/>
  <c r="S36" i="5"/>
  <c r="R36" i="5"/>
  <c r="Q36" i="5"/>
  <c r="P36" i="5"/>
  <c r="O36" i="5"/>
  <c r="I36" i="5"/>
  <c r="H36" i="5"/>
  <c r="T35" i="5"/>
  <c r="S35" i="5"/>
  <c r="R35" i="5"/>
  <c r="Q35" i="5"/>
  <c r="P35" i="5"/>
  <c r="O35" i="5"/>
  <c r="I35" i="5"/>
  <c r="H35" i="5"/>
  <c r="J35" i="5" s="1"/>
  <c r="T34" i="5"/>
  <c r="S34" i="5"/>
  <c r="R34" i="5"/>
  <c r="Q34" i="5"/>
  <c r="P34" i="5"/>
  <c r="O34" i="5"/>
  <c r="J34" i="5"/>
  <c r="I34" i="5"/>
  <c r="H34" i="5"/>
  <c r="T33" i="5"/>
  <c r="S33" i="5"/>
  <c r="R33" i="5"/>
  <c r="Q33" i="5"/>
  <c r="P33" i="5"/>
  <c r="O33" i="5"/>
  <c r="I33" i="5"/>
  <c r="J33" i="5" s="1"/>
  <c r="H33" i="5"/>
  <c r="T32" i="5"/>
  <c r="S32" i="5"/>
  <c r="R32" i="5"/>
  <c r="Q32" i="5"/>
  <c r="P32" i="5"/>
  <c r="O32" i="5"/>
  <c r="I32" i="5"/>
  <c r="H32" i="5"/>
  <c r="T31" i="5"/>
  <c r="S31" i="5"/>
  <c r="S48" i="5" s="1"/>
  <c r="R31" i="5"/>
  <c r="Q31" i="5"/>
  <c r="P31" i="5"/>
  <c r="O31" i="5"/>
  <c r="I31" i="5"/>
  <c r="H31" i="5"/>
  <c r="J31" i="5" s="1"/>
  <c r="X30" i="5"/>
  <c r="W30" i="5"/>
  <c r="V30" i="5"/>
  <c r="T30" i="5"/>
  <c r="R30" i="5"/>
  <c r="N30" i="5"/>
  <c r="P30" i="5" s="1"/>
  <c r="M30" i="5"/>
  <c r="L30" i="5"/>
  <c r="K30" i="5"/>
  <c r="G30" i="5"/>
  <c r="H30" i="5" s="1"/>
  <c r="F30" i="5"/>
  <c r="D30" i="5"/>
  <c r="U30" i="5" s="1"/>
  <c r="A30" i="5"/>
  <c r="T29" i="5"/>
  <c r="S29" i="5"/>
  <c r="R29" i="5"/>
  <c r="Q29" i="5"/>
  <c r="P29" i="5"/>
  <c r="O29" i="5"/>
  <c r="I29" i="5"/>
  <c r="H29" i="5"/>
  <c r="A29" i="5"/>
  <c r="T28" i="5"/>
  <c r="S28" i="5"/>
  <c r="R28" i="5"/>
  <c r="Q28" i="5"/>
  <c r="P28" i="5"/>
  <c r="O28" i="5"/>
  <c r="J28" i="5"/>
  <c r="I28" i="5"/>
  <c r="H28" i="5"/>
  <c r="T27" i="5"/>
  <c r="S27" i="5"/>
  <c r="R27" i="5"/>
  <c r="Q27" i="5"/>
  <c r="P27" i="5"/>
  <c r="O27" i="5"/>
  <c r="I27" i="5"/>
  <c r="J27" i="5" s="1"/>
  <c r="H27" i="5"/>
  <c r="T26" i="5"/>
  <c r="S26" i="5"/>
  <c r="R26" i="5"/>
  <c r="Q26" i="5"/>
  <c r="P26" i="5"/>
  <c r="O26" i="5"/>
  <c r="I26" i="5"/>
  <c r="J26" i="5" s="1"/>
  <c r="H26" i="5"/>
  <c r="T25" i="5"/>
  <c r="S25" i="5"/>
  <c r="R25" i="5"/>
  <c r="Q25" i="5"/>
  <c r="P25" i="5"/>
  <c r="O25" i="5"/>
  <c r="I25" i="5"/>
  <c r="J25" i="5" s="1"/>
  <c r="H25" i="5"/>
  <c r="T24" i="5"/>
  <c r="S24" i="5"/>
  <c r="R24" i="5"/>
  <c r="Q24" i="5"/>
  <c r="P24" i="5"/>
  <c r="O24" i="5"/>
  <c r="I24" i="5"/>
  <c r="J24" i="5" s="1"/>
  <c r="H24" i="5"/>
  <c r="T23" i="5"/>
  <c r="S23" i="5"/>
  <c r="R23" i="5"/>
  <c r="Q23" i="5"/>
  <c r="P23" i="5"/>
  <c r="O23" i="5"/>
  <c r="I23" i="5"/>
  <c r="J23" i="5" s="1"/>
  <c r="H23" i="5"/>
  <c r="T22" i="5"/>
  <c r="S22" i="5"/>
  <c r="R22" i="5"/>
  <c r="Q22" i="5"/>
  <c r="P22" i="5"/>
  <c r="O22" i="5"/>
  <c r="I22" i="5"/>
  <c r="J22" i="5" s="1"/>
  <c r="H22" i="5"/>
  <c r="T21" i="5"/>
  <c r="S21" i="5"/>
  <c r="R21" i="5"/>
  <c r="Q21" i="5"/>
  <c r="P21" i="5"/>
  <c r="O21" i="5"/>
  <c r="J21" i="5"/>
  <c r="I21" i="5"/>
  <c r="H21" i="5"/>
  <c r="T20" i="5"/>
  <c r="S20" i="5"/>
  <c r="R20" i="5"/>
  <c r="Q20" i="5"/>
  <c r="P20" i="5"/>
  <c r="O20" i="5"/>
  <c r="J20" i="5"/>
  <c r="I20" i="5"/>
  <c r="H20" i="5"/>
  <c r="T19" i="5"/>
  <c r="S19" i="5"/>
  <c r="R19" i="5"/>
  <c r="Q19" i="5"/>
  <c r="P19" i="5"/>
  <c r="O19" i="5"/>
  <c r="I19" i="5"/>
  <c r="J19" i="5" s="1"/>
  <c r="H19" i="5"/>
  <c r="T18" i="5"/>
  <c r="S18" i="5"/>
  <c r="R18" i="5"/>
  <c r="Q18" i="5"/>
  <c r="P18" i="5"/>
  <c r="O18" i="5"/>
  <c r="I18" i="5"/>
  <c r="J18" i="5" s="1"/>
  <c r="H18" i="5"/>
  <c r="T17" i="5"/>
  <c r="S17" i="5"/>
  <c r="R17" i="5"/>
  <c r="Q17" i="5"/>
  <c r="P17" i="5"/>
  <c r="O17" i="5"/>
  <c r="I17" i="5"/>
  <c r="J17" i="5" s="1"/>
  <c r="H17" i="5"/>
  <c r="T16" i="5"/>
  <c r="S16" i="5"/>
  <c r="R16" i="5"/>
  <c r="Q16" i="5"/>
  <c r="P16" i="5"/>
  <c r="O16" i="5"/>
  <c r="I16" i="5"/>
  <c r="J16" i="5" s="1"/>
  <c r="H16" i="5"/>
  <c r="T15" i="5"/>
  <c r="S15" i="5"/>
  <c r="R15" i="5"/>
  <c r="Q15" i="5"/>
  <c r="P15" i="5"/>
  <c r="O15" i="5"/>
  <c r="I15" i="5"/>
  <c r="J15" i="5" s="1"/>
  <c r="H15" i="5"/>
  <c r="T14" i="5"/>
  <c r="S14" i="5"/>
  <c r="R14" i="5"/>
  <c r="Q14" i="5"/>
  <c r="P14" i="5"/>
  <c r="O14" i="5"/>
  <c r="I14" i="5"/>
  <c r="J14" i="5" s="1"/>
  <c r="H14" i="5"/>
  <c r="T13" i="5"/>
  <c r="S13" i="5"/>
  <c r="R13" i="5"/>
  <c r="Q13" i="5"/>
  <c r="P13" i="5"/>
  <c r="O13" i="5"/>
  <c r="J13" i="5"/>
  <c r="I13" i="5"/>
  <c r="H13" i="5"/>
  <c r="G8" i="5"/>
  <c r="G9" i="5" s="1"/>
  <c r="C8" i="5"/>
  <c r="C9" i="5" s="1"/>
  <c r="L4" i="5"/>
  <c r="L5" i="5" s="1"/>
  <c r="G4" i="5"/>
  <c r="G5" i="5" s="1"/>
  <c r="C4" i="5"/>
  <c r="C5" i="5" s="1"/>
  <c r="Z2" i="5"/>
  <c r="Y2" i="5"/>
  <c r="W154" i="4"/>
  <c r="U154" i="4"/>
  <c r="S154" i="4"/>
  <c r="P154" i="4"/>
  <c r="O154" i="4"/>
  <c r="N154" i="4"/>
  <c r="M154" i="4"/>
  <c r="Q154" i="4" s="1"/>
  <c r="L154" i="4"/>
  <c r="K154" i="4"/>
  <c r="J154" i="4"/>
  <c r="F154" i="4"/>
  <c r="G154" i="4" s="1"/>
  <c r="E154" i="4"/>
  <c r="D154" i="4"/>
  <c r="A154" i="4"/>
  <c r="S153" i="4"/>
  <c r="R153" i="4"/>
  <c r="Q153" i="4"/>
  <c r="P153" i="4"/>
  <c r="O153" i="4"/>
  <c r="N153" i="4"/>
  <c r="H153" i="4"/>
  <c r="I153" i="4" s="1"/>
  <c r="G153" i="4"/>
  <c r="A153" i="4"/>
  <c r="S152" i="4"/>
  <c r="R152" i="4"/>
  <c r="Q152" i="4"/>
  <c r="P152" i="4"/>
  <c r="O152" i="4"/>
  <c r="N152" i="4"/>
  <c r="H152" i="4"/>
  <c r="I152" i="4" s="1"/>
  <c r="G152" i="4"/>
  <c r="S151" i="4"/>
  <c r="R151" i="4"/>
  <c r="Q151" i="4"/>
  <c r="P151" i="4"/>
  <c r="O151" i="4"/>
  <c r="N151" i="4"/>
  <c r="H151" i="4"/>
  <c r="I151" i="4" s="1"/>
  <c r="G151" i="4"/>
  <c r="S150" i="4"/>
  <c r="R150" i="4"/>
  <c r="Q150" i="4"/>
  <c r="P150" i="4"/>
  <c r="O150" i="4"/>
  <c r="N150" i="4"/>
  <c r="H150" i="4"/>
  <c r="I150" i="4" s="1"/>
  <c r="G150" i="4"/>
  <c r="S149" i="4"/>
  <c r="R149" i="4"/>
  <c r="Q149" i="4"/>
  <c r="P149" i="4"/>
  <c r="O149" i="4"/>
  <c r="N149" i="4"/>
  <c r="H149" i="4"/>
  <c r="I149" i="4" s="1"/>
  <c r="G149" i="4"/>
  <c r="S148" i="4"/>
  <c r="R148" i="4"/>
  <c r="R154" i="4" s="1"/>
  <c r="Q148" i="4"/>
  <c r="P148" i="4"/>
  <c r="O148" i="4"/>
  <c r="N148" i="4"/>
  <c r="H148" i="4"/>
  <c r="I148" i="4" s="1"/>
  <c r="G148" i="4"/>
  <c r="S147" i="4"/>
  <c r="R147" i="4"/>
  <c r="Q147" i="4"/>
  <c r="P147" i="4"/>
  <c r="O147" i="4"/>
  <c r="N147" i="4"/>
  <c r="H147" i="4"/>
  <c r="I147" i="4" s="1"/>
  <c r="G147" i="4"/>
  <c r="S146" i="4"/>
  <c r="R146" i="4"/>
  <c r="Q146" i="4"/>
  <c r="P146" i="4"/>
  <c r="O146" i="4"/>
  <c r="N146" i="4"/>
  <c r="I146" i="4"/>
  <c r="H146" i="4"/>
  <c r="G146" i="4"/>
  <c r="S145" i="4"/>
  <c r="R145" i="4"/>
  <c r="Q145" i="4"/>
  <c r="P145" i="4"/>
  <c r="O145" i="4"/>
  <c r="N145" i="4"/>
  <c r="H145" i="4"/>
  <c r="I145" i="4" s="1"/>
  <c r="G145" i="4"/>
  <c r="S144" i="4"/>
  <c r="R144" i="4"/>
  <c r="Q144" i="4"/>
  <c r="P144" i="4"/>
  <c r="O144" i="4"/>
  <c r="N144" i="4"/>
  <c r="H144" i="4"/>
  <c r="I144" i="4" s="1"/>
  <c r="G144" i="4"/>
  <c r="S143" i="4"/>
  <c r="R143" i="4"/>
  <c r="Q143" i="4"/>
  <c r="P143" i="4"/>
  <c r="O143" i="4"/>
  <c r="N143" i="4"/>
  <c r="H143" i="4"/>
  <c r="I143" i="4" s="1"/>
  <c r="G143" i="4"/>
  <c r="S142" i="4"/>
  <c r="R142" i="4"/>
  <c r="Q142" i="4"/>
  <c r="P142" i="4"/>
  <c r="O142" i="4"/>
  <c r="N142" i="4"/>
  <c r="H142" i="4"/>
  <c r="I142" i="4" s="1"/>
  <c r="G142" i="4"/>
  <c r="S141" i="4"/>
  <c r="R141" i="4"/>
  <c r="Q141" i="4"/>
  <c r="P141" i="4"/>
  <c r="O141" i="4"/>
  <c r="N141" i="4"/>
  <c r="I141" i="4"/>
  <c r="H141" i="4"/>
  <c r="G141" i="4"/>
  <c r="S140" i="4"/>
  <c r="R140" i="4"/>
  <c r="Q140" i="4"/>
  <c r="P140" i="4"/>
  <c r="O140" i="4"/>
  <c r="N140" i="4"/>
  <c r="H140" i="4"/>
  <c r="I140" i="4" s="1"/>
  <c r="G140" i="4"/>
  <c r="W139" i="4"/>
  <c r="V139" i="4"/>
  <c r="T139" i="4"/>
  <c r="M139" i="4"/>
  <c r="Q139" i="4" s="1"/>
  <c r="L139" i="4"/>
  <c r="K139" i="4"/>
  <c r="J139" i="4"/>
  <c r="H139" i="4"/>
  <c r="G139" i="4"/>
  <c r="F139" i="4"/>
  <c r="E139" i="4"/>
  <c r="U139" i="4" s="1"/>
  <c r="D139" i="4"/>
  <c r="A139" i="4"/>
  <c r="S138" i="4"/>
  <c r="R138" i="4"/>
  <c r="Q138" i="4"/>
  <c r="P138" i="4"/>
  <c r="O138" i="4"/>
  <c r="N138" i="4"/>
  <c r="H138" i="4"/>
  <c r="I138" i="4" s="1"/>
  <c r="G138" i="4"/>
  <c r="A138" i="4"/>
  <c r="S137" i="4"/>
  <c r="R137" i="4"/>
  <c r="Q137" i="4"/>
  <c r="P137" i="4"/>
  <c r="O137" i="4"/>
  <c r="N137" i="4"/>
  <c r="I137" i="4"/>
  <c r="H137" i="4"/>
  <c r="G137" i="4"/>
  <c r="S136" i="4"/>
  <c r="R136" i="4"/>
  <c r="Q136" i="4"/>
  <c r="P136" i="4"/>
  <c r="O136" i="4"/>
  <c r="N136" i="4"/>
  <c r="H136" i="4"/>
  <c r="G136" i="4"/>
  <c r="S135" i="4"/>
  <c r="R135" i="4"/>
  <c r="Q135" i="4"/>
  <c r="P135" i="4"/>
  <c r="O135" i="4"/>
  <c r="N135" i="4"/>
  <c r="H135" i="4"/>
  <c r="I135" i="4" s="1"/>
  <c r="G135" i="4"/>
  <c r="S134" i="4"/>
  <c r="R134" i="4"/>
  <c r="Q134" i="4"/>
  <c r="P134" i="4"/>
  <c r="O134" i="4"/>
  <c r="N134" i="4"/>
  <c r="I134" i="4"/>
  <c r="H134" i="4"/>
  <c r="G134" i="4"/>
  <c r="S133" i="4"/>
  <c r="R133" i="4"/>
  <c r="Q133" i="4"/>
  <c r="P133" i="4"/>
  <c r="O133" i="4"/>
  <c r="N133" i="4"/>
  <c r="H133" i="4"/>
  <c r="G133" i="4"/>
  <c r="I133" i="4" s="1"/>
  <c r="S132" i="4"/>
  <c r="R132" i="4"/>
  <c r="Q132" i="4"/>
  <c r="P132" i="4"/>
  <c r="O132" i="4"/>
  <c r="N132" i="4"/>
  <c r="H132" i="4"/>
  <c r="I132" i="4" s="1"/>
  <c r="G132" i="4"/>
  <c r="S131" i="4"/>
  <c r="R131" i="4"/>
  <c r="Q131" i="4"/>
  <c r="P131" i="4"/>
  <c r="O131" i="4"/>
  <c r="N131" i="4"/>
  <c r="H131" i="4"/>
  <c r="I131" i="4" s="1"/>
  <c r="G131" i="4"/>
  <c r="S130" i="4"/>
  <c r="R130" i="4"/>
  <c r="Q130" i="4"/>
  <c r="P130" i="4"/>
  <c r="O130" i="4"/>
  <c r="N130" i="4"/>
  <c r="I130" i="4"/>
  <c r="H130" i="4"/>
  <c r="G130" i="4"/>
  <c r="S129" i="4"/>
  <c r="R129" i="4"/>
  <c r="Q129" i="4"/>
  <c r="P129" i="4"/>
  <c r="O129" i="4"/>
  <c r="N129" i="4"/>
  <c r="H129" i="4"/>
  <c r="G129" i="4"/>
  <c r="I129" i="4" s="1"/>
  <c r="S128" i="4"/>
  <c r="R128" i="4"/>
  <c r="Q128" i="4"/>
  <c r="P128" i="4"/>
  <c r="O128" i="4"/>
  <c r="N128" i="4"/>
  <c r="H128" i="4"/>
  <c r="G128" i="4"/>
  <c r="S127" i="4"/>
  <c r="R127" i="4"/>
  <c r="Q127" i="4"/>
  <c r="P127" i="4"/>
  <c r="O127" i="4"/>
  <c r="N127" i="4"/>
  <c r="H127" i="4"/>
  <c r="I127" i="4" s="1"/>
  <c r="G127" i="4"/>
  <c r="S126" i="4"/>
  <c r="R126" i="4"/>
  <c r="R139" i="4" s="1"/>
  <c r="Q126" i="4"/>
  <c r="P126" i="4"/>
  <c r="O126" i="4"/>
  <c r="N126" i="4"/>
  <c r="I126" i="4"/>
  <c r="H126" i="4"/>
  <c r="G126" i="4"/>
  <c r="S125" i="4"/>
  <c r="R125" i="4"/>
  <c r="Q125" i="4"/>
  <c r="P125" i="4"/>
  <c r="O125" i="4"/>
  <c r="N125" i="4"/>
  <c r="I125" i="4"/>
  <c r="H125" i="4"/>
  <c r="G125" i="4"/>
  <c r="W124" i="4"/>
  <c r="O124" i="4"/>
  <c r="N124" i="4"/>
  <c r="M124" i="4"/>
  <c r="L124" i="4"/>
  <c r="K124" i="4"/>
  <c r="J124" i="4"/>
  <c r="S124" i="4" s="1"/>
  <c r="F124" i="4"/>
  <c r="E124" i="4"/>
  <c r="U124" i="4" s="1"/>
  <c r="D124" i="4"/>
  <c r="V124" i="4" s="1"/>
  <c r="A124" i="4"/>
  <c r="S123" i="4"/>
  <c r="R123" i="4"/>
  <c r="Q123" i="4"/>
  <c r="P123" i="4"/>
  <c r="O123" i="4"/>
  <c r="N123" i="4"/>
  <c r="H123" i="4"/>
  <c r="I123" i="4" s="1"/>
  <c r="G123" i="4"/>
  <c r="A123" i="4"/>
  <c r="S122" i="4"/>
  <c r="R122" i="4"/>
  <c r="Q122" i="4"/>
  <c r="P122" i="4"/>
  <c r="O122" i="4"/>
  <c r="N122" i="4"/>
  <c r="I122" i="4"/>
  <c r="H122" i="4"/>
  <c r="G122" i="4"/>
  <c r="S121" i="4"/>
  <c r="R121" i="4"/>
  <c r="Q121" i="4"/>
  <c r="P121" i="4"/>
  <c r="O121" i="4"/>
  <c r="N121" i="4"/>
  <c r="H121" i="4"/>
  <c r="I121" i="4" s="1"/>
  <c r="G121" i="4"/>
  <c r="S120" i="4"/>
  <c r="R120" i="4"/>
  <c r="Q120" i="4"/>
  <c r="P120" i="4"/>
  <c r="O120" i="4"/>
  <c r="N120" i="4"/>
  <c r="H120" i="4"/>
  <c r="I120" i="4" s="1"/>
  <c r="G120" i="4"/>
  <c r="S119" i="4"/>
  <c r="R119" i="4"/>
  <c r="Q119" i="4"/>
  <c r="P119" i="4"/>
  <c r="O119" i="4"/>
  <c r="N119" i="4"/>
  <c r="H119" i="4"/>
  <c r="G119" i="4"/>
  <c r="I119" i="4" s="1"/>
  <c r="S118" i="4"/>
  <c r="R118" i="4"/>
  <c r="Q118" i="4"/>
  <c r="P118" i="4"/>
  <c r="O118" i="4"/>
  <c r="N118" i="4"/>
  <c r="I118" i="4"/>
  <c r="H118" i="4"/>
  <c r="G118" i="4"/>
  <c r="S117" i="4"/>
  <c r="R117" i="4"/>
  <c r="Q117" i="4"/>
  <c r="P117" i="4"/>
  <c r="O117" i="4"/>
  <c r="N117" i="4"/>
  <c r="H117" i="4"/>
  <c r="G117" i="4"/>
  <c r="S116" i="4"/>
  <c r="R116" i="4"/>
  <c r="Q116" i="4"/>
  <c r="P116" i="4"/>
  <c r="O116" i="4"/>
  <c r="N116" i="4"/>
  <c r="H116" i="4"/>
  <c r="I116" i="4" s="1"/>
  <c r="G116" i="4"/>
  <c r="S115" i="4"/>
  <c r="R115" i="4"/>
  <c r="Q115" i="4"/>
  <c r="P115" i="4"/>
  <c r="O115" i="4"/>
  <c r="N115" i="4"/>
  <c r="H115" i="4"/>
  <c r="G115" i="4"/>
  <c r="I115" i="4" s="1"/>
  <c r="S114" i="4"/>
  <c r="R114" i="4"/>
  <c r="Q114" i="4"/>
  <c r="P114" i="4"/>
  <c r="O114" i="4"/>
  <c r="N114" i="4"/>
  <c r="I114" i="4"/>
  <c r="H114" i="4"/>
  <c r="G114" i="4"/>
  <c r="S113" i="4"/>
  <c r="R113" i="4"/>
  <c r="Q113" i="4"/>
  <c r="P113" i="4"/>
  <c r="O113" i="4"/>
  <c r="N113" i="4"/>
  <c r="H113" i="4"/>
  <c r="G113" i="4"/>
  <c r="S112" i="4"/>
  <c r="R112" i="4"/>
  <c r="Q112" i="4"/>
  <c r="P112" i="4"/>
  <c r="O112" i="4"/>
  <c r="N112" i="4"/>
  <c r="H112" i="4"/>
  <c r="I112" i="4" s="1"/>
  <c r="G112" i="4"/>
  <c r="S111" i="4"/>
  <c r="R111" i="4"/>
  <c r="Q111" i="4"/>
  <c r="P111" i="4"/>
  <c r="O111" i="4"/>
  <c r="N111" i="4"/>
  <c r="H111" i="4"/>
  <c r="G111" i="4"/>
  <c r="I111" i="4" s="1"/>
  <c r="S110" i="4"/>
  <c r="R110" i="4"/>
  <c r="Q110" i="4"/>
  <c r="P110" i="4"/>
  <c r="O110" i="4"/>
  <c r="N110" i="4"/>
  <c r="I110" i="4"/>
  <c r="H110" i="4"/>
  <c r="G110" i="4"/>
  <c r="W109" i="4"/>
  <c r="U109" i="4"/>
  <c r="T109" i="4"/>
  <c r="S109" i="4"/>
  <c r="O109" i="4"/>
  <c r="N109" i="4"/>
  <c r="M109" i="4"/>
  <c r="L109" i="4"/>
  <c r="K109" i="4"/>
  <c r="J109" i="4"/>
  <c r="H109" i="4"/>
  <c r="G109" i="4"/>
  <c r="F109" i="4"/>
  <c r="E109" i="4"/>
  <c r="D109" i="4"/>
  <c r="V109" i="4" s="1"/>
  <c r="A109" i="4"/>
  <c r="S108" i="4"/>
  <c r="R108" i="4"/>
  <c r="Q108" i="4"/>
  <c r="P108" i="4"/>
  <c r="O108" i="4"/>
  <c r="N108" i="4"/>
  <c r="H108" i="4"/>
  <c r="I108" i="4" s="1"/>
  <c r="G108" i="4"/>
  <c r="A108" i="4"/>
  <c r="S107" i="4"/>
  <c r="R107" i="4"/>
  <c r="Q107" i="4"/>
  <c r="P107" i="4"/>
  <c r="O107" i="4"/>
  <c r="N107" i="4"/>
  <c r="H107" i="4"/>
  <c r="I107" i="4" s="1"/>
  <c r="G107" i="4"/>
  <c r="S106" i="4"/>
  <c r="R106" i="4"/>
  <c r="Q106" i="4"/>
  <c r="P106" i="4"/>
  <c r="O106" i="4"/>
  <c r="N106" i="4"/>
  <c r="H106" i="4"/>
  <c r="I106" i="4" s="1"/>
  <c r="G106" i="4"/>
  <c r="S105" i="4"/>
  <c r="R105" i="4"/>
  <c r="Q105" i="4"/>
  <c r="P105" i="4"/>
  <c r="O105" i="4"/>
  <c r="N105" i="4"/>
  <c r="H105" i="4"/>
  <c r="G105" i="4"/>
  <c r="I105" i="4" s="1"/>
  <c r="S104" i="4"/>
  <c r="R104" i="4"/>
  <c r="Q104" i="4"/>
  <c r="P104" i="4"/>
  <c r="O104" i="4"/>
  <c r="N104" i="4"/>
  <c r="H104" i="4"/>
  <c r="I104" i="4" s="1"/>
  <c r="G104" i="4"/>
  <c r="S103" i="4"/>
  <c r="R103" i="4"/>
  <c r="Q103" i="4"/>
  <c r="P103" i="4"/>
  <c r="O103" i="4"/>
  <c r="N103" i="4"/>
  <c r="H103" i="4"/>
  <c r="G103" i="4"/>
  <c r="S102" i="4"/>
  <c r="R102" i="4"/>
  <c r="Q102" i="4"/>
  <c r="P102" i="4"/>
  <c r="O102" i="4"/>
  <c r="N102" i="4"/>
  <c r="H102" i="4"/>
  <c r="I102" i="4" s="1"/>
  <c r="G102" i="4"/>
  <c r="S101" i="4"/>
  <c r="R101" i="4"/>
  <c r="Q101" i="4"/>
  <c r="P101" i="4"/>
  <c r="O101" i="4"/>
  <c r="N101" i="4"/>
  <c r="I101" i="4"/>
  <c r="H101" i="4"/>
  <c r="G101" i="4"/>
  <c r="S100" i="4"/>
  <c r="R100" i="4"/>
  <c r="Q100" i="4"/>
  <c r="P100" i="4"/>
  <c r="O100" i="4"/>
  <c r="N100" i="4"/>
  <c r="H100" i="4"/>
  <c r="I100" i="4" s="1"/>
  <c r="G100" i="4"/>
  <c r="S99" i="4"/>
  <c r="R99" i="4"/>
  <c r="Q99" i="4"/>
  <c r="P99" i="4"/>
  <c r="O99" i="4"/>
  <c r="N99" i="4"/>
  <c r="H99" i="4"/>
  <c r="I99" i="4" s="1"/>
  <c r="G99" i="4"/>
  <c r="S98" i="4"/>
  <c r="R98" i="4"/>
  <c r="Q98" i="4"/>
  <c r="P98" i="4"/>
  <c r="O98" i="4"/>
  <c r="N98" i="4"/>
  <c r="H98" i="4"/>
  <c r="I98" i="4" s="1"/>
  <c r="G98" i="4"/>
  <c r="S97" i="4"/>
  <c r="R97" i="4"/>
  <c r="Q97" i="4"/>
  <c r="P97" i="4"/>
  <c r="O97" i="4"/>
  <c r="N97" i="4"/>
  <c r="H97" i="4"/>
  <c r="G97" i="4"/>
  <c r="I97" i="4" s="1"/>
  <c r="S96" i="4"/>
  <c r="R96" i="4"/>
  <c r="Q96" i="4"/>
  <c r="P96" i="4"/>
  <c r="O96" i="4"/>
  <c r="N96" i="4"/>
  <c r="I96" i="4"/>
  <c r="H96" i="4"/>
  <c r="G96" i="4"/>
  <c r="S95" i="4"/>
  <c r="R95" i="4"/>
  <c r="Q95" i="4"/>
  <c r="P95" i="4"/>
  <c r="O95" i="4"/>
  <c r="N95" i="4"/>
  <c r="H95" i="4"/>
  <c r="G95" i="4"/>
  <c r="W94" i="4"/>
  <c r="V94" i="4"/>
  <c r="T94" i="4"/>
  <c r="M94" i="4"/>
  <c r="L94" i="4"/>
  <c r="S94" i="4" s="1"/>
  <c r="K94" i="4"/>
  <c r="J94" i="4"/>
  <c r="H94" i="4"/>
  <c r="F94" i="4"/>
  <c r="G94" i="4" s="1"/>
  <c r="E94" i="4"/>
  <c r="U94" i="4" s="1"/>
  <c r="D94" i="4"/>
  <c r="A94" i="4"/>
  <c r="S93" i="4"/>
  <c r="R93" i="4"/>
  <c r="Q93" i="4"/>
  <c r="P93" i="4"/>
  <c r="O93" i="4"/>
  <c r="N93" i="4"/>
  <c r="H93" i="4"/>
  <c r="I93" i="4" s="1"/>
  <c r="G93" i="4"/>
  <c r="A93" i="4"/>
  <c r="S92" i="4"/>
  <c r="R92" i="4"/>
  <c r="Q92" i="4"/>
  <c r="P92" i="4"/>
  <c r="O92" i="4"/>
  <c r="N92" i="4"/>
  <c r="I92" i="4"/>
  <c r="H92" i="4"/>
  <c r="G92" i="4"/>
  <c r="S91" i="4"/>
  <c r="R91" i="4"/>
  <c r="Q91" i="4"/>
  <c r="P91" i="4"/>
  <c r="O91" i="4"/>
  <c r="N91" i="4"/>
  <c r="H91" i="4"/>
  <c r="G91" i="4"/>
  <c r="I91" i="4" s="1"/>
  <c r="S90" i="4"/>
  <c r="R90" i="4"/>
  <c r="Q90" i="4"/>
  <c r="P90" i="4"/>
  <c r="O90" i="4"/>
  <c r="N90" i="4"/>
  <c r="H90" i="4"/>
  <c r="I90" i="4" s="1"/>
  <c r="G90" i="4"/>
  <c r="S89" i="4"/>
  <c r="R89" i="4"/>
  <c r="Q89" i="4"/>
  <c r="P89" i="4"/>
  <c r="O89" i="4"/>
  <c r="N89" i="4"/>
  <c r="H89" i="4"/>
  <c r="I89" i="4" s="1"/>
  <c r="G89" i="4"/>
  <c r="S88" i="4"/>
  <c r="R88" i="4"/>
  <c r="Q88" i="4"/>
  <c r="P88" i="4"/>
  <c r="O88" i="4"/>
  <c r="N88" i="4"/>
  <c r="I88" i="4"/>
  <c r="H88" i="4"/>
  <c r="G88" i="4"/>
  <c r="S87" i="4"/>
  <c r="R87" i="4"/>
  <c r="Q87" i="4"/>
  <c r="P87" i="4"/>
  <c r="O87" i="4"/>
  <c r="N87" i="4"/>
  <c r="H87" i="4"/>
  <c r="I87" i="4" s="1"/>
  <c r="G87" i="4"/>
  <c r="S86" i="4"/>
  <c r="R86" i="4"/>
  <c r="Q86" i="4"/>
  <c r="P86" i="4"/>
  <c r="O86" i="4"/>
  <c r="N86" i="4"/>
  <c r="H86" i="4"/>
  <c r="I86" i="4" s="1"/>
  <c r="G86" i="4"/>
  <c r="S85" i="4"/>
  <c r="R85" i="4"/>
  <c r="R94" i="4" s="1"/>
  <c r="Q85" i="4"/>
  <c r="P85" i="4"/>
  <c r="O85" i="4"/>
  <c r="N85" i="4"/>
  <c r="I85" i="4"/>
  <c r="H85" i="4"/>
  <c r="G85" i="4"/>
  <c r="S84" i="4"/>
  <c r="R84" i="4"/>
  <c r="Q84" i="4"/>
  <c r="P84" i="4"/>
  <c r="O84" i="4"/>
  <c r="N84" i="4"/>
  <c r="H84" i="4"/>
  <c r="G84" i="4"/>
  <c r="I84" i="4" s="1"/>
  <c r="S83" i="4"/>
  <c r="R83" i="4"/>
  <c r="Q83" i="4"/>
  <c r="P83" i="4"/>
  <c r="O83" i="4"/>
  <c r="N83" i="4"/>
  <c r="H83" i="4"/>
  <c r="I83" i="4" s="1"/>
  <c r="G83" i="4"/>
  <c r="S82" i="4"/>
  <c r="R82" i="4"/>
  <c r="Q82" i="4"/>
  <c r="P82" i="4"/>
  <c r="O82" i="4"/>
  <c r="N82" i="4"/>
  <c r="H82" i="4"/>
  <c r="I82" i="4" s="1"/>
  <c r="G82" i="4"/>
  <c r="S81" i="4"/>
  <c r="R81" i="4"/>
  <c r="Q81" i="4"/>
  <c r="P81" i="4"/>
  <c r="O81" i="4"/>
  <c r="N81" i="4"/>
  <c r="I81" i="4"/>
  <c r="H81" i="4"/>
  <c r="G81" i="4"/>
  <c r="S80" i="4"/>
  <c r="R80" i="4"/>
  <c r="Q80" i="4"/>
  <c r="P80" i="4"/>
  <c r="O80" i="4"/>
  <c r="N80" i="4"/>
  <c r="H80" i="4"/>
  <c r="G80" i="4"/>
  <c r="I80" i="4" s="1"/>
  <c r="W79" i="4"/>
  <c r="M79" i="4"/>
  <c r="L79" i="4"/>
  <c r="K79" i="4"/>
  <c r="J79" i="4"/>
  <c r="F79" i="4"/>
  <c r="E79" i="4"/>
  <c r="D79" i="4"/>
  <c r="A79" i="4"/>
  <c r="S78" i="4"/>
  <c r="R78" i="4"/>
  <c r="Q78" i="4"/>
  <c r="P78" i="4"/>
  <c r="O78" i="4"/>
  <c r="N78" i="4"/>
  <c r="H78" i="4"/>
  <c r="I78" i="4" s="1"/>
  <c r="G78" i="4"/>
  <c r="A78" i="4"/>
  <c r="S77" i="4"/>
  <c r="R77" i="4"/>
  <c r="Q77" i="4"/>
  <c r="P77" i="4"/>
  <c r="O77" i="4"/>
  <c r="N77" i="4"/>
  <c r="I77" i="4"/>
  <c r="H77" i="4"/>
  <c r="G77" i="4"/>
  <c r="S76" i="4"/>
  <c r="R76" i="4"/>
  <c r="Q76" i="4"/>
  <c r="P76" i="4"/>
  <c r="O76" i="4"/>
  <c r="N76" i="4"/>
  <c r="H76" i="4"/>
  <c r="G76" i="4"/>
  <c r="S75" i="4"/>
  <c r="R75" i="4"/>
  <c r="Q75" i="4"/>
  <c r="P75" i="4"/>
  <c r="O75" i="4"/>
  <c r="N75" i="4"/>
  <c r="H75" i="4"/>
  <c r="I75" i="4" s="1"/>
  <c r="G75" i="4"/>
  <c r="S74" i="4"/>
  <c r="R74" i="4"/>
  <c r="Q74" i="4"/>
  <c r="P74" i="4"/>
  <c r="O74" i="4"/>
  <c r="N74" i="4"/>
  <c r="H74" i="4"/>
  <c r="G74" i="4"/>
  <c r="I74" i="4" s="1"/>
  <c r="S73" i="4"/>
  <c r="R73" i="4"/>
  <c r="Q73" i="4"/>
  <c r="P73" i="4"/>
  <c r="O73" i="4"/>
  <c r="N73" i="4"/>
  <c r="I73" i="4"/>
  <c r="H73" i="4"/>
  <c r="G73" i="4"/>
  <c r="S72" i="4"/>
  <c r="R72" i="4"/>
  <c r="Q72" i="4"/>
  <c r="P72" i="4"/>
  <c r="O72" i="4"/>
  <c r="N72" i="4"/>
  <c r="H72" i="4"/>
  <c r="I72" i="4" s="1"/>
  <c r="G72" i="4"/>
  <c r="S71" i="4"/>
  <c r="R71" i="4"/>
  <c r="Q71" i="4"/>
  <c r="P71" i="4"/>
  <c r="O71" i="4"/>
  <c r="N71" i="4"/>
  <c r="H71" i="4"/>
  <c r="I71" i="4" s="1"/>
  <c r="G71" i="4"/>
  <c r="S70" i="4"/>
  <c r="R70" i="4"/>
  <c r="Q70" i="4"/>
  <c r="P70" i="4"/>
  <c r="O70" i="4"/>
  <c r="N70" i="4"/>
  <c r="H70" i="4"/>
  <c r="G70" i="4"/>
  <c r="I70" i="4" s="1"/>
  <c r="S69" i="4"/>
  <c r="R69" i="4"/>
  <c r="Q69" i="4"/>
  <c r="P69" i="4"/>
  <c r="O69" i="4"/>
  <c r="N69" i="4"/>
  <c r="I69" i="4"/>
  <c r="H69" i="4"/>
  <c r="G69" i="4"/>
  <c r="S68" i="4"/>
  <c r="R68" i="4"/>
  <c r="Q68" i="4"/>
  <c r="P68" i="4"/>
  <c r="O68" i="4"/>
  <c r="N68" i="4"/>
  <c r="H68" i="4"/>
  <c r="G68" i="4"/>
  <c r="S67" i="4"/>
  <c r="R67" i="4"/>
  <c r="Q67" i="4"/>
  <c r="P67" i="4"/>
  <c r="O67" i="4"/>
  <c r="N67" i="4"/>
  <c r="H67" i="4"/>
  <c r="G67" i="4"/>
  <c r="I67" i="4" s="1"/>
  <c r="S66" i="4"/>
  <c r="R66" i="4"/>
  <c r="Q66" i="4"/>
  <c r="P66" i="4"/>
  <c r="O66" i="4"/>
  <c r="N66" i="4"/>
  <c r="H66" i="4"/>
  <c r="G66" i="4"/>
  <c r="I66" i="4" s="1"/>
  <c r="S65" i="4"/>
  <c r="R65" i="4"/>
  <c r="Q65" i="4"/>
  <c r="P65" i="4"/>
  <c r="O65" i="4"/>
  <c r="N65" i="4"/>
  <c r="I65" i="4"/>
  <c r="H65" i="4"/>
  <c r="G65" i="4"/>
  <c r="W64" i="4"/>
  <c r="U64" i="4"/>
  <c r="T64" i="4"/>
  <c r="S64" i="4"/>
  <c r="O64" i="4"/>
  <c r="N64" i="4"/>
  <c r="M64" i="4"/>
  <c r="L64" i="4"/>
  <c r="K64" i="4"/>
  <c r="J64" i="4"/>
  <c r="H64" i="4"/>
  <c r="I64" i="4" s="1"/>
  <c r="F64" i="4"/>
  <c r="G64" i="4" s="1"/>
  <c r="E64" i="4"/>
  <c r="D64" i="4"/>
  <c r="V64" i="4" s="1"/>
  <c r="A64" i="4"/>
  <c r="S63" i="4"/>
  <c r="R63" i="4"/>
  <c r="Q63" i="4"/>
  <c r="P63" i="4"/>
  <c r="O63" i="4"/>
  <c r="N63" i="4"/>
  <c r="H63" i="4"/>
  <c r="I63" i="4" s="1"/>
  <c r="G63" i="4"/>
  <c r="A63" i="4"/>
  <c r="S62" i="4"/>
  <c r="R62" i="4"/>
  <c r="Q62" i="4"/>
  <c r="P62" i="4"/>
  <c r="O62" i="4"/>
  <c r="N62" i="4"/>
  <c r="S61" i="4"/>
  <c r="R61" i="4"/>
  <c r="Q61" i="4"/>
  <c r="P61" i="4"/>
  <c r="O61" i="4"/>
  <c r="N61" i="4"/>
  <c r="H61" i="4"/>
  <c r="G61" i="4"/>
  <c r="S60" i="4"/>
  <c r="R60" i="4"/>
  <c r="Q60" i="4"/>
  <c r="P60" i="4"/>
  <c r="O60" i="4"/>
  <c r="N60" i="4"/>
  <c r="H60" i="4"/>
  <c r="I60" i="4" s="1"/>
  <c r="G60" i="4"/>
  <c r="S59" i="4"/>
  <c r="R59" i="4"/>
  <c r="Q59" i="4"/>
  <c r="P59" i="4"/>
  <c r="O59" i="4"/>
  <c r="N59" i="4"/>
  <c r="H59" i="4"/>
  <c r="I59" i="4" s="1"/>
  <c r="G59" i="4"/>
  <c r="S58" i="4"/>
  <c r="R58" i="4"/>
  <c r="Q58" i="4"/>
  <c r="P58" i="4"/>
  <c r="O58" i="4"/>
  <c r="N58" i="4"/>
  <c r="H58" i="4"/>
  <c r="I58" i="4" s="1"/>
  <c r="G58" i="4"/>
  <c r="S57" i="4"/>
  <c r="R57" i="4"/>
  <c r="Q57" i="4"/>
  <c r="P57" i="4"/>
  <c r="O57" i="4"/>
  <c r="N57" i="4"/>
  <c r="I57" i="4"/>
  <c r="H57" i="4"/>
  <c r="G57" i="4"/>
  <c r="S56" i="4"/>
  <c r="R56" i="4"/>
  <c r="Q56" i="4"/>
  <c r="P56" i="4"/>
  <c r="O56" i="4"/>
  <c r="N56" i="4"/>
  <c r="H56" i="4"/>
  <c r="I56" i="4" s="1"/>
  <c r="G56" i="4"/>
  <c r="S55" i="4"/>
  <c r="R55" i="4"/>
  <c r="Q55" i="4"/>
  <c r="P55" i="4"/>
  <c r="O55" i="4"/>
  <c r="N55" i="4"/>
  <c r="H55" i="4"/>
  <c r="I55" i="4" s="1"/>
  <c r="G55" i="4"/>
  <c r="S54" i="4"/>
  <c r="R54" i="4"/>
  <c r="Q54" i="4"/>
  <c r="P54" i="4"/>
  <c r="O54" i="4"/>
  <c r="N54" i="4"/>
  <c r="H54" i="4"/>
  <c r="I54" i="4" s="1"/>
  <c r="G54" i="4"/>
  <c r="S53" i="4"/>
  <c r="R53" i="4"/>
  <c r="Q53" i="4"/>
  <c r="P53" i="4"/>
  <c r="O53" i="4"/>
  <c r="N53" i="4"/>
  <c r="H53" i="4"/>
  <c r="I53" i="4" s="1"/>
  <c r="G53" i="4"/>
  <c r="S52" i="4"/>
  <c r="R52" i="4"/>
  <c r="Q52" i="4"/>
  <c r="P52" i="4"/>
  <c r="O52" i="4"/>
  <c r="N52" i="4"/>
  <c r="I52" i="4"/>
  <c r="H52" i="4"/>
  <c r="G52" i="4"/>
  <c r="W51" i="4"/>
  <c r="U51" i="4"/>
  <c r="M51" i="4"/>
  <c r="L51" i="4"/>
  <c r="K51" i="4"/>
  <c r="J51" i="4"/>
  <c r="F51" i="4"/>
  <c r="G51" i="4" s="1"/>
  <c r="E51" i="4"/>
  <c r="D51" i="4"/>
  <c r="A51" i="4"/>
  <c r="S50" i="4"/>
  <c r="R50" i="4"/>
  <c r="Q50" i="4"/>
  <c r="P50" i="4"/>
  <c r="O50" i="4"/>
  <c r="N50" i="4"/>
  <c r="H50" i="4"/>
  <c r="I50" i="4" s="1"/>
  <c r="G50" i="4"/>
  <c r="A50" i="4"/>
  <c r="S49" i="4"/>
  <c r="R49" i="4"/>
  <c r="Q49" i="4"/>
  <c r="P49" i="4"/>
  <c r="O49" i="4"/>
  <c r="N49" i="4"/>
  <c r="S48" i="4"/>
  <c r="R48" i="4"/>
  <c r="Q48" i="4"/>
  <c r="P48" i="4"/>
  <c r="O48" i="4"/>
  <c r="N48" i="4"/>
  <c r="H48" i="4"/>
  <c r="I48" i="4" s="1"/>
  <c r="G48" i="4"/>
  <c r="S47" i="4"/>
  <c r="R47" i="4"/>
  <c r="Q47" i="4"/>
  <c r="P47" i="4"/>
  <c r="O47" i="4"/>
  <c r="N47" i="4"/>
  <c r="H47" i="4"/>
  <c r="I47" i="4" s="1"/>
  <c r="G47" i="4"/>
  <c r="S46" i="4"/>
  <c r="R46" i="4"/>
  <c r="Q46" i="4"/>
  <c r="P46" i="4"/>
  <c r="O46" i="4"/>
  <c r="N46" i="4"/>
  <c r="I46" i="4"/>
  <c r="H46" i="4"/>
  <c r="G46" i="4"/>
  <c r="S45" i="4"/>
  <c r="R45" i="4"/>
  <c r="Q45" i="4"/>
  <c r="P45" i="4"/>
  <c r="O45" i="4"/>
  <c r="N45" i="4"/>
  <c r="I45" i="4"/>
  <c r="H45" i="4"/>
  <c r="G45" i="4"/>
  <c r="S44" i="4"/>
  <c r="R44" i="4"/>
  <c r="Q44" i="4"/>
  <c r="P44" i="4"/>
  <c r="O44" i="4"/>
  <c r="N44" i="4"/>
  <c r="H44" i="4"/>
  <c r="I44" i="4" s="1"/>
  <c r="G44" i="4"/>
  <c r="S43" i="4"/>
  <c r="R43" i="4"/>
  <c r="Q43" i="4"/>
  <c r="P43" i="4"/>
  <c r="O43" i="4"/>
  <c r="N43" i="4"/>
  <c r="H43" i="4"/>
  <c r="I43" i="4" s="1"/>
  <c r="G43" i="4"/>
  <c r="S42" i="4"/>
  <c r="R42" i="4"/>
  <c r="Q42" i="4"/>
  <c r="P42" i="4"/>
  <c r="O42" i="4"/>
  <c r="N42" i="4"/>
  <c r="H42" i="4"/>
  <c r="I42" i="4" s="1"/>
  <c r="G42" i="4"/>
  <c r="S41" i="4"/>
  <c r="R41" i="4"/>
  <c r="Q41" i="4"/>
  <c r="P41" i="4"/>
  <c r="O41" i="4"/>
  <c r="N41" i="4"/>
  <c r="I41" i="4"/>
  <c r="H41" i="4"/>
  <c r="G41" i="4"/>
  <c r="S40" i="4"/>
  <c r="R40" i="4"/>
  <c r="R51" i="4" s="1"/>
  <c r="Q40" i="4"/>
  <c r="P40" i="4"/>
  <c r="O40" i="4"/>
  <c r="N40" i="4"/>
  <c r="H40" i="4"/>
  <c r="G40" i="4"/>
  <c r="I40" i="4" s="1"/>
  <c r="S39" i="4"/>
  <c r="R39" i="4"/>
  <c r="Q39" i="4"/>
  <c r="P39" i="4"/>
  <c r="O39" i="4"/>
  <c r="N39" i="4"/>
  <c r="H39" i="4"/>
  <c r="I39" i="4" s="1"/>
  <c r="G39" i="4"/>
  <c r="W38" i="4"/>
  <c r="Q38" i="4"/>
  <c r="M38" i="4"/>
  <c r="O38" i="4" s="1"/>
  <c r="L38" i="4"/>
  <c r="K38" i="4"/>
  <c r="J38" i="4"/>
  <c r="H38" i="4"/>
  <c r="F38" i="4"/>
  <c r="E38" i="4"/>
  <c r="D38" i="4"/>
  <c r="V38" i="4" s="1"/>
  <c r="A38" i="4"/>
  <c r="S37" i="4"/>
  <c r="R37" i="4"/>
  <c r="Q37" i="4"/>
  <c r="P37" i="4"/>
  <c r="O37" i="4"/>
  <c r="N37" i="4"/>
  <c r="I37" i="4"/>
  <c r="H37" i="4"/>
  <c r="G37" i="4"/>
  <c r="A37" i="4"/>
  <c r="S36" i="4"/>
  <c r="R36" i="4"/>
  <c r="Q36" i="4"/>
  <c r="P36" i="4"/>
  <c r="O36" i="4"/>
  <c r="N36" i="4"/>
  <c r="S35" i="4"/>
  <c r="R35" i="4"/>
  <c r="Q35" i="4"/>
  <c r="P35" i="4"/>
  <c r="O35" i="4"/>
  <c r="N35" i="4"/>
  <c r="I35" i="4"/>
  <c r="H35" i="4"/>
  <c r="G35" i="4"/>
  <c r="S34" i="4"/>
  <c r="R34" i="4"/>
  <c r="Q34" i="4"/>
  <c r="P34" i="4"/>
  <c r="O34" i="4"/>
  <c r="N34" i="4"/>
  <c r="H34" i="4"/>
  <c r="I34" i="4" s="1"/>
  <c r="G34" i="4"/>
  <c r="S33" i="4"/>
  <c r="R33" i="4"/>
  <c r="Q33" i="4"/>
  <c r="P33" i="4"/>
  <c r="O33" i="4"/>
  <c r="N33" i="4"/>
  <c r="H33" i="4"/>
  <c r="I33" i="4" s="1"/>
  <c r="G33" i="4"/>
  <c r="S32" i="4"/>
  <c r="R32" i="4"/>
  <c r="Q32" i="4"/>
  <c r="P32" i="4"/>
  <c r="O32" i="4"/>
  <c r="N32" i="4"/>
  <c r="I32" i="4"/>
  <c r="H32" i="4"/>
  <c r="G32" i="4"/>
  <c r="S31" i="4"/>
  <c r="R31" i="4"/>
  <c r="Q31" i="4"/>
  <c r="P31" i="4"/>
  <c r="O31" i="4"/>
  <c r="N31" i="4"/>
  <c r="H31" i="4"/>
  <c r="G31" i="4"/>
  <c r="I31" i="4" s="1"/>
  <c r="S30" i="4"/>
  <c r="R30" i="4"/>
  <c r="Q30" i="4"/>
  <c r="P30" i="4"/>
  <c r="O30" i="4"/>
  <c r="N30" i="4"/>
  <c r="H30" i="4"/>
  <c r="I30" i="4" s="1"/>
  <c r="G30" i="4"/>
  <c r="S29" i="4"/>
  <c r="R29" i="4"/>
  <c r="Q29" i="4"/>
  <c r="P29" i="4"/>
  <c r="O29" i="4"/>
  <c r="N29" i="4"/>
  <c r="H29" i="4"/>
  <c r="G29" i="4"/>
  <c r="S28" i="4"/>
  <c r="R28" i="4"/>
  <c r="Q28" i="4"/>
  <c r="P28" i="4"/>
  <c r="O28" i="4"/>
  <c r="N28" i="4"/>
  <c r="I28" i="4"/>
  <c r="H28" i="4"/>
  <c r="G28" i="4"/>
  <c r="S27" i="4"/>
  <c r="R27" i="4"/>
  <c r="Q27" i="4"/>
  <c r="P27" i="4"/>
  <c r="O27" i="4"/>
  <c r="N27" i="4"/>
  <c r="H27" i="4"/>
  <c r="G27" i="4"/>
  <c r="I27" i="4" s="1"/>
  <c r="S26" i="4"/>
  <c r="R26" i="4"/>
  <c r="Q26" i="4"/>
  <c r="P26" i="4"/>
  <c r="O26" i="4"/>
  <c r="N26" i="4"/>
  <c r="H26" i="4"/>
  <c r="G26" i="4"/>
  <c r="W25" i="4"/>
  <c r="U25" i="4"/>
  <c r="Q25" i="4"/>
  <c r="P25" i="4"/>
  <c r="O25" i="4"/>
  <c r="M25" i="4"/>
  <c r="L25" i="4"/>
  <c r="S25" i="4" s="1"/>
  <c r="K25" i="4"/>
  <c r="J25" i="4"/>
  <c r="H25" i="4"/>
  <c r="F25" i="4"/>
  <c r="E25" i="4"/>
  <c r="D25" i="4"/>
  <c r="V25" i="4" s="1"/>
  <c r="A25" i="4"/>
  <c r="S24" i="4"/>
  <c r="R24" i="4"/>
  <c r="Q24" i="4"/>
  <c r="P24" i="4"/>
  <c r="O24" i="4"/>
  <c r="N24" i="4"/>
  <c r="I24" i="4"/>
  <c r="H24" i="4"/>
  <c r="G24" i="4"/>
  <c r="A24" i="4"/>
  <c r="S23" i="4"/>
  <c r="R23" i="4"/>
  <c r="Q23" i="4"/>
  <c r="P23" i="4"/>
  <c r="O23" i="4"/>
  <c r="N23" i="4"/>
  <c r="S22" i="4"/>
  <c r="R22" i="4"/>
  <c r="Q22" i="4"/>
  <c r="P22" i="4"/>
  <c r="O22" i="4"/>
  <c r="N22" i="4"/>
  <c r="H22" i="4"/>
  <c r="I22" i="4" s="1"/>
  <c r="G22" i="4"/>
  <c r="S21" i="4"/>
  <c r="R21" i="4"/>
  <c r="Q21" i="4"/>
  <c r="P21" i="4"/>
  <c r="O21" i="4"/>
  <c r="N21" i="4"/>
  <c r="H21" i="4"/>
  <c r="I21" i="4" s="1"/>
  <c r="G21" i="4"/>
  <c r="S20" i="4"/>
  <c r="R20" i="4"/>
  <c r="Q20" i="4"/>
  <c r="P20" i="4"/>
  <c r="O20" i="4"/>
  <c r="N20" i="4"/>
  <c r="H20" i="4"/>
  <c r="I20" i="4" s="1"/>
  <c r="G20" i="4"/>
  <c r="S19" i="4"/>
  <c r="R19" i="4"/>
  <c r="Q19" i="4"/>
  <c r="P19" i="4"/>
  <c r="O19" i="4"/>
  <c r="N19" i="4"/>
  <c r="H19" i="4"/>
  <c r="I19" i="4" s="1"/>
  <c r="G19" i="4"/>
  <c r="S18" i="4"/>
  <c r="R18" i="4"/>
  <c r="Q18" i="4"/>
  <c r="P18" i="4"/>
  <c r="O18" i="4"/>
  <c r="N18" i="4"/>
  <c r="I18" i="4"/>
  <c r="H18" i="4"/>
  <c r="G18" i="4"/>
  <c r="S17" i="4"/>
  <c r="R17" i="4"/>
  <c r="Q17" i="4"/>
  <c r="P17" i="4"/>
  <c r="O17" i="4"/>
  <c r="N17" i="4"/>
  <c r="H17" i="4"/>
  <c r="G17" i="4"/>
  <c r="S16" i="4"/>
  <c r="R16" i="4"/>
  <c r="Q16" i="4"/>
  <c r="P16" i="4"/>
  <c r="O16" i="4"/>
  <c r="N16" i="4"/>
  <c r="H16" i="4"/>
  <c r="G16" i="4"/>
  <c r="S15" i="4"/>
  <c r="R15" i="4"/>
  <c r="Q15" i="4"/>
  <c r="P15" i="4"/>
  <c r="O15" i="4"/>
  <c r="N15" i="4"/>
  <c r="H15" i="4"/>
  <c r="I15" i="4" s="1"/>
  <c r="G15" i="4"/>
  <c r="S14" i="4"/>
  <c r="R14" i="4"/>
  <c r="Q14" i="4"/>
  <c r="P14" i="4"/>
  <c r="O14" i="4"/>
  <c r="N14" i="4"/>
  <c r="I14" i="4"/>
  <c r="H14" i="4"/>
  <c r="G14" i="4"/>
  <c r="S13" i="4"/>
  <c r="R13" i="4"/>
  <c r="Q13" i="4"/>
  <c r="P13" i="4"/>
  <c r="O13" i="4"/>
  <c r="N13" i="4"/>
  <c r="I13" i="4"/>
  <c r="H13" i="4"/>
  <c r="G13" i="4"/>
  <c r="N8" i="4"/>
  <c r="N9" i="4" s="1"/>
  <c r="K8" i="4"/>
  <c r="K9" i="4" s="1"/>
  <c r="K5" i="4"/>
  <c r="S4" i="4"/>
  <c r="S5" i="4" s="1"/>
  <c r="N4" i="4"/>
  <c r="N5" i="4" s="1"/>
  <c r="K4" i="4"/>
  <c r="Y2" i="4"/>
  <c r="X2" i="4"/>
  <c r="M838" i="3"/>
  <c r="L838" i="3"/>
  <c r="K838" i="3"/>
  <c r="J838" i="3"/>
  <c r="F838" i="3"/>
  <c r="E838" i="3"/>
  <c r="U838" i="3" s="1"/>
  <c r="D838" i="3"/>
  <c r="T838" i="3" s="1"/>
  <c r="A838" i="3"/>
  <c r="S837" i="3"/>
  <c r="R837" i="3"/>
  <c r="Q837" i="3"/>
  <c r="P837" i="3"/>
  <c r="O837" i="3"/>
  <c r="N837" i="3"/>
  <c r="H837" i="3"/>
  <c r="G837" i="3"/>
  <c r="I837" i="3" s="1"/>
  <c r="A837" i="3"/>
  <c r="S836" i="3"/>
  <c r="R836" i="3"/>
  <c r="Q836" i="3"/>
  <c r="P836" i="3"/>
  <c r="O836" i="3"/>
  <c r="N836" i="3"/>
  <c r="I836" i="3"/>
  <c r="H836" i="3"/>
  <c r="G836" i="3"/>
  <c r="S835" i="3"/>
  <c r="R835" i="3"/>
  <c r="Q835" i="3"/>
  <c r="P835" i="3"/>
  <c r="O835" i="3"/>
  <c r="N835" i="3"/>
  <c r="I835" i="3"/>
  <c r="H835" i="3"/>
  <c r="G835" i="3"/>
  <c r="S834" i="3"/>
  <c r="R834" i="3"/>
  <c r="Q834" i="3"/>
  <c r="P834" i="3"/>
  <c r="O834" i="3"/>
  <c r="N834" i="3"/>
  <c r="I834" i="3"/>
  <c r="H834" i="3"/>
  <c r="G834" i="3"/>
  <c r="S833" i="3"/>
  <c r="R833" i="3"/>
  <c r="Q833" i="3"/>
  <c r="P833" i="3"/>
  <c r="O833" i="3"/>
  <c r="N833" i="3"/>
  <c r="H833" i="3"/>
  <c r="I833" i="3" s="1"/>
  <c r="G833" i="3"/>
  <c r="S832" i="3"/>
  <c r="R832" i="3"/>
  <c r="Q832" i="3"/>
  <c r="P832" i="3"/>
  <c r="O832" i="3"/>
  <c r="N832" i="3"/>
  <c r="H832" i="3"/>
  <c r="I832" i="3" s="1"/>
  <c r="G832" i="3"/>
  <c r="S831" i="3"/>
  <c r="R831" i="3"/>
  <c r="Q831" i="3"/>
  <c r="P831" i="3"/>
  <c r="O831" i="3"/>
  <c r="N831" i="3"/>
  <c r="H831" i="3"/>
  <c r="I831" i="3" s="1"/>
  <c r="G831" i="3"/>
  <c r="S830" i="3"/>
  <c r="R830" i="3"/>
  <c r="Q830" i="3"/>
  <c r="P830" i="3"/>
  <c r="O830" i="3"/>
  <c r="N830" i="3"/>
  <c r="I830" i="3"/>
  <c r="H830" i="3"/>
  <c r="G830" i="3"/>
  <c r="S829" i="3"/>
  <c r="R829" i="3"/>
  <c r="Q829" i="3"/>
  <c r="P829" i="3"/>
  <c r="O829" i="3"/>
  <c r="N829" i="3"/>
  <c r="H829" i="3"/>
  <c r="I829" i="3" s="1"/>
  <c r="G829" i="3"/>
  <c r="S828" i="3"/>
  <c r="R828" i="3"/>
  <c r="Q828" i="3"/>
  <c r="P828" i="3"/>
  <c r="O828" i="3"/>
  <c r="N828" i="3"/>
  <c r="I828" i="3"/>
  <c r="H828" i="3"/>
  <c r="G828" i="3"/>
  <c r="S827" i="3"/>
  <c r="R827" i="3"/>
  <c r="Q827" i="3"/>
  <c r="P827" i="3"/>
  <c r="O827" i="3"/>
  <c r="N827" i="3"/>
  <c r="H827" i="3"/>
  <c r="I827" i="3" s="1"/>
  <c r="G827" i="3"/>
  <c r="S826" i="3"/>
  <c r="R826" i="3"/>
  <c r="Q826" i="3"/>
  <c r="P826" i="3"/>
  <c r="O826" i="3"/>
  <c r="N826" i="3"/>
  <c r="I826" i="3"/>
  <c r="H826" i="3"/>
  <c r="G826" i="3"/>
  <c r="S825" i="3"/>
  <c r="R825" i="3"/>
  <c r="Q825" i="3"/>
  <c r="P825" i="3"/>
  <c r="O825" i="3"/>
  <c r="N825" i="3"/>
  <c r="H825" i="3"/>
  <c r="I825" i="3" s="1"/>
  <c r="G825" i="3"/>
  <c r="S824" i="3"/>
  <c r="R824" i="3"/>
  <c r="Q824" i="3"/>
  <c r="P824" i="3"/>
  <c r="O824" i="3"/>
  <c r="N824" i="3"/>
  <c r="H824" i="3"/>
  <c r="I824" i="3" s="1"/>
  <c r="G824" i="3"/>
  <c r="S823" i="3"/>
  <c r="R823" i="3"/>
  <c r="Q823" i="3"/>
  <c r="P823" i="3"/>
  <c r="O823" i="3"/>
  <c r="N823" i="3"/>
  <c r="H823" i="3"/>
  <c r="I823" i="3" s="1"/>
  <c r="G823" i="3"/>
  <c r="S822" i="3"/>
  <c r="R822" i="3"/>
  <c r="Q822" i="3"/>
  <c r="P822" i="3"/>
  <c r="O822" i="3"/>
  <c r="N822" i="3"/>
  <c r="I822" i="3"/>
  <c r="H822" i="3"/>
  <c r="G822" i="3"/>
  <c r="S821" i="3"/>
  <c r="R821" i="3"/>
  <c r="Q821" i="3"/>
  <c r="P821" i="3"/>
  <c r="O821" i="3"/>
  <c r="N821" i="3"/>
  <c r="H821" i="3"/>
  <c r="I821" i="3" s="1"/>
  <c r="G821" i="3"/>
  <c r="S820" i="3"/>
  <c r="R820" i="3"/>
  <c r="Q820" i="3"/>
  <c r="P820" i="3"/>
  <c r="O820" i="3"/>
  <c r="N820" i="3"/>
  <c r="H820" i="3"/>
  <c r="I820" i="3" s="1"/>
  <c r="G820" i="3"/>
  <c r="O819" i="3"/>
  <c r="N819" i="3"/>
  <c r="M819" i="3"/>
  <c r="L819" i="3"/>
  <c r="S819" i="3" s="1"/>
  <c r="K819" i="3"/>
  <c r="J819" i="3"/>
  <c r="P819" i="3" s="1"/>
  <c r="H819" i="3"/>
  <c r="I819" i="3" s="1"/>
  <c r="F819" i="3"/>
  <c r="G819" i="3" s="1"/>
  <c r="E819" i="3"/>
  <c r="D819" i="3"/>
  <c r="Q819" i="3" s="1"/>
  <c r="A819" i="3"/>
  <c r="S818" i="3"/>
  <c r="R818" i="3"/>
  <c r="Q818" i="3"/>
  <c r="P818" i="3"/>
  <c r="O818" i="3"/>
  <c r="N818" i="3"/>
  <c r="H818" i="3"/>
  <c r="I818" i="3" s="1"/>
  <c r="G818" i="3"/>
  <c r="A818" i="3"/>
  <c r="S817" i="3"/>
  <c r="R817" i="3"/>
  <c r="Q817" i="3"/>
  <c r="P817" i="3"/>
  <c r="O817" i="3"/>
  <c r="N817" i="3"/>
  <c r="H817" i="3"/>
  <c r="G817" i="3"/>
  <c r="I817" i="3" s="1"/>
  <c r="S816" i="3"/>
  <c r="R816" i="3"/>
  <c r="Q816" i="3"/>
  <c r="P816" i="3"/>
  <c r="O816" i="3"/>
  <c r="N816" i="3"/>
  <c r="H816" i="3"/>
  <c r="G816" i="3"/>
  <c r="S815" i="3"/>
  <c r="R815" i="3"/>
  <c r="Q815" i="3"/>
  <c r="P815" i="3"/>
  <c r="O815" i="3"/>
  <c r="N815" i="3"/>
  <c r="H815" i="3"/>
  <c r="I815" i="3" s="1"/>
  <c r="G815" i="3"/>
  <c r="S814" i="3"/>
  <c r="R814" i="3"/>
  <c r="Q814" i="3"/>
  <c r="P814" i="3"/>
  <c r="O814" i="3"/>
  <c r="N814" i="3"/>
  <c r="H814" i="3"/>
  <c r="I814" i="3" s="1"/>
  <c r="G814" i="3"/>
  <c r="S813" i="3"/>
  <c r="R813" i="3"/>
  <c r="Q813" i="3"/>
  <c r="P813" i="3"/>
  <c r="O813" i="3"/>
  <c r="N813" i="3"/>
  <c r="H813" i="3"/>
  <c r="G813" i="3"/>
  <c r="I813" i="3" s="1"/>
  <c r="S812" i="3"/>
  <c r="R812" i="3"/>
  <c r="Q812" i="3"/>
  <c r="P812" i="3"/>
  <c r="O812" i="3"/>
  <c r="N812" i="3"/>
  <c r="H812" i="3"/>
  <c r="I812" i="3" s="1"/>
  <c r="G812" i="3"/>
  <c r="S811" i="3"/>
  <c r="R811" i="3"/>
  <c r="Q811" i="3"/>
  <c r="P811" i="3"/>
  <c r="O811" i="3"/>
  <c r="N811" i="3"/>
  <c r="H811" i="3"/>
  <c r="I811" i="3" s="1"/>
  <c r="G811" i="3"/>
  <c r="S810" i="3"/>
  <c r="R810" i="3"/>
  <c r="Q810" i="3"/>
  <c r="P810" i="3"/>
  <c r="O810" i="3"/>
  <c r="N810" i="3"/>
  <c r="H810" i="3"/>
  <c r="I810" i="3" s="1"/>
  <c r="G810" i="3"/>
  <c r="S809" i="3"/>
  <c r="R809" i="3"/>
  <c r="Q809" i="3"/>
  <c r="P809" i="3"/>
  <c r="O809" i="3"/>
  <c r="N809" i="3"/>
  <c r="H809" i="3"/>
  <c r="G809" i="3"/>
  <c r="I809" i="3" s="1"/>
  <c r="S808" i="3"/>
  <c r="R808" i="3"/>
  <c r="Q808" i="3"/>
  <c r="P808" i="3"/>
  <c r="O808" i="3"/>
  <c r="N808" i="3"/>
  <c r="H808" i="3"/>
  <c r="I808" i="3" s="1"/>
  <c r="G808" i="3"/>
  <c r="S807" i="3"/>
  <c r="R807" i="3"/>
  <c r="Q807" i="3"/>
  <c r="P807" i="3"/>
  <c r="O807" i="3"/>
  <c r="N807" i="3"/>
  <c r="H807" i="3"/>
  <c r="G807" i="3"/>
  <c r="S806" i="3"/>
  <c r="R806" i="3"/>
  <c r="Q806" i="3"/>
  <c r="P806" i="3"/>
  <c r="O806" i="3"/>
  <c r="N806" i="3"/>
  <c r="H806" i="3"/>
  <c r="I806" i="3" s="1"/>
  <c r="G806" i="3"/>
  <c r="S805" i="3"/>
  <c r="R805" i="3"/>
  <c r="Q805" i="3"/>
  <c r="P805" i="3"/>
  <c r="O805" i="3"/>
  <c r="N805" i="3"/>
  <c r="H805" i="3"/>
  <c r="G805" i="3"/>
  <c r="I805" i="3" s="1"/>
  <c r="S804" i="3"/>
  <c r="R804" i="3"/>
  <c r="Q804" i="3"/>
  <c r="P804" i="3"/>
  <c r="O804" i="3"/>
  <c r="N804" i="3"/>
  <c r="H804" i="3"/>
  <c r="G804" i="3"/>
  <c r="S803" i="3"/>
  <c r="R803" i="3"/>
  <c r="Q803" i="3"/>
  <c r="P803" i="3"/>
  <c r="O803" i="3"/>
  <c r="N803" i="3"/>
  <c r="H803" i="3"/>
  <c r="I803" i="3" s="1"/>
  <c r="G803" i="3"/>
  <c r="S802" i="3"/>
  <c r="R802" i="3"/>
  <c r="Q802" i="3"/>
  <c r="P802" i="3"/>
  <c r="O802" i="3"/>
  <c r="N802" i="3"/>
  <c r="H802" i="3"/>
  <c r="I802" i="3" s="1"/>
  <c r="G802" i="3"/>
  <c r="S801" i="3"/>
  <c r="R801" i="3"/>
  <c r="Q801" i="3"/>
  <c r="P801" i="3"/>
  <c r="O801" i="3"/>
  <c r="N801" i="3"/>
  <c r="H801" i="3"/>
  <c r="G801" i="3"/>
  <c r="I801" i="3" s="1"/>
  <c r="P800" i="3"/>
  <c r="N800" i="3"/>
  <c r="M800" i="3"/>
  <c r="O800" i="3" s="1"/>
  <c r="L800" i="3"/>
  <c r="K800" i="3"/>
  <c r="J800" i="3"/>
  <c r="S800" i="3" s="1"/>
  <c r="F800" i="3"/>
  <c r="E800" i="3"/>
  <c r="D800" i="3"/>
  <c r="A800" i="3"/>
  <c r="S799" i="3"/>
  <c r="R799" i="3"/>
  <c r="Q799" i="3"/>
  <c r="P799" i="3"/>
  <c r="O799" i="3"/>
  <c r="N799" i="3"/>
  <c r="I799" i="3"/>
  <c r="H799" i="3"/>
  <c r="G799" i="3"/>
  <c r="A799" i="3"/>
  <c r="S798" i="3"/>
  <c r="R798" i="3"/>
  <c r="Q798" i="3"/>
  <c r="P798" i="3"/>
  <c r="O798" i="3"/>
  <c r="N798" i="3"/>
  <c r="H798" i="3"/>
  <c r="I798" i="3" s="1"/>
  <c r="G798" i="3"/>
  <c r="S797" i="3"/>
  <c r="R797" i="3"/>
  <c r="Q797" i="3"/>
  <c r="P797" i="3"/>
  <c r="O797" i="3"/>
  <c r="N797" i="3"/>
  <c r="I797" i="3"/>
  <c r="H797" i="3"/>
  <c r="G797" i="3"/>
  <c r="S796" i="3"/>
  <c r="R796" i="3"/>
  <c r="Q796" i="3"/>
  <c r="P796" i="3"/>
  <c r="O796" i="3"/>
  <c r="N796" i="3"/>
  <c r="H796" i="3"/>
  <c r="G796" i="3"/>
  <c r="I796" i="3" s="1"/>
  <c r="S795" i="3"/>
  <c r="R795" i="3"/>
  <c r="Q795" i="3"/>
  <c r="P795" i="3"/>
  <c r="O795" i="3"/>
  <c r="N795" i="3"/>
  <c r="H795" i="3"/>
  <c r="G795" i="3"/>
  <c r="I795" i="3" s="1"/>
  <c r="S794" i="3"/>
  <c r="R794" i="3"/>
  <c r="Q794" i="3"/>
  <c r="P794" i="3"/>
  <c r="O794" i="3"/>
  <c r="N794" i="3"/>
  <c r="H794" i="3"/>
  <c r="I794" i="3" s="1"/>
  <c r="G794" i="3"/>
  <c r="S793" i="3"/>
  <c r="R793" i="3"/>
  <c r="Q793" i="3"/>
  <c r="P793" i="3"/>
  <c r="O793" i="3"/>
  <c r="N793" i="3"/>
  <c r="I793" i="3"/>
  <c r="H793" i="3"/>
  <c r="G793" i="3"/>
  <c r="S792" i="3"/>
  <c r="R792" i="3"/>
  <c r="Q792" i="3"/>
  <c r="P792" i="3"/>
  <c r="O792" i="3"/>
  <c r="N792" i="3"/>
  <c r="H792" i="3"/>
  <c r="G792" i="3"/>
  <c r="I792" i="3" s="1"/>
  <c r="S791" i="3"/>
  <c r="R791" i="3"/>
  <c r="Q791" i="3"/>
  <c r="P791" i="3"/>
  <c r="O791" i="3"/>
  <c r="N791" i="3"/>
  <c r="H791" i="3"/>
  <c r="G791" i="3"/>
  <c r="I791" i="3" s="1"/>
  <c r="S790" i="3"/>
  <c r="R790" i="3"/>
  <c r="Q790" i="3"/>
  <c r="P790" i="3"/>
  <c r="O790" i="3"/>
  <c r="N790" i="3"/>
  <c r="H790" i="3"/>
  <c r="I790" i="3" s="1"/>
  <c r="G790" i="3"/>
  <c r="S789" i="3"/>
  <c r="R789" i="3"/>
  <c r="Q789" i="3"/>
  <c r="P789" i="3"/>
  <c r="O789" i="3"/>
  <c r="N789" i="3"/>
  <c r="I789" i="3"/>
  <c r="H789" i="3"/>
  <c r="G789" i="3"/>
  <c r="S788" i="3"/>
  <c r="R788" i="3"/>
  <c r="Q788" i="3"/>
  <c r="P788" i="3"/>
  <c r="O788" i="3"/>
  <c r="N788" i="3"/>
  <c r="I788" i="3"/>
  <c r="H788" i="3"/>
  <c r="G788" i="3"/>
  <c r="S787" i="3"/>
  <c r="R787" i="3"/>
  <c r="Q787" i="3"/>
  <c r="P787" i="3"/>
  <c r="O787" i="3"/>
  <c r="N787" i="3"/>
  <c r="H787" i="3"/>
  <c r="G787" i="3"/>
  <c r="I787" i="3" s="1"/>
  <c r="S786" i="3"/>
  <c r="R786" i="3"/>
  <c r="Q786" i="3"/>
  <c r="P786" i="3"/>
  <c r="O786" i="3"/>
  <c r="N786" i="3"/>
  <c r="H786" i="3"/>
  <c r="I786" i="3" s="1"/>
  <c r="G786" i="3"/>
  <c r="S785" i="3"/>
  <c r="R785" i="3"/>
  <c r="Q785" i="3"/>
  <c r="P785" i="3"/>
  <c r="O785" i="3"/>
  <c r="N785" i="3"/>
  <c r="I785" i="3"/>
  <c r="H785" i="3"/>
  <c r="G785" i="3"/>
  <c r="S784" i="3"/>
  <c r="R784" i="3"/>
  <c r="Q784" i="3"/>
  <c r="P784" i="3"/>
  <c r="O784" i="3"/>
  <c r="N784" i="3"/>
  <c r="I784" i="3"/>
  <c r="H784" i="3"/>
  <c r="G784" i="3"/>
  <c r="S783" i="3"/>
  <c r="R783" i="3"/>
  <c r="R800" i="3" s="1"/>
  <c r="Q783" i="3"/>
  <c r="P783" i="3"/>
  <c r="O783" i="3"/>
  <c r="N783" i="3"/>
  <c r="H783" i="3"/>
  <c r="G783" i="3"/>
  <c r="I783" i="3" s="1"/>
  <c r="S782" i="3"/>
  <c r="R782" i="3"/>
  <c r="Q782" i="3"/>
  <c r="P782" i="3"/>
  <c r="O782" i="3"/>
  <c r="N782" i="3"/>
  <c r="H782" i="3"/>
  <c r="G782" i="3"/>
  <c r="S781" i="3"/>
  <c r="P781" i="3"/>
  <c r="M781" i="3"/>
  <c r="L781" i="3"/>
  <c r="K781" i="3"/>
  <c r="J781" i="3"/>
  <c r="N781" i="3" s="1"/>
  <c r="G781" i="3"/>
  <c r="F781" i="3"/>
  <c r="E781" i="3"/>
  <c r="D781" i="3"/>
  <c r="A781" i="3"/>
  <c r="S780" i="3"/>
  <c r="R780" i="3"/>
  <c r="Q780" i="3"/>
  <c r="P780" i="3"/>
  <c r="O780" i="3"/>
  <c r="N780" i="3"/>
  <c r="H780" i="3"/>
  <c r="G780" i="3"/>
  <c r="A780" i="3"/>
  <c r="S779" i="3"/>
  <c r="R779" i="3"/>
  <c r="Q779" i="3"/>
  <c r="P779" i="3"/>
  <c r="O779" i="3"/>
  <c r="N779" i="3"/>
  <c r="I779" i="3"/>
  <c r="H779" i="3"/>
  <c r="G779" i="3"/>
  <c r="S778" i="3"/>
  <c r="R778" i="3"/>
  <c r="Q778" i="3"/>
  <c r="P778" i="3"/>
  <c r="O778" i="3"/>
  <c r="N778" i="3"/>
  <c r="H778" i="3"/>
  <c r="I778" i="3" s="1"/>
  <c r="G778" i="3"/>
  <c r="S777" i="3"/>
  <c r="R777" i="3"/>
  <c r="Q777" i="3"/>
  <c r="P777" i="3"/>
  <c r="O777" i="3"/>
  <c r="N777" i="3"/>
  <c r="I777" i="3"/>
  <c r="H777" i="3"/>
  <c r="G777" i="3"/>
  <c r="S776" i="3"/>
  <c r="R776" i="3"/>
  <c r="Q776" i="3"/>
  <c r="P776" i="3"/>
  <c r="O776" i="3"/>
  <c r="N776" i="3"/>
  <c r="I776" i="3"/>
  <c r="H776" i="3"/>
  <c r="G776" i="3"/>
  <c r="S775" i="3"/>
  <c r="R775" i="3"/>
  <c r="Q775" i="3"/>
  <c r="P775" i="3"/>
  <c r="O775" i="3"/>
  <c r="N775" i="3"/>
  <c r="I775" i="3"/>
  <c r="H775" i="3"/>
  <c r="G775" i="3"/>
  <c r="S774" i="3"/>
  <c r="R774" i="3"/>
  <c r="Q774" i="3"/>
  <c r="P774" i="3"/>
  <c r="O774" i="3"/>
  <c r="N774" i="3"/>
  <c r="H774" i="3"/>
  <c r="I774" i="3" s="1"/>
  <c r="G774" i="3"/>
  <c r="S773" i="3"/>
  <c r="R773" i="3"/>
  <c r="Q773" i="3"/>
  <c r="P773" i="3"/>
  <c r="O773" i="3"/>
  <c r="N773" i="3"/>
  <c r="I773" i="3"/>
  <c r="H773" i="3"/>
  <c r="G773" i="3"/>
  <c r="S772" i="3"/>
  <c r="R772" i="3"/>
  <c r="Q772" i="3"/>
  <c r="P772" i="3"/>
  <c r="O772" i="3"/>
  <c r="N772" i="3"/>
  <c r="I772" i="3"/>
  <c r="H772" i="3"/>
  <c r="G772" i="3"/>
  <c r="S771" i="3"/>
  <c r="R771" i="3"/>
  <c r="Q771" i="3"/>
  <c r="P771" i="3"/>
  <c r="O771" i="3"/>
  <c r="N771" i="3"/>
  <c r="I771" i="3"/>
  <c r="H771" i="3"/>
  <c r="G771" i="3"/>
  <c r="S770" i="3"/>
  <c r="R770" i="3"/>
  <c r="Q770" i="3"/>
  <c r="P770" i="3"/>
  <c r="O770" i="3"/>
  <c r="N770" i="3"/>
  <c r="H770" i="3"/>
  <c r="I770" i="3" s="1"/>
  <c r="G770" i="3"/>
  <c r="S769" i="3"/>
  <c r="R769" i="3"/>
  <c r="Q769" i="3"/>
  <c r="P769" i="3"/>
  <c r="O769" i="3"/>
  <c r="N769" i="3"/>
  <c r="H769" i="3"/>
  <c r="I769" i="3" s="1"/>
  <c r="G769" i="3"/>
  <c r="S768" i="3"/>
  <c r="R768" i="3"/>
  <c r="Q768" i="3"/>
  <c r="P768" i="3"/>
  <c r="O768" i="3"/>
  <c r="N768" i="3"/>
  <c r="H768" i="3"/>
  <c r="I768" i="3" s="1"/>
  <c r="G768" i="3"/>
  <c r="S767" i="3"/>
  <c r="R767" i="3"/>
  <c r="Q767" i="3"/>
  <c r="P767" i="3"/>
  <c r="O767" i="3"/>
  <c r="N767" i="3"/>
  <c r="I767" i="3"/>
  <c r="H767" i="3"/>
  <c r="G767" i="3"/>
  <c r="S766" i="3"/>
  <c r="R766" i="3"/>
  <c r="R781" i="3" s="1"/>
  <c r="Q766" i="3"/>
  <c r="P766" i="3"/>
  <c r="O766" i="3"/>
  <c r="N766" i="3"/>
  <c r="H766" i="3"/>
  <c r="I766" i="3" s="1"/>
  <c r="G766" i="3"/>
  <c r="S765" i="3"/>
  <c r="R765" i="3"/>
  <c r="Q765" i="3"/>
  <c r="P765" i="3"/>
  <c r="O765" i="3"/>
  <c r="N765" i="3"/>
  <c r="I765" i="3"/>
  <c r="H765" i="3"/>
  <c r="G765" i="3"/>
  <c r="S764" i="3"/>
  <c r="R764" i="3"/>
  <c r="Q764" i="3"/>
  <c r="P764" i="3"/>
  <c r="O764" i="3"/>
  <c r="N764" i="3"/>
  <c r="H764" i="3"/>
  <c r="I764" i="3" s="1"/>
  <c r="G764" i="3"/>
  <c r="S763" i="3"/>
  <c r="R763" i="3"/>
  <c r="Q763" i="3"/>
  <c r="P763" i="3"/>
  <c r="O763" i="3"/>
  <c r="N763" i="3"/>
  <c r="I763" i="3"/>
  <c r="H763" i="3"/>
  <c r="G763" i="3"/>
  <c r="T762" i="3"/>
  <c r="Q762" i="3"/>
  <c r="M762" i="3"/>
  <c r="O762" i="3" s="1"/>
  <c r="L762" i="3"/>
  <c r="K762" i="3"/>
  <c r="J762" i="3"/>
  <c r="F762" i="3"/>
  <c r="E762" i="3"/>
  <c r="D762" i="3"/>
  <c r="P762" i="3" s="1"/>
  <c r="A762" i="3"/>
  <c r="S761" i="3"/>
  <c r="R761" i="3"/>
  <c r="Q761" i="3"/>
  <c r="P761" i="3"/>
  <c r="O761" i="3"/>
  <c r="N761" i="3"/>
  <c r="H761" i="3"/>
  <c r="G761" i="3"/>
  <c r="I761" i="3" s="1"/>
  <c r="A761" i="3"/>
  <c r="S760" i="3"/>
  <c r="R760" i="3"/>
  <c r="Q760" i="3"/>
  <c r="P760" i="3"/>
  <c r="O760" i="3"/>
  <c r="N760" i="3"/>
  <c r="H760" i="3"/>
  <c r="I760" i="3" s="1"/>
  <c r="G760" i="3"/>
  <c r="S759" i="3"/>
  <c r="R759" i="3"/>
  <c r="Q759" i="3"/>
  <c r="P759" i="3"/>
  <c r="O759" i="3"/>
  <c r="N759" i="3"/>
  <c r="H759" i="3"/>
  <c r="I759" i="3" s="1"/>
  <c r="G759" i="3"/>
  <c r="S758" i="3"/>
  <c r="R758" i="3"/>
  <c r="Q758" i="3"/>
  <c r="P758" i="3"/>
  <c r="O758" i="3"/>
  <c r="N758" i="3"/>
  <c r="H758" i="3"/>
  <c r="G758" i="3"/>
  <c r="I758" i="3" s="1"/>
  <c r="S757" i="3"/>
  <c r="R757" i="3"/>
  <c r="Q757" i="3"/>
  <c r="P757" i="3"/>
  <c r="O757" i="3"/>
  <c r="N757" i="3"/>
  <c r="H757" i="3"/>
  <c r="I757" i="3" s="1"/>
  <c r="G757" i="3"/>
  <c r="S756" i="3"/>
  <c r="R756" i="3"/>
  <c r="Q756" i="3"/>
  <c r="P756" i="3"/>
  <c r="O756" i="3"/>
  <c r="N756" i="3"/>
  <c r="H756" i="3"/>
  <c r="I756" i="3" s="1"/>
  <c r="G756" i="3"/>
  <c r="S755" i="3"/>
  <c r="R755" i="3"/>
  <c r="Q755" i="3"/>
  <c r="P755" i="3"/>
  <c r="O755" i="3"/>
  <c r="N755" i="3"/>
  <c r="H755" i="3"/>
  <c r="I755" i="3" s="1"/>
  <c r="G755" i="3"/>
  <c r="S754" i="3"/>
  <c r="R754" i="3"/>
  <c r="Q754" i="3"/>
  <c r="P754" i="3"/>
  <c r="O754" i="3"/>
  <c r="N754" i="3"/>
  <c r="H754" i="3"/>
  <c r="G754" i="3"/>
  <c r="I754" i="3" s="1"/>
  <c r="S753" i="3"/>
  <c r="R753" i="3"/>
  <c r="Q753" i="3"/>
  <c r="P753" i="3"/>
  <c r="O753" i="3"/>
  <c r="N753" i="3"/>
  <c r="H753" i="3"/>
  <c r="I753" i="3" s="1"/>
  <c r="G753" i="3"/>
  <c r="S752" i="3"/>
  <c r="R752" i="3"/>
  <c r="Q752" i="3"/>
  <c r="P752" i="3"/>
  <c r="O752" i="3"/>
  <c r="N752" i="3"/>
  <c r="H752" i="3"/>
  <c r="G752" i="3"/>
  <c r="S751" i="3"/>
  <c r="R751" i="3"/>
  <c r="Q751" i="3"/>
  <c r="P751" i="3"/>
  <c r="O751" i="3"/>
  <c r="N751" i="3"/>
  <c r="H751" i="3"/>
  <c r="I751" i="3" s="1"/>
  <c r="G751" i="3"/>
  <c r="S750" i="3"/>
  <c r="R750" i="3"/>
  <c r="Q750" i="3"/>
  <c r="P750" i="3"/>
  <c r="O750" i="3"/>
  <c r="N750" i="3"/>
  <c r="H750" i="3"/>
  <c r="G750" i="3"/>
  <c r="I750" i="3" s="1"/>
  <c r="S749" i="3"/>
  <c r="R749" i="3"/>
  <c r="Q749" i="3"/>
  <c r="P749" i="3"/>
  <c r="O749" i="3"/>
  <c r="N749" i="3"/>
  <c r="H749" i="3"/>
  <c r="G749" i="3"/>
  <c r="S748" i="3"/>
  <c r="R748" i="3"/>
  <c r="Q748" i="3"/>
  <c r="P748" i="3"/>
  <c r="O748" i="3"/>
  <c r="N748" i="3"/>
  <c r="H748" i="3"/>
  <c r="I748" i="3" s="1"/>
  <c r="G748" i="3"/>
  <c r="S747" i="3"/>
  <c r="R747" i="3"/>
  <c r="Q747" i="3"/>
  <c r="P747" i="3"/>
  <c r="O747" i="3"/>
  <c r="N747" i="3"/>
  <c r="H747" i="3"/>
  <c r="I747" i="3" s="1"/>
  <c r="G747" i="3"/>
  <c r="S746" i="3"/>
  <c r="R746" i="3"/>
  <c r="Q746" i="3"/>
  <c r="P746" i="3"/>
  <c r="O746" i="3"/>
  <c r="N746" i="3"/>
  <c r="H746" i="3"/>
  <c r="G746" i="3"/>
  <c r="I746" i="3" s="1"/>
  <c r="S745" i="3"/>
  <c r="R745" i="3"/>
  <c r="R762" i="3" s="1"/>
  <c r="Q745" i="3"/>
  <c r="P745" i="3"/>
  <c r="O745" i="3"/>
  <c r="N745" i="3"/>
  <c r="H745" i="3"/>
  <c r="I745" i="3" s="1"/>
  <c r="G745" i="3"/>
  <c r="S744" i="3"/>
  <c r="R744" i="3"/>
  <c r="Q744" i="3"/>
  <c r="P744" i="3"/>
  <c r="O744" i="3"/>
  <c r="N744" i="3"/>
  <c r="H744" i="3"/>
  <c r="I744" i="3" s="1"/>
  <c r="G744" i="3"/>
  <c r="M743" i="3"/>
  <c r="Q743" i="3" s="1"/>
  <c r="L743" i="3"/>
  <c r="K743" i="3"/>
  <c r="J743" i="3"/>
  <c r="H743" i="3"/>
  <c r="I743" i="3" s="1"/>
  <c r="G743" i="3"/>
  <c r="F743" i="3"/>
  <c r="E743" i="3"/>
  <c r="D743" i="3"/>
  <c r="A743" i="3"/>
  <c r="S742" i="3"/>
  <c r="R742" i="3"/>
  <c r="Q742" i="3"/>
  <c r="P742" i="3"/>
  <c r="O742" i="3"/>
  <c r="N742" i="3"/>
  <c r="I742" i="3"/>
  <c r="H742" i="3"/>
  <c r="G742" i="3"/>
  <c r="A742" i="3"/>
  <c r="S741" i="3"/>
  <c r="R741" i="3"/>
  <c r="Q741" i="3"/>
  <c r="P741" i="3"/>
  <c r="O741" i="3"/>
  <c r="N741" i="3"/>
  <c r="H741" i="3"/>
  <c r="G741" i="3"/>
  <c r="I741" i="3" s="1"/>
  <c r="S740" i="3"/>
  <c r="R740" i="3"/>
  <c r="Q740" i="3"/>
  <c r="P740" i="3"/>
  <c r="O740" i="3"/>
  <c r="N740" i="3"/>
  <c r="H740" i="3"/>
  <c r="I740" i="3" s="1"/>
  <c r="G740" i="3"/>
  <c r="S739" i="3"/>
  <c r="R739" i="3"/>
  <c r="Q739" i="3"/>
  <c r="P739" i="3"/>
  <c r="O739" i="3"/>
  <c r="N739" i="3"/>
  <c r="H739" i="3"/>
  <c r="I739" i="3" s="1"/>
  <c r="G739" i="3"/>
  <c r="S738" i="3"/>
  <c r="R738" i="3"/>
  <c r="Q738" i="3"/>
  <c r="P738" i="3"/>
  <c r="O738" i="3"/>
  <c r="N738" i="3"/>
  <c r="I738" i="3"/>
  <c r="H738" i="3"/>
  <c r="G738" i="3"/>
  <c r="S737" i="3"/>
  <c r="R737" i="3"/>
  <c r="Q737" i="3"/>
  <c r="P737" i="3"/>
  <c r="O737" i="3"/>
  <c r="N737" i="3"/>
  <c r="H737" i="3"/>
  <c r="G737" i="3"/>
  <c r="I737" i="3" s="1"/>
  <c r="S736" i="3"/>
  <c r="R736" i="3"/>
  <c r="Q736" i="3"/>
  <c r="P736" i="3"/>
  <c r="O736" i="3"/>
  <c r="N736" i="3"/>
  <c r="H736" i="3"/>
  <c r="G736" i="3"/>
  <c r="S735" i="3"/>
  <c r="R735" i="3"/>
  <c r="Q735" i="3"/>
  <c r="P735" i="3"/>
  <c r="O735" i="3"/>
  <c r="N735" i="3"/>
  <c r="H735" i="3"/>
  <c r="G735" i="3"/>
  <c r="S734" i="3"/>
  <c r="R734" i="3"/>
  <c r="Q734" i="3"/>
  <c r="P734" i="3"/>
  <c r="O734" i="3"/>
  <c r="N734" i="3"/>
  <c r="I734" i="3"/>
  <c r="H734" i="3"/>
  <c r="G734" i="3"/>
  <c r="S733" i="3"/>
  <c r="R733" i="3"/>
  <c r="Q733" i="3"/>
  <c r="P733" i="3"/>
  <c r="O733" i="3"/>
  <c r="N733" i="3"/>
  <c r="I733" i="3"/>
  <c r="H733" i="3"/>
  <c r="G733" i="3"/>
  <c r="S732" i="3"/>
  <c r="R732" i="3"/>
  <c r="Q732" i="3"/>
  <c r="P732" i="3"/>
  <c r="O732" i="3"/>
  <c r="N732" i="3"/>
  <c r="H732" i="3"/>
  <c r="I732" i="3" s="1"/>
  <c r="G732" i="3"/>
  <c r="S731" i="3"/>
  <c r="R731" i="3"/>
  <c r="Q731" i="3"/>
  <c r="P731" i="3"/>
  <c r="O731" i="3"/>
  <c r="N731" i="3"/>
  <c r="H731" i="3"/>
  <c r="G731" i="3"/>
  <c r="S730" i="3"/>
  <c r="R730" i="3"/>
  <c r="Q730" i="3"/>
  <c r="P730" i="3"/>
  <c r="O730" i="3"/>
  <c r="N730" i="3"/>
  <c r="I730" i="3"/>
  <c r="H730" i="3"/>
  <c r="G730" i="3"/>
  <c r="S729" i="3"/>
  <c r="R729" i="3"/>
  <c r="Q729" i="3"/>
  <c r="P729" i="3"/>
  <c r="O729" i="3"/>
  <c r="N729" i="3"/>
  <c r="H729" i="3"/>
  <c r="G729" i="3"/>
  <c r="I729" i="3" s="1"/>
  <c r="S728" i="3"/>
  <c r="R728" i="3"/>
  <c r="Q728" i="3"/>
  <c r="P728" i="3"/>
  <c r="O728" i="3"/>
  <c r="N728" i="3"/>
  <c r="H728" i="3"/>
  <c r="G728" i="3"/>
  <c r="S727" i="3"/>
  <c r="R727" i="3"/>
  <c r="Q727" i="3"/>
  <c r="P727" i="3"/>
  <c r="O727" i="3"/>
  <c r="N727" i="3"/>
  <c r="H727" i="3"/>
  <c r="G727" i="3"/>
  <c r="S726" i="3"/>
  <c r="R726" i="3"/>
  <c r="Q726" i="3"/>
  <c r="P726" i="3"/>
  <c r="O726" i="3"/>
  <c r="N726" i="3"/>
  <c r="I726" i="3"/>
  <c r="H726" i="3"/>
  <c r="G726" i="3"/>
  <c r="S725" i="3"/>
  <c r="R725" i="3"/>
  <c r="R743" i="3" s="1"/>
  <c r="Q725" i="3"/>
  <c r="P725" i="3"/>
  <c r="O725" i="3"/>
  <c r="N725" i="3"/>
  <c r="I725" i="3"/>
  <c r="H725" i="3"/>
  <c r="G725" i="3"/>
  <c r="M724" i="3"/>
  <c r="L724" i="3"/>
  <c r="K724" i="3"/>
  <c r="J724" i="3"/>
  <c r="F724" i="3"/>
  <c r="E724" i="3"/>
  <c r="G724" i="3" s="1"/>
  <c r="D724" i="3"/>
  <c r="A724" i="3"/>
  <c r="S723" i="3"/>
  <c r="R723" i="3"/>
  <c r="Q723" i="3"/>
  <c r="P723" i="3"/>
  <c r="O723" i="3"/>
  <c r="N723" i="3"/>
  <c r="H723" i="3"/>
  <c r="G723" i="3"/>
  <c r="I723" i="3" s="1"/>
  <c r="A723" i="3"/>
  <c r="S722" i="3"/>
  <c r="R722" i="3"/>
  <c r="Q722" i="3"/>
  <c r="P722" i="3"/>
  <c r="O722" i="3"/>
  <c r="N722" i="3"/>
  <c r="I722" i="3"/>
  <c r="H722" i="3"/>
  <c r="G722" i="3"/>
  <c r="S721" i="3"/>
  <c r="R721" i="3"/>
  <c r="Q721" i="3"/>
  <c r="P721" i="3"/>
  <c r="O721" i="3"/>
  <c r="N721" i="3"/>
  <c r="I721" i="3"/>
  <c r="H721" i="3"/>
  <c r="G721" i="3"/>
  <c r="S720" i="3"/>
  <c r="R720" i="3"/>
  <c r="Q720" i="3"/>
  <c r="P720" i="3"/>
  <c r="O720" i="3"/>
  <c r="N720" i="3"/>
  <c r="I720" i="3"/>
  <c r="H720" i="3"/>
  <c r="G720" i="3"/>
  <c r="S719" i="3"/>
  <c r="R719" i="3"/>
  <c r="Q719" i="3"/>
  <c r="P719" i="3"/>
  <c r="O719" i="3"/>
  <c r="N719" i="3"/>
  <c r="H719" i="3"/>
  <c r="I719" i="3" s="1"/>
  <c r="G719" i="3"/>
  <c r="S718" i="3"/>
  <c r="R718" i="3"/>
  <c r="Q718" i="3"/>
  <c r="P718" i="3"/>
  <c r="O718" i="3"/>
  <c r="N718" i="3"/>
  <c r="I718" i="3"/>
  <c r="H718" i="3"/>
  <c r="G718" i="3"/>
  <c r="S717" i="3"/>
  <c r="R717" i="3"/>
  <c r="Q717" i="3"/>
  <c r="P717" i="3"/>
  <c r="O717" i="3"/>
  <c r="N717" i="3"/>
  <c r="I717" i="3"/>
  <c r="H717" i="3"/>
  <c r="G717" i="3"/>
  <c r="S716" i="3"/>
  <c r="R716" i="3"/>
  <c r="Q716" i="3"/>
  <c r="P716" i="3"/>
  <c r="O716" i="3"/>
  <c r="N716" i="3"/>
  <c r="I716" i="3"/>
  <c r="H716" i="3"/>
  <c r="G716" i="3"/>
  <c r="S715" i="3"/>
  <c r="R715" i="3"/>
  <c r="Q715" i="3"/>
  <c r="P715" i="3"/>
  <c r="O715" i="3"/>
  <c r="N715" i="3"/>
  <c r="H715" i="3"/>
  <c r="I715" i="3" s="1"/>
  <c r="G715" i="3"/>
  <c r="S714" i="3"/>
  <c r="R714" i="3"/>
  <c r="Q714" i="3"/>
  <c r="P714" i="3"/>
  <c r="O714" i="3"/>
  <c r="N714" i="3"/>
  <c r="H714" i="3"/>
  <c r="I714" i="3" s="1"/>
  <c r="G714" i="3"/>
  <c r="S713" i="3"/>
  <c r="R713" i="3"/>
  <c r="Q713" i="3"/>
  <c r="P713" i="3"/>
  <c r="O713" i="3"/>
  <c r="N713" i="3"/>
  <c r="I713" i="3"/>
  <c r="H713" i="3"/>
  <c r="G713" i="3"/>
  <c r="S712" i="3"/>
  <c r="R712" i="3"/>
  <c r="Q712" i="3"/>
  <c r="P712" i="3"/>
  <c r="O712" i="3"/>
  <c r="N712" i="3"/>
  <c r="I712" i="3"/>
  <c r="H712" i="3"/>
  <c r="G712" i="3"/>
  <c r="S711" i="3"/>
  <c r="R711" i="3"/>
  <c r="Q711" i="3"/>
  <c r="P711" i="3"/>
  <c r="O711" i="3"/>
  <c r="N711" i="3"/>
  <c r="H711" i="3"/>
  <c r="I711" i="3" s="1"/>
  <c r="G711" i="3"/>
  <c r="S710" i="3"/>
  <c r="R710" i="3"/>
  <c r="Q710" i="3"/>
  <c r="P710" i="3"/>
  <c r="O710" i="3"/>
  <c r="N710" i="3"/>
  <c r="I710" i="3"/>
  <c r="H710" i="3"/>
  <c r="G710" i="3"/>
  <c r="S709" i="3"/>
  <c r="R709" i="3"/>
  <c r="Q709" i="3"/>
  <c r="P709" i="3"/>
  <c r="O709" i="3"/>
  <c r="N709" i="3"/>
  <c r="H709" i="3"/>
  <c r="I709" i="3" s="1"/>
  <c r="G709" i="3"/>
  <c r="S708" i="3"/>
  <c r="R708" i="3"/>
  <c r="Q708" i="3"/>
  <c r="P708" i="3"/>
  <c r="O708" i="3"/>
  <c r="N708" i="3"/>
  <c r="I708" i="3"/>
  <c r="H708" i="3"/>
  <c r="G708" i="3"/>
  <c r="S707" i="3"/>
  <c r="R707" i="3"/>
  <c r="R724" i="3" s="1"/>
  <c r="Q707" i="3"/>
  <c r="P707" i="3"/>
  <c r="O707" i="3"/>
  <c r="N707" i="3"/>
  <c r="H707" i="3"/>
  <c r="I707" i="3" s="1"/>
  <c r="G707" i="3"/>
  <c r="S706" i="3"/>
  <c r="R706" i="3"/>
  <c r="Q706" i="3"/>
  <c r="P706" i="3"/>
  <c r="O706" i="3"/>
  <c r="N706" i="3"/>
  <c r="I706" i="3"/>
  <c r="H706" i="3"/>
  <c r="G706" i="3"/>
  <c r="Q705" i="3"/>
  <c r="O705" i="3"/>
  <c r="N705" i="3"/>
  <c r="M705" i="3"/>
  <c r="L705" i="3"/>
  <c r="S705" i="3" s="1"/>
  <c r="K705" i="3"/>
  <c r="J705" i="3"/>
  <c r="P705" i="3" s="1"/>
  <c r="H705" i="3"/>
  <c r="F705" i="3"/>
  <c r="G705" i="3" s="1"/>
  <c r="E705" i="3"/>
  <c r="D705" i="3"/>
  <c r="A705" i="3"/>
  <c r="S704" i="3"/>
  <c r="R704" i="3"/>
  <c r="Q704" i="3"/>
  <c r="P704" i="3"/>
  <c r="O704" i="3"/>
  <c r="N704" i="3"/>
  <c r="H704" i="3"/>
  <c r="G704" i="3"/>
  <c r="A704" i="3"/>
  <c r="S703" i="3"/>
  <c r="R703" i="3"/>
  <c r="Q703" i="3"/>
  <c r="P703" i="3"/>
  <c r="O703" i="3"/>
  <c r="N703" i="3"/>
  <c r="H703" i="3"/>
  <c r="G703" i="3"/>
  <c r="I703" i="3" s="1"/>
  <c r="S702" i="3"/>
  <c r="R702" i="3"/>
  <c r="Q702" i="3"/>
  <c r="P702" i="3"/>
  <c r="O702" i="3"/>
  <c r="N702" i="3"/>
  <c r="H702" i="3"/>
  <c r="I702" i="3" s="1"/>
  <c r="G702" i="3"/>
  <c r="S701" i="3"/>
  <c r="R701" i="3"/>
  <c r="Q701" i="3"/>
  <c r="P701" i="3"/>
  <c r="O701" i="3"/>
  <c r="N701" i="3"/>
  <c r="H701" i="3"/>
  <c r="G701" i="3"/>
  <c r="S700" i="3"/>
  <c r="R700" i="3"/>
  <c r="Q700" i="3"/>
  <c r="P700" i="3"/>
  <c r="O700" i="3"/>
  <c r="N700" i="3"/>
  <c r="H700" i="3"/>
  <c r="I700" i="3" s="1"/>
  <c r="G700" i="3"/>
  <c r="S699" i="3"/>
  <c r="R699" i="3"/>
  <c r="Q699" i="3"/>
  <c r="P699" i="3"/>
  <c r="O699" i="3"/>
  <c r="N699" i="3"/>
  <c r="H699" i="3"/>
  <c r="G699" i="3"/>
  <c r="I699" i="3" s="1"/>
  <c r="S698" i="3"/>
  <c r="R698" i="3"/>
  <c r="Q698" i="3"/>
  <c r="P698" i="3"/>
  <c r="O698" i="3"/>
  <c r="N698" i="3"/>
  <c r="H698" i="3"/>
  <c r="G698" i="3"/>
  <c r="S697" i="3"/>
  <c r="R697" i="3"/>
  <c r="Q697" i="3"/>
  <c r="P697" i="3"/>
  <c r="O697" i="3"/>
  <c r="N697" i="3"/>
  <c r="H697" i="3"/>
  <c r="G697" i="3"/>
  <c r="S696" i="3"/>
  <c r="R696" i="3"/>
  <c r="Q696" i="3"/>
  <c r="P696" i="3"/>
  <c r="O696" i="3"/>
  <c r="N696" i="3"/>
  <c r="I696" i="3"/>
  <c r="H696" i="3"/>
  <c r="G696" i="3"/>
  <c r="S695" i="3"/>
  <c r="R695" i="3"/>
  <c r="Q695" i="3"/>
  <c r="P695" i="3"/>
  <c r="O695" i="3"/>
  <c r="N695" i="3"/>
  <c r="H695" i="3"/>
  <c r="G695" i="3"/>
  <c r="I695" i="3" s="1"/>
  <c r="S694" i="3"/>
  <c r="R694" i="3"/>
  <c r="Q694" i="3"/>
  <c r="P694" i="3"/>
  <c r="O694" i="3"/>
  <c r="N694" i="3"/>
  <c r="H694" i="3"/>
  <c r="G694" i="3"/>
  <c r="S693" i="3"/>
  <c r="R693" i="3"/>
  <c r="Q693" i="3"/>
  <c r="P693" i="3"/>
  <c r="O693" i="3"/>
  <c r="N693" i="3"/>
  <c r="H693" i="3"/>
  <c r="I693" i="3" s="1"/>
  <c r="G693" i="3"/>
  <c r="S692" i="3"/>
  <c r="R692" i="3"/>
  <c r="Q692" i="3"/>
  <c r="P692" i="3"/>
  <c r="O692" i="3"/>
  <c r="N692" i="3"/>
  <c r="I692" i="3"/>
  <c r="H692" i="3"/>
  <c r="G692" i="3"/>
  <c r="S691" i="3"/>
  <c r="R691" i="3"/>
  <c r="Q691" i="3"/>
  <c r="P691" i="3"/>
  <c r="O691" i="3"/>
  <c r="N691" i="3"/>
  <c r="H691" i="3"/>
  <c r="G691" i="3"/>
  <c r="I691" i="3" s="1"/>
  <c r="S690" i="3"/>
  <c r="R690" i="3"/>
  <c r="R705" i="3" s="1"/>
  <c r="Q690" i="3"/>
  <c r="P690" i="3"/>
  <c r="O690" i="3"/>
  <c r="N690" i="3"/>
  <c r="H690" i="3"/>
  <c r="G690" i="3"/>
  <c r="S689" i="3"/>
  <c r="R689" i="3"/>
  <c r="Q689" i="3"/>
  <c r="P689" i="3"/>
  <c r="O689" i="3"/>
  <c r="N689" i="3"/>
  <c r="H689" i="3"/>
  <c r="I689" i="3" s="1"/>
  <c r="G689" i="3"/>
  <c r="S688" i="3"/>
  <c r="R688" i="3"/>
  <c r="Q688" i="3"/>
  <c r="P688" i="3"/>
  <c r="O688" i="3"/>
  <c r="N688" i="3"/>
  <c r="I688" i="3"/>
  <c r="H688" i="3"/>
  <c r="G688" i="3"/>
  <c r="S687" i="3"/>
  <c r="R687" i="3"/>
  <c r="Q687" i="3"/>
  <c r="P687" i="3"/>
  <c r="O687" i="3"/>
  <c r="N687" i="3"/>
  <c r="H687" i="3"/>
  <c r="G687" i="3"/>
  <c r="I687" i="3" s="1"/>
  <c r="T686" i="3"/>
  <c r="P686" i="3"/>
  <c r="N686" i="3"/>
  <c r="M686" i="3"/>
  <c r="O686" i="3" s="1"/>
  <c r="L686" i="3"/>
  <c r="K686" i="3"/>
  <c r="J686" i="3"/>
  <c r="S686" i="3" s="1"/>
  <c r="F686" i="3"/>
  <c r="E686" i="3"/>
  <c r="G686" i="3" s="1"/>
  <c r="D686" i="3"/>
  <c r="H686" i="3" s="1"/>
  <c r="I686" i="3" s="1"/>
  <c r="A686" i="3"/>
  <c r="S685" i="3"/>
  <c r="R685" i="3"/>
  <c r="Q685" i="3"/>
  <c r="P685" i="3"/>
  <c r="O685" i="3"/>
  <c r="N685" i="3"/>
  <c r="I685" i="3"/>
  <c r="H685" i="3"/>
  <c r="G685" i="3"/>
  <c r="A685" i="3"/>
  <c r="S684" i="3"/>
  <c r="R684" i="3"/>
  <c r="Q684" i="3"/>
  <c r="P684" i="3"/>
  <c r="O684" i="3"/>
  <c r="N684" i="3"/>
  <c r="H684" i="3"/>
  <c r="I684" i="3" s="1"/>
  <c r="G684" i="3"/>
  <c r="S683" i="3"/>
  <c r="R683" i="3"/>
  <c r="Q683" i="3"/>
  <c r="P683" i="3"/>
  <c r="O683" i="3"/>
  <c r="N683" i="3"/>
  <c r="I683" i="3"/>
  <c r="H683" i="3"/>
  <c r="G683" i="3"/>
  <c r="S682" i="3"/>
  <c r="R682" i="3"/>
  <c r="Q682" i="3"/>
  <c r="P682" i="3"/>
  <c r="O682" i="3"/>
  <c r="N682" i="3"/>
  <c r="I682" i="3"/>
  <c r="H682" i="3"/>
  <c r="G682" i="3"/>
  <c r="S681" i="3"/>
  <c r="R681" i="3"/>
  <c r="Q681" i="3"/>
  <c r="P681" i="3"/>
  <c r="O681" i="3"/>
  <c r="N681" i="3"/>
  <c r="H681" i="3"/>
  <c r="G681" i="3"/>
  <c r="I681" i="3" s="1"/>
  <c r="S680" i="3"/>
  <c r="R680" i="3"/>
  <c r="Q680" i="3"/>
  <c r="P680" i="3"/>
  <c r="O680" i="3"/>
  <c r="N680" i="3"/>
  <c r="H680" i="3"/>
  <c r="I680" i="3" s="1"/>
  <c r="G680" i="3"/>
  <c r="S679" i="3"/>
  <c r="R679" i="3"/>
  <c r="Q679" i="3"/>
  <c r="P679" i="3"/>
  <c r="O679" i="3"/>
  <c r="N679" i="3"/>
  <c r="I679" i="3"/>
  <c r="H679" i="3"/>
  <c r="G679" i="3"/>
  <c r="S678" i="3"/>
  <c r="R678" i="3"/>
  <c r="Q678" i="3"/>
  <c r="P678" i="3"/>
  <c r="O678" i="3"/>
  <c r="N678" i="3"/>
  <c r="H678" i="3"/>
  <c r="G678" i="3"/>
  <c r="I678" i="3" s="1"/>
  <c r="S677" i="3"/>
  <c r="R677" i="3"/>
  <c r="Q677" i="3"/>
  <c r="P677" i="3"/>
  <c r="O677" i="3"/>
  <c r="N677" i="3"/>
  <c r="H677" i="3"/>
  <c r="G677" i="3"/>
  <c r="I677" i="3" s="1"/>
  <c r="S676" i="3"/>
  <c r="R676" i="3"/>
  <c r="Q676" i="3"/>
  <c r="P676" i="3"/>
  <c r="O676" i="3"/>
  <c r="N676" i="3"/>
  <c r="H676" i="3"/>
  <c r="G676" i="3"/>
  <c r="S675" i="3"/>
  <c r="R675" i="3"/>
  <c r="Q675" i="3"/>
  <c r="P675" i="3"/>
  <c r="O675" i="3"/>
  <c r="N675" i="3"/>
  <c r="I675" i="3"/>
  <c r="H675" i="3"/>
  <c r="G675" i="3"/>
  <c r="S674" i="3"/>
  <c r="R674" i="3"/>
  <c r="Q674" i="3"/>
  <c r="P674" i="3"/>
  <c r="O674" i="3"/>
  <c r="N674" i="3"/>
  <c r="H674" i="3"/>
  <c r="G674" i="3"/>
  <c r="I674" i="3" s="1"/>
  <c r="S673" i="3"/>
  <c r="R673" i="3"/>
  <c r="Q673" i="3"/>
  <c r="P673" i="3"/>
  <c r="O673" i="3"/>
  <c r="N673" i="3"/>
  <c r="H673" i="3"/>
  <c r="G673" i="3"/>
  <c r="I673" i="3" s="1"/>
  <c r="S672" i="3"/>
  <c r="R672" i="3"/>
  <c r="Q672" i="3"/>
  <c r="P672" i="3"/>
  <c r="O672" i="3"/>
  <c r="N672" i="3"/>
  <c r="H672" i="3"/>
  <c r="I672" i="3" s="1"/>
  <c r="G672" i="3"/>
  <c r="S671" i="3"/>
  <c r="R671" i="3"/>
  <c r="Q671" i="3"/>
  <c r="P671" i="3"/>
  <c r="O671" i="3"/>
  <c r="N671" i="3"/>
  <c r="I671" i="3"/>
  <c r="H671" i="3"/>
  <c r="G671" i="3"/>
  <c r="S670" i="3"/>
  <c r="R670" i="3"/>
  <c r="Q670" i="3"/>
  <c r="P670" i="3"/>
  <c r="O670" i="3"/>
  <c r="N670" i="3"/>
  <c r="I670" i="3"/>
  <c r="H670" i="3"/>
  <c r="G670" i="3"/>
  <c r="S669" i="3"/>
  <c r="R669" i="3"/>
  <c r="Q669" i="3"/>
  <c r="P669" i="3"/>
  <c r="O669" i="3"/>
  <c r="N669" i="3"/>
  <c r="H669" i="3"/>
  <c r="G669" i="3"/>
  <c r="I669" i="3" s="1"/>
  <c r="M668" i="3"/>
  <c r="L668" i="3"/>
  <c r="K668" i="3"/>
  <c r="J668" i="3"/>
  <c r="F668" i="3"/>
  <c r="G668" i="3" s="1"/>
  <c r="E668" i="3"/>
  <c r="D668" i="3"/>
  <c r="A668" i="3"/>
  <c r="S667" i="3"/>
  <c r="R667" i="3"/>
  <c r="Q667" i="3"/>
  <c r="P667" i="3"/>
  <c r="O667" i="3"/>
  <c r="N667" i="3"/>
  <c r="H667" i="3"/>
  <c r="I667" i="3" s="1"/>
  <c r="G667" i="3"/>
  <c r="A667" i="3"/>
  <c r="S666" i="3"/>
  <c r="R666" i="3"/>
  <c r="Q666" i="3"/>
  <c r="P666" i="3"/>
  <c r="O666" i="3"/>
  <c r="N666" i="3"/>
  <c r="H666" i="3"/>
  <c r="I666" i="3" s="1"/>
  <c r="G666" i="3"/>
  <c r="S665" i="3"/>
  <c r="R665" i="3"/>
  <c r="Q665" i="3"/>
  <c r="P665" i="3"/>
  <c r="O665" i="3"/>
  <c r="N665" i="3"/>
  <c r="I665" i="3"/>
  <c r="H665" i="3"/>
  <c r="G665" i="3"/>
  <c r="S664" i="3"/>
  <c r="R664" i="3"/>
  <c r="Q664" i="3"/>
  <c r="P664" i="3"/>
  <c r="O664" i="3"/>
  <c r="N664" i="3"/>
  <c r="H664" i="3"/>
  <c r="I664" i="3" s="1"/>
  <c r="G664" i="3"/>
  <c r="S663" i="3"/>
  <c r="R663" i="3"/>
  <c r="Q663" i="3"/>
  <c r="P663" i="3"/>
  <c r="O663" i="3"/>
  <c r="N663" i="3"/>
  <c r="I663" i="3"/>
  <c r="H663" i="3"/>
  <c r="G663" i="3"/>
  <c r="S662" i="3"/>
  <c r="R662" i="3"/>
  <c r="Q662" i="3"/>
  <c r="P662" i="3"/>
  <c r="O662" i="3"/>
  <c r="N662" i="3"/>
  <c r="H662" i="3"/>
  <c r="I662" i="3" s="1"/>
  <c r="G662" i="3"/>
  <c r="S661" i="3"/>
  <c r="R661" i="3"/>
  <c r="Q661" i="3"/>
  <c r="P661" i="3"/>
  <c r="O661" i="3"/>
  <c r="N661" i="3"/>
  <c r="I661" i="3"/>
  <c r="H661" i="3"/>
  <c r="G661" i="3"/>
  <c r="S660" i="3"/>
  <c r="R660" i="3"/>
  <c r="Q660" i="3"/>
  <c r="P660" i="3"/>
  <c r="O660" i="3"/>
  <c r="N660" i="3"/>
  <c r="H660" i="3"/>
  <c r="G660" i="3"/>
  <c r="S659" i="3"/>
  <c r="R659" i="3"/>
  <c r="Q659" i="3"/>
  <c r="P659" i="3"/>
  <c r="O659" i="3"/>
  <c r="N659" i="3"/>
  <c r="H659" i="3"/>
  <c r="I659" i="3" s="1"/>
  <c r="G659" i="3"/>
  <c r="S658" i="3"/>
  <c r="R658" i="3"/>
  <c r="Q658" i="3"/>
  <c r="P658" i="3"/>
  <c r="O658" i="3"/>
  <c r="N658" i="3"/>
  <c r="I658" i="3"/>
  <c r="H658" i="3"/>
  <c r="G658" i="3"/>
  <c r="S657" i="3"/>
  <c r="R657" i="3"/>
  <c r="Q657" i="3"/>
  <c r="P657" i="3"/>
  <c r="O657" i="3"/>
  <c r="N657" i="3"/>
  <c r="I657" i="3"/>
  <c r="H657" i="3"/>
  <c r="G657" i="3"/>
  <c r="S656" i="3"/>
  <c r="R656" i="3"/>
  <c r="Q656" i="3"/>
  <c r="P656" i="3"/>
  <c r="O656" i="3"/>
  <c r="N656" i="3"/>
  <c r="H656" i="3"/>
  <c r="G656" i="3"/>
  <c r="S655" i="3"/>
  <c r="R655" i="3"/>
  <c r="Q655" i="3"/>
  <c r="P655" i="3"/>
  <c r="O655" i="3"/>
  <c r="N655" i="3"/>
  <c r="H655" i="3"/>
  <c r="I655" i="3" s="1"/>
  <c r="G655" i="3"/>
  <c r="S654" i="3"/>
  <c r="R654" i="3"/>
  <c r="Q654" i="3"/>
  <c r="P654" i="3"/>
  <c r="O654" i="3"/>
  <c r="N654" i="3"/>
  <c r="I654" i="3"/>
  <c r="H654" i="3"/>
  <c r="G654" i="3"/>
  <c r="S653" i="3"/>
  <c r="R653" i="3"/>
  <c r="Q653" i="3"/>
  <c r="P653" i="3"/>
  <c r="O653" i="3"/>
  <c r="N653" i="3"/>
  <c r="I653" i="3"/>
  <c r="H653" i="3"/>
  <c r="G653" i="3"/>
  <c r="S652" i="3"/>
  <c r="R652" i="3"/>
  <c r="Q652" i="3"/>
  <c r="P652" i="3"/>
  <c r="O652" i="3"/>
  <c r="N652" i="3"/>
  <c r="H652" i="3"/>
  <c r="I652" i="3" s="1"/>
  <c r="G652" i="3"/>
  <c r="U651" i="3"/>
  <c r="R651" i="3"/>
  <c r="Q651" i="3"/>
  <c r="N651" i="3"/>
  <c r="M651" i="3"/>
  <c r="L651" i="3"/>
  <c r="K651" i="3"/>
  <c r="J651" i="3"/>
  <c r="F651" i="3"/>
  <c r="E651" i="3"/>
  <c r="D651" i="3"/>
  <c r="A651" i="3"/>
  <c r="S650" i="3"/>
  <c r="R650" i="3"/>
  <c r="Q650" i="3"/>
  <c r="P650" i="3"/>
  <c r="O650" i="3"/>
  <c r="N650" i="3"/>
  <c r="H650" i="3"/>
  <c r="G650" i="3"/>
  <c r="I650" i="3" s="1"/>
  <c r="A650" i="3"/>
  <c r="S649" i="3"/>
  <c r="R649" i="3"/>
  <c r="Q649" i="3"/>
  <c r="P649" i="3"/>
  <c r="O649" i="3"/>
  <c r="N649" i="3"/>
  <c r="I649" i="3"/>
  <c r="H649" i="3"/>
  <c r="G649" i="3"/>
  <c r="S648" i="3"/>
  <c r="R648" i="3"/>
  <c r="Q648" i="3"/>
  <c r="P648" i="3"/>
  <c r="O648" i="3"/>
  <c r="N648" i="3"/>
  <c r="H648" i="3"/>
  <c r="G648" i="3"/>
  <c r="I648" i="3" s="1"/>
  <c r="S647" i="3"/>
  <c r="R647" i="3"/>
  <c r="Q647" i="3"/>
  <c r="P647" i="3"/>
  <c r="O647" i="3"/>
  <c r="N647" i="3"/>
  <c r="H647" i="3"/>
  <c r="I647" i="3" s="1"/>
  <c r="G647" i="3"/>
  <c r="S646" i="3"/>
  <c r="R646" i="3"/>
  <c r="Q646" i="3"/>
  <c r="P646" i="3"/>
  <c r="O646" i="3"/>
  <c r="N646" i="3"/>
  <c r="H646" i="3"/>
  <c r="G646" i="3"/>
  <c r="S645" i="3"/>
  <c r="R645" i="3"/>
  <c r="Q645" i="3"/>
  <c r="P645" i="3"/>
  <c r="O645" i="3"/>
  <c r="N645" i="3"/>
  <c r="I645" i="3"/>
  <c r="H645" i="3"/>
  <c r="G645" i="3"/>
  <c r="S644" i="3"/>
  <c r="R644" i="3"/>
  <c r="Q644" i="3"/>
  <c r="P644" i="3"/>
  <c r="O644" i="3"/>
  <c r="N644" i="3"/>
  <c r="H644" i="3"/>
  <c r="G644" i="3"/>
  <c r="I644" i="3" s="1"/>
  <c r="S643" i="3"/>
  <c r="R643" i="3"/>
  <c r="Q643" i="3"/>
  <c r="P643" i="3"/>
  <c r="O643" i="3"/>
  <c r="N643" i="3"/>
  <c r="H643" i="3"/>
  <c r="G643" i="3"/>
  <c r="S642" i="3"/>
  <c r="R642" i="3"/>
  <c r="Q642" i="3"/>
  <c r="P642" i="3"/>
  <c r="O642" i="3"/>
  <c r="N642" i="3"/>
  <c r="H642" i="3"/>
  <c r="G642" i="3"/>
  <c r="S641" i="3"/>
  <c r="R641" i="3"/>
  <c r="Q641" i="3"/>
  <c r="P641" i="3"/>
  <c r="O641" i="3"/>
  <c r="N641" i="3"/>
  <c r="H641" i="3"/>
  <c r="I641" i="3" s="1"/>
  <c r="G641" i="3"/>
  <c r="S640" i="3"/>
  <c r="R640" i="3"/>
  <c r="Q640" i="3"/>
  <c r="P640" i="3"/>
  <c r="O640" i="3"/>
  <c r="N640" i="3"/>
  <c r="H640" i="3"/>
  <c r="G640" i="3"/>
  <c r="I640" i="3" s="1"/>
  <c r="S639" i="3"/>
  <c r="R639" i="3"/>
  <c r="Q639" i="3"/>
  <c r="P639" i="3"/>
  <c r="O639" i="3"/>
  <c r="N639" i="3"/>
  <c r="H639" i="3"/>
  <c r="I639" i="3" s="1"/>
  <c r="G639" i="3"/>
  <c r="S638" i="3"/>
  <c r="R638" i="3"/>
  <c r="Q638" i="3"/>
  <c r="P638" i="3"/>
  <c r="O638" i="3"/>
  <c r="N638" i="3"/>
  <c r="H638" i="3"/>
  <c r="G638" i="3"/>
  <c r="S637" i="3"/>
  <c r="R637" i="3"/>
  <c r="Q637" i="3"/>
  <c r="P637" i="3"/>
  <c r="O637" i="3"/>
  <c r="N637" i="3"/>
  <c r="H637" i="3"/>
  <c r="I637" i="3" s="1"/>
  <c r="G637" i="3"/>
  <c r="S636" i="3"/>
  <c r="R636" i="3"/>
  <c r="Q636" i="3"/>
  <c r="P636" i="3"/>
  <c r="O636" i="3"/>
  <c r="N636" i="3"/>
  <c r="H636" i="3"/>
  <c r="G636" i="3"/>
  <c r="I636" i="3" s="1"/>
  <c r="S635" i="3"/>
  <c r="R635" i="3"/>
  <c r="Q635" i="3"/>
  <c r="P635" i="3"/>
  <c r="O635" i="3"/>
  <c r="N635" i="3"/>
  <c r="H635" i="3"/>
  <c r="I635" i="3" s="1"/>
  <c r="G635" i="3"/>
  <c r="M634" i="3"/>
  <c r="L634" i="3"/>
  <c r="K634" i="3"/>
  <c r="J634" i="3"/>
  <c r="F634" i="3"/>
  <c r="E634" i="3"/>
  <c r="D634" i="3"/>
  <c r="A634" i="3"/>
  <c r="S633" i="3"/>
  <c r="R633" i="3"/>
  <c r="Q633" i="3"/>
  <c r="P633" i="3"/>
  <c r="O633" i="3"/>
  <c r="N633" i="3"/>
  <c r="H633" i="3"/>
  <c r="I633" i="3" s="1"/>
  <c r="G633" i="3"/>
  <c r="A633" i="3"/>
  <c r="S632" i="3"/>
  <c r="R632" i="3"/>
  <c r="Q632" i="3"/>
  <c r="P632" i="3"/>
  <c r="O632" i="3"/>
  <c r="N632" i="3"/>
  <c r="I632" i="3"/>
  <c r="H632" i="3"/>
  <c r="G632" i="3"/>
  <c r="S631" i="3"/>
  <c r="R631" i="3"/>
  <c r="Q631" i="3"/>
  <c r="P631" i="3"/>
  <c r="O631" i="3"/>
  <c r="N631" i="3"/>
  <c r="I631" i="3"/>
  <c r="H631" i="3"/>
  <c r="G631" i="3"/>
  <c r="S630" i="3"/>
  <c r="R630" i="3"/>
  <c r="Q630" i="3"/>
  <c r="P630" i="3"/>
  <c r="O630" i="3"/>
  <c r="N630" i="3"/>
  <c r="H630" i="3"/>
  <c r="I630" i="3" s="1"/>
  <c r="G630" i="3"/>
  <c r="S629" i="3"/>
  <c r="R629" i="3"/>
  <c r="Q629" i="3"/>
  <c r="P629" i="3"/>
  <c r="O629" i="3"/>
  <c r="N629" i="3"/>
  <c r="I629" i="3"/>
  <c r="H629" i="3"/>
  <c r="G629" i="3"/>
  <c r="S628" i="3"/>
  <c r="R628" i="3"/>
  <c r="Q628" i="3"/>
  <c r="P628" i="3"/>
  <c r="O628" i="3"/>
  <c r="N628" i="3"/>
  <c r="I628" i="3"/>
  <c r="H628" i="3"/>
  <c r="G628" i="3"/>
  <c r="S627" i="3"/>
  <c r="R627" i="3"/>
  <c r="Q627" i="3"/>
  <c r="P627" i="3"/>
  <c r="O627" i="3"/>
  <c r="N627" i="3"/>
  <c r="I627" i="3"/>
  <c r="H627" i="3"/>
  <c r="G627" i="3"/>
  <c r="S626" i="3"/>
  <c r="R626" i="3"/>
  <c r="Q626" i="3"/>
  <c r="P626" i="3"/>
  <c r="O626" i="3"/>
  <c r="N626" i="3"/>
  <c r="H626" i="3"/>
  <c r="I626" i="3" s="1"/>
  <c r="G626" i="3"/>
  <c r="S625" i="3"/>
  <c r="R625" i="3"/>
  <c r="Q625" i="3"/>
  <c r="P625" i="3"/>
  <c r="O625" i="3"/>
  <c r="N625" i="3"/>
  <c r="H625" i="3"/>
  <c r="G625" i="3"/>
  <c r="S624" i="3"/>
  <c r="R624" i="3"/>
  <c r="Q624" i="3"/>
  <c r="P624" i="3"/>
  <c r="O624" i="3"/>
  <c r="N624" i="3"/>
  <c r="I624" i="3"/>
  <c r="H624" i="3"/>
  <c r="G624" i="3"/>
  <c r="S623" i="3"/>
  <c r="R623" i="3"/>
  <c r="R634" i="3" s="1"/>
  <c r="Q623" i="3"/>
  <c r="P623" i="3"/>
  <c r="O623" i="3"/>
  <c r="N623" i="3"/>
  <c r="H623" i="3"/>
  <c r="G623" i="3"/>
  <c r="I623" i="3" s="1"/>
  <c r="S622" i="3"/>
  <c r="R622" i="3"/>
  <c r="Q622" i="3"/>
  <c r="P622" i="3"/>
  <c r="O622" i="3"/>
  <c r="N622" i="3"/>
  <c r="H622" i="3"/>
  <c r="G622" i="3"/>
  <c r="S621" i="3"/>
  <c r="R621" i="3"/>
  <c r="Q621" i="3"/>
  <c r="P621" i="3"/>
  <c r="O621" i="3"/>
  <c r="N621" i="3"/>
  <c r="H621" i="3"/>
  <c r="I621" i="3" s="1"/>
  <c r="G621" i="3"/>
  <c r="S620" i="3"/>
  <c r="R620" i="3"/>
  <c r="Q620" i="3"/>
  <c r="P620" i="3"/>
  <c r="O620" i="3"/>
  <c r="N620" i="3"/>
  <c r="I620" i="3"/>
  <c r="H620" i="3"/>
  <c r="G620" i="3"/>
  <c r="S619" i="3"/>
  <c r="R619" i="3"/>
  <c r="Q619" i="3"/>
  <c r="P619" i="3"/>
  <c r="O619" i="3"/>
  <c r="N619" i="3"/>
  <c r="I619" i="3"/>
  <c r="H619" i="3"/>
  <c r="G619" i="3"/>
  <c r="S618" i="3"/>
  <c r="R618" i="3"/>
  <c r="Q618" i="3"/>
  <c r="P618" i="3"/>
  <c r="O618" i="3"/>
  <c r="N618" i="3"/>
  <c r="H618" i="3"/>
  <c r="I618" i="3" s="1"/>
  <c r="G618" i="3"/>
  <c r="U617" i="3"/>
  <c r="S617" i="3"/>
  <c r="N617" i="3"/>
  <c r="M617" i="3"/>
  <c r="Q617" i="3" s="1"/>
  <c r="L617" i="3"/>
  <c r="K617" i="3"/>
  <c r="J617" i="3"/>
  <c r="P617" i="3" s="1"/>
  <c r="G617" i="3"/>
  <c r="F617" i="3"/>
  <c r="E617" i="3"/>
  <c r="D617" i="3"/>
  <c r="T617" i="3" s="1"/>
  <c r="A617" i="3"/>
  <c r="S616" i="3"/>
  <c r="R616" i="3"/>
  <c r="Q616" i="3"/>
  <c r="P616" i="3"/>
  <c r="O616" i="3"/>
  <c r="N616" i="3"/>
  <c r="H616" i="3"/>
  <c r="G616" i="3"/>
  <c r="A616" i="3"/>
  <c r="S615" i="3"/>
  <c r="R615" i="3"/>
  <c r="Q615" i="3"/>
  <c r="P615" i="3"/>
  <c r="O615" i="3"/>
  <c r="N615" i="3"/>
  <c r="H615" i="3"/>
  <c r="I615" i="3" s="1"/>
  <c r="G615" i="3"/>
  <c r="S614" i="3"/>
  <c r="R614" i="3"/>
  <c r="Q614" i="3"/>
  <c r="P614" i="3"/>
  <c r="O614" i="3"/>
  <c r="N614" i="3"/>
  <c r="I614" i="3"/>
  <c r="H614" i="3"/>
  <c r="G614" i="3"/>
  <c r="S613" i="3"/>
  <c r="R613" i="3"/>
  <c r="Q613" i="3"/>
  <c r="P613" i="3"/>
  <c r="O613" i="3"/>
  <c r="N613" i="3"/>
  <c r="H613" i="3"/>
  <c r="G613" i="3"/>
  <c r="S612" i="3"/>
  <c r="R612" i="3"/>
  <c r="Q612" i="3"/>
  <c r="P612" i="3"/>
  <c r="O612" i="3"/>
  <c r="N612" i="3"/>
  <c r="H612" i="3"/>
  <c r="I612" i="3" s="1"/>
  <c r="G612" i="3"/>
  <c r="S611" i="3"/>
  <c r="R611" i="3"/>
  <c r="Q611" i="3"/>
  <c r="P611" i="3"/>
  <c r="O611" i="3"/>
  <c r="N611" i="3"/>
  <c r="I611" i="3"/>
  <c r="H611" i="3"/>
  <c r="G611" i="3"/>
  <c r="S610" i="3"/>
  <c r="R610" i="3"/>
  <c r="Q610" i="3"/>
  <c r="P610" i="3"/>
  <c r="O610" i="3"/>
  <c r="N610" i="3"/>
  <c r="I610" i="3"/>
  <c r="H610" i="3"/>
  <c r="G610" i="3"/>
  <c r="S609" i="3"/>
  <c r="R609" i="3"/>
  <c r="Q609" i="3"/>
  <c r="P609" i="3"/>
  <c r="O609" i="3"/>
  <c r="N609" i="3"/>
  <c r="H609" i="3"/>
  <c r="G609" i="3"/>
  <c r="S608" i="3"/>
  <c r="R608" i="3"/>
  <c r="Q608" i="3"/>
  <c r="P608" i="3"/>
  <c r="O608" i="3"/>
  <c r="N608" i="3"/>
  <c r="H608" i="3"/>
  <c r="I608" i="3" s="1"/>
  <c r="G608" i="3"/>
  <c r="S607" i="3"/>
  <c r="R607" i="3"/>
  <c r="Q607" i="3"/>
  <c r="P607" i="3"/>
  <c r="O607" i="3"/>
  <c r="N607" i="3"/>
  <c r="I607" i="3"/>
  <c r="H607" i="3"/>
  <c r="G607" i="3"/>
  <c r="S606" i="3"/>
  <c r="R606" i="3"/>
  <c r="Q606" i="3"/>
  <c r="P606" i="3"/>
  <c r="O606" i="3"/>
  <c r="N606" i="3"/>
  <c r="I606" i="3"/>
  <c r="H606" i="3"/>
  <c r="G606" i="3"/>
  <c r="S605" i="3"/>
  <c r="R605" i="3"/>
  <c r="Q605" i="3"/>
  <c r="P605" i="3"/>
  <c r="O605" i="3"/>
  <c r="N605" i="3"/>
  <c r="H605" i="3"/>
  <c r="I605" i="3" s="1"/>
  <c r="G605" i="3"/>
  <c r="S604" i="3"/>
  <c r="R604" i="3"/>
  <c r="Q604" i="3"/>
  <c r="P604" i="3"/>
  <c r="O604" i="3"/>
  <c r="N604" i="3"/>
  <c r="H604" i="3"/>
  <c r="I604" i="3" s="1"/>
  <c r="G604" i="3"/>
  <c r="S603" i="3"/>
  <c r="R603" i="3"/>
  <c r="Q603" i="3"/>
  <c r="P603" i="3"/>
  <c r="O603" i="3"/>
  <c r="N603" i="3"/>
  <c r="H603" i="3"/>
  <c r="I603" i="3" s="1"/>
  <c r="G603" i="3"/>
  <c r="S602" i="3"/>
  <c r="R602" i="3"/>
  <c r="Q602" i="3"/>
  <c r="P602" i="3"/>
  <c r="O602" i="3"/>
  <c r="N602" i="3"/>
  <c r="I602" i="3"/>
  <c r="H602" i="3"/>
  <c r="G602" i="3"/>
  <c r="S601" i="3"/>
  <c r="R601" i="3"/>
  <c r="Q601" i="3"/>
  <c r="P601" i="3"/>
  <c r="O601" i="3"/>
  <c r="N601" i="3"/>
  <c r="H601" i="3"/>
  <c r="I601" i="3" s="1"/>
  <c r="G601" i="3"/>
  <c r="Q600" i="3"/>
  <c r="M600" i="3"/>
  <c r="O600" i="3" s="1"/>
  <c r="L600" i="3"/>
  <c r="K600" i="3"/>
  <c r="J600" i="3"/>
  <c r="F600" i="3"/>
  <c r="E600" i="3"/>
  <c r="D600" i="3"/>
  <c r="A600" i="3"/>
  <c r="S599" i="3"/>
  <c r="R599" i="3"/>
  <c r="Q599" i="3"/>
  <c r="P599" i="3"/>
  <c r="O599" i="3"/>
  <c r="N599" i="3"/>
  <c r="H599" i="3"/>
  <c r="G599" i="3"/>
  <c r="A599" i="3"/>
  <c r="S598" i="3"/>
  <c r="R598" i="3"/>
  <c r="Q598" i="3"/>
  <c r="P598" i="3"/>
  <c r="O598" i="3"/>
  <c r="N598" i="3"/>
  <c r="I598" i="3"/>
  <c r="H598" i="3"/>
  <c r="G598" i="3"/>
  <c r="S597" i="3"/>
  <c r="R597" i="3"/>
  <c r="Q597" i="3"/>
  <c r="P597" i="3"/>
  <c r="O597" i="3"/>
  <c r="N597" i="3"/>
  <c r="I597" i="3"/>
  <c r="H597" i="3"/>
  <c r="G597" i="3"/>
  <c r="S596" i="3"/>
  <c r="R596" i="3"/>
  <c r="Q596" i="3"/>
  <c r="P596" i="3"/>
  <c r="O596" i="3"/>
  <c r="N596" i="3"/>
  <c r="H596" i="3"/>
  <c r="I596" i="3" s="1"/>
  <c r="G596" i="3"/>
  <c r="S595" i="3"/>
  <c r="R595" i="3"/>
  <c r="Q595" i="3"/>
  <c r="P595" i="3"/>
  <c r="O595" i="3"/>
  <c r="N595" i="3"/>
  <c r="H595" i="3"/>
  <c r="I595" i="3" s="1"/>
  <c r="G595" i="3"/>
  <c r="S594" i="3"/>
  <c r="R594" i="3"/>
  <c r="Q594" i="3"/>
  <c r="P594" i="3"/>
  <c r="O594" i="3"/>
  <c r="N594" i="3"/>
  <c r="H594" i="3"/>
  <c r="I594" i="3" s="1"/>
  <c r="G594" i="3"/>
  <c r="S593" i="3"/>
  <c r="R593" i="3"/>
  <c r="Q593" i="3"/>
  <c r="P593" i="3"/>
  <c r="O593" i="3"/>
  <c r="N593" i="3"/>
  <c r="I593" i="3"/>
  <c r="H593" i="3"/>
  <c r="G593" i="3"/>
  <c r="S592" i="3"/>
  <c r="R592" i="3"/>
  <c r="Q592" i="3"/>
  <c r="P592" i="3"/>
  <c r="O592" i="3"/>
  <c r="N592" i="3"/>
  <c r="H592" i="3"/>
  <c r="I592" i="3" s="1"/>
  <c r="G592" i="3"/>
  <c r="S591" i="3"/>
  <c r="R591" i="3"/>
  <c r="Q591" i="3"/>
  <c r="P591" i="3"/>
  <c r="O591" i="3"/>
  <c r="N591" i="3"/>
  <c r="H591" i="3"/>
  <c r="G591" i="3"/>
  <c r="I591" i="3" s="1"/>
  <c r="S590" i="3"/>
  <c r="R590" i="3"/>
  <c r="R600" i="3" s="1"/>
  <c r="Q590" i="3"/>
  <c r="P590" i="3"/>
  <c r="O590" i="3"/>
  <c r="N590" i="3"/>
  <c r="H590" i="3"/>
  <c r="G590" i="3"/>
  <c r="I590" i="3" s="1"/>
  <c r="S589" i="3"/>
  <c r="R589" i="3"/>
  <c r="Q589" i="3"/>
  <c r="P589" i="3"/>
  <c r="O589" i="3"/>
  <c r="N589" i="3"/>
  <c r="H589" i="3"/>
  <c r="G589" i="3"/>
  <c r="I589" i="3" s="1"/>
  <c r="S588" i="3"/>
  <c r="R588" i="3"/>
  <c r="Q588" i="3"/>
  <c r="P588" i="3"/>
  <c r="O588" i="3"/>
  <c r="N588" i="3"/>
  <c r="H588" i="3"/>
  <c r="G588" i="3"/>
  <c r="S587" i="3"/>
  <c r="R587" i="3"/>
  <c r="Q587" i="3"/>
  <c r="P587" i="3"/>
  <c r="O587" i="3"/>
  <c r="N587" i="3"/>
  <c r="I587" i="3"/>
  <c r="H587" i="3"/>
  <c r="G587" i="3"/>
  <c r="S586" i="3"/>
  <c r="R586" i="3"/>
  <c r="Q586" i="3"/>
  <c r="P586" i="3"/>
  <c r="O586" i="3"/>
  <c r="N586" i="3"/>
  <c r="I586" i="3"/>
  <c r="H586" i="3"/>
  <c r="G586" i="3"/>
  <c r="S585" i="3"/>
  <c r="R585" i="3"/>
  <c r="Q585" i="3"/>
  <c r="P585" i="3"/>
  <c r="O585" i="3"/>
  <c r="N585" i="3"/>
  <c r="H585" i="3"/>
  <c r="G585" i="3"/>
  <c r="I585" i="3" s="1"/>
  <c r="S584" i="3"/>
  <c r="R584" i="3"/>
  <c r="Q584" i="3"/>
  <c r="P584" i="3"/>
  <c r="O584" i="3"/>
  <c r="N584" i="3"/>
  <c r="H584" i="3"/>
  <c r="G584" i="3"/>
  <c r="S583" i="3"/>
  <c r="Q583" i="3"/>
  <c r="P583" i="3"/>
  <c r="M583" i="3"/>
  <c r="O583" i="3" s="1"/>
  <c r="L583" i="3"/>
  <c r="K583" i="3"/>
  <c r="J583" i="3"/>
  <c r="N583" i="3" s="1"/>
  <c r="F583" i="3"/>
  <c r="G583" i="3" s="1"/>
  <c r="E583" i="3"/>
  <c r="D583" i="3"/>
  <c r="A583" i="3"/>
  <c r="S582" i="3"/>
  <c r="R582" i="3"/>
  <c r="Q582" i="3"/>
  <c r="P582" i="3"/>
  <c r="O582" i="3"/>
  <c r="N582" i="3"/>
  <c r="H582" i="3"/>
  <c r="G582" i="3"/>
  <c r="A582" i="3"/>
  <c r="S581" i="3"/>
  <c r="R581" i="3"/>
  <c r="Q581" i="3"/>
  <c r="P581" i="3"/>
  <c r="O581" i="3"/>
  <c r="N581" i="3"/>
  <c r="I581" i="3"/>
  <c r="H581" i="3"/>
  <c r="G581" i="3"/>
  <c r="S580" i="3"/>
  <c r="R580" i="3"/>
  <c r="Q580" i="3"/>
  <c r="P580" i="3"/>
  <c r="O580" i="3"/>
  <c r="N580" i="3"/>
  <c r="H580" i="3"/>
  <c r="G580" i="3"/>
  <c r="I580" i="3" s="1"/>
  <c r="S579" i="3"/>
  <c r="R579" i="3"/>
  <c r="Q579" i="3"/>
  <c r="P579" i="3"/>
  <c r="O579" i="3"/>
  <c r="N579" i="3"/>
  <c r="H579" i="3"/>
  <c r="I579" i="3" s="1"/>
  <c r="G579" i="3"/>
  <c r="S578" i="3"/>
  <c r="R578" i="3"/>
  <c r="Q578" i="3"/>
  <c r="P578" i="3"/>
  <c r="O578" i="3"/>
  <c r="N578" i="3"/>
  <c r="H578" i="3"/>
  <c r="G578" i="3"/>
  <c r="S577" i="3"/>
  <c r="R577" i="3"/>
  <c r="Q577" i="3"/>
  <c r="P577" i="3"/>
  <c r="O577" i="3"/>
  <c r="N577" i="3"/>
  <c r="I577" i="3"/>
  <c r="H577" i="3"/>
  <c r="G577" i="3"/>
  <c r="S576" i="3"/>
  <c r="R576" i="3"/>
  <c r="Q576" i="3"/>
  <c r="P576" i="3"/>
  <c r="O576" i="3"/>
  <c r="N576" i="3"/>
  <c r="H576" i="3"/>
  <c r="G576" i="3"/>
  <c r="I576" i="3" s="1"/>
  <c r="S575" i="3"/>
  <c r="R575" i="3"/>
  <c r="Q575" i="3"/>
  <c r="P575" i="3"/>
  <c r="O575" i="3"/>
  <c r="N575" i="3"/>
  <c r="H575" i="3"/>
  <c r="G575" i="3"/>
  <c r="S574" i="3"/>
  <c r="R574" i="3"/>
  <c r="Q574" i="3"/>
  <c r="P574" i="3"/>
  <c r="O574" i="3"/>
  <c r="N574" i="3"/>
  <c r="H574" i="3"/>
  <c r="G574" i="3"/>
  <c r="S573" i="3"/>
  <c r="R573" i="3"/>
  <c r="Q573" i="3"/>
  <c r="P573" i="3"/>
  <c r="O573" i="3"/>
  <c r="N573" i="3"/>
  <c r="I573" i="3"/>
  <c r="H573" i="3"/>
  <c r="G573" i="3"/>
  <c r="S572" i="3"/>
  <c r="R572" i="3"/>
  <c r="Q572" i="3"/>
  <c r="P572" i="3"/>
  <c r="O572" i="3"/>
  <c r="N572" i="3"/>
  <c r="H572" i="3"/>
  <c r="G572" i="3"/>
  <c r="I572" i="3" s="1"/>
  <c r="S571" i="3"/>
  <c r="R571" i="3"/>
  <c r="Q571" i="3"/>
  <c r="P571" i="3"/>
  <c r="O571" i="3"/>
  <c r="N571" i="3"/>
  <c r="H571" i="3"/>
  <c r="I571" i="3" s="1"/>
  <c r="G571" i="3"/>
  <c r="S570" i="3"/>
  <c r="R570" i="3"/>
  <c r="Q570" i="3"/>
  <c r="P570" i="3"/>
  <c r="O570" i="3"/>
  <c r="N570" i="3"/>
  <c r="H570" i="3"/>
  <c r="G570" i="3"/>
  <c r="S569" i="3"/>
  <c r="R569" i="3"/>
  <c r="Q569" i="3"/>
  <c r="P569" i="3"/>
  <c r="O569" i="3"/>
  <c r="N569" i="3"/>
  <c r="I569" i="3"/>
  <c r="H569" i="3"/>
  <c r="G569" i="3"/>
  <c r="S568" i="3"/>
  <c r="R568" i="3"/>
  <c r="Q568" i="3"/>
  <c r="P568" i="3"/>
  <c r="O568" i="3"/>
  <c r="N568" i="3"/>
  <c r="H568" i="3"/>
  <c r="G568" i="3"/>
  <c r="I568" i="3" s="1"/>
  <c r="S567" i="3"/>
  <c r="R567" i="3"/>
  <c r="R583" i="3" s="1"/>
  <c r="Q567" i="3"/>
  <c r="P567" i="3"/>
  <c r="O567" i="3"/>
  <c r="N567" i="3"/>
  <c r="H567" i="3"/>
  <c r="I567" i="3" s="1"/>
  <c r="G567" i="3"/>
  <c r="M566" i="3"/>
  <c r="Q566" i="3" s="1"/>
  <c r="L566" i="3"/>
  <c r="S566" i="3" s="1"/>
  <c r="K566" i="3"/>
  <c r="J566" i="3"/>
  <c r="P566" i="3" s="1"/>
  <c r="G566" i="3"/>
  <c r="F566" i="3"/>
  <c r="E566" i="3"/>
  <c r="D566" i="3"/>
  <c r="A566" i="3"/>
  <c r="S565" i="3"/>
  <c r="R565" i="3"/>
  <c r="Q565" i="3"/>
  <c r="P565" i="3"/>
  <c r="O565" i="3"/>
  <c r="N565" i="3"/>
  <c r="H565" i="3"/>
  <c r="G565" i="3"/>
  <c r="A565" i="3"/>
  <c r="S564" i="3"/>
  <c r="R564" i="3"/>
  <c r="Q564" i="3"/>
  <c r="P564" i="3"/>
  <c r="O564" i="3"/>
  <c r="N564" i="3"/>
  <c r="I564" i="3"/>
  <c r="H564" i="3"/>
  <c r="G564" i="3"/>
  <c r="S563" i="3"/>
  <c r="R563" i="3"/>
  <c r="Q563" i="3"/>
  <c r="P563" i="3"/>
  <c r="O563" i="3"/>
  <c r="N563" i="3"/>
  <c r="H563" i="3"/>
  <c r="I563" i="3" s="1"/>
  <c r="G563" i="3"/>
  <c r="S562" i="3"/>
  <c r="R562" i="3"/>
  <c r="Q562" i="3"/>
  <c r="P562" i="3"/>
  <c r="O562" i="3"/>
  <c r="N562" i="3"/>
  <c r="H562" i="3"/>
  <c r="G562" i="3"/>
  <c r="S561" i="3"/>
  <c r="R561" i="3"/>
  <c r="Q561" i="3"/>
  <c r="P561" i="3"/>
  <c r="O561" i="3"/>
  <c r="N561" i="3"/>
  <c r="H561" i="3"/>
  <c r="G561" i="3"/>
  <c r="S560" i="3"/>
  <c r="R560" i="3"/>
  <c r="Q560" i="3"/>
  <c r="P560" i="3"/>
  <c r="O560" i="3"/>
  <c r="N560" i="3"/>
  <c r="H560" i="3"/>
  <c r="I560" i="3" s="1"/>
  <c r="G560" i="3"/>
  <c r="S559" i="3"/>
  <c r="R559" i="3"/>
  <c r="Q559" i="3"/>
  <c r="P559" i="3"/>
  <c r="O559" i="3"/>
  <c r="N559" i="3"/>
  <c r="H559" i="3"/>
  <c r="G559" i="3"/>
  <c r="I559" i="3" s="1"/>
  <c r="S558" i="3"/>
  <c r="R558" i="3"/>
  <c r="Q558" i="3"/>
  <c r="P558" i="3"/>
  <c r="O558" i="3"/>
  <c r="N558" i="3"/>
  <c r="H558" i="3"/>
  <c r="I558" i="3" s="1"/>
  <c r="G558" i="3"/>
  <c r="S557" i="3"/>
  <c r="R557" i="3"/>
  <c r="Q557" i="3"/>
  <c r="P557" i="3"/>
  <c r="O557" i="3"/>
  <c r="N557" i="3"/>
  <c r="H557" i="3"/>
  <c r="G557" i="3"/>
  <c r="I557" i="3" s="1"/>
  <c r="S556" i="3"/>
  <c r="R556" i="3"/>
  <c r="Q556" i="3"/>
  <c r="P556" i="3"/>
  <c r="O556" i="3"/>
  <c r="N556" i="3"/>
  <c r="H556" i="3"/>
  <c r="I556" i="3" s="1"/>
  <c r="G556" i="3"/>
  <c r="S555" i="3"/>
  <c r="R555" i="3"/>
  <c r="Q555" i="3"/>
  <c r="P555" i="3"/>
  <c r="O555" i="3"/>
  <c r="N555" i="3"/>
  <c r="I555" i="3"/>
  <c r="H555" i="3"/>
  <c r="G555" i="3"/>
  <c r="S554" i="3"/>
  <c r="R554" i="3"/>
  <c r="Q554" i="3"/>
  <c r="P554" i="3"/>
  <c r="O554" i="3"/>
  <c r="N554" i="3"/>
  <c r="H554" i="3"/>
  <c r="I554" i="3" s="1"/>
  <c r="G554" i="3"/>
  <c r="S553" i="3"/>
  <c r="R553" i="3"/>
  <c r="Q553" i="3"/>
  <c r="P553" i="3"/>
  <c r="O553" i="3"/>
  <c r="N553" i="3"/>
  <c r="I553" i="3"/>
  <c r="H553" i="3"/>
  <c r="G553" i="3"/>
  <c r="S552" i="3"/>
  <c r="R552" i="3"/>
  <c r="Q552" i="3"/>
  <c r="P552" i="3"/>
  <c r="O552" i="3"/>
  <c r="N552" i="3"/>
  <c r="H552" i="3"/>
  <c r="I552" i="3" s="1"/>
  <c r="G552" i="3"/>
  <c r="S551" i="3"/>
  <c r="R551" i="3"/>
  <c r="Q551" i="3"/>
  <c r="P551" i="3"/>
  <c r="O551" i="3"/>
  <c r="N551" i="3"/>
  <c r="H551" i="3"/>
  <c r="I551" i="3" s="1"/>
  <c r="G551" i="3"/>
  <c r="S550" i="3"/>
  <c r="R550" i="3"/>
  <c r="Q550" i="3"/>
  <c r="P550" i="3"/>
  <c r="O550" i="3"/>
  <c r="N550" i="3"/>
  <c r="H550" i="3"/>
  <c r="G550" i="3"/>
  <c r="M549" i="3"/>
  <c r="L549" i="3"/>
  <c r="K549" i="3"/>
  <c r="J549" i="3"/>
  <c r="I549" i="3"/>
  <c r="H549" i="3"/>
  <c r="F549" i="3"/>
  <c r="E549" i="3"/>
  <c r="G549" i="3" s="1"/>
  <c r="D549" i="3"/>
  <c r="A549" i="3"/>
  <c r="S548" i="3"/>
  <c r="R548" i="3"/>
  <c r="Q548" i="3"/>
  <c r="P548" i="3"/>
  <c r="O548" i="3"/>
  <c r="N548" i="3"/>
  <c r="H548" i="3"/>
  <c r="G548" i="3"/>
  <c r="I548" i="3" s="1"/>
  <c r="A548" i="3"/>
  <c r="S547" i="3"/>
  <c r="R547" i="3"/>
  <c r="Q547" i="3"/>
  <c r="P547" i="3"/>
  <c r="O547" i="3"/>
  <c r="N547" i="3"/>
  <c r="H547" i="3"/>
  <c r="I547" i="3" s="1"/>
  <c r="G547" i="3"/>
  <c r="S546" i="3"/>
  <c r="R546" i="3"/>
  <c r="Q546" i="3"/>
  <c r="P546" i="3"/>
  <c r="O546" i="3"/>
  <c r="N546" i="3"/>
  <c r="I546" i="3"/>
  <c r="H546" i="3"/>
  <c r="G546" i="3"/>
  <c r="S545" i="3"/>
  <c r="R545" i="3"/>
  <c r="Q545" i="3"/>
  <c r="P545" i="3"/>
  <c r="O545" i="3"/>
  <c r="N545" i="3"/>
  <c r="H545" i="3"/>
  <c r="G545" i="3"/>
  <c r="S544" i="3"/>
  <c r="R544" i="3"/>
  <c r="Q544" i="3"/>
  <c r="P544" i="3"/>
  <c r="O544" i="3"/>
  <c r="N544" i="3"/>
  <c r="H544" i="3"/>
  <c r="G544" i="3"/>
  <c r="I544" i="3" s="1"/>
  <c r="S543" i="3"/>
  <c r="R543" i="3"/>
  <c r="Q543" i="3"/>
  <c r="P543" i="3"/>
  <c r="O543" i="3"/>
  <c r="N543" i="3"/>
  <c r="H543" i="3"/>
  <c r="I543" i="3" s="1"/>
  <c r="G543" i="3"/>
  <c r="S542" i="3"/>
  <c r="R542" i="3"/>
  <c r="Q542" i="3"/>
  <c r="P542" i="3"/>
  <c r="O542" i="3"/>
  <c r="N542" i="3"/>
  <c r="H542" i="3"/>
  <c r="G542" i="3"/>
  <c r="I542" i="3" s="1"/>
  <c r="S541" i="3"/>
  <c r="R541" i="3"/>
  <c r="Q541" i="3"/>
  <c r="P541" i="3"/>
  <c r="O541" i="3"/>
  <c r="N541" i="3"/>
  <c r="H541" i="3"/>
  <c r="I541" i="3" s="1"/>
  <c r="G541" i="3"/>
  <c r="S540" i="3"/>
  <c r="R540" i="3"/>
  <c r="Q540" i="3"/>
  <c r="P540" i="3"/>
  <c r="O540" i="3"/>
  <c r="N540" i="3"/>
  <c r="I540" i="3"/>
  <c r="H540" i="3"/>
  <c r="G540" i="3"/>
  <c r="S539" i="3"/>
  <c r="R539" i="3"/>
  <c r="Q539" i="3"/>
  <c r="P539" i="3"/>
  <c r="O539" i="3"/>
  <c r="N539" i="3"/>
  <c r="I539" i="3"/>
  <c r="H539" i="3"/>
  <c r="G539" i="3"/>
  <c r="S538" i="3"/>
  <c r="R538" i="3"/>
  <c r="Q538" i="3"/>
  <c r="P538" i="3"/>
  <c r="O538" i="3"/>
  <c r="N538" i="3"/>
  <c r="H538" i="3"/>
  <c r="G538" i="3"/>
  <c r="I538" i="3" s="1"/>
  <c r="S537" i="3"/>
  <c r="R537" i="3"/>
  <c r="Q537" i="3"/>
  <c r="P537" i="3"/>
  <c r="O537" i="3"/>
  <c r="N537" i="3"/>
  <c r="H537" i="3"/>
  <c r="I537" i="3" s="1"/>
  <c r="G537" i="3"/>
  <c r="S536" i="3"/>
  <c r="R536" i="3"/>
  <c r="Q536" i="3"/>
  <c r="P536" i="3"/>
  <c r="O536" i="3"/>
  <c r="N536" i="3"/>
  <c r="I536" i="3"/>
  <c r="H536" i="3"/>
  <c r="G536" i="3"/>
  <c r="S535" i="3"/>
  <c r="R535" i="3"/>
  <c r="Q535" i="3"/>
  <c r="P535" i="3"/>
  <c r="O535" i="3"/>
  <c r="N535" i="3"/>
  <c r="I535" i="3"/>
  <c r="H535" i="3"/>
  <c r="G535" i="3"/>
  <c r="S534" i="3"/>
  <c r="R534" i="3"/>
  <c r="Q534" i="3"/>
  <c r="P534" i="3"/>
  <c r="O534" i="3"/>
  <c r="N534" i="3"/>
  <c r="H534" i="3"/>
  <c r="G534" i="3"/>
  <c r="I534" i="3" s="1"/>
  <c r="S533" i="3"/>
  <c r="R533" i="3"/>
  <c r="R549" i="3" s="1"/>
  <c r="Q533" i="3"/>
  <c r="P533" i="3"/>
  <c r="O533" i="3"/>
  <c r="N533" i="3"/>
  <c r="H533" i="3"/>
  <c r="G533" i="3"/>
  <c r="P532" i="3"/>
  <c r="O532" i="3"/>
  <c r="M532" i="3"/>
  <c r="Q532" i="3" s="1"/>
  <c r="L532" i="3"/>
  <c r="K532" i="3"/>
  <c r="J532" i="3"/>
  <c r="S532" i="3" s="1"/>
  <c r="F532" i="3"/>
  <c r="E532" i="3"/>
  <c r="D532" i="3"/>
  <c r="A532" i="3"/>
  <c r="S531" i="3"/>
  <c r="R531" i="3"/>
  <c r="Q531" i="3"/>
  <c r="P531" i="3"/>
  <c r="O531" i="3"/>
  <c r="N531" i="3"/>
  <c r="H531" i="3"/>
  <c r="I531" i="3" s="1"/>
  <c r="G531" i="3"/>
  <c r="A531" i="3"/>
  <c r="S530" i="3"/>
  <c r="R530" i="3"/>
  <c r="Q530" i="3"/>
  <c r="P530" i="3"/>
  <c r="O530" i="3"/>
  <c r="N530" i="3"/>
  <c r="I530" i="3"/>
  <c r="H530" i="3"/>
  <c r="G530" i="3"/>
  <c r="S529" i="3"/>
  <c r="R529" i="3"/>
  <c r="Q529" i="3"/>
  <c r="P529" i="3"/>
  <c r="O529" i="3"/>
  <c r="N529" i="3"/>
  <c r="H529" i="3"/>
  <c r="G529" i="3"/>
  <c r="I529" i="3" s="1"/>
  <c r="S528" i="3"/>
  <c r="R528" i="3"/>
  <c r="Q528" i="3"/>
  <c r="P528" i="3"/>
  <c r="O528" i="3"/>
  <c r="N528" i="3"/>
  <c r="H528" i="3"/>
  <c r="I528" i="3" s="1"/>
  <c r="G528" i="3"/>
  <c r="S527" i="3"/>
  <c r="R527" i="3"/>
  <c r="Q527" i="3"/>
  <c r="P527" i="3"/>
  <c r="O527" i="3"/>
  <c r="N527" i="3"/>
  <c r="I527" i="3"/>
  <c r="H527" i="3"/>
  <c r="G527" i="3"/>
  <c r="S526" i="3"/>
  <c r="R526" i="3"/>
  <c r="Q526" i="3"/>
  <c r="P526" i="3"/>
  <c r="O526" i="3"/>
  <c r="N526" i="3"/>
  <c r="I526" i="3"/>
  <c r="H526" i="3"/>
  <c r="G526" i="3"/>
  <c r="S525" i="3"/>
  <c r="R525" i="3"/>
  <c r="Q525" i="3"/>
  <c r="P525" i="3"/>
  <c r="O525" i="3"/>
  <c r="N525" i="3"/>
  <c r="I525" i="3"/>
  <c r="H525" i="3"/>
  <c r="G525" i="3"/>
  <c r="S524" i="3"/>
  <c r="R524" i="3"/>
  <c r="Q524" i="3"/>
  <c r="P524" i="3"/>
  <c r="O524" i="3"/>
  <c r="N524" i="3"/>
  <c r="H524" i="3"/>
  <c r="G524" i="3"/>
  <c r="S523" i="3"/>
  <c r="R523" i="3"/>
  <c r="Q523" i="3"/>
  <c r="P523" i="3"/>
  <c r="O523" i="3"/>
  <c r="N523" i="3"/>
  <c r="I523" i="3"/>
  <c r="H523" i="3"/>
  <c r="G523" i="3"/>
  <c r="S522" i="3"/>
  <c r="R522" i="3"/>
  <c r="Q522" i="3"/>
  <c r="P522" i="3"/>
  <c r="O522" i="3"/>
  <c r="N522" i="3"/>
  <c r="I522" i="3"/>
  <c r="H522" i="3"/>
  <c r="G522" i="3"/>
  <c r="S521" i="3"/>
  <c r="R521" i="3"/>
  <c r="Q521" i="3"/>
  <c r="P521" i="3"/>
  <c r="O521" i="3"/>
  <c r="N521" i="3"/>
  <c r="I521" i="3"/>
  <c r="H521" i="3"/>
  <c r="G521" i="3"/>
  <c r="S520" i="3"/>
  <c r="R520" i="3"/>
  <c r="Q520" i="3"/>
  <c r="P520" i="3"/>
  <c r="O520" i="3"/>
  <c r="N520" i="3"/>
  <c r="H520" i="3"/>
  <c r="I520" i="3" s="1"/>
  <c r="G520" i="3"/>
  <c r="S519" i="3"/>
  <c r="R519" i="3"/>
  <c r="Q519" i="3"/>
  <c r="P519" i="3"/>
  <c r="O519" i="3"/>
  <c r="N519" i="3"/>
  <c r="I519" i="3"/>
  <c r="H519" i="3"/>
  <c r="G519" i="3"/>
  <c r="S518" i="3"/>
  <c r="R518" i="3"/>
  <c r="Q518" i="3"/>
  <c r="P518" i="3"/>
  <c r="O518" i="3"/>
  <c r="N518" i="3"/>
  <c r="I518" i="3"/>
  <c r="H518" i="3"/>
  <c r="G518" i="3"/>
  <c r="S517" i="3"/>
  <c r="R517" i="3"/>
  <c r="Q517" i="3"/>
  <c r="P517" i="3"/>
  <c r="O517" i="3"/>
  <c r="N517" i="3"/>
  <c r="I517" i="3"/>
  <c r="H517" i="3"/>
  <c r="G517" i="3"/>
  <c r="S516" i="3"/>
  <c r="R516" i="3"/>
  <c r="R532" i="3" s="1"/>
  <c r="Q516" i="3"/>
  <c r="P516" i="3"/>
  <c r="O516" i="3"/>
  <c r="N516" i="3"/>
  <c r="H516" i="3"/>
  <c r="G516" i="3"/>
  <c r="Q515" i="3"/>
  <c r="M515" i="3"/>
  <c r="O515" i="3" s="1"/>
  <c r="L515" i="3"/>
  <c r="K515" i="3"/>
  <c r="J515" i="3"/>
  <c r="P515" i="3" s="1"/>
  <c r="G515" i="3"/>
  <c r="F515" i="3"/>
  <c r="E515" i="3"/>
  <c r="D515" i="3"/>
  <c r="T515" i="3" s="1"/>
  <c r="A515" i="3"/>
  <c r="S514" i="3"/>
  <c r="R514" i="3"/>
  <c r="Q514" i="3"/>
  <c r="P514" i="3"/>
  <c r="O514" i="3"/>
  <c r="N514" i="3"/>
  <c r="H514" i="3"/>
  <c r="G514" i="3"/>
  <c r="A514" i="3"/>
  <c r="S513" i="3"/>
  <c r="R513" i="3"/>
  <c r="Q513" i="3"/>
  <c r="P513" i="3"/>
  <c r="O513" i="3"/>
  <c r="N513" i="3"/>
  <c r="I513" i="3"/>
  <c r="H513" i="3"/>
  <c r="G513" i="3"/>
  <c r="S512" i="3"/>
  <c r="R512" i="3"/>
  <c r="Q512" i="3"/>
  <c r="P512" i="3"/>
  <c r="O512" i="3"/>
  <c r="N512" i="3"/>
  <c r="H512" i="3"/>
  <c r="G512" i="3"/>
  <c r="I512" i="3" s="1"/>
  <c r="S511" i="3"/>
  <c r="R511" i="3"/>
  <c r="Q511" i="3"/>
  <c r="P511" i="3"/>
  <c r="O511" i="3"/>
  <c r="N511" i="3"/>
  <c r="H511" i="3"/>
  <c r="G511" i="3"/>
  <c r="S510" i="3"/>
  <c r="R510" i="3"/>
  <c r="Q510" i="3"/>
  <c r="P510" i="3"/>
  <c r="O510" i="3"/>
  <c r="N510" i="3"/>
  <c r="H510" i="3"/>
  <c r="I510" i="3" s="1"/>
  <c r="G510" i="3"/>
  <c r="S509" i="3"/>
  <c r="R509" i="3"/>
  <c r="Q509" i="3"/>
  <c r="P509" i="3"/>
  <c r="O509" i="3"/>
  <c r="N509" i="3"/>
  <c r="I509" i="3"/>
  <c r="H509" i="3"/>
  <c r="G509" i="3"/>
  <c r="S508" i="3"/>
  <c r="R508" i="3"/>
  <c r="Q508" i="3"/>
  <c r="P508" i="3"/>
  <c r="O508" i="3"/>
  <c r="N508" i="3"/>
  <c r="I508" i="3"/>
  <c r="H508" i="3"/>
  <c r="G508" i="3"/>
  <c r="S507" i="3"/>
  <c r="R507" i="3"/>
  <c r="Q507" i="3"/>
  <c r="P507" i="3"/>
  <c r="O507" i="3"/>
  <c r="N507" i="3"/>
  <c r="H507" i="3"/>
  <c r="I507" i="3" s="1"/>
  <c r="G507" i="3"/>
  <c r="S506" i="3"/>
  <c r="R506" i="3"/>
  <c r="Q506" i="3"/>
  <c r="P506" i="3"/>
  <c r="O506" i="3"/>
  <c r="N506" i="3"/>
  <c r="H506" i="3"/>
  <c r="I506" i="3" s="1"/>
  <c r="G506" i="3"/>
  <c r="S505" i="3"/>
  <c r="R505" i="3"/>
  <c r="Q505" i="3"/>
  <c r="P505" i="3"/>
  <c r="O505" i="3"/>
  <c r="N505" i="3"/>
  <c r="H505" i="3"/>
  <c r="I505" i="3" s="1"/>
  <c r="G505" i="3"/>
  <c r="S504" i="3"/>
  <c r="R504" i="3"/>
  <c r="Q504" i="3"/>
  <c r="P504" i="3"/>
  <c r="O504" i="3"/>
  <c r="N504" i="3"/>
  <c r="H504" i="3"/>
  <c r="I504" i="3" s="1"/>
  <c r="G504" i="3"/>
  <c r="S503" i="3"/>
  <c r="R503" i="3"/>
  <c r="Q503" i="3"/>
  <c r="P503" i="3"/>
  <c r="O503" i="3"/>
  <c r="N503" i="3"/>
  <c r="H503" i="3"/>
  <c r="G503" i="3"/>
  <c r="S502" i="3"/>
  <c r="R502" i="3"/>
  <c r="Q502" i="3"/>
  <c r="P502" i="3"/>
  <c r="O502" i="3"/>
  <c r="N502" i="3"/>
  <c r="H502" i="3"/>
  <c r="G502" i="3"/>
  <c r="I502" i="3" s="1"/>
  <c r="S501" i="3"/>
  <c r="R501" i="3"/>
  <c r="R515" i="3" s="1"/>
  <c r="Q501" i="3"/>
  <c r="P501" i="3"/>
  <c r="O501" i="3"/>
  <c r="N501" i="3"/>
  <c r="H501" i="3"/>
  <c r="G501" i="3"/>
  <c r="I501" i="3" s="1"/>
  <c r="S500" i="3"/>
  <c r="R500" i="3"/>
  <c r="Q500" i="3"/>
  <c r="P500" i="3"/>
  <c r="O500" i="3"/>
  <c r="N500" i="3"/>
  <c r="H500" i="3"/>
  <c r="G500" i="3"/>
  <c r="S499" i="3"/>
  <c r="R499" i="3"/>
  <c r="Q499" i="3"/>
  <c r="P499" i="3"/>
  <c r="O499" i="3"/>
  <c r="N499" i="3"/>
  <c r="H499" i="3"/>
  <c r="I499" i="3" s="1"/>
  <c r="G499" i="3"/>
  <c r="T498" i="3"/>
  <c r="S498" i="3"/>
  <c r="M498" i="3"/>
  <c r="Q498" i="3" s="1"/>
  <c r="L498" i="3"/>
  <c r="K498" i="3"/>
  <c r="J498" i="3"/>
  <c r="H498" i="3"/>
  <c r="I498" i="3" s="1"/>
  <c r="G498" i="3"/>
  <c r="F498" i="3"/>
  <c r="E498" i="3"/>
  <c r="D498" i="3"/>
  <c r="A498" i="3"/>
  <c r="S497" i="3"/>
  <c r="R497" i="3"/>
  <c r="Q497" i="3"/>
  <c r="P497" i="3"/>
  <c r="O497" i="3"/>
  <c r="N497" i="3"/>
  <c r="I497" i="3"/>
  <c r="H497" i="3"/>
  <c r="G497" i="3"/>
  <c r="A497" i="3"/>
  <c r="S496" i="3"/>
  <c r="R496" i="3"/>
  <c r="Q496" i="3"/>
  <c r="P496" i="3"/>
  <c r="O496" i="3"/>
  <c r="N496" i="3"/>
  <c r="H496" i="3"/>
  <c r="G496" i="3"/>
  <c r="I496" i="3" s="1"/>
  <c r="S495" i="3"/>
  <c r="R495" i="3"/>
  <c r="Q495" i="3"/>
  <c r="P495" i="3"/>
  <c r="O495" i="3"/>
  <c r="N495" i="3"/>
  <c r="H495" i="3"/>
  <c r="I495" i="3" s="1"/>
  <c r="G495" i="3"/>
  <c r="S494" i="3"/>
  <c r="R494" i="3"/>
  <c r="Q494" i="3"/>
  <c r="P494" i="3"/>
  <c r="O494" i="3"/>
  <c r="N494" i="3"/>
  <c r="I494" i="3"/>
  <c r="H494" i="3"/>
  <c r="G494" i="3"/>
  <c r="S493" i="3"/>
  <c r="R493" i="3"/>
  <c r="Q493" i="3"/>
  <c r="P493" i="3"/>
  <c r="O493" i="3"/>
  <c r="N493" i="3"/>
  <c r="I493" i="3"/>
  <c r="H493" i="3"/>
  <c r="G493" i="3"/>
  <c r="S492" i="3"/>
  <c r="R492" i="3"/>
  <c r="Q492" i="3"/>
  <c r="P492" i="3"/>
  <c r="O492" i="3"/>
  <c r="N492" i="3"/>
  <c r="H492" i="3"/>
  <c r="G492" i="3"/>
  <c r="I492" i="3" s="1"/>
  <c r="S491" i="3"/>
  <c r="R491" i="3"/>
  <c r="Q491" i="3"/>
  <c r="P491" i="3"/>
  <c r="O491" i="3"/>
  <c r="N491" i="3"/>
  <c r="H491" i="3"/>
  <c r="G491" i="3"/>
  <c r="S490" i="3"/>
  <c r="R490" i="3"/>
  <c r="Q490" i="3"/>
  <c r="P490" i="3"/>
  <c r="O490" i="3"/>
  <c r="N490" i="3"/>
  <c r="I490" i="3"/>
  <c r="H490" i="3"/>
  <c r="G490" i="3"/>
  <c r="S489" i="3"/>
  <c r="R489" i="3"/>
  <c r="Q489" i="3"/>
  <c r="P489" i="3"/>
  <c r="O489" i="3"/>
  <c r="N489" i="3"/>
  <c r="I489" i="3"/>
  <c r="H489" i="3"/>
  <c r="G489" i="3"/>
  <c r="S488" i="3"/>
  <c r="R488" i="3"/>
  <c r="Q488" i="3"/>
  <c r="P488" i="3"/>
  <c r="O488" i="3"/>
  <c r="N488" i="3"/>
  <c r="I488" i="3"/>
  <c r="H488" i="3"/>
  <c r="G488" i="3"/>
  <c r="S487" i="3"/>
  <c r="R487" i="3"/>
  <c r="Q487" i="3"/>
  <c r="P487" i="3"/>
  <c r="O487" i="3"/>
  <c r="N487" i="3"/>
  <c r="H487" i="3"/>
  <c r="G487" i="3"/>
  <c r="S486" i="3"/>
  <c r="R486" i="3"/>
  <c r="Q486" i="3"/>
  <c r="P486" i="3"/>
  <c r="O486" i="3"/>
  <c r="N486" i="3"/>
  <c r="I486" i="3"/>
  <c r="H486" i="3"/>
  <c r="G486" i="3"/>
  <c r="S485" i="3"/>
  <c r="R485" i="3"/>
  <c r="Q485" i="3"/>
  <c r="P485" i="3"/>
  <c r="O485" i="3"/>
  <c r="N485" i="3"/>
  <c r="I485" i="3"/>
  <c r="H485" i="3"/>
  <c r="G485" i="3"/>
  <c r="S484" i="3"/>
  <c r="R484" i="3"/>
  <c r="Q484" i="3"/>
  <c r="P484" i="3"/>
  <c r="O484" i="3"/>
  <c r="N484" i="3"/>
  <c r="I484" i="3"/>
  <c r="H484" i="3"/>
  <c r="G484" i="3"/>
  <c r="S483" i="3"/>
  <c r="R483" i="3"/>
  <c r="R498" i="3" s="1"/>
  <c r="Q483" i="3"/>
  <c r="P483" i="3"/>
  <c r="O483" i="3"/>
  <c r="N483" i="3"/>
  <c r="H483" i="3"/>
  <c r="I483" i="3" s="1"/>
  <c r="G483" i="3"/>
  <c r="S482" i="3"/>
  <c r="R482" i="3"/>
  <c r="Q482" i="3"/>
  <c r="P482" i="3"/>
  <c r="O482" i="3"/>
  <c r="N482" i="3"/>
  <c r="I482" i="3"/>
  <c r="H482" i="3"/>
  <c r="G482" i="3"/>
  <c r="S481" i="3"/>
  <c r="R481" i="3"/>
  <c r="O481" i="3"/>
  <c r="N481" i="3"/>
  <c r="M481" i="3"/>
  <c r="L481" i="3"/>
  <c r="K481" i="3"/>
  <c r="J481" i="3"/>
  <c r="G481" i="3"/>
  <c r="F481" i="3"/>
  <c r="E481" i="3"/>
  <c r="D481" i="3"/>
  <c r="A481" i="3"/>
  <c r="S480" i="3"/>
  <c r="R480" i="3"/>
  <c r="Q480" i="3"/>
  <c r="P480" i="3"/>
  <c r="O480" i="3"/>
  <c r="N480" i="3"/>
  <c r="H480" i="3"/>
  <c r="G480" i="3"/>
  <c r="A480" i="3"/>
  <c r="S479" i="3"/>
  <c r="R479" i="3"/>
  <c r="Q479" i="3"/>
  <c r="P479" i="3"/>
  <c r="O479" i="3"/>
  <c r="N479" i="3"/>
  <c r="H479" i="3"/>
  <c r="I479" i="3" s="1"/>
  <c r="G479" i="3"/>
  <c r="S478" i="3"/>
  <c r="R478" i="3"/>
  <c r="Q478" i="3"/>
  <c r="P478" i="3"/>
  <c r="O478" i="3"/>
  <c r="N478" i="3"/>
  <c r="H478" i="3"/>
  <c r="I478" i="3" s="1"/>
  <c r="G478" i="3"/>
  <c r="S477" i="3"/>
  <c r="R477" i="3"/>
  <c r="Q477" i="3"/>
  <c r="P477" i="3"/>
  <c r="O477" i="3"/>
  <c r="N477" i="3"/>
  <c r="I477" i="3"/>
  <c r="H477" i="3"/>
  <c r="G477" i="3"/>
  <c r="S476" i="3"/>
  <c r="R476" i="3"/>
  <c r="Q476" i="3"/>
  <c r="P476" i="3"/>
  <c r="O476" i="3"/>
  <c r="N476" i="3"/>
  <c r="I476" i="3"/>
  <c r="H476" i="3"/>
  <c r="G476" i="3"/>
  <c r="S475" i="3"/>
  <c r="R475" i="3"/>
  <c r="Q475" i="3"/>
  <c r="P475" i="3"/>
  <c r="O475" i="3"/>
  <c r="N475" i="3"/>
  <c r="H475" i="3"/>
  <c r="I475" i="3" s="1"/>
  <c r="G475" i="3"/>
  <c r="S474" i="3"/>
  <c r="R474" i="3"/>
  <c r="Q474" i="3"/>
  <c r="P474" i="3"/>
  <c r="O474" i="3"/>
  <c r="N474" i="3"/>
  <c r="H474" i="3"/>
  <c r="I474" i="3" s="1"/>
  <c r="G474" i="3"/>
  <c r="S473" i="3"/>
  <c r="R473" i="3"/>
  <c r="Q473" i="3"/>
  <c r="P473" i="3"/>
  <c r="O473" i="3"/>
  <c r="N473" i="3"/>
  <c r="H473" i="3"/>
  <c r="I473" i="3" s="1"/>
  <c r="G473" i="3"/>
  <c r="S472" i="3"/>
  <c r="R472" i="3"/>
  <c r="Q472" i="3"/>
  <c r="P472" i="3"/>
  <c r="O472" i="3"/>
  <c r="N472" i="3"/>
  <c r="I472" i="3"/>
  <c r="H472" i="3"/>
  <c r="G472" i="3"/>
  <c r="S471" i="3"/>
  <c r="R471" i="3"/>
  <c r="Q471" i="3"/>
  <c r="P471" i="3"/>
  <c r="O471" i="3"/>
  <c r="N471" i="3"/>
  <c r="H471" i="3"/>
  <c r="I471" i="3" s="1"/>
  <c r="G471" i="3"/>
  <c r="S470" i="3"/>
  <c r="R470" i="3"/>
  <c r="Q470" i="3"/>
  <c r="P470" i="3"/>
  <c r="O470" i="3"/>
  <c r="N470" i="3"/>
  <c r="H470" i="3"/>
  <c r="I470" i="3" s="1"/>
  <c r="G470" i="3"/>
  <c r="S469" i="3"/>
  <c r="R469" i="3"/>
  <c r="Q469" i="3"/>
  <c r="P469" i="3"/>
  <c r="O469" i="3"/>
  <c r="N469" i="3"/>
  <c r="H469" i="3"/>
  <c r="I469" i="3" s="1"/>
  <c r="G469" i="3"/>
  <c r="S468" i="3"/>
  <c r="R468" i="3"/>
  <c r="Q468" i="3"/>
  <c r="P468" i="3"/>
  <c r="O468" i="3"/>
  <c r="N468" i="3"/>
  <c r="H468" i="3"/>
  <c r="I468" i="3" s="1"/>
  <c r="G468" i="3"/>
  <c r="S467" i="3"/>
  <c r="R467" i="3"/>
  <c r="Q467" i="3"/>
  <c r="P467" i="3"/>
  <c r="O467" i="3"/>
  <c r="N467" i="3"/>
  <c r="H467" i="3"/>
  <c r="I467" i="3" s="1"/>
  <c r="G467" i="3"/>
  <c r="S466" i="3"/>
  <c r="R466" i="3"/>
  <c r="Q466" i="3"/>
  <c r="P466" i="3"/>
  <c r="O466" i="3"/>
  <c r="N466" i="3"/>
  <c r="H466" i="3"/>
  <c r="I466" i="3" s="1"/>
  <c r="G466" i="3"/>
  <c r="S465" i="3"/>
  <c r="R465" i="3"/>
  <c r="Q465" i="3"/>
  <c r="P465" i="3"/>
  <c r="O465" i="3"/>
  <c r="N465" i="3"/>
  <c r="H465" i="3"/>
  <c r="I465" i="3" s="1"/>
  <c r="G465" i="3"/>
  <c r="O464" i="3"/>
  <c r="N464" i="3"/>
  <c r="M464" i="3"/>
  <c r="L464" i="3"/>
  <c r="K464" i="3"/>
  <c r="J464" i="3"/>
  <c r="S464" i="3" s="1"/>
  <c r="H464" i="3"/>
  <c r="F464" i="3"/>
  <c r="E464" i="3"/>
  <c r="D464" i="3"/>
  <c r="Q464" i="3" s="1"/>
  <c r="A464" i="3"/>
  <c r="S463" i="3"/>
  <c r="R463" i="3"/>
  <c r="Q463" i="3"/>
  <c r="P463" i="3"/>
  <c r="O463" i="3"/>
  <c r="N463" i="3"/>
  <c r="I463" i="3"/>
  <c r="H463" i="3"/>
  <c r="G463" i="3"/>
  <c r="A463" i="3"/>
  <c r="S462" i="3"/>
  <c r="R462" i="3"/>
  <c r="Q462" i="3"/>
  <c r="P462" i="3"/>
  <c r="O462" i="3"/>
  <c r="N462" i="3"/>
  <c r="H462" i="3"/>
  <c r="G462" i="3"/>
  <c r="I462" i="3" s="1"/>
  <c r="S461" i="3"/>
  <c r="R461" i="3"/>
  <c r="Q461" i="3"/>
  <c r="P461" i="3"/>
  <c r="O461" i="3"/>
  <c r="N461" i="3"/>
  <c r="H461" i="3"/>
  <c r="G461" i="3"/>
  <c r="S460" i="3"/>
  <c r="R460" i="3"/>
  <c r="Q460" i="3"/>
  <c r="P460" i="3"/>
  <c r="O460" i="3"/>
  <c r="N460" i="3"/>
  <c r="H460" i="3"/>
  <c r="I460" i="3" s="1"/>
  <c r="G460" i="3"/>
  <c r="S459" i="3"/>
  <c r="R459" i="3"/>
  <c r="Q459" i="3"/>
  <c r="P459" i="3"/>
  <c r="O459" i="3"/>
  <c r="N459" i="3"/>
  <c r="H459" i="3"/>
  <c r="G459" i="3"/>
  <c r="I459" i="3" s="1"/>
  <c r="S458" i="3"/>
  <c r="R458" i="3"/>
  <c r="Q458" i="3"/>
  <c r="P458" i="3"/>
  <c r="O458" i="3"/>
  <c r="N458" i="3"/>
  <c r="H458" i="3"/>
  <c r="G458" i="3"/>
  <c r="I458" i="3" s="1"/>
  <c r="S457" i="3"/>
  <c r="R457" i="3"/>
  <c r="Q457" i="3"/>
  <c r="P457" i="3"/>
  <c r="O457" i="3"/>
  <c r="N457" i="3"/>
  <c r="H457" i="3"/>
  <c r="I457" i="3" s="1"/>
  <c r="G457" i="3"/>
  <c r="S456" i="3"/>
  <c r="R456" i="3"/>
  <c r="Q456" i="3"/>
  <c r="P456" i="3"/>
  <c r="O456" i="3"/>
  <c r="N456" i="3"/>
  <c r="H456" i="3"/>
  <c r="I456" i="3" s="1"/>
  <c r="G456" i="3"/>
  <c r="S455" i="3"/>
  <c r="R455" i="3"/>
  <c r="Q455" i="3"/>
  <c r="P455" i="3"/>
  <c r="O455" i="3"/>
  <c r="N455" i="3"/>
  <c r="H455" i="3"/>
  <c r="G455" i="3"/>
  <c r="I455" i="3" s="1"/>
  <c r="S454" i="3"/>
  <c r="R454" i="3"/>
  <c r="Q454" i="3"/>
  <c r="P454" i="3"/>
  <c r="O454" i="3"/>
  <c r="N454" i="3"/>
  <c r="H454" i="3"/>
  <c r="G454" i="3"/>
  <c r="I454" i="3" s="1"/>
  <c r="S453" i="3"/>
  <c r="R453" i="3"/>
  <c r="Q453" i="3"/>
  <c r="P453" i="3"/>
  <c r="O453" i="3"/>
  <c r="N453" i="3"/>
  <c r="H453" i="3"/>
  <c r="I453" i="3" s="1"/>
  <c r="G453" i="3"/>
  <c r="S452" i="3"/>
  <c r="R452" i="3"/>
  <c r="Q452" i="3"/>
  <c r="P452" i="3"/>
  <c r="O452" i="3"/>
  <c r="N452" i="3"/>
  <c r="H452" i="3"/>
  <c r="G452" i="3"/>
  <c r="S451" i="3"/>
  <c r="R451" i="3"/>
  <c r="Q451" i="3"/>
  <c r="P451" i="3"/>
  <c r="O451" i="3"/>
  <c r="N451" i="3"/>
  <c r="H451" i="3"/>
  <c r="G451" i="3"/>
  <c r="I451" i="3" s="1"/>
  <c r="S450" i="3"/>
  <c r="R450" i="3"/>
  <c r="Q450" i="3"/>
  <c r="P450" i="3"/>
  <c r="O450" i="3"/>
  <c r="N450" i="3"/>
  <c r="H450" i="3"/>
  <c r="G450" i="3"/>
  <c r="I450" i="3" s="1"/>
  <c r="S449" i="3"/>
  <c r="R449" i="3"/>
  <c r="Q449" i="3"/>
  <c r="P449" i="3"/>
  <c r="O449" i="3"/>
  <c r="N449" i="3"/>
  <c r="H449" i="3"/>
  <c r="G449" i="3"/>
  <c r="S448" i="3"/>
  <c r="R448" i="3"/>
  <c r="Q448" i="3"/>
  <c r="P448" i="3"/>
  <c r="O448" i="3"/>
  <c r="N448" i="3"/>
  <c r="H448" i="3"/>
  <c r="I448" i="3" s="1"/>
  <c r="G448" i="3"/>
  <c r="T447" i="3"/>
  <c r="S447" i="3"/>
  <c r="M447" i="3"/>
  <c r="Q447" i="3" s="1"/>
  <c r="L447" i="3"/>
  <c r="K447" i="3"/>
  <c r="J447" i="3"/>
  <c r="H447" i="3"/>
  <c r="I447" i="3" s="1"/>
  <c r="G447" i="3"/>
  <c r="F447" i="3"/>
  <c r="E447" i="3"/>
  <c r="D447" i="3"/>
  <c r="A447" i="3"/>
  <c r="S446" i="3"/>
  <c r="R446" i="3"/>
  <c r="Q446" i="3"/>
  <c r="P446" i="3"/>
  <c r="O446" i="3"/>
  <c r="N446" i="3"/>
  <c r="I446" i="3"/>
  <c r="H446" i="3"/>
  <c r="G446" i="3"/>
  <c r="A446" i="3"/>
  <c r="S445" i="3"/>
  <c r="R445" i="3"/>
  <c r="Q445" i="3"/>
  <c r="P445" i="3"/>
  <c r="O445" i="3"/>
  <c r="N445" i="3"/>
  <c r="H445" i="3"/>
  <c r="G445" i="3"/>
  <c r="I445" i="3" s="1"/>
  <c r="S444" i="3"/>
  <c r="R444" i="3"/>
  <c r="Q444" i="3"/>
  <c r="P444" i="3"/>
  <c r="O444" i="3"/>
  <c r="N444" i="3"/>
  <c r="H444" i="3"/>
  <c r="I444" i="3" s="1"/>
  <c r="G444" i="3"/>
  <c r="S443" i="3"/>
  <c r="R443" i="3"/>
  <c r="Q443" i="3"/>
  <c r="P443" i="3"/>
  <c r="O443" i="3"/>
  <c r="N443" i="3"/>
  <c r="I443" i="3"/>
  <c r="H443" i="3"/>
  <c r="G443" i="3"/>
  <c r="S442" i="3"/>
  <c r="R442" i="3"/>
  <c r="Q442" i="3"/>
  <c r="P442" i="3"/>
  <c r="O442" i="3"/>
  <c r="N442" i="3"/>
  <c r="I442" i="3"/>
  <c r="H442" i="3"/>
  <c r="G442" i="3"/>
  <c r="S441" i="3"/>
  <c r="R441" i="3"/>
  <c r="Q441" i="3"/>
  <c r="P441" i="3"/>
  <c r="O441" i="3"/>
  <c r="N441" i="3"/>
  <c r="H441" i="3"/>
  <c r="G441" i="3"/>
  <c r="I441" i="3" s="1"/>
  <c r="S440" i="3"/>
  <c r="R440" i="3"/>
  <c r="Q440" i="3"/>
  <c r="P440" i="3"/>
  <c r="O440" i="3"/>
  <c r="N440" i="3"/>
  <c r="H440" i="3"/>
  <c r="G440" i="3"/>
  <c r="S439" i="3"/>
  <c r="R439" i="3"/>
  <c r="Q439" i="3"/>
  <c r="P439" i="3"/>
  <c r="O439" i="3"/>
  <c r="N439" i="3"/>
  <c r="I439" i="3"/>
  <c r="H439" i="3"/>
  <c r="G439" i="3"/>
  <c r="S438" i="3"/>
  <c r="R438" i="3"/>
  <c r="Q438" i="3"/>
  <c r="P438" i="3"/>
  <c r="O438" i="3"/>
  <c r="N438" i="3"/>
  <c r="I438" i="3"/>
  <c r="H438" i="3"/>
  <c r="G438" i="3"/>
  <c r="S437" i="3"/>
  <c r="R437" i="3"/>
  <c r="Q437" i="3"/>
  <c r="P437" i="3"/>
  <c r="O437" i="3"/>
  <c r="N437" i="3"/>
  <c r="I437" i="3"/>
  <c r="H437" i="3"/>
  <c r="G437" i="3"/>
  <c r="S436" i="3"/>
  <c r="R436" i="3"/>
  <c r="Q436" i="3"/>
  <c r="P436" i="3"/>
  <c r="O436" i="3"/>
  <c r="N436" i="3"/>
  <c r="H436" i="3"/>
  <c r="G436" i="3"/>
  <c r="S435" i="3"/>
  <c r="R435" i="3"/>
  <c r="Q435" i="3"/>
  <c r="P435" i="3"/>
  <c r="O435" i="3"/>
  <c r="N435" i="3"/>
  <c r="I435" i="3"/>
  <c r="H435" i="3"/>
  <c r="G435" i="3"/>
  <c r="S434" i="3"/>
  <c r="R434" i="3"/>
  <c r="Q434" i="3"/>
  <c r="P434" i="3"/>
  <c r="O434" i="3"/>
  <c r="N434" i="3"/>
  <c r="I434" i="3"/>
  <c r="H434" i="3"/>
  <c r="G434" i="3"/>
  <c r="S433" i="3"/>
  <c r="R433" i="3"/>
  <c r="Q433" i="3"/>
  <c r="P433" i="3"/>
  <c r="O433" i="3"/>
  <c r="N433" i="3"/>
  <c r="I433" i="3"/>
  <c r="H433" i="3"/>
  <c r="G433" i="3"/>
  <c r="S432" i="3"/>
  <c r="R432" i="3"/>
  <c r="R447" i="3" s="1"/>
  <c r="Q432" i="3"/>
  <c r="P432" i="3"/>
  <c r="O432" i="3"/>
  <c r="N432" i="3"/>
  <c r="H432" i="3"/>
  <c r="I432" i="3" s="1"/>
  <c r="G432" i="3"/>
  <c r="S431" i="3"/>
  <c r="R431" i="3"/>
  <c r="Q431" i="3"/>
  <c r="P431" i="3"/>
  <c r="O431" i="3"/>
  <c r="N431" i="3"/>
  <c r="I431" i="3"/>
  <c r="H431" i="3"/>
  <c r="G431" i="3"/>
  <c r="S430" i="3"/>
  <c r="O430" i="3"/>
  <c r="N430" i="3"/>
  <c r="M430" i="3"/>
  <c r="L430" i="3"/>
  <c r="K430" i="3"/>
  <c r="J430" i="3"/>
  <c r="G430" i="3"/>
  <c r="F430" i="3"/>
  <c r="E430" i="3"/>
  <c r="D430" i="3"/>
  <c r="A430" i="3"/>
  <c r="S429" i="3"/>
  <c r="R429" i="3"/>
  <c r="Q429" i="3"/>
  <c r="P429" i="3"/>
  <c r="O429" i="3"/>
  <c r="N429" i="3"/>
  <c r="H429" i="3"/>
  <c r="G429" i="3"/>
  <c r="A429" i="3"/>
  <c r="S428" i="3"/>
  <c r="R428" i="3"/>
  <c r="Q428" i="3"/>
  <c r="P428" i="3"/>
  <c r="O428" i="3"/>
  <c r="N428" i="3"/>
  <c r="H428" i="3"/>
  <c r="I428" i="3" s="1"/>
  <c r="G428" i="3"/>
  <c r="S427" i="3"/>
  <c r="R427" i="3"/>
  <c r="Q427" i="3"/>
  <c r="P427" i="3"/>
  <c r="O427" i="3"/>
  <c r="N427" i="3"/>
  <c r="H427" i="3"/>
  <c r="I427" i="3" s="1"/>
  <c r="G427" i="3"/>
  <c r="S426" i="3"/>
  <c r="R426" i="3"/>
  <c r="Q426" i="3"/>
  <c r="P426" i="3"/>
  <c r="O426" i="3"/>
  <c r="N426" i="3"/>
  <c r="I426" i="3"/>
  <c r="H426" i="3"/>
  <c r="G426" i="3"/>
  <c r="S425" i="3"/>
  <c r="R425" i="3"/>
  <c r="Q425" i="3"/>
  <c r="P425" i="3"/>
  <c r="O425" i="3"/>
  <c r="N425" i="3"/>
  <c r="I425" i="3"/>
  <c r="H425" i="3"/>
  <c r="G425" i="3"/>
  <c r="S424" i="3"/>
  <c r="R424" i="3"/>
  <c r="Q424" i="3"/>
  <c r="P424" i="3"/>
  <c r="O424" i="3"/>
  <c r="N424" i="3"/>
  <c r="H424" i="3"/>
  <c r="I424" i="3" s="1"/>
  <c r="G424" i="3"/>
  <c r="S423" i="3"/>
  <c r="R423" i="3"/>
  <c r="Q423" i="3"/>
  <c r="P423" i="3"/>
  <c r="O423" i="3"/>
  <c r="N423" i="3"/>
  <c r="H423" i="3"/>
  <c r="I423" i="3" s="1"/>
  <c r="G423" i="3"/>
  <c r="S422" i="3"/>
  <c r="R422" i="3"/>
  <c r="Q422" i="3"/>
  <c r="P422" i="3"/>
  <c r="O422" i="3"/>
  <c r="N422" i="3"/>
  <c r="H422" i="3"/>
  <c r="I422" i="3" s="1"/>
  <c r="G422" i="3"/>
  <c r="S421" i="3"/>
  <c r="R421" i="3"/>
  <c r="Q421" i="3"/>
  <c r="P421" i="3"/>
  <c r="O421" i="3"/>
  <c r="N421" i="3"/>
  <c r="I421" i="3"/>
  <c r="H421" i="3"/>
  <c r="G421" i="3"/>
  <c r="S420" i="3"/>
  <c r="R420" i="3"/>
  <c r="Q420" i="3"/>
  <c r="P420" i="3"/>
  <c r="O420" i="3"/>
  <c r="N420" i="3"/>
  <c r="H420" i="3"/>
  <c r="I420" i="3" s="1"/>
  <c r="G420" i="3"/>
  <c r="S419" i="3"/>
  <c r="R419" i="3"/>
  <c r="R430" i="3" s="1"/>
  <c r="Q419" i="3"/>
  <c r="P419" i="3"/>
  <c r="O419" i="3"/>
  <c r="N419" i="3"/>
  <c r="H419" i="3"/>
  <c r="I419" i="3" s="1"/>
  <c r="G419" i="3"/>
  <c r="S418" i="3"/>
  <c r="R418" i="3"/>
  <c r="Q418" i="3"/>
  <c r="P418" i="3"/>
  <c r="O418" i="3"/>
  <c r="N418" i="3"/>
  <c r="H418" i="3"/>
  <c r="I418" i="3" s="1"/>
  <c r="G418" i="3"/>
  <c r="S417" i="3"/>
  <c r="R417" i="3"/>
  <c r="Q417" i="3"/>
  <c r="P417" i="3"/>
  <c r="O417" i="3"/>
  <c r="N417" i="3"/>
  <c r="H417" i="3"/>
  <c r="I417" i="3" s="1"/>
  <c r="G417" i="3"/>
  <c r="S416" i="3"/>
  <c r="R416" i="3"/>
  <c r="Q416" i="3"/>
  <c r="P416" i="3"/>
  <c r="O416" i="3"/>
  <c r="N416" i="3"/>
  <c r="H416" i="3"/>
  <c r="I416" i="3" s="1"/>
  <c r="G416" i="3"/>
  <c r="S415" i="3"/>
  <c r="R415" i="3"/>
  <c r="Q415" i="3"/>
  <c r="P415" i="3"/>
  <c r="O415" i="3"/>
  <c r="N415" i="3"/>
  <c r="H415" i="3"/>
  <c r="I415" i="3" s="1"/>
  <c r="G415" i="3"/>
  <c r="S414" i="3"/>
  <c r="R414" i="3"/>
  <c r="Q414" i="3"/>
  <c r="P414" i="3"/>
  <c r="O414" i="3"/>
  <c r="N414" i="3"/>
  <c r="I414" i="3"/>
  <c r="H414" i="3"/>
  <c r="G414" i="3"/>
  <c r="S413" i="3"/>
  <c r="R413" i="3"/>
  <c r="Q413" i="3"/>
  <c r="P413" i="3"/>
  <c r="O413" i="3"/>
  <c r="N413" i="3"/>
  <c r="I413" i="3"/>
  <c r="H413" i="3"/>
  <c r="G413" i="3"/>
  <c r="S412" i="3"/>
  <c r="R412" i="3"/>
  <c r="Q412" i="3"/>
  <c r="P412" i="3"/>
  <c r="O412" i="3"/>
  <c r="N412" i="3"/>
  <c r="H412" i="3"/>
  <c r="I412" i="3" s="1"/>
  <c r="G412" i="3"/>
  <c r="U411" i="3"/>
  <c r="T411" i="3"/>
  <c r="Q411" i="3"/>
  <c r="N411" i="3"/>
  <c r="M411" i="3"/>
  <c r="O411" i="3" s="1"/>
  <c r="L411" i="3"/>
  <c r="K411" i="3"/>
  <c r="J411" i="3"/>
  <c r="P411" i="3" s="1"/>
  <c r="F411" i="3"/>
  <c r="E411" i="3"/>
  <c r="D411" i="3"/>
  <c r="A411" i="3"/>
  <c r="S410" i="3"/>
  <c r="R410" i="3"/>
  <c r="Q410" i="3"/>
  <c r="P410" i="3"/>
  <c r="O410" i="3"/>
  <c r="N410" i="3"/>
  <c r="I410" i="3"/>
  <c r="H410" i="3"/>
  <c r="G410" i="3"/>
  <c r="A410" i="3"/>
  <c r="S409" i="3"/>
  <c r="R409" i="3"/>
  <c r="Q409" i="3"/>
  <c r="P409" i="3"/>
  <c r="O409" i="3"/>
  <c r="N409" i="3"/>
  <c r="H409" i="3"/>
  <c r="I409" i="3" s="1"/>
  <c r="G409" i="3"/>
  <c r="S408" i="3"/>
  <c r="R408" i="3"/>
  <c r="Q408" i="3"/>
  <c r="P408" i="3"/>
  <c r="O408" i="3"/>
  <c r="N408" i="3"/>
  <c r="H408" i="3"/>
  <c r="G408" i="3"/>
  <c r="I408" i="3" s="1"/>
  <c r="S407" i="3"/>
  <c r="R407" i="3"/>
  <c r="Q407" i="3"/>
  <c r="P407" i="3"/>
  <c r="O407" i="3"/>
  <c r="N407" i="3"/>
  <c r="H407" i="3"/>
  <c r="G407" i="3"/>
  <c r="I407" i="3" s="1"/>
  <c r="S406" i="3"/>
  <c r="R406" i="3"/>
  <c r="Q406" i="3"/>
  <c r="P406" i="3"/>
  <c r="O406" i="3"/>
  <c r="N406" i="3"/>
  <c r="H406" i="3"/>
  <c r="I406" i="3" s="1"/>
  <c r="G406" i="3"/>
  <c r="S405" i="3"/>
  <c r="R405" i="3"/>
  <c r="Q405" i="3"/>
  <c r="P405" i="3"/>
  <c r="O405" i="3"/>
  <c r="N405" i="3"/>
  <c r="H405" i="3"/>
  <c r="G405" i="3"/>
  <c r="S404" i="3"/>
  <c r="R404" i="3"/>
  <c r="Q404" i="3"/>
  <c r="P404" i="3"/>
  <c r="O404" i="3"/>
  <c r="N404" i="3"/>
  <c r="H404" i="3"/>
  <c r="G404" i="3"/>
  <c r="I404" i="3" s="1"/>
  <c r="S403" i="3"/>
  <c r="R403" i="3"/>
  <c r="Q403" i="3"/>
  <c r="P403" i="3"/>
  <c r="O403" i="3"/>
  <c r="N403" i="3"/>
  <c r="H403" i="3"/>
  <c r="G403" i="3"/>
  <c r="I403" i="3" s="1"/>
  <c r="S402" i="3"/>
  <c r="R402" i="3"/>
  <c r="Q402" i="3"/>
  <c r="P402" i="3"/>
  <c r="O402" i="3"/>
  <c r="N402" i="3"/>
  <c r="H402" i="3"/>
  <c r="G402" i="3"/>
  <c r="S401" i="3"/>
  <c r="R401" i="3"/>
  <c r="Q401" i="3"/>
  <c r="P401" i="3"/>
  <c r="O401" i="3"/>
  <c r="N401" i="3"/>
  <c r="H401" i="3"/>
  <c r="G401" i="3"/>
  <c r="S400" i="3"/>
  <c r="R400" i="3"/>
  <c r="R411" i="3" s="1"/>
  <c r="Q400" i="3"/>
  <c r="P400" i="3"/>
  <c r="O400" i="3"/>
  <c r="N400" i="3"/>
  <c r="H400" i="3"/>
  <c r="G400" i="3"/>
  <c r="I400" i="3" s="1"/>
  <c r="S399" i="3"/>
  <c r="R399" i="3"/>
  <c r="Q399" i="3"/>
  <c r="P399" i="3"/>
  <c r="O399" i="3"/>
  <c r="N399" i="3"/>
  <c r="H399" i="3"/>
  <c r="G399" i="3"/>
  <c r="I399" i="3" s="1"/>
  <c r="S398" i="3"/>
  <c r="R398" i="3"/>
  <c r="Q398" i="3"/>
  <c r="P398" i="3"/>
  <c r="O398" i="3"/>
  <c r="N398" i="3"/>
  <c r="H398" i="3"/>
  <c r="G398" i="3"/>
  <c r="S397" i="3"/>
  <c r="R397" i="3"/>
  <c r="Q397" i="3"/>
  <c r="P397" i="3"/>
  <c r="O397" i="3"/>
  <c r="N397" i="3"/>
  <c r="H397" i="3"/>
  <c r="I397" i="3" s="1"/>
  <c r="G397" i="3"/>
  <c r="S396" i="3"/>
  <c r="R396" i="3"/>
  <c r="Q396" i="3"/>
  <c r="P396" i="3"/>
  <c r="O396" i="3"/>
  <c r="N396" i="3"/>
  <c r="H396" i="3"/>
  <c r="G396" i="3"/>
  <c r="I396" i="3" s="1"/>
  <c r="S395" i="3"/>
  <c r="R395" i="3"/>
  <c r="Q395" i="3"/>
  <c r="P395" i="3"/>
  <c r="O395" i="3"/>
  <c r="N395" i="3"/>
  <c r="H395" i="3"/>
  <c r="G395" i="3"/>
  <c r="I395" i="3" s="1"/>
  <c r="S394" i="3"/>
  <c r="R394" i="3"/>
  <c r="Q394" i="3"/>
  <c r="P394" i="3"/>
  <c r="O394" i="3"/>
  <c r="N394" i="3"/>
  <c r="H394" i="3"/>
  <c r="I394" i="3" s="1"/>
  <c r="G394" i="3"/>
  <c r="S393" i="3"/>
  <c r="R393" i="3"/>
  <c r="Q393" i="3"/>
  <c r="P393" i="3"/>
  <c r="O393" i="3"/>
  <c r="N393" i="3"/>
  <c r="H393" i="3"/>
  <c r="G393" i="3"/>
  <c r="T392" i="3"/>
  <c r="M392" i="3"/>
  <c r="Q392" i="3" s="1"/>
  <c r="L392" i="3"/>
  <c r="K392" i="3"/>
  <c r="J392" i="3"/>
  <c r="H392" i="3"/>
  <c r="G392" i="3"/>
  <c r="F392" i="3"/>
  <c r="E392" i="3"/>
  <c r="U392" i="3" s="1"/>
  <c r="D392" i="3"/>
  <c r="A392" i="3"/>
  <c r="S391" i="3"/>
  <c r="R391" i="3"/>
  <c r="Q391" i="3"/>
  <c r="P391" i="3"/>
  <c r="O391" i="3"/>
  <c r="N391" i="3"/>
  <c r="H391" i="3"/>
  <c r="I391" i="3" s="1"/>
  <c r="G391" i="3"/>
  <c r="A391" i="3"/>
  <c r="S390" i="3"/>
  <c r="R390" i="3"/>
  <c r="Q390" i="3"/>
  <c r="P390" i="3"/>
  <c r="O390" i="3"/>
  <c r="N390" i="3"/>
  <c r="I390" i="3"/>
  <c r="H390" i="3"/>
  <c r="G390" i="3"/>
  <c r="S389" i="3"/>
  <c r="R389" i="3"/>
  <c r="Q389" i="3"/>
  <c r="P389" i="3"/>
  <c r="O389" i="3"/>
  <c r="N389" i="3"/>
  <c r="H389" i="3"/>
  <c r="G389" i="3"/>
  <c r="S388" i="3"/>
  <c r="R388" i="3"/>
  <c r="Q388" i="3"/>
  <c r="P388" i="3"/>
  <c r="O388" i="3"/>
  <c r="N388" i="3"/>
  <c r="I388" i="3"/>
  <c r="H388" i="3"/>
  <c r="G388" i="3"/>
  <c r="S387" i="3"/>
  <c r="R387" i="3"/>
  <c r="Q387" i="3"/>
  <c r="P387" i="3"/>
  <c r="O387" i="3"/>
  <c r="N387" i="3"/>
  <c r="I387" i="3"/>
  <c r="H387" i="3"/>
  <c r="G387" i="3"/>
  <c r="S386" i="3"/>
  <c r="R386" i="3"/>
  <c r="Q386" i="3"/>
  <c r="P386" i="3"/>
  <c r="O386" i="3"/>
  <c r="N386" i="3"/>
  <c r="H386" i="3"/>
  <c r="G386" i="3"/>
  <c r="I386" i="3" s="1"/>
  <c r="S385" i="3"/>
  <c r="R385" i="3"/>
  <c r="Q385" i="3"/>
  <c r="P385" i="3"/>
  <c r="O385" i="3"/>
  <c r="N385" i="3"/>
  <c r="H385" i="3"/>
  <c r="I385" i="3" s="1"/>
  <c r="G385" i="3"/>
  <c r="S384" i="3"/>
  <c r="R384" i="3"/>
  <c r="Q384" i="3"/>
  <c r="P384" i="3"/>
  <c r="O384" i="3"/>
  <c r="N384" i="3"/>
  <c r="I384" i="3"/>
  <c r="H384" i="3"/>
  <c r="G384" i="3"/>
  <c r="S383" i="3"/>
  <c r="R383" i="3"/>
  <c r="Q383" i="3"/>
  <c r="P383" i="3"/>
  <c r="O383" i="3"/>
  <c r="N383" i="3"/>
  <c r="I383" i="3"/>
  <c r="H383" i="3"/>
  <c r="G383" i="3"/>
  <c r="S382" i="3"/>
  <c r="R382" i="3"/>
  <c r="Q382" i="3"/>
  <c r="P382" i="3"/>
  <c r="O382" i="3"/>
  <c r="N382" i="3"/>
  <c r="H382" i="3"/>
  <c r="G382" i="3"/>
  <c r="I382" i="3" s="1"/>
  <c r="S381" i="3"/>
  <c r="R381" i="3"/>
  <c r="Q381" i="3"/>
  <c r="P381" i="3"/>
  <c r="O381" i="3"/>
  <c r="N381" i="3"/>
  <c r="H381" i="3"/>
  <c r="G381" i="3"/>
  <c r="S380" i="3"/>
  <c r="R380" i="3"/>
  <c r="Q380" i="3"/>
  <c r="P380" i="3"/>
  <c r="O380" i="3"/>
  <c r="N380" i="3"/>
  <c r="I380" i="3"/>
  <c r="H380" i="3"/>
  <c r="G380" i="3"/>
  <c r="S379" i="3"/>
  <c r="R379" i="3"/>
  <c r="Q379" i="3"/>
  <c r="P379" i="3"/>
  <c r="O379" i="3"/>
  <c r="N379" i="3"/>
  <c r="I379" i="3"/>
  <c r="H379" i="3"/>
  <c r="G379" i="3"/>
  <c r="S378" i="3"/>
  <c r="R378" i="3"/>
  <c r="Q378" i="3"/>
  <c r="P378" i="3"/>
  <c r="O378" i="3"/>
  <c r="N378" i="3"/>
  <c r="I378" i="3"/>
  <c r="H378" i="3"/>
  <c r="G378" i="3"/>
  <c r="S377" i="3"/>
  <c r="R377" i="3"/>
  <c r="Q377" i="3"/>
  <c r="P377" i="3"/>
  <c r="O377" i="3"/>
  <c r="N377" i="3"/>
  <c r="H377" i="3"/>
  <c r="G377" i="3"/>
  <c r="S376" i="3"/>
  <c r="R376" i="3"/>
  <c r="Q376" i="3"/>
  <c r="P376" i="3"/>
  <c r="O376" i="3"/>
  <c r="N376" i="3"/>
  <c r="I376" i="3"/>
  <c r="H376" i="3"/>
  <c r="G376" i="3"/>
  <c r="S375" i="3"/>
  <c r="R375" i="3"/>
  <c r="R392" i="3" s="1"/>
  <c r="Q375" i="3"/>
  <c r="P375" i="3"/>
  <c r="O375" i="3"/>
  <c r="N375" i="3"/>
  <c r="I375" i="3"/>
  <c r="H375" i="3"/>
  <c r="G375" i="3"/>
  <c r="S374" i="3"/>
  <c r="R374" i="3"/>
  <c r="Q374" i="3"/>
  <c r="P374" i="3"/>
  <c r="O374" i="3"/>
  <c r="N374" i="3"/>
  <c r="I374" i="3"/>
  <c r="H374" i="3"/>
  <c r="G374" i="3"/>
  <c r="M373" i="3"/>
  <c r="L373" i="3"/>
  <c r="K373" i="3"/>
  <c r="J373" i="3"/>
  <c r="H373" i="3"/>
  <c r="F373" i="3"/>
  <c r="E373" i="3"/>
  <c r="G373" i="3" s="1"/>
  <c r="I373" i="3" s="1"/>
  <c r="D373" i="3"/>
  <c r="A373" i="3"/>
  <c r="S372" i="3"/>
  <c r="R372" i="3"/>
  <c r="Q372" i="3"/>
  <c r="P372" i="3"/>
  <c r="O372" i="3"/>
  <c r="N372" i="3"/>
  <c r="H372" i="3"/>
  <c r="G372" i="3"/>
  <c r="I372" i="3" s="1"/>
  <c r="A372" i="3"/>
  <c r="S371" i="3"/>
  <c r="R371" i="3"/>
  <c r="Q371" i="3"/>
  <c r="P371" i="3"/>
  <c r="O371" i="3"/>
  <c r="N371" i="3"/>
  <c r="I371" i="3"/>
  <c r="H371" i="3"/>
  <c r="G371" i="3"/>
  <c r="S370" i="3"/>
  <c r="R370" i="3"/>
  <c r="Q370" i="3"/>
  <c r="P370" i="3"/>
  <c r="O370" i="3"/>
  <c r="N370" i="3"/>
  <c r="I370" i="3"/>
  <c r="H370" i="3"/>
  <c r="G370" i="3"/>
  <c r="S369" i="3"/>
  <c r="R369" i="3"/>
  <c r="Q369" i="3"/>
  <c r="P369" i="3"/>
  <c r="O369" i="3"/>
  <c r="N369" i="3"/>
  <c r="H369" i="3"/>
  <c r="I369" i="3" s="1"/>
  <c r="G369" i="3"/>
  <c r="S368" i="3"/>
  <c r="R368" i="3"/>
  <c r="Q368" i="3"/>
  <c r="P368" i="3"/>
  <c r="O368" i="3"/>
  <c r="N368" i="3"/>
  <c r="H368" i="3"/>
  <c r="I368" i="3" s="1"/>
  <c r="G368" i="3"/>
  <c r="S367" i="3"/>
  <c r="R367" i="3"/>
  <c r="Q367" i="3"/>
  <c r="P367" i="3"/>
  <c r="O367" i="3"/>
  <c r="N367" i="3"/>
  <c r="H367" i="3"/>
  <c r="I367" i="3" s="1"/>
  <c r="G367" i="3"/>
  <c r="S366" i="3"/>
  <c r="R366" i="3"/>
  <c r="Q366" i="3"/>
  <c r="P366" i="3"/>
  <c r="O366" i="3"/>
  <c r="N366" i="3"/>
  <c r="I366" i="3"/>
  <c r="H366" i="3"/>
  <c r="G366" i="3"/>
  <c r="S365" i="3"/>
  <c r="R365" i="3"/>
  <c r="Q365" i="3"/>
  <c r="P365" i="3"/>
  <c r="O365" i="3"/>
  <c r="N365" i="3"/>
  <c r="H365" i="3"/>
  <c r="I365" i="3" s="1"/>
  <c r="G365" i="3"/>
  <c r="S364" i="3"/>
  <c r="R364" i="3"/>
  <c r="Q364" i="3"/>
  <c r="P364" i="3"/>
  <c r="O364" i="3"/>
  <c r="N364" i="3"/>
  <c r="H364" i="3"/>
  <c r="I364" i="3" s="1"/>
  <c r="G364" i="3"/>
  <c r="S363" i="3"/>
  <c r="R363" i="3"/>
  <c r="Q363" i="3"/>
  <c r="P363" i="3"/>
  <c r="O363" i="3"/>
  <c r="N363" i="3"/>
  <c r="H363" i="3"/>
  <c r="I363" i="3" s="1"/>
  <c r="G363" i="3"/>
  <c r="S362" i="3"/>
  <c r="R362" i="3"/>
  <c r="Q362" i="3"/>
  <c r="P362" i="3"/>
  <c r="O362" i="3"/>
  <c r="N362" i="3"/>
  <c r="H362" i="3"/>
  <c r="I362" i="3" s="1"/>
  <c r="G362" i="3"/>
  <c r="S361" i="3"/>
  <c r="R361" i="3"/>
  <c r="Q361" i="3"/>
  <c r="P361" i="3"/>
  <c r="O361" i="3"/>
  <c r="N361" i="3"/>
  <c r="H361" i="3"/>
  <c r="I361" i="3" s="1"/>
  <c r="G361" i="3"/>
  <c r="S360" i="3"/>
  <c r="R360" i="3"/>
  <c r="Q360" i="3"/>
  <c r="P360" i="3"/>
  <c r="O360" i="3"/>
  <c r="N360" i="3"/>
  <c r="H360" i="3"/>
  <c r="I360" i="3" s="1"/>
  <c r="G360" i="3"/>
  <c r="S359" i="3"/>
  <c r="R359" i="3"/>
  <c r="Q359" i="3"/>
  <c r="P359" i="3"/>
  <c r="O359" i="3"/>
  <c r="N359" i="3"/>
  <c r="H359" i="3"/>
  <c r="I359" i="3" s="1"/>
  <c r="G359" i="3"/>
  <c r="S358" i="3"/>
  <c r="R358" i="3"/>
  <c r="Q358" i="3"/>
  <c r="P358" i="3"/>
  <c r="O358" i="3"/>
  <c r="N358" i="3"/>
  <c r="I358" i="3"/>
  <c r="H358" i="3"/>
  <c r="G358" i="3"/>
  <c r="S357" i="3"/>
  <c r="R357" i="3"/>
  <c r="Q357" i="3"/>
  <c r="P357" i="3"/>
  <c r="O357" i="3"/>
  <c r="N357" i="3"/>
  <c r="H357" i="3"/>
  <c r="I357" i="3" s="1"/>
  <c r="G357" i="3"/>
  <c r="S356" i="3"/>
  <c r="R356" i="3"/>
  <c r="Q356" i="3"/>
  <c r="P356" i="3"/>
  <c r="O356" i="3"/>
  <c r="N356" i="3"/>
  <c r="H356" i="3"/>
  <c r="I356" i="3" s="1"/>
  <c r="G356" i="3"/>
  <c r="S355" i="3"/>
  <c r="R355" i="3"/>
  <c r="Q355" i="3"/>
  <c r="P355" i="3"/>
  <c r="O355" i="3"/>
  <c r="N355" i="3"/>
  <c r="I355" i="3"/>
  <c r="H355" i="3"/>
  <c r="G355" i="3"/>
  <c r="O354" i="3"/>
  <c r="N354" i="3"/>
  <c r="M354" i="3"/>
  <c r="L354" i="3"/>
  <c r="K354" i="3"/>
  <c r="J354" i="3"/>
  <c r="S354" i="3" s="1"/>
  <c r="H354" i="3"/>
  <c r="F354" i="3"/>
  <c r="E354" i="3"/>
  <c r="D354" i="3"/>
  <c r="Q354" i="3" s="1"/>
  <c r="A354" i="3"/>
  <c r="S353" i="3"/>
  <c r="R353" i="3"/>
  <c r="Q353" i="3"/>
  <c r="P353" i="3"/>
  <c r="O353" i="3"/>
  <c r="N353" i="3"/>
  <c r="I353" i="3"/>
  <c r="H353" i="3"/>
  <c r="G353" i="3"/>
  <c r="A353" i="3"/>
  <c r="S352" i="3"/>
  <c r="R352" i="3"/>
  <c r="Q352" i="3"/>
  <c r="P352" i="3"/>
  <c r="O352" i="3"/>
  <c r="N352" i="3"/>
  <c r="H352" i="3"/>
  <c r="G352" i="3"/>
  <c r="I352" i="3" s="1"/>
  <c r="S351" i="3"/>
  <c r="R351" i="3"/>
  <c r="Q351" i="3"/>
  <c r="P351" i="3"/>
  <c r="O351" i="3"/>
  <c r="N351" i="3"/>
  <c r="H351" i="3"/>
  <c r="G351" i="3"/>
  <c r="S350" i="3"/>
  <c r="R350" i="3"/>
  <c r="Q350" i="3"/>
  <c r="P350" i="3"/>
  <c r="O350" i="3"/>
  <c r="N350" i="3"/>
  <c r="H350" i="3"/>
  <c r="G350" i="3"/>
  <c r="S349" i="3"/>
  <c r="R349" i="3"/>
  <c r="Q349" i="3"/>
  <c r="P349" i="3"/>
  <c r="O349" i="3"/>
  <c r="N349" i="3"/>
  <c r="H349" i="3"/>
  <c r="G349" i="3"/>
  <c r="I349" i="3" s="1"/>
  <c r="S348" i="3"/>
  <c r="R348" i="3"/>
  <c r="Q348" i="3"/>
  <c r="P348" i="3"/>
  <c r="O348" i="3"/>
  <c r="N348" i="3"/>
  <c r="H348" i="3"/>
  <c r="G348" i="3"/>
  <c r="I348" i="3" s="1"/>
  <c r="S347" i="3"/>
  <c r="R347" i="3"/>
  <c r="Q347" i="3"/>
  <c r="P347" i="3"/>
  <c r="O347" i="3"/>
  <c r="N347" i="3"/>
  <c r="H347" i="3"/>
  <c r="G347" i="3"/>
  <c r="S346" i="3"/>
  <c r="R346" i="3"/>
  <c r="Q346" i="3"/>
  <c r="P346" i="3"/>
  <c r="O346" i="3"/>
  <c r="N346" i="3"/>
  <c r="H346" i="3"/>
  <c r="G346" i="3"/>
  <c r="S345" i="3"/>
  <c r="R345" i="3"/>
  <c r="Q345" i="3"/>
  <c r="P345" i="3"/>
  <c r="O345" i="3"/>
  <c r="N345" i="3"/>
  <c r="H345" i="3"/>
  <c r="G345" i="3"/>
  <c r="I345" i="3" s="1"/>
  <c r="S344" i="3"/>
  <c r="R344" i="3"/>
  <c r="Q344" i="3"/>
  <c r="P344" i="3"/>
  <c r="O344" i="3"/>
  <c r="N344" i="3"/>
  <c r="H344" i="3"/>
  <c r="G344" i="3"/>
  <c r="I344" i="3" s="1"/>
  <c r="S343" i="3"/>
  <c r="R343" i="3"/>
  <c r="Q343" i="3"/>
  <c r="P343" i="3"/>
  <c r="O343" i="3"/>
  <c r="N343" i="3"/>
  <c r="H343" i="3"/>
  <c r="G343" i="3"/>
  <c r="S342" i="3"/>
  <c r="R342" i="3"/>
  <c r="Q342" i="3"/>
  <c r="P342" i="3"/>
  <c r="O342" i="3"/>
  <c r="N342" i="3"/>
  <c r="H342" i="3"/>
  <c r="G342" i="3"/>
  <c r="S341" i="3"/>
  <c r="R341" i="3"/>
  <c r="Q341" i="3"/>
  <c r="P341" i="3"/>
  <c r="O341" i="3"/>
  <c r="N341" i="3"/>
  <c r="H341" i="3"/>
  <c r="G341" i="3"/>
  <c r="I341" i="3" s="1"/>
  <c r="S340" i="3"/>
  <c r="R340" i="3"/>
  <c r="Q340" i="3"/>
  <c r="P340" i="3"/>
  <c r="O340" i="3"/>
  <c r="N340" i="3"/>
  <c r="H340" i="3"/>
  <c r="G340" i="3"/>
  <c r="I340" i="3" s="1"/>
  <c r="S339" i="3"/>
  <c r="R339" i="3"/>
  <c r="Q339" i="3"/>
  <c r="P339" i="3"/>
  <c r="O339" i="3"/>
  <c r="N339" i="3"/>
  <c r="H339" i="3"/>
  <c r="G339" i="3"/>
  <c r="S338" i="3"/>
  <c r="R338" i="3"/>
  <c r="Q338" i="3"/>
  <c r="P338" i="3"/>
  <c r="O338" i="3"/>
  <c r="N338" i="3"/>
  <c r="H338" i="3"/>
  <c r="G338" i="3"/>
  <c r="S337" i="3"/>
  <c r="R337" i="3"/>
  <c r="Q337" i="3"/>
  <c r="P337" i="3"/>
  <c r="O337" i="3"/>
  <c r="N337" i="3"/>
  <c r="H337" i="3"/>
  <c r="G337" i="3"/>
  <c r="I337" i="3" s="1"/>
  <c r="S336" i="3"/>
  <c r="R336" i="3"/>
  <c r="Q336" i="3"/>
  <c r="P336" i="3"/>
  <c r="O336" i="3"/>
  <c r="N336" i="3"/>
  <c r="H336" i="3"/>
  <c r="G336" i="3"/>
  <c r="I336" i="3" s="1"/>
  <c r="P335" i="3"/>
  <c r="M335" i="3"/>
  <c r="O335" i="3" s="1"/>
  <c r="L335" i="3"/>
  <c r="K335" i="3"/>
  <c r="J335" i="3"/>
  <c r="S335" i="3" s="1"/>
  <c r="F335" i="3"/>
  <c r="E335" i="3"/>
  <c r="D335" i="3"/>
  <c r="A335" i="3"/>
  <c r="S334" i="3"/>
  <c r="R334" i="3"/>
  <c r="Q334" i="3"/>
  <c r="P334" i="3"/>
  <c r="O334" i="3"/>
  <c r="N334" i="3"/>
  <c r="H334" i="3"/>
  <c r="I334" i="3" s="1"/>
  <c r="G334" i="3"/>
  <c r="A334" i="3"/>
  <c r="S333" i="3"/>
  <c r="R333" i="3"/>
  <c r="Q333" i="3"/>
  <c r="P333" i="3"/>
  <c r="O333" i="3"/>
  <c r="N333" i="3"/>
  <c r="I333" i="3"/>
  <c r="H333" i="3"/>
  <c r="G333" i="3"/>
  <c r="S332" i="3"/>
  <c r="R332" i="3"/>
  <c r="Q332" i="3"/>
  <c r="P332" i="3"/>
  <c r="O332" i="3"/>
  <c r="N332" i="3"/>
  <c r="I332" i="3"/>
  <c r="H332" i="3"/>
  <c r="G332" i="3"/>
  <c r="S331" i="3"/>
  <c r="R331" i="3"/>
  <c r="Q331" i="3"/>
  <c r="P331" i="3"/>
  <c r="O331" i="3"/>
  <c r="N331" i="3"/>
  <c r="H331" i="3"/>
  <c r="G331" i="3"/>
  <c r="I331" i="3" s="1"/>
  <c r="S330" i="3"/>
  <c r="R330" i="3"/>
  <c r="Q330" i="3"/>
  <c r="P330" i="3"/>
  <c r="O330" i="3"/>
  <c r="N330" i="3"/>
  <c r="H330" i="3"/>
  <c r="G330" i="3"/>
  <c r="S329" i="3"/>
  <c r="R329" i="3"/>
  <c r="Q329" i="3"/>
  <c r="P329" i="3"/>
  <c r="O329" i="3"/>
  <c r="N329" i="3"/>
  <c r="I329" i="3"/>
  <c r="H329" i="3"/>
  <c r="G329" i="3"/>
  <c r="S328" i="3"/>
  <c r="R328" i="3"/>
  <c r="Q328" i="3"/>
  <c r="P328" i="3"/>
  <c r="O328" i="3"/>
  <c r="N328" i="3"/>
  <c r="I328" i="3"/>
  <c r="H328" i="3"/>
  <c r="G328" i="3"/>
  <c r="S327" i="3"/>
  <c r="R327" i="3"/>
  <c r="Q327" i="3"/>
  <c r="P327" i="3"/>
  <c r="O327" i="3"/>
  <c r="N327" i="3"/>
  <c r="I327" i="3"/>
  <c r="H327" i="3"/>
  <c r="G327" i="3"/>
  <c r="S326" i="3"/>
  <c r="R326" i="3"/>
  <c r="Q326" i="3"/>
  <c r="P326" i="3"/>
  <c r="O326" i="3"/>
  <c r="N326" i="3"/>
  <c r="H326" i="3"/>
  <c r="I326" i="3" s="1"/>
  <c r="G326" i="3"/>
  <c r="S325" i="3"/>
  <c r="R325" i="3"/>
  <c r="Q325" i="3"/>
  <c r="P325" i="3"/>
  <c r="O325" i="3"/>
  <c r="N325" i="3"/>
  <c r="I325" i="3"/>
  <c r="H325" i="3"/>
  <c r="G325" i="3"/>
  <c r="S324" i="3"/>
  <c r="R324" i="3"/>
  <c r="Q324" i="3"/>
  <c r="P324" i="3"/>
  <c r="O324" i="3"/>
  <c r="N324" i="3"/>
  <c r="I324" i="3"/>
  <c r="H324" i="3"/>
  <c r="G324" i="3"/>
  <c r="S323" i="3"/>
  <c r="R323" i="3"/>
  <c r="Q323" i="3"/>
  <c r="P323" i="3"/>
  <c r="O323" i="3"/>
  <c r="N323" i="3"/>
  <c r="I323" i="3"/>
  <c r="H323" i="3"/>
  <c r="G323" i="3"/>
  <c r="S322" i="3"/>
  <c r="R322" i="3"/>
  <c r="Q322" i="3"/>
  <c r="P322" i="3"/>
  <c r="O322" i="3"/>
  <c r="N322" i="3"/>
  <c r="H322" i="3"/>
  <c r="G322" i="3"/>
  <c r="S321" i="3"/>
  <c r="R321" i="3"/>
  <c r="Q321" i="3"/>
  <c r="P321" i="3"/>
  <c r="O321" i="3"/>
  <c r="N321" i="3"/>
  <c r="I321" i="3"/>
  <c r="H321" i="3"/>
  <c r="G321" i="3"/>
  <c r="S320" i="3"/>
  <c r="R320" i="3"/>
  <c r="Q320" i="3"/>
  <c r="P320" i="3"/>
  <c r="O320" i="3"/>
  <c r="N320" i="3"/>
  <c r="I320" i="3"/>
  <c r="H320" i="3"/>
  <c r="G320" i="3"/>
  <c r="S319" i="3"/>
  <c r="R319" i="3"/>
  <c r="Q319" i="3"/>
  <c r="P319" i="3"/>
  <c r="O319" i="3"/>
  <c r="N319" i="3"/>
  <c r="H319" i="3"/>
  <c r="G319" i="3"/>
  <c r="I319" i="3" s="1"/>
  <c r="S318" i="3"/>
  <c r="R318" i="3"/>
  <c r="R335" i="3" s="1"/>
  <c r="Q318" i="3"/>
  <c r="P318" i="3"/>
  <c r="O318" i="3"/>
  <c r="N318" i="3"/>
  <c r="H318" i="3"/>
  <c r="G318" i="3"/>
  <c r="S317" i="3"/>
  <c r="R317" i="3"/>
  <c r="Q317" i="3"/>
  <c r="P317" i="3"/>
  <c r="O317" i="3"/>
  <c r="N317" i="3"/>
  <c r="I317" i="3"/>
  <c r="H317" i="3"/>
  <c r="G317" i="3"/>
  <c r="S316" i="3"/>
  <c r="P316" i="3"/>
  <c r="O316" i="3"/>
  <c r="N316" i="3"/>
  <c r="M316" i="3"/>
  <c r="Q316" i="3" s="1"/>
  <c r="L316" i="3"/>
  <c r="K316" i="3"/>
  <c r="J316" i="3"/>
  <c r="F316" i="3"/>
  <c r="G316" i="3" s="1"/>
  <c r="E316" i="3"/>
  <c r="D316" i="3"/>
  <c r="A316" i="3"/>
  <c r="S315" i="3"/>
  <c r="R315" i="3"/>
  <c r="Q315" i="3"/>
  <c r="P315" i="3"/>
  <c r="O315" i="3"/>
  <c r="N315" i="3"/>
  <c r="H315" i="3"/>
  <c r="G315" i="3"/>
  <c r="A315" i="3"/>
  <c r="S314" i="3"/>
  <c r="R314" i="3"/>
  <c r="Q314" i="3"/>
  <c r="P314" i="3"/>
  <c r="O314" i="3"/>
  <c r="N314" i="3"/>
  <c r="H314" i="3"/>
  <c r="I314" i="3" s="1"/>
  <c r="G314" i="3"/>
  <c r="S313" i="3"/>
  <c r="R313" i="3"/>
  <c r="Q313" i="3"/>
  <c r="P313" i="3"/>
  <c r="O313" i="3"/>
  <c r="N313" i="3"/>
  <c r="H313" i="3"/>
  <c r="I313" i="3" s="1"/>
  <c r="G313" i="3"/>
  <c r="S312" i="3"/>
  <c r="R312" i="3"/>
  <c r="Q312" i="3"/>
  <c r="P312" i="3"/>
  <c r="O312" i="3"/>
  <c r="N312" i="3"/>
  <c r="H312" i="3"/>
  <c r="I312" i="3" s="1"/>
  <c r="G312" i="3"/>
  <c r="S311" i="3"/>
  <c r="R311" i="3"/>
  <c r="Q311" i="3"/>
  <c r="P311" i="3"/>
  <c r="O311" i="3"/>
  <c r="N311" i="3"/>
  <c r="H311" i="3"/>
  <c r="I311" i="3" s="1"/>
  <c r="G311" i="3"/>
  <c r="S310" i="3"/>
  <c r="R310" i="3"/>
  <c r="Q310" i="3"/>
  <c r="P310" i="3"/>
  <c r="O310" i="3"/>
  <c r="N310" i="3"/>
  <c r="H310" i="3"/>
  <c r="I310" i="3" s="1"/>
  <c r="G310" i="3"/>
  <c r="S309" i="3"/>
  <c r="R309" i="3"/>
  <c r="Q309" i="3"/>
  <c r="P309" i="3"/>
  <c r="O309" i="3"/>
  <c r="N309" i="3"/>
  <c r="H309" i="3"/>
  <c r="I309" i="3" s="1"/>
  <c r="G309" i="3"/>
  <c r="S308" i="3"/>
  <c r="R308" i="3"/>
  <c r="Q308" i="3"/>
  <c r="P308" i="3"/>
  <c r="O308" i="3"/>
  <c r="N308" i="3"/>
  <c r="I308" i="3"/>
  <c r="H308" i="3"/>
  <c r="G308" i="3"/>
  <c r="S307" i="3"/>
  <c r="R307" i="3"/>
  <c r="Q307" i="3"/>
  <c r="P307" i="3"/>
  <c r="O307" i="3"/>
  <c r="N307" i="3"/>
  <c r="H307" i="3"/>
  <c r="I307" i="3" s="1"/>
  <c r="G307" i="3"/>
  <c r="S306" i="3"/>
  <c r="R306" i="3"/>
  <c r="Q306" i="3"/>
  <c r="P306" i="3"/>
  <c r="O306" i="3"/>
  <c r="N306" i="3"/>
  <c r="H306" i="3"/>
  <c r="I306" i="3" s="1"/>
  <c r="G306" i="3"/>
  <c r="S305" i="3"/>
  <c r="R305" i="3"/>
  <c r="Q305" i="3"/>
  <c r="P305" i="3"/>
  <c r="O305" i="3"/>
  <c r="N305" i="3"/>
  <c r="H305" i="3"/>
  <c r="I305" i="3" s="1"/>
  <c r="G305" i="3"/>
  <c r="S304" i="3"/>
  <c r="R304" i="3"/>
  <c r="Q304" i="3"/>
  <c r="P304" i="3"/>
  <c r="O304" i="3"/>
  <c r="N304" i="3"/>
  <c r="I304" i="3"/>
  <c r="H304" i="3"/>
  <c r="G304" i="3"/>
  <c r="S303" i="3"/>
  <c r="R303" i="3"/>
  <c r="Q303" i="3"/>
  <c r="P303" i="3"/>
  <c r="O303" i="3"/>
  <c r="N303" i="3"/>
  <c r="H303" i="3"/>
  <c r="I303" i="3" s="1"/>
  <c r="G303" i="3"/>
  <c r="S302" i="3"/>
  <c r="R302" i="3"/>
  <c r="Q302" i="3"/>
  <c r="P302" i="3"/>
  <c r="O302" i="3"/>
  <c r="N302" i="3"/>
  <c r="H302" i="3"/>
  <c r="I302" i="3" s="1"/>
  <c r="G302" i="3"/>
  <c r="S301" i="3"/>
  <c r="R301" i="3"/>
  <c r="Q301" i="3"/>
  <c r="P301" i="3"/>
  <c r="O301" i="3"/>
  <c r="N301" i="3"/>
  <c r="H301" i="3"/>
  <c r="I301" i="3" s="1"/>
  <c r="G301" i="3"/>
  <c r="S300" i="3"/>
  <c r="R300" i="3"/>
  <c r="Q300" i="3"/>
  <c r="P300" i="3"/>
  <c r="O300" i="3"/>
  <c r="N300" i="3"/>
  <c r="I300" i="3"/>
  <c r="H300" i="3"/>
  <c r="G300" i="3"/>
  <c r="S299" i="3"/>
  <c r="R299" i="3"/>
  <c r="Q299" i="3"/>
  <c r="P299" i="3"/>
  <c r="O299" i="3"/>
  <c r="N299" i="3"/>
  <c r="I299" i="3"/>
  <c r="H299" i="3"/>
  <c r="G299" i="3"/>
  <c r="S298" i="3"/>
  <c r="R298" i="3"/>
  <c r="Q298" i="3"/>
  <c r="P298" i="3"/>
  <c r="O298" i="3"/>
  <c r="N298" i="3"/>
  <c r="H298" i="3"/>
  <c r="I298" i="3" s="1"/>
  <c r="G298" i="3"/>
  <c r="T297" i="3"/>
  <c r="Q297" i="3"/>
  <c r="N297" i="3"/>
  <c r="M297" i="3"/>
  <c r="O297" i="3" s="1"/>
  <c r="L297" i="3"/>
  <c r="K297" i="3"/>
  <c r="J297" i="3"/>
  <c r="P297" i="3" s="1"/>
  <c r="H297" i="3"/>
  <c r="F297" i="3"/>
  <c r="E297" i="3"/>
  <c r="D297" i="3"/>
  <c r="A297" i="3"/>
  <c r="S296" i="3"/>
  <c r="R296" i="3"/>
  <c r="Q296" i="3"/>
  <c r="P296" i="3"/>
  <c r="O296" i="3"/>
  <c r="N296" i="3"/>
  <c r="H296" i="3"/>
  <c r="G296" i="3"/>
  <c r="I296" i="3" s="1"/>
  <c r="A296" i="3"/>
  <c r="S295" i="3"/>
  <c r="R295" i="3"/>
  <c r="Q295" i="3"/>
  <c r="P295" i="3"/>
  <c r="O295" i="3"/>
  <c r="N295" i="3"/>
  <c r="H295" i="3"/>
  <c r="G295" i="3"/>
  <c r="S294" i="3"/>
  <c r="R294" i="3"/>
  <c r="Q294" i="3"/>
  <c r="P294" i="3"/>
  <c r="O294" i="3"/>
  <c r="N294" i="3"/>
  <c r="H294" i="3"/>
  <c r="G294" i="3"/>
  <c r="I294" i="3" s="1"/>
  <c r="S293" i="3"/>
  <c r="R293" i="3"/>
  <c r="Q293" i="3"/>
  <c r="P293" i="3"/>
  <c r="O293" i="3"/>
  <c r="N293" i="3"/>
  <c r="H293" i="3"/>
  <c r="G293" i="3"/>
  <c r="I293" i="3" s="1"/>
  <c r="S292" i="3"/>
  <c r="R292" i="3"/>
  <c r="Q292" i="3"/>
  <c r="P292" i="3"/>
  <c r="O292" i="3"/>
  <c r="N292" i="3"/>
  <c r="H292" i="3"/>
  <c r="G292" i="3"/>
  <c r="S291" i="3"/>
  <c r="R291" i="3"/>
  <c r="Q291" i="3"/>
  <c r="P291" i="3"/>
  <c r="O291" i="3"/>
  <c r="N291" i="3"/>
  <c r="H291" i="3"/>
  <c r="G291" i="3"/>
  <c r="S290" i="3"/>
  <c r="R290" i="3"/>
  <c r="Q290" i="3"/>
  <c r="P290" i="3"/>
  <c r="O290" i="3"/>
  <c r="N290" i="3"/>
  <c r="H290" i="3"/>
  <c r="G290" i="3"/>
  <c r="I290" i="3" s="1"/>
  <c r="S289" i="3"/>
  <c r="R289" i="3"/>
  <c r="Q289" i="3"/>
  <c r="P289" i="3"/>
  <c r="O289" i="3"/>
  <c r="N289" i="3"/>
  <c r="H289" i="3"/>
  <c r="G289" i="3"/>
  <c r="I289" i="3" s="1"/>
  <c r="S288" i="3"/>
  <c r="R288" i="3"/>
  <c r="Q288" i="3"/>
  <c r="P288" i="3"/>
  <c r="O288" i="3"/>
  <c r="N288" i="3"/>
  <c r="H288" i="3"/>
  <c r="G288" i="3"/>
  <c r="S287" i="3"/>
  <c r="R287" i="3"/>
  <c r="Q287" i="3"/>
  <c r="P287" i="3"/>
  <c r="O287" i="3"/>
  <c r="N287" i="3"/>
  <c r="H287" i="3"/>
  <c r="I287" i="3" s="1"/>
  <c r="G287" i="3"/>
  <c r="S286" i="3"/>
  <c r="R286" i="3"/>
  <c r="Q286" i="3"/>
  <c r="P286" i="3"/>
  <c r="O286" i="3"/>
  <c r="N286" i="3"/>
  <c r="H286" i="3"/>
  <c r="G286" i="3"/>
  <c r="I286" i="3" s="1"/>
  <c r="S285" i="3"/>
  <c r="R285" i="3"/>
  <c r="Q285" i="3"/>
  <c r="P285" i="3"/>
  <c r="O285" i="3"/>
  <c r="N285" i="3"/>
  <c r="H285" i="3"/>
  <c r="G285" i="3"/>
  <c r="I285" i="3" s="1"/>
  <c r="S284" i="3"/>
  <c r="R284" i="3"/>
  <c r="Q284" i="3"/>
  <c r="P284" i="3"/>
  <c r="O284" i="3"/>
  <c r="N284" i="3"/>
  <c r="H284" i="3"/>
  <c r="I284" i="3" s="1"/>
  <c r="G284" i="3"/>
  <c r="S283" i="3"/>
  <c r="R283" i="3"/>
  <c r="Q283" i="3"/>
  <c r="P283" i="3"/>
  <c r="O283" i="3"/>
  <c r="N283" i="3"/>
  <c r="H283" i="3"/>
  <c r="G283" i="3"/>
  <c r="S282" i="3"/>
  <c r="R282" i="3"/>
  <c r="Q282" i="3"/>
  <c r="P282" i="3"/>
  <c r="O282" i="3"/>
  <c r="N282" i="3"/>
  <c r="H282" i="3"/>
  <c r="G282" i="3"/>
  <c r="I282" i="3" s="1"/>
  <c r="S281" i="3"/>
  <c r="R281" i="3"/>
  <c r="Q281" i="3"/>
  <c r="P281" i="3"/>
  <c r="O281" i="3"/>
  <c r="N281" i="3"/>
  <c r="H281" i="3"/>
  <c r="G281" i="3"/>
  <c r="I281" i="3" s="1"/>
  <c r="S280" i="3"/>
  <c r="R280" i="3"/>
  <c r="Q280" i="3"/>
  <c r="P280" i="3"/>
  <c r="O280" i="3"/>
  <c r="N280" i="3"/>
  <c r="H280" i="3"/>
  <c r="G280" i="3"/>
  <c r="S279" i="3"/>
  <c r="R279" i="3"/>
  <c r="Q279" i="3"/>
  <c r="P279" i="3"/>
  <c r="O279" i="3"/>
  <c r="N279" i="3"/>
  <c r="H279" i="3"/>
  <c r="G279" i="3"/>
  <c r="T278" i="3"/>
  <c r="M278" i="3"/>
  <c r="Q278" i="3" s="1"/>
  <c r="L278" i="3"/>
  <c r="K278" i="3"/>
  <c r="J278" i="3"/>
  <c r="H278" i="3"/>
  <c r="I278" i="3" s="1"/>
  <c r="G278" i="3"/>
  <c r="F278" i="3"/>
  <c r="E278" i="3"/>
  <c r="D278" i="3"/>
  <c r="A278" i="3"/>
  <c r="S277" i="3"/>
  <c r="R277" i="3"/>
  <c r="Q277" i="3"/>
  <c r="P277" i="3"/>
  <c r="O277" i="3"/>
  <c r="N277" i="3"/>
  <c r="I277" i="3"/>
  <c r="H277" i="3"/>
  <c r="G277" i="3"/>
  <c r="A277" i="3"/>
  <c r="S276" i="3"/>
  <c r="R276" i="3"/>
  <c r="Q276" i="3"/>
  <c r="P276" i="3"/>
  <c r="O276" i="3"/>
  <c r="N276" i="3"/>
  <c r="H276" i="3"/>
  <c r="G276" i="3"/>
  <c r="I276" i="3" s="1"/>
  <c r="S275" i="3"/>
  <c r="R275" i="3"/>
  <c r="Q275" i="3"/>
  <c r="P275" i="3"/>
  <c r="O275" i="3"/>
  <c r="N275" i="3"/>
  <c r="H275" i="3"/>
  <c r="I275" i="3" s="1"/>
  <c r="G275" i="3"/>
  <c r="S274" i="3"/>
  <c r="R274" i="3"/>
  <c r="Q274" i="3"/>
  <c r="P274" i="3"/>
  <c r="O274" i="3"/>
  <c r="N274" i="3"/>
  <c r="I274" i="3"/>
  <c r="H274" i="3"/>
  <c r="G274" i="3"/>
  <c r="S273" i="3"/>
  <c r="R273" i="3"/>
  <c r="Q273" i="3"/>
  <c r="P273" i="3"/>
  <c r="O273" i="3"/>
  <c r="N273" i="3"/>
  <c r="I273" i="3"/>
  <c r="H273" i="3"/>
  <c r="G273" i="3"/>
  <c r="S272" i="3"/>
  <c r="R272" i="3"/>
  <c r="Q272" i="3"/>
  <c r="P272" i="3"/>
  <c r="O272" i="3"/>
  <c r="N272" i="3"/>
  <c r="H272" i="3"/>
  <c r="G272" i="3"/>
  <c r="I272" i="3" s="1"/>
  <c r="S271" i="3"/>
  <c r="R271" i="3"/>
  <c r="Q271" i="3"/>
  <c r="P271" i="3"/>
  <c r="O271" i="3"/>
  <c r="N271" i="3"/>
  <c r="H271" i="3"/>
  <c r="G271" i="3"/>
  <c r="S270" i="3"/>
  <c r="R270" i="3"/>
  <c r="Q270" i="3"/>
  <c r="P270" i="3"/>
  <c r="O270" i="3"/>
  <c r="N270" i="3"/>
  <c r="I270" i="3"/>
  <c r="H270" i="3"/>
  <c r="G270" i="3"/>
  <c r="S269" i="3"/>
  <c r="R269" i="3"/>
  <c r="Q269" i="3"/>
  <c r="P269" i="3"/>
  <c r="O269" i="3"/>
  <c r="N269" i="3"/>
  <c r="I269" i="3"/>
  <c r="H269" i="3"/>
  <c r="G269" i="3"/>
  <c r="S268" i="3"/>
  <c r="R268" i="3"/>
  <c r="Q268" i="3"/>
  <c r="P268" i="3"/>
  <c r="O268" i="3"/>
  <c r="N268" i="3"/>
  <c r="I268" i="3"/>
  <c r="H268" i="3"/>
  <c r="G268" i="3"/>
  <c r="S267" i="3"/>
  <c r="R267" i="3"/>
  <c r="Q267" i="3"/>
  <c r="P267" i="3"/>
  <c r="O267" i="3"/>
  <c r="N267" i="3"/>
  <c r="H267" i="3"/>
  <c r="I267" i="3" s="1"/>
  <c r="G267" i="3"/>
  <c r="S266" i="3"/>
  <c r="R266" i="3"/>
  <c r="Q266" i="3"/>
  <c r="P266" i="3"/>
  <c r="O266" i="3"/>
  <c r="N266" i="3"/>
  <c r="I266" i="3"/>
  <c r="H266" i="3"/>
  <c r="G266" i="3"/>
  <c r="S265" i="3"/>
  <c r="R265" i="3"/>
  <c r="Q265" i="3"/>
  <c r="P265" i="3"/>
  <c r="O265" i="3"/>
  <c r="N265" i="3"/>
  <c r="I265" i="3"/>
  <c r="H265" i="3"/>
  <c r="G265" i="3"/>
  <c r="S264" i="3"/>
  <c r="R264" i="3"/>
  <c r="Q264" i="3"/>
  <c r="P264" i="3"/>
  <c r="O264" i="3"/>
  <c r="N264" i="3"/>
  <c r="I264" i="3"/>
  <c r="H264" i="3"/>
  <c r="G264" i="3"/>
  <c r="S263" i="3"/>
  <c r="R263" i="3"/>
  <c r="Q263" i="3"/>
  <c r="P263" i="3"/>
  <c r="O263" i="3"/>
  <c r="N263" i="3"/>
  <c r="H263" i="3"/>
  <c r="G263" i="3"/>
  <c r="S262" i="3"/>
  <c r="R262" i="3"/>
  <c r="Q262" i="3"/>
  <c r="P262" i="3"/>
  <c r="O262" i="3"/>
  <c r="N262" i="3"/>
  <c r="I262" i="3"/>
  <c r="H262" i="3"/>
  <c r="G262" i="3"/>
  <c r="S261" i="3"/>
  <c r="R261" i="3"/>
  <c r="R278" i="3" s="1"/>
  <c r="Q261" i="3"/>
  <c r="P261" i="3"/>
  <c r="O261" i="3"/>
  <c r="N261" i="3"/>
  <c r="I261" i="3"/>
  <c r="H261" i="3"/>
  <c r="G261" i="3"/>
  <c r="S260" i="3"/>
  <c r="R260" i="3"/>
  <c r="Q260" i="3"/>
  <c r="P260" i="3"/>
  <c r="O260" i="3"/>
  <c r="N260" i="3"/>
  <c r="H260" i="3"/>
  <c r="G260" i="3"/>
  <c r="I260" i="3" s="1"/>
  <c r="M259" i="3"/>
  <c r="L259" i="3"/>
  <c r="K259" i="3"/>
  <c r="J259" i="3"/>
  <c r="H259" i="3"/>
  <c r="F259" i="3"/>
  <c r="E259" i="3"/>
  <c r="G259" i="3" s="1"/>
  <c r="I259" i="3" s="1"/>
  <c r="D259" i="3"/>
  <c r="A259" i="3"/>
  <c r="S258" i="3"/>
  <c r="R258" i="3"/>
  <c r="Q258" i="3"/>
  <c r="P258" i="3"/>
  <c r="O258" i="3"/>
  <c r="N258" i="3"/>
  <c r="H258" i="3"/>
  <c r="G258" i="3"/>
  <c r="I258" i="3" s="1"/>
  <c r="A258" i="3"/>
  <c r="S257" i="3"/>
  <c r="R257" i="3"/>
  <c r="Q257" i="3"/>
  <c r="P257" i="3"/>
  <c r="O257" i="3"/>
  <c r="N257" i="3"/>
  <c r="H257" i="3"/>
  <c r="I257" i="3" s="1"/>
  <c r="G257" i="3"/>
  <c r="S256" i="3"/>
  <c r="R256" i="3"/>
  <c r="Q256" i="3"/>
  <c r="P256" i="3"/>
  <c r="O256" i="3"/>
  <c r="N256" i="3"/>
  <c r="H256" i="3"/>
  <c r="I256" i="3" s="1"/>
  <c r="G256" i="3"/>
  <c r="S255" i="3"/>
  <c r="R255" i="3"/>
  <c r="Q255" i="3"/>
  <c r="P255" i="3"/>
  <c r="O255" i="3"/>
  <c r="N255" i="3"/>
  <c r="H255" i="3"/>
  <c r="I255" i="3" s="1"/>
  <c r="G255" i="3"/>
  <c r="S254" i="3"/>
  <c r="R254" i="3"/>
  <c r="Q254" i="3"/>
  <c r="P254" i="3"/>
  <c r="O254" i="3"/>
  <c r="N254" i="3"/>
  <c r="H254" i="3"/>
  <c r="I254" i="3" s="1"/>
  <c r="G254" i="3"/>
  <c r="S253" i="3"/>
  <c r="R253" i="3"/>
  <c r="Q253" i="3"/>
  <c r="P253" i="3"/>
  <c r="O253" i="3"/>
  <c r="N253" i="3"/>
  <c r="I253" i="3"/>
  <c r="H253" i="3"/>
  <c r="G253" i="3"/>
  <c r="S252" i="3"/>
  <c r="R252" i="3"/>
  <c r="Q252" i="3"/>
  <c r="P252" i="3"/>
  <c r="O252" i="3"/>
  <c r="N252" i="3"/>
  <c r="H252" i="3"/>
  <c r="I252" i="3" s="1"/>
  <c r="G252" i="3"/>
  <c r="S251" i="3"/>
  <c r="R251" i="3"/>
  <c r="Q251" i="3"/>
  <c r="P251" i="3"/>
  <c r="O251" i="3"/>
  <c r="N251" i="3"/>
  <c r="H251" i="3"/>
  <c r="I251" i="3" s="1"/>
  <c r="G251" i="3"/>
  <c r="S250" i="3"/>
  <c r="R250" i="3"/>
  <c r="Q250" i="3"/>
  <c r="P250" i="3"/>
  <c r="O250" i="3"/>
  <c r="N250" i="3"/>
  <c r="H250" i="3"/>
  <c r="I250" i="3" s="1"/>
  <c r="G250" i="3"/>
  <c r="S249" i="3"/>
  <c r="R249" i="3"/>
  <c r="Q249" i="3"/>
  <c r="P249" i="3"/>
  <c r="O249" i="3"/>
  <c r="N249" i="3"/>
  <c r="I249" i="3"/>
  <c r="H249" i="3"/>
  <c r="G249" i="3"/>
  <c r="S248" i="3"/>
  <c r="R248" i="3"/>
  <c r="Q248" i="3"/>
  <c r="P248" i="3"/>
  <c r="O248" i="3"/>
  <c r="N248" i="3"/>
  <c r="H248" i="3"/>
  <c r="I248" i="3" s="1"/>
  <c r="G248" i="3"/>
  <c r="S247" i="3"/>
  <c r="R247" i="3"/>
  <c r="Q247" i="3"/>
  <c r="P247" i="3"/>
  <c r="O247" i="3"/>
  <c r="N247" i="3"/>
  <c r="H247" i="3"/>
  <c r="I247" i="3" s="1"/>
  <c r="G247" i="3"/>
  <c r="S246" i="3"/>
  <c r="R246" i="3"/>
  <c r="Q246" i="3"/>
  <c r="P246" i="3"/>
  <c r="O246" i="3"/>
  <c r="N246" i="3"/>
  <c r="H246" i="3"/>
  <c r="I246" i="3" s="1"/>
  <c r="G246" i="3"/>
  <c r="S245" i="3"/>
  <c r="R245" i="3"/>
  <c r="Q245" i="3"/>
  <c r="P245" i="3"/>
  <c r="O245" i="3"/>
  <c r="N245" i="3"/>
  <c r="I245" i="3"/>
  <c r="H245" i="3"/>
  <c r="G245" i="3"/>
  <c r="S244" i="3"/>
  <c r="R244" i="3"/>
  <c r="Q244" i="3"/>
  <c r="P244" i="3"/>
  <c r="O244" i="3"/>
  <c r="N244" i="3"/>
  <c r="I244" i="3"/>
  <c r="H244" i="3"/>
  <c r="G244" i="3"/>
  <c r="S243" i="3"/>
  <c r="R243" i="3"/>
  <c r="Q243" i="3"/>
  <c r="P243" i="3"/>
  <c r="O243" i="3"/>
  <c r="N243" i="3"/>
  <c r="H243" i="3"/>
  <c r="I243" i="3" s="1"/>
  <c r="G243" i="3"/>
  <c r="S242" i="3"/>
  <c r="R242" i="3"/>
  <c r="Q242" i="3"/>
  <c r="P242" i="3"/>
  <c r="O242" i="3"/>
  <c r="N242" i="3"/>
  <c r="H242" i="3"/>
  <c r="I242" i="3" s="1"/>
  <c r="G242" i="3"/>
  <c r="S241" i="3"/>
  <c r="R241" i="3"/>
  <c r="Q241" i="3"/>
  <c r="P241" i="3"/>
  <c r="O241" i="3"/>
  <c r="N241" i="3"/>
  <c r="H241" i="3"/>
  <c r="I241" i="3" s="1"/>
  <c r="G241" i="3"/>
  <c r="O240" i="3"/>
  <c r="N240" i="3"/>
  <c r="M240" i="3"/>
  <c r="L240" i="3"/>
  <c r="K240" i="3"/>
  <c r="J240" i="3"/>
  <c r="H240" i="3"/>
  <c r="F240" i="3"/>
  <c r="E240" i="3"/>
  <c r="D240" i="3"/>
  <c r="Q240" i="3" s="1"/>
  <c r="A240" i="3"/>
  <c r="S239" i="3"/>
  <c r="R239" i="3"/>
  <c r="Q239" i="3"/>
  <c r="P239" i="3"/>
  <c r="O239" i="3"/>
  <c r="N239" i="3"/>
  <c r="I239" i="3"/>
  <c r="H239" i="3"/>
  <c r="G239" i="3"/>
  <c r="A239" i="3"/>
  <c r="S238" i="3"/>
  <c r="R238" i="3"/>
  <c r="Q238" i="3"/>
  <c r="P238" i="3"/>
  <c r="O238" i="3"/>
  <c r="N238" i="3"/>
  <c r="H238" i="3"/>
  <c r="G238" i="3"/>
  <c r="I238" i="3" s="1"/>
  <c r="S237" i="3"/>
  <c r="R237" i="3"/>
  <c r="Q237" i="3"/>
  <c r="P237" i="3"/>
  <c r="O237" i="3"/>
  <c r="N237" i="3"/>
  <c r="H237" i="3"/>
  <c r="I237" i="3" s="1"/>
  <c r="G237" i="3"/>
  <c r="S236" i="3"/>
  <c r="R236" i="3"/>
  <c r="Q236" i="3"/>
  <c r="P236" i="3"/>
  <c r="O236" i="3"/>
  <c r="N236" i="3"/>
  <c r="H236" i="3"/>
  <c r="G236" i="3"/>
  <c r="S235" i="3"/>
  <c r="R235" i="3"/>
  <c r="Q235" i="3"/>
  <c r="P235" i="3"/>
  <c r="O235" i="3"/>
  <c r="N235" i="3"/>
  <c r="H235" i="3"/>
  <c r="G235" i="3"/>
  <c r="I235" i="3" s="1"/>
  <c r="S234" i="3"/>
  <c r="R234" i="3"/>
  <c r="Q234" i="3"/>
  <c r="P234" i="3"/>
  <c r="O234" i="3"/>
  <c r="N234" i="3"/>
  <c r="H234" i="3"/>
  <c r="G234" i="3"/>
  <c r="I234" i="3" s="1"/>
  <c r="S233" i="3"/>
  <c r="R233" i="3"/>
  <c r="Q233" i="3"/>
  <c r="P233" i="3"/>
  <c r="O233" i="3"/>
  <c r="N233" i="3"/>
  <c r="H233" i="3"/>
  <c r="G233" i="3"/>
  <c r="S232" i="3"/>
  <c r="R232" i="3"/>
  <c r="Q232" i="3"/>
  <c r="P232" i="3"/>
  <c r="O232" i="3"/>
  <c r="N232" i="3"/>
  <c r="H232" i="3"/>
  <c r="I232" i="3" s="1"/>
  <c r="G232" i="3"/>
  <c r="S231" i="3"/>
  <c r="R231" i="3"/>
  <c r="Q231" i="3"/>
  <c r="P231" i="3"/>
  <c r="O231" i="3"/>
  <c r="N231" i="3"/>
  <c r="H231" i="3"/>
  <c r="G231" i="3"/>
  <c r="I231" i="3" s="1"/>
  <c r="S230" i="3"/>
  <c r="R230" i="3"/>
  <c r="Q230" i="3"/>
  <c r="P230" i="3"/>
  <c r="O230" i="3"/>
  <c r="N230" i="3"/>
  <c r="H230" i="3"/>
  <c r="G230" i="3"/>
  <c r="I230" i="3" s="1"/>
  <c r="S229" i="3"/>
  <c r="R229" i="3"/>
  <c r="Q229" i="3"/>
  <c r="P229" i="3"/>
  <c r="O229" i="3"/>
  <c r="N229" i="3"/>
  <c r="H229" i="3"/>
  <c r="I229" i="3" s="1"/>
  <c r="G229" i="3"/>
  <c r="S228" i="3"/>
  <c r="R228" i="3"/>
  <c r="Q228" i="3"/>
  <c r="P228" i="3"/>
  <c r="O228" i="3"/>
  <c r="N228" i="3"/>
  <c r="H228" i="3"/>
  <c r="I228" i="3" s="1"/>
  <c r="G228" i="3"/>
  <c r="S227" i="3"/>
  <c r="R227" i="3"/>
  <c r="Q227" i="3"/>
  <c r="P227" i="3"/>
  <c r="O227" i="3"/>
  <c r="N227" i="3"/>
  <c r="H227" i="3"/>
  <c r="G227" i="3"/>
  <c r="I227" i="3" s="1"/>
  <c r="S226" i="3"/>
  <c r="R226" i="3"/>
  <c r="Q226" i="3"/>
  <c r="P226" i="3"/>
  <c r="O226" i="3"/>
  <c r="N226" i="3"/>
  <c r="H226" i="3"/>
  <c r="G226" i="3"/>
  <c r="I226" i="3" s="1"/>
  <c r="S225" i="3"/>
  <c r="R225" i="3"/>
  <c r="Q225" i="3"/>
  <c r="P225" i="3"/>
  <c r="O225" i="3"/>
  <c r="N225" i="3"/>
  <c r="H225" i="3"/>
  <c r="I225" i="3" s="1"/>
  <c r="G225" i="3"/>
  <c r="S224" i="3"/>
  <c r="R224" i="3"/>
  <c r="Q224" i="3"/>
  <c r="P224" i="3"/>
  <c r="O224" i="3"/>
  <c r="N224" i="3"/>
  <c r="H224" i="3"/>
  <c r="G224" i="3"/>
  <c r="S223" i="3"/>
  <c r="R223" i="3"/>
  <c r="Q223" i="3"/>
  <c r="P223" i="3"/>
  <c r="O223" i="3"/>
  <c r="N223" i="3"/>
  <c r="H223" i="3"/>
  <c r="G223" i="3"/>
  <c r="I223" i="3" s="1"/>
  <c r="S222" i="3"/>
  <c r="R222" i="3"/>
  <c r="Q222" i="3"/>
  <c r="P222" i="3"/>
  <c r="O222" i="3"/>
  <c r="N222" i="3"/>
  <c r="H222" i="3"/>
  <c r="G222" i="3"/>
  <c r="I222" i="3" s="1"/>
  <c r="Q221" i="3"/>
  <c r="P221" i="3"/>
  <c r="N221" i="3"/>
  <c r="M221" i="3"/>
  <c r="O221" i="3" s="1"/>
  <c r="L221" i="3"/>
  <c r="K221" i="3"/>
  <c r="J221" i="3"/>
  <c r="S221" i="3" s="1"/>
  <c r="F221" i="3"/>
  <c r="E221" i="3"/>
  <c r="D221" i="3"/>
  <c r="A221" i="3"/>
  <c r="S220" i="3"/>
  <c r="R220" i="3"/>
  <c r="Q220" i="3"/>
  <c r="P220" i="3"/>
  <c r="O220" i="3"/>
  <c r="N220" i="3"/>
  <c r="H220" i="3"/>
  <c r="I220" i="3" s="1"/>
  <c r="G220" i="3"/>
  <c r="A220" i="3"/>
  <c r="S219" i="3"/>
  <c r="R219" i="3"/>
  <c r="Q219" i="3"/>
  <c r="P219" i="3"/>
  <c r="O219" i="3"/>
  <c r="N219" i="3"/>
  <c r="I219" i="3"/>
  <c r="H219" i="3"/>
  <c r="G219" i="3"/>
  <c r="S218" i="3"/>
  <c r="R218" i="3"/>
  <c r="Q218" i="3"/>
  <c r="P218" i="3"/>
  <c r="O218" i="3"/>
  <c r="N218" i="3"/>
  <c r="I218" i="3"/>
  <c r="H218" i="3"/>
  <c r="G218" i="3"/>
  <c r="S217" i="3"/>
  <c r="R217" i="3"/>
  <c r="Q217" i="3"/>
  <c r="P217" i="3"/>
  <c r="O217" i="3"/>
  <c r="N217" i="3"/>
  <c r="H217" i="3"/>
  <c r="G217" i="3"/>
  <c r="I217" i="3" s="1"/>
  <c r="S216" i="3"/>
  <c r="R216" i="3"/>
  <c r="Q216" i="3"/>
  <c r="P216" i="3"/>
  <c r="O216" i="3"/>
  <c r="N216" i="3"/>
  <c r="H216" i="3"/>
  <c r="I216" i="3" s="1"/>
  <c r="G216" i="3"/>
  <c r="S215" i="3"/>
  <c r="R215" i="3"/>
  <c r="Q215" i="3"/>
  <c r="P215" i="3"/>
  <c r="O215" i="3"/>
  <c r="N215" i="3"/>
  <c r="I215" i="3"/>
  <c r="H215" i="3"/>
  <c r="G215" i="3"/>
  <c r="S214" i="3"/>
  <c r="R214" i="3"/>
  <c r="Q214" i="3"/>
  <c r="P214" i="3"/>
  <c r="O214" i="3"/>
  <c r="N214" i="3"/>
  <c r="I214" i="3"/>
  <c r="H214" i="3"/>
  <c r="G214" i="3"/>
  <c r="S213" i="3"/>
  <c r="R213" i="3"/>
  <c r="Q213" i="3"/>
  <c r="P213" i="3"/>
  <c r="O213" i="3"/>
  <c r="N213" i="3"/>
  <c r="H213" i="3"/>
  <c r="G213" i="3"/>
  <c r="I213" i="3" s="1"/>
  <c r="S212" i="3"/>
  <c r="R212" i="3"/>
  <c r="Q212" i="3"/>
  <c r="P212" i="3"/>
  <c r="O212" i="3"/>
  <c r="N212" i="3"/>
  <c r="H212" i="3"/>
  <c r="I212" i="3" s="1"/>
  <c r="G212" i="3"/>
  <c r="S211" i="3"/>
  <c r="R211" i="3"/>
  <c r="Q211" i="3"/>
  <c r="P211" i="3"/>
  <c r="O211" i="3"/>
  <c r="N211" i="3"/>
  <c r="I211" i="3"/>
  <c r="H211" i="3"/>
  <c r="G211" i="3"/>
  <c r="S210" i="3"/>
  <c r="R210" i="3"/>
  <c r="Q210" i="3"/>
  <c r="P210" i="3"/>
  <c r="O210" i="3"/>
  <c r="N210" i="3"/>
  <c r="I210" i="3"/>
  <c r="H210" i="3"/>
  <c r="G210" i="3"/>
  <c r="S209" i="3"/>
  <c r="R209" i="3"/>
  <c r="Q209" i="3"/>
  <c r="P209" i="3"/>
  <c r="O209" i="3"/>
  <c r="N209" i="3"/>
  <c r="H209" i="3"/>
  <c r="G209" i="3"/>
  <c r="I209" i="3" s="1"/>
  <c r="S208" i="3"/>
  <c r="R208" i="3"/>
  <c r="Q208" i="3"/>
  <c r="P208" i="3"/>
  <c r="O208" i="3"/>
  <c r="N208" i="3"/>
  <c r="H208" i="3"/>
  <c r="G208" i="3"/>
  <c r="S207" i="3"/>
  <c r="R207" i="3"/>
  <c r="Q207" i="3"/>
  <c r="P207" i="3"/>
  <c r="O207" i="3"/>
  <c r="N207" i="3"/>
  <c r="I207" i="3"/>
  <c r="H207" i="3"/>
  <c r="G207" i="3"/>
  <c r="S206" i="3"/>
  <c r="R206" i="3"/>
  <c r="Q206" i="3"/>
  <c r="P206" i="3"/>
  <c r="O206" i="3"/>
  <c r="N206" i="3"/>
  <c r="I206" i="3"/>
  <c r="H206" i="3"/>
  <c r="G206" i="3"/>
  <c r="S205" i="3"/>
  <c r="R205" i="3"/>
  <c r="Q205" i="3"/>
  <c r="P205" i="3"/>
  <c r="O205" i="3"/>
  <c r="N205" i="3"/>
  <c r="I205" i="3"/>
  <c r="H205" i="3"/>
  <c r="G205" i="3"/>
  <c r="S204" i="3"/>
  <c r="R204" i="3"/>
  <c r="Q204" i="3"/>
  <c r="P204" i="3"/>
  <c r="O204" i="3"/>
  <c r="N204" i="3"/>
  <c r="H204" i="3"/>
  <c r="I204" i="3" s="1"/>
  <c r="G204" i="3"/>
  <c r="S203" i="3"/>
  <c r="R203" i="3"/>
  <c r="Q203" i="3"/>
  <c r="P203" i="3"/>
  <c r="O203" i="3"/>
  <c r="N203" i="3"/>
  <c r="I203" i="3"/>
  <c r="H203" i="3"/>
  <c r="G203" i="3"/>
  <c r="V202" i="3"/>
  <c r="U202" i="3"/>
  <c r="T202" i="3"/>
  <c r="Q202" i="3"/>
  <c r="N202" i="3"/>
  <c r="M202" i="3"/>
  <c r="O202" i="3" s="1"/>
  <c r="L202" i="3"/>
  <c r="K202" i="3"/>
  <c r="J202" i="3"/>
  <c r="P202" i="3" s="1"/>
  <c r="F202" i="3"/>
  <c r="E202" i="3"/>
  <c r="H202" i="3" s="1"/>
  <c r="D202" i="3"/>
  <c r="A202" i="3"/>
  <c r="S201" i="3"/>
  <c r="R201" i="3"/>
  <c r="Q201" i="3"/>
  <c r="P201" i="3"/>
  <c r="O201" i="3"/>
  <c r="N201" i="3"/>
  <c r="H201" i="3"/>
  <c r="G201" i="3"/>
  <c r="I201" i="3" s="1"/>
  <c r="A201" i="3"/>
  <c r="S200" i="3"/>
  <c r="R200" i="3"/>
  <c r="Q200" i="3"/>
  <c r="P200" i="3"/>
  <c r="O200" i="3"/>
  <c r="N200" i="3"/>
  <c r="H200" i="3"/>
  <c r="G200" i="3"/>
  <c r="S199" i="3"/>
  <c r="R199" i="3"/>
  <c r="Q199" i="3"/>
  <c r="P199" i="3"/>
  <c r="O199" i="3"/>
  <c r="N199" i="3"/>
  <c r="H199" i="3"/>
  <c r="G199" i="3"/>
  <c r="I199" i="3" s="1"/>
  <c r="S198" i="3"/>
  <c r="R198" i="3"/>
  <c r="Q198" i="3"/>
  <c r="P198" i="3"/>
  <c r="O198" i="3"/>
  <c r="N198" i="3"/>
  <c r="H198" i="3"/>
  <c r="G198" i="3"/>
  <c r="I198" i="3" s="1"/>
  <c r="S197" i="3"/>
  <c r="R197" i="3"/>
  <c r="Q197" i="3"/>
  <c r="P197" i="3"/>
  <c r="O197" i="3"/>
  <c r="N197" i="3"/>
  <c r="H197" i="3"/>
  <c r="G197" i="3"/>
  <c r="S196" i="3"/>
  <c r="R196" i="3"/>
  <c r="Q196" i="3"/>
  <c r="P196" i="3"/>
  <c r="O196" i="3"/>
  <c r="N196" i="3"/>
  <c r="H196" i="3"/>
  <c r="I196" i="3" s="1"/>
  <c r="G196" i="3"/>
  <c r="S195" i="3"/>
  <c r="R195" i="3"/>
  <c r="Q195" i="3"/>
  <c r="P195" i="3"/>
  <c r="O195" i="3"/>
  <c r="N195" i="3"/>
  <c r="H195" i="3"/>
  <c r="G195" i="3"/>
  <c r="I195" i="3" s="1"/>
  <c r="S194" i="3"/>
  <c r="R194" i="3"/>
  <c r="Q194" i="3"/>
  <c r="P194" i="3"/>
  <c r="O194" i="3"/>
  <c r="N194" i="3"/>
  <c r="H194" i="3"/>
  <c r="G194" i="3"/>
  <c r="I194" i="3" s="1"/>
  <c r="S193" i="3"/>
  <c r="R193" i="3"/>
  <c r="Q193" i="3"/>
  <c r="P193" i="3"/>
  <c r="O193" i="3"/>
  <c r="N193" i="3"/>
  <c r="H193" i="3"/>
  <c r="I193" i="3" s="1"/>
  <c r="G193" i="3"/>
  <c r="S192" i="3"/>
  <c r="R192" i="3"/>
  <c r="Q192" i="3"/>
  <c r="P192" i="3"/>
  <c r="O192" i="3"/>
  <c r="N192" i="3"/>
  <c r="H192" i="3"/>
  <c r="G192" i="3"/>
  <c r="S191" i="3"/>
  <c r="R191" i="3"/>
  <c r="R202" i="3" s="1"/>
  <c r="Q191" i="3"/>
  <c r="P191" i="3"/>
  <c r="O191" i="3"/>
  <c r="N191" i="3"/>
  <c r="H191" i="3"/>
  <c r="G191" i="3"/>
  <c r="I191" i="3" s="1"/>
  <c r="S190" i="3"/>
  <c r="R190" i="3"/>
  <c r="Q190" i="3"/>
  <c r="P190" i="3"/>
  <c r="O190" i="3"/>
  <c r="N190" i="3"/>
  <c r="H190" i="3"/>
  <c r="G190" i="3"/>
  <c r="I190" i="3" s="1"/>
  <c r="S189" i="3"/>
  <c r="R189" i="3"/>
  <c r="Q189" i="3"/>
  <c r="P189" i="3"/>
  <c r="O189" i="3"/>
  <c r="N189" i="3"/>
  <c r="H189" i="3"/>
  <c r="G189" i="3"/>
  <c r="S188" i="3"/>
  <c r="R188" i="3"/>
  <c r="Q188" i="3"/>
  <c r="P188" i="3"/>
  <c r="O188" i="3"/>
  <c r="N188" i="3"/>
  <c r="H188" i="3"/>
  <c r="G188" i="3"/>
  <c r="S187" i="3"/>
  <c r="R187" i="3"/>
  <c r="Q187" i="3"/>
  <c r="P187" i="3"/>
  <c r="O187" i="3"/>
  <c r="N187" i="3"/>
  <c r="H187" i="3"/>
  <c r="G187" i="3"/>
  <c r="I187" i="3" s="1"/>
  <c r="S186" i="3"/>
  <c r="R186" i="3"/>
  <c r="Q186" i="3"/>
  <c r="P186" i="3"/>
  <c r="O186" i="3"/>
  <c r="N186" i="3"/>
  <c r="H186" i="3"/>
  <c r="G186" i="3"/>
  <c r="I186" i="3" s="1"/>
  <c r="S185" i="3"/>
  <c r="R185" i="3"/>
  <c r="Q185" i="3"/>
  <c r="P185" i="3"/>
  <c r="O185" i="3"/>
  <c r="N185" i="3"/>
  <c r="H185" i="3"/>
  <c r="G185" i="3"/>
  <c r="S184" i="3"/>
  <c r="R184" i="3"/>
  <c r="Q184" i="3"/>
  <c r="P184" i="3"/>
  <c r="O184" i="3"/>
  <c r="N184" i="3"/>
  <c r="H184" i="3"/>
  <c r="I184" i="3" s="1"/>
  <c r="G184" i="3"/>
  <c r="V183" i="3"/>
  <c r="M183" i="3"/>
  <c r="L183" i="3"/>
  <c r="K183" i="3"/>
  <c r="J183" i="3"/>
  <c r="H183" i="3"/>
  <c r="F183" i="3"/>
  <c r="E183" i="3"/>
  <c r="G183" i="3" s="1"/>
  <c r="I183" i="3" s="1"/>
  <c r="D183" i="3"/>
  <c r="A183" i="3"/>
  <c r="S182" i="3"/>
  <c r="R182" i="3"/>
  <c r="Q182" i="3"/>
  <c r="P182" i="3"/>
  <c r="O182" i="3"/>
  <c r="N182" i="3"/>
  <c r="H182" i="3"/>
  <c r="G182" i="3"/>
  <c r="I182" i="3" s="1"/>
  <c r="A182" i="3"/>
  <c r="S181" i="3"/>
  <c r="R181" i="3"/>
  <c r="Q181" i="3"/>
  <c r="P181" i="3"/>
  <c r="O181" i="3"/>
  <c r="N181" i="3"/>
  <c r="H181" i="3"/>
  <c r="I181" i="3" s="1"/>
  <c r="G181" i="3"/>
  <c r="S180" i="3"/>
  <c r="R180" i="3"/>
  <c r="Q180" i="3"/>
  <c r="P180" i="3"/>
  <c r="O180" i="3"/>
  <c r="N180" i="3"/>
  <c r="H180" i="3"/>
  <c r="I180" i="3" s="1"/>
  <c r="G180" i="3"/>
  <c r="S179" i="3"/>
  <c r="R179" i="3"/>
  <c r="Q179" i="3"/>
  <c r="P179" i="3"/>
  <c r="O179" i="3"/>
  <c r="N179" i="3"/>
  <c r="H179" i="3"/>
  <c r="I179" i="3" s="1"/>
  <c r="G179" i="3"/>
  <c r="S178" i="3"/>
  <c r="R178" i="3"/>
  <c r="Q178" i="3"/>
  <c r="P178" i="3"/>
  <c r="O178" i="3"/>
  <c r="N178" i="3"/>
  <c r="H178" i="3"/>
  <c r="I178" i="3" s="1"/>
  <c r="G178" i="3"/>
  <c r="S177" i="3"/>
  <c r="R177" i="3"/>
  <c r="Q177" i="3"/>
  <c r="P177" i="3"/>
  <c r="O177" i="3"/>
  <c r="N177" i="3"/>
  <c r="H177" i="3"/>
  <c r="I177" i="3" s="1"/>
  <c r="G177" i="3"/>
  <c r="S176" i="3"/>
  <c r="R176" i="3"/>
  <c r="Q176" i="3"/>
  <c r="P176" i="3"/>
  <c r="O176" i="3"/>
  <c r="N176" i="3"/>
  <c r="H176" i="3"/>
  <c r="I176" i="3" s="1"/>
  <c r="G176" i="3"/>
  <c r="S175" i="3"/>
  <c r="R175" i="3"/>
  <c r="Q175" i="3"/>
  <c r="P175" i="3"/>
  <c r="O175" i="3"/>
  <c r="N175" i="3"/>
  <c r="H175" i="3"/>
  <c r="I175" i="3" s="1"/>
  <c r="G175" i="3"/>
  <c r="S174" i="3"/>
  <c r="R174" i="3"/>
  <c r="Q174" i="3"/>
  <c r="P174" i="3"/>
  <c r="O174" i="3"/>
  <c r="N174" i="3"/>
  <c r="H174" i="3"/>
  <c r="I174" i="3" s="1"/>
  <c r="G174" i="3"/>
  <c r="S173" i="3"/>
  <c r="R173" i="3"/>
  <c r="Q173" i="3"/>
  <c r="P173" i="3"/>
  <c r="O173" i="3"/>
  <c r="N173" i="3"/>
  <c r="I173" i="3"/>
  <c r="H173" i="3"/>
  <c r="G173" i="3"/>
  <c r="S172" i="3"/>
  <c r="R172" i="3"/>
  <c r="Q172" i="3"/>
  <c r="P172" i="3"/>
  <c r="O172" i="3"/>
  <c r="N172" i="3"/>
  <c r="I172" i="3"/>
  <c r="H172" i="3"/>
  <c r="G172" i="3"/>
  <c r="S171" i="3"/>
  <c r="R171" i="3"/>
  <c r="Q171" i="3"/>
  <c r="P171" i="3"/>
  <c r="O171" i="3"/>
  <c r="N171" i="3"/>
  <c r="H171" i="3"/>
  <c r="I171" i="3" s="1"/>
  <c r="G171" i="3"/>
  <c r="S170" i="3"/>
  <c r="R170" i="3"/>
  <c r="Q170" i="3"/>
  <c r="P170" i="3"/>
  <c r="O170" i="3"/>
  <c r="N170" i="3"/>
  <c r="H170" i="3"/>
  <c r="I170" i="3" s="1"/>
  <c r="G170" i="3"/>
  <c r="S169" i="3"/>
  <c r="R169" i="3"/>
  <c r="Q169" i="3"/>
  <c r="P169" i="3"/>
  <c r="O169" i="3"/>
  <c r="N169" i="3"/>
  <c r="I169" i="3"/>
  <c r="H169" i="3"/>
  <c r="G169" i="3"/>
  <c r="S168" i="3"/>
  <c r="R168" i="3"/>
  <c r="Q168" i="3"/>
  <c r="P168" i="3"/>
  <c r="O168" i="3"/>
  <c r="N168" i="3"/>
  <c r="I168" i="3"/>
  <c r="H168" i="3"/>
  <c r="G168" i="3"/>
  <c r="S167" i="3"/>
  <c r="R167" i="3"/>
  <c r="Q167" i="3"/>
  <c r="P167" i="3"/>
  <c r="O167" i="3"/>
  <c r="N167" i="3"/>
  <c r="H167" i="3"/>
  <c r="I167" i="3" s="1"/>
  <c r="G167" i="3"/>
  <c r="S166" i="3"/>
  <c r="R166" i="3"/>
  <c r="Q166" i="3"/>
  <c r="P166" i="3"/>
  <c r="O166" i="3"/>
  <c r="N166" i="3"/>
  <c r="H166" i="3"/>
  <c r="I166" i="3" s="1"/>
  <c r="G166" i="3"/>
  <c r="S165" i="3"/>
  <c r="R165" i="3"/>
  <c r="Q165" i="3"/>
  <c r="P165" i="3"/>
  <c r="O165" i="3"/>
  <c r="N165" i="3"/>
  <c r="H165" i="3"/>
  <c r="I165" i="3" s="1"/>
  <c r="G165" i="3"/>
  <c r="M164" i="3"/>
  <c r="L164" i="3"/>
  <c r="K164" i="3"/>
  <c r="J164" i="3"/>
  <c r="F164" i="3"/>
  <c r="E164" i="3"/>
  <c r="D164" i="3"/>
  <c r="A164" i="3"/>
  <c r="S163" i="3"/>
  <c r="R163" i="3"/>
  <c r="Q163" i="3"/>
  <c r="P163" i="3"/>
  <c r="O163" i="3"/>
  <c r="N163" i="3"/>
  <c r="H163" i="3"/>
  <c r="G163" i="3"/>
  <c r="A163" i="3"/>
  <c r="S162" i="3"/>
  <c r="R162" i="3"/>
  <c r="Q162" i="3"/>
  <c r="P162" i="3"/>
  <c r="O162" i="3"/>
  <c r="N162" i="3"/>
  <c r="I162" i="3"/>
  <c r="H162" i="3"/>
  <c r="G162" i="3"/>
  <c r="S161" i="3"/>
  <c r="R161" i="3"/>
  <c r="Q161" i="3"/>
  <c r="P161" i="3"/>
  <c r="O161" i="3"/>
  <c r="N161" i="3"/>
  <c r="I161" i="3"/>
  <c r="H161" i="3"/>
  <c r="G161" i="3"/>
  <c r="S160" i="3"/>
  <c r="R160" i="3"/>
  <c r="Q160" i="3"/>
  <c r="P160" i="3"/>
  <c r="O160" i="3"/>
  <c r="N160" i="3"/>
  <c r="H160" i="3"/>
  <c r="G160" i="3"/>
  <c r="I160" i="3" s="1"/>
  <c r="S159" i="3"/>
  <c r="R159" i="3"/>
  <c r="Q159" i="3"/>
  <c r="P159" i="3"/>
  <c r="O159" i="3"/>
  <c r="N159" i="3"/>
  <c r="H159" i="3"/>
  <c r="G159" i="3"/>
  <c r="S158" i="3"/>
  <c r="R158" i="3"/>
  <c r="Q158" i="3"/>
  <c r="P158" i="3"/>
  <c r="O158" i="3"/>
  <c r="N158" i="3"/>
  <c r="I158" i="3"/>
  <c r="H158" i="3"/>
  <c r="G158" i="3"/>
  <c r="S157" i="3"/>
  <c r="R157" i="3"/>
  <c r="Q157" i="3"/>
  <c r="P157" i="3"/>
  <c r="O157" i="3"/>
  <c r="N157" i="3"/>
  <c r="I157" i="3"/>
  <c r="H157" i="3"/>
  <c r="G157" i="3"/>
  <c r="S156" i="3"/>
  <c r="R156" i="3"/>
  <c r="Q156" i="3"/>
  <c r="P156" i="3"/>
  <c r="O156" i="3"/>
  <c r="N156" i="3"/>
  <c r="H156" i="3"/>
  <c r="G156" i="3"/>
  <c r="I156" i="3" s="1"/>
  <c r="S155" i="3"/>
  <c r="R155" i="3"/>
  <c r="Q155" i="3"/>
  <c r="P155" i="3"/>
  <c r="O155" i="3"/>
  <c r="N155" i="3"/>
  <c r="H155" i="3"/>
  <c r="G155" i="3"/>
  <c r="S154" i="3"/>
  <c r="R154" i="3"/>
  <c r="Q154" i="3"/>
  <c r="P154" i="3"/>
  <c r="O154" i="3"/>
  <c r="N154" i="3"/>
  <c r="I154" i="3"/>
  <c r="H154" i="3"/>
  <c r="G154" i="3"/>
  <c r="S153" i="3"/>
  <c r="R153" i="3"/>
  <c r="Q153" i="3"/>
  <c r="P153" i="3"/>
  <c r="O153" i="3"/>
  <c r="N153" i="3"/>
  <c r="I153" i="3"/>
  <c r="H153" i="3"/>
  <c r="G153" i="3"/>
  <c r="S152" i="3"/>
  <c r="R152" i="3"/>
  <c r="Q152" i="3"/>
  <c r="P152" i="3"/>
  <c r="O152" i="3"/>
  <c r="N152" i="3"/>
  <c r="I152" i="3"/>
  <c r="H152" i="3"/>
  <c r="G152" i="3"/>
  <c r="S151" i="3"/>
  <c r="R151" i="3"/>
  <c r="Q151" i="3"/>
  <c r="P151" i="3"/>
  <c r="O151" i="3"/>
  <c r="N151" i="3"/>
  <c r="H151" i="3"/>
  <c r="I151" i="3" s="1"/>
  <c r="G151" i="3"/>
  <c r="S150" i="3"/>
  <c r="R150" i="3"/>
  <c r="Q150" i="3"/>
  <c r="P150" i="3"/>
  <c r="O150" i="3"/>
  <c r="N150" i="3"/>
  <c r="I150" i="3"/>
  <c r="H150" i="3"/>
  <c r="G150" i="3"/>
  <c r="S149" i="3"/>
  <c r="R149" i="3"/>
  <c r="Q149" i="3"/>
  <c r="P149" i="3"/>
  <c r="O149" i="3"/>
  <c r="N149" i="3"/>
  <c r="H149" i="3"/>
  <c r="I149" i="3" s="1"/>
  <c r="G149" i="3"/>
  <c r="S148" i="3"/>
  <c r="R148" i="3"/>
  <c r="Q148" i="3"/>
  <c r="P148" i="3"/>
  <c r="O148" i="3"/>
  <c r="N148" i="3"/>
  <c r="H148" i="3"/>
  <c r="G148" i="3"/>
  <c r="I148" i="3" s="1"/>
  <c r="S147" i="3"/>
  <c r="R147" i="3"/>
  <c r="R164" i="3" s="1"/>
  <c r="Q147" i="3"/>
  <c r="P147" i="3"/>
  <c r="O147" i="3"/>
  <c r="N147" i="3"/>
  <c r="H147" i="3"/>
  <c r="G147" i="3"/>
  <c r="S146" i="3"/>
  <c r="R146" i="3"/>
  <c r="Q146" i="3"/>
  <c r="P146" i="3"/>
  <c r="O146" i="3"/>
  <c r="N146" i="3"/>
  <c r="I146" i="3"/>
  <c r="H146" i="3"/>
  <c r="G146" i="3"/>
  <c r="T145" i="3"/>
  <c r="Q145" i="3"/>
  <c r="P145" i="3"/>
  <c r="N145" i="3"/>
  <c r="M145" i="3"/>
  <c r="L145" i="3"/>
  <c r="K145" i="3"/>
  <c r="J145" i="3"/>
  <c r="S145" i="3" s="1"/>
  <c r="F145" i="3"/>
  <c r="E145" i="3"/>
  <c r="D145" i="3"/>
  <c r="V145" i="3" s="1"/>
  <c r="A145" i="3"/>
  <c r="S144" i="3"/>
  <c r="R144" i="3"/>
  <c r="Q144" i="3"/>
  <c r="P144" i="3"/>
  <c r="O144" i="3"/>
  <c r="N144" i="3"/>
  <c r="H144" i="3"/>
  <c r="G144" i="3"/>
  <c r="I144" i="3" s="1"/>
  <c r="A144" i="3"/>
  <c r="S143" i="3"/>
  <c r="R143" i="3"/>
  <c r="Q143" i="3"/>
  <c r="P143" i="3"/>
  <c r="O143" i="3"/>
  <c r="N143" i="3"/>
  <c r="I143" i="3"/>
  <c r="H143" i="3"/>
  <c r="G143" i="3"/>
  <c r="S142" i="3"/>
  <c r="R142" i="3"/>
  <c r="Q142" i="3"/>
  <c r="P142" i="3"/>
  <c r="O142" i="3"/>
  <c r="N142" i="3"/>
  <c r="H142" i="3"/>
  <c r="G142" i="3"/>
  <c r="I142" i="3" s="1"/>
  <c r="S141" i="3"/>
  <c r="R141" i="3"/>
  <c r="Q141" i="3"/>
  <c r="P141" i="3"/>
  <c r="O141" i="3"/>
  <c r="N141" i="3"/>
  <c r="H141" i="3"/>
  <c r="G141" i="3"/>
  <c r="I141" i="3" s="1"/>
  <c r="S140" i="3"/>
  <c r="R140" i="3"/>
  <c r="Q140" i="3"/>
  <c r="P140" i="3"/>
  <c r="O140" i="3"/>
  <c r="N140" i="3"/>
  <c r="H140" i="3"/>
  <c r="I140" i="3" s="1"/>
  <c r="G140" i="3"/>
  <c r="S139" i="3"/>
  <c r="R139" i="3"/>
  <c r="Q139" i="3"/>
  <c r="P139" i="3"/>
  <c r="O139" i="3"/>
  <c r="N139" i="3"/>
  <c r="H139" i="3"/>
  <c r="I139" i="3" s="1"/>
  <c r="G139" i="3"/>
  <c r="S138" i="3"/>
  <c r="R138" i="3"/>
  <c r="Q138" i="3"/>
  <c r="P138" i="3"/>
  <c r="O138" i="3"/>
  <c r="N138" i="3"/>
  <c r="H138" i="3"/>
  <c r="G138" i="3"/>
  <c r="I138" i="3" s="1"/>
  <c r="S137" i="3"/>
  <c r="R137" i="3"/>
  <c r="Q137" i="3"/>
  <c r="P137" i="3"/>
  <c r="O137" i="3"/>
  <c r="N137" i="3"/>
  <c r="H137" i="3"/>
  <c r="G137" i="3"/>
  <c r="I137" i="3" s="1"/>
  <c r="S136" i="3"/>
  <c r="R136" i="3"/>
  <c r="Q136" i="3"/>
  <c r="P136" i="3"/>
  <c r="O136" i="3"/>
  <c r="N136" i="3"/>
  <c r="H136" i="3"/>
  <c r="I136" i="3" s="1"/>
  <c r="G136" i="3"/>
  <c r="S135" i="3"/>
  <c r="R135" i="3"/>
  <c r="Q135" i="3"/>
  <c r="P135" i="3"/>
  <c r="O135" i="3"/>
  <c r="N135" i="3"/>
  <c r="H135" i="3"/>
  <c r="I135" i="3" s="1"/>
  <c r="G135" i="3"/>
  <c r="S134" i="3"/>
  <c r="R134" i="3"/>
  <c r="Q134" i="3"/>
  <c r="P134" i="3"/>
  <c r="O134" i="3"/>
  <c r="N134" i="3"/>
  <c r="H134" i="3"/>
  <c r="G134" i="3"/>
  <c r="I134" i="3" s="1"/>
  <c r="S133" i="3"/>
  <c r="R133" i="3"/>
  <c r="Q133" i="3"/>
  <c r="P133" i="3"/>
  <c r="O133" i="3"/>
  <c r="N133" i="3"/>
  <c r="H133" i="3"/>
  <c r="G133" i="3"/>
  <c r="I133" i="3" s="1"/>
  <c r="S132" i="3"/>
  <c r="R132" i="3"/>
  <c r="Q132" i="3"/>
  <c r="P132" i="3"/>
  <c r="O132" i="3"/>
  <c r="N132" i="3"/>
  <c r="H132" i="3"/>
  <c r="G132" i="3"/>
  <c r="S131" i="3"/>
  <c r="R131" i="3"/>
  <c r="Q131" i="3"/>
  <c r="P131" i="3"/>
  <c r="O131" i="3"/>
  <c r="N131" i="3"/>
  <c r="H131" i="3"/>
  <c r="G131" i="3"/>
  <c r="S130" i="3"/>
  <c r="R130" i="3"/>
  <c r="Q130" i="3"/>
  <c r="P130" i="3"/>
  <c r="O130" i="3"/>
  <c r="N130" i="3"/>
  <c r="H130" i="3"/>
  <c r="G130" i="3"/>
  <c r="I130" i="3" s="1"/>
  <c r="S129" i="3"/>
  <c r="R129" i="3"/>
  <c r="Q129" i="3"/>
  <c r="P129" i="3"/>
  <c r="O129" i="3"/>
  <c r="N129" i="3"/>
  <c r="I129" i="3"/>
  <c r="H129" i="3"/>
  <c r="G129" i="3"/>
  <c r="S128" i="3"/>
  <c r="R128" i="3"/>
  <c r="Q128" i="3"/>
  <c r="P128" i="3"/>
  <c r="O128" i="3"/>
  <c r="N128" i="3"/>
  <c r="H128" i="3"/>
  <c r="G128" i="3"/>
  <c r="S127" i="3"/>
  <c r="R127" i="3"/>
  <c r="Q127" i="3"/>
  <c r="P127" i="3"/>
  <c r="O127" i="3"/>
  <c r="N127" i="3"/>
  <c r="H127" i="3"/>
  <c r="I127" i="3" s="1"/>
  <c r="G127" i="3"/>
  <c r="V126" i="3"/>
  <c r="T126" i="3"/>
  <c r="O126" i="3"/>
  <c r="N126" i="3"/>
  <c r="M126" i="3"/>
  <c r="Q126" i="3" s="1"/>
  <c r="L126" i="3"/>
  <c r="K126" i="3"/>
  <c r="J126" i="3"/>
  <c r="H126" i="3"/>
  <c r="F126" i="3"/>
  <c r="E126" i="3"/>
  <c r="G126" i="3" s="1"/>
  <c r="I126" i="3" s="1"/>
  <c r="D126" i="3"/>
  <c r="A126" i="3"/>
  <c r="S125" i="3"/>
  <c r="R125" i="3"/>
  <c r="Q125" i="3"/>
  <c r="P125" i="3"/>
  <c r="O125" i="3"/>
  <c r="N125" i="3"/>
  <c r="H125" i="3"/>
  <c r="G125" i="3"/>
  <c r="I125" i="3" s="1"/>
  <c r="A125" i="3"/>
  <c r="S124" i="3"/>
  <c r="R124" i="3"/>
  <c r="Q124" i="3"/>
  <c r="P124" i="3"/>
  <c r="O124" i="3"/>
  <c r="N124" i="3"/>
  <c r="H124" i="3"/>
  <c r="I124" i="3" s="1"/>
  <c r="G124" i="3"/>
  <c r="S123" i="3"/>
  <c r="R123" i="3"/>
  <c r="Q123" i="3"/>
  <c r="P123" i="3"/>
  <c r="O123" i="3"/>
  <c r="N123" i="3"/>
  <c r="I123" i="3"/>
  <c r="H123" i="3"/>
  <c r="G123" i="3"/>
  <c r="S122" i="3"/>
  <c r="R122" i="3"/>
  <c r="Q122" i="3"/>
  <c r="P122" i="3"/>
  <c r="O122" i="3"/>
  <c r="N122" i="3"/>
  <c r="H122" i="3"/>
  <c r="I122" i="3" s="1"/>
  <c r="G122" i="3"/>
  <c r="S121" i="3"/>
  <c r="R121" i="3"/>
  <c r="Q121" i="3"/>
  <c r="P121" i="3"/>
  <c r="O121" i="3"/>
  <c r="N121" i="3"/>
  <c r="H121" i="3"/>
  <c r="I121" i="3" s="1"/>
  <c r="G121" i="3"/>
  <c r="S120" i="3"/>
  <c r="R120" i="3"/>
  <c r="Q120" i="3"/>
  <c r="P120" i="3"/>
  <c r="O120" i="3"/>
  <c r="N120" i="3"/>
  <c r="H120" i="3"/>
  <c r="I120" i="3" s="1"/>
  <c r="G120" i="3"/>
  <c r="S119" i="3"/>
  <c r="R119" i="3"/>
  <c r="Q119" i="3"/>
  <c r="P119" i="3"/>
  <c r="O119" i="3"/>
  <c r="N119" i="3"/>
  <c r="H119" i="3"/>
  <c r="I119" i="3" s="1"/>
  <c r="G119" i="3"/>
  <c r="S118" i="3"/>
  <c r="R118" i="3"/>
  <c r="Q118" i="3"/>
  <c r="P118" i="3"/>
  <c r="O118" i="3"/>
  <c r="N118" i="3"/>
  <c r="H118" i="3"/>
  <c r="G118" i="3"/>
  <c r="S117" i="3"/>
  <c r="R117" i="3"/>
  <c r="Q117" i="3"/>
  <c r="P117" i="3"/>
  <c r="O117" i="3"/>
  <c r="N117" i="3"/>
  <c r="H117" i="3"/>
  <c r="I117" i="3" s="1"/>
  <c r="G117" i="3"/>
  <c r="S116" i="3"/>
  <c r="R116" i="3"/>
  <c r="Q116" i="3"/>
  <c r="P116" i="3"/>
  <c r="O116" i="3"/>
  <c r="N116" i="3"/>
  <c r="H116" i="3"/>
  <c r="I116" i="3" s="1"/>
  <c r="G116" i="3"/>
  <c r="S115" i="3"/>
  <c r="R115" i="3"/>
  <c r="Q115" i="3"/>
  <c r="P115" i="3"/>
  <c r="O115" i="3"/>
  <c r="N115" i="3"/>
  <c r="H115" i="3"/>
  <c r="I115" i="3" s="1"/>
  <c r="G115" i="3"/>
  <c r="S114" i="3"/>
  <c r="R114" i="3"/>
  <c r="Q114" i="3"/>
  <c r="P114" i="3"/>
  <c r="O114" i="3"/>
  <c r="N114" i="3"/>
  <c r="H114" i="3"/>
  <c r="I114" i="3" s="1"/>
  <c r="G114" i="3"/>
  <c r="S113" i="3"/>
  <c r="R113" i="3"/>
  <c r="Q113" i="3"/>
  <c r="P113" i="3"/>
  <c r="O113" i="3"/>
  <c r="N113" i="3"/>
  <c r="H113" i="3"/>
  <c r="G113" i="3"/>
  <c r="S112" i="3"/>
  <c r="R112" i="3"/>
  <c r="Q112" i="3"/>
  <c r="P112" i="3"/>
  <c r="O112" i="3"/>
  <c r="N112" i="3"/>
  <c r="I112" i="3"/>
  <c r="H112" i="3"/>
  <c r="G112" i="3"/>
  <c r="S111" i="3"/>
  <c r="R111" i="3"/>
  <c r="Q111" i="3"/>
  <c r="P111" i="3"/>
  <c r="O111" i="3"/>
  <c r="N111" i="3"/>
  <c r="H111" i="3"/>
  <c r="I111" i="3" s="1"/>
  <c r="G111" i="3"/>
  <c r="S110" i="3"/>
  <c r="R110" i="3"/>
  <c r="Q110" i="3"/>
  <c r="P110" i="3"/>
  <c r="O110" i="3"/>
  <c r="N110" i="3"/>
  <c r="H110" i="3"/>
  <c r="G110" i="3"/>
  <c r="S109" i="3"/>
  <c r="R109" i="3"/>
  <c r="Q109" i="3"/>
  <c r="P109" i="3"/>
  <c r="O109" i="3"/>
  <c r="N109" i="3"/>
  <c r="H109" i="3"/>
  <c r="I109" i="3" s="1"/>
  <c r="G109" i="3"/>
  <c r="S108" i="3"/>
  <c r="R108" i="3"/>
  <c r="Q108" i="3"/>
  <c r="P108" i="3"/>
  <c r="O108" i="3"/>
  <c r="N108" i="3"/>
  <c r="I108" i="3"/>
  <c r="H108" i="3"/>
  <c r="G108" i="3"/>
  <c r="M107" i="3"/>
  <c r="L107" i="3"/>
  <c r="K107" i="3"/>
  <c r="J107" i="3"/>
  <c r="F107" i="3"/>
  <c r="E107" i="3"/>
  <c r="U107" i="3" s="1"/>
  <c r="D107" i="3"/>
  <c r="V107" i="3" s="1"/>
  <c r="A107" i="3"/>
  <c r="S106" i="3"/>
  <c r="R106" i="3"/>
  <c r="Q106" i="3"/>
  <c r="P106" i="3"/>
  <c r="O106" i="3"/>
  <c r="N106" i="3"/>
  <c r="H106" i="3"/>
  <c r="I106" i="3" s="1"/>
  <c r="G106" i="3"/>
  <c r="A106" i="3"/>
  <c r="S105" i="3"/>
  <c r="R105" i="3"/>
  <c r="Q105" i="3"/>
  <c r="P105" i="3"/>
  <c r="O105" i="3"/>
  <c r="N105" i="3"/>
  <c r="H105" i="3"/>
  <c r="I105" i="3" s="1"/>
  <c r="G105" i="3"/>
  <c r="S104" i="3"/>
  <c r="R104" i="3"/>
  <c r="Q104" i="3"/>
  <c r="P104" i="3"/>
  <c r="O104" i="3"/>
  <c r="N104" i="3"/>
  <c r="H104" i="3"/>
  <c r="I104" i="3" s="1"/>
  <c r="G104" i="3"/>
  <c r="S103" i="3"/>
  <c r="R103" i="3"/>
  <c r="Q103" i="3"/>
  <c r="P103" i="3"/>
  <c r="O103" i="3"/>
  <c r="N103" i="3"/>
  <c r="I103" i="3"/>
  <c r="H103" i="3"/>
  <c r="G103" i="3"/>
  <c r="S102" i="3"/>
  <c r="R102" i="3"/>
  <c r="Q102" i="3"/>
  <c r="P102" i="3"/>
  <c r="O102" i="3"/>
  <c r="N102" i="3"/>
  <c r="I102" i="3"/>
  <c r="H102" i="3"/>
  <c r="G102" i="3"/>
  <c r="S101" i="3"/>
  <c r="R101" i="3"/>
  <c r="Q101" i="3"/>
  <c r="P101" i="3"/>
  <c r="O101" i="3"/>
  <c r="N101" i="3"/>
  <c r="H101" i="3"/>
  <c r="I101" i="3" s="1"/>
  <c r="G101" i="3"/>
  <c r="S100" i="3"/>
  <c r="R100" i="3"/>
  <c r="Q100" i="3"/>
  <c r="P100" i="3"/>
  <c r="O100" i="3"/>
  <c r="N100" i="3"/>
  <c r="H100" i="3"/>
  <c r="I100" i="3" s="1"/>
  <c r="G100" i="3"/>
  <c r="S99" i="3"/>
  <c r="R99" i="3"/>
  <c r="Q99" i="3"/>
  <c r="P99" i="3"/>
  <c r="O99" i="3"/>
  <c r="N99" i="3"/>
  <c r="I99" i="3"/>
  <c r="H99" i="3"/>
  <c r="G99" i="3"/>
  <c r="S98" i="3"/>
  <c r="R98" i="3"/>
  <c r="Q98" i="3"/>
  <c r="P98" i="3"/>
  <c r="O98" i="3"/>
  <c r="N98" i="3"/>
  <c r="H98" i="3"/>
  <c r="G98" i="3"/>
  <c r="I98" i="3" s="1"/>
  <c r="S97" i="3"/>
  <c r="R97" i="3"/>
  <c r="Q97" i="3"/>
  <c r="P97" i="3"/>
  <c r="O97" i="3"/>
  <c r="N97" i="3"/>
  <c r="H97" i="3"/>
  <c r="I97" i="3" s="1"/>
  <c r="G97" i="3"/>
  <c r="S96" i="3"/>
  <c r="R96" i="3"/>
  <c r="Q96" i="3"/>
  <c r="P96" i="3"/>
  <c r="O96" i="3"/>
  <c r="N96" i="3"/>
  <c r="H96" i="3"/>
  <c r="I96" i="3" s="1"/>
  <c r="G96" i="3"/>
  <c r="S95" i="3"/>
  <c r="R95" i="3"/>
  <c r="Q95" i="3"/>
  <c r="P95" i="3"/>
  <c r="O95" i="3"/>
  <c r="N95" i="3"/>
  <c r="I95" i="3"/>
  <c r="H95" i="3"/>
  <c r="G95" i="3"/>
  <c r="S94" i="3"/>
  <c r="R94" i="3"/>
  <c r="Q94" i="3"/>
  <c r="P94" i="3"/>
  <c r="O94" i="3"/>
  <c r="N94" i="3"/>
  <c r="I94" i="3"/>
  <c r="H94" i="3"/>
  <c r="G94" i="3"/>
  <c r="S93" i="3"/>
  <c r="R93" i="3"/>
  <c r="Q93" i="3"/>
  <c r="P93" i="3"/>
  <c r="O93" i="3"/>
  <c r="N93" i="3"/>
  <c r="H93" i="3"/>
  <c r="I93" i="3" s="1"/>
  <c r="G93" i="3"/>
  <c r="S92" i="3"/>
  <c r="R92" i="3"/>
  <c r="Q92" i="3"/>
  <c r="P92" i="3"/>
  <c r="O92" i="3"/>
  <c r="N92" i="3"/>
  <c r="H92" i="3"/>
  <c r="I92" i="3" s="1"/>
  <c r="G92" i="3"/>
  <c r="S91" i="3"/>
  <c r="R91" i="3"/>
  <c r="Q91" i="3"/>
  <c r="P91" i="3"/>
  <c r="O91" i="3"/>
  <c r="N91" i="3"/>
  <c r="I91" i="3"/>
  <c r="H91" i="3"/>
  <c r="G91" i="3"/>
  <c r="S90" i="3"/>
  <c r="R90" i="3"/>
  <c r="Q90" i="3"/>
  <c r="P90" i="3"/>
  <c r="O90" i="3"/>
  <c r="N90" i="3"/>
  <c r="I90" i="3"/>
  <c r="H90" i="3"/>
  <c r="G90" i="3"/>
  <c r="S89" i="3"/>
  <c r="R89" i="3"/>
  <c r="Q89" i="3"/>
  <c r="P89" i="3"/>
  <c r="O89" i="3"/>
  <c r="N89" i="3"/>
  <c r="H89" i="3"/>
  <c r="I89" i="3" s="1"/>
  <c r="G89" i="3"/>
  <c r="W88" i="3"/>
  <c r="V88" i="3"/>
  <c r="T88" i="3"/>
  <c r="M88" i="3"/>
  <c r="L88" i="3"/>
  <c r="K88" i="3"/>
  <c r="J88" i="3"/>
  <c r="F88" i="3"/>
  <c r="E88" i="3"/>
  <c r="U88" i="3" s="1"/>
  <c r="D88" i="3"/>
  <c r="A88" i="3"/>
  <c r="S87" i="3"/>
  <c r="R87" i="3"/>
  <c r="Q87" i="3"/>
  <c r="P87" i="3"/>
  <c r="O87" i="3"/>
  <c r="N87" i="3"/>
  <c r="I87" i="3"/>
  <c r="H87" i="3"/>
  <c r="G87" i="3"/>
  <c r="A87" i="3"/>
  <c r="S86" i="3"/>
  <c r="R86" i="3"/>
  <c r="Q86" i="3"/>
  <c r="P86" i="3"/>
  <c r="O86" i="3"/>
  <c r="N86" i="3"/>
  <c r="H86" i="3"/>
  <c r="I86" i="3" s="1"/>
  <c r="G86" i="3"/>
  <c r="S85" i="3"/>
  <c r="R85" i="3"/>
  <c r="Q85" i="3"/>
  <c r="P85" i="3"/>
  <c r="O85" i="3"/>
  <c r="N85" i="3"/>
  <c r="I85" i="3"/>
  <c r="H85" i="3"/>
  <c r="G85" i="3"/>
  <c r="S84" i="3"/>
  <c r="R84" i="3"/>
  <c r="Q84" i="3"/>
  <c r="P84" i="3"/>
  <c r="O84" i="3"/>
  <c r="N84" i="3"/>
  <c r="H84" i="3"/>
  <c r="G84" i="3"/>
  <c r="I84" i="3" s="1"/>
  <c r="S83" i="3"/>
  <c r="R83" i="3"/>
  <c r="Q83" i="3"/>
  <c r="P83" i="3"/>
  <c r="O83" i="3"/>
  <c r="N83" i="3"/>
  <c r="H83" i="3"/>
  <c r="G83" i="3"/>
  <c r="S82" i="3"/>
  <c r="R82" i="3"/>
  <c r="Q82" i="3"/>
  <c r="P82" i="3"/>
  <c r="O82" i="3"/>
  <c r="N82" i="3"/>
  <c r="H82" i="3"/>
  <c r="G82" i="3"/>
  <c r="S81" i="3"/>
  <c r="R81" i="3"/>
  <c r="Q81" i="3"/>
  <c r="P81" i="3"/>
  <c r="O81" i="3"/>
  <c r="N81" i="3"/>
  <c r="H81" i="3"/>
  <c r="G81" i="3"/>
  <c r="I81" i="3" s="1"/>
  <c r="S80" i="3"/>
  <c r="R80" i="3"/>
  <c r="Q80" i="3"/>
  <c r="P80" i="3"/>
  <c r="O80" i="3"/>
  <c r="N80" i="3"/>
  <c r="I80" i="3"/>
  <c r="H80" i="3"/>
  <c r="G80" i="3"/>
  <c r="S79" i="3"/>
  <c r="R79" i="3"/>
  <c r="Q79" i="3"/>
  <c r="P79" i="3"/>
  <c r="O79" i="3"/>
  <c r="N79" i="3"/>
  <c r="H79" i="3"/>
  <c r="I79" i="3" s="1"/>
  <c r="G79" i="3"/>
  <c r="S78" i="3"/>
  <c r="R78" i="3"/>
  <c r="Q78" i="3"/>
  <c r="P78" i="3"/>
  <c r="O78" i="3"/>
  <c r="N78" i="3"/>
  <c r="H78" i="3"/>
  <c r="G78" i="3"/>
  <c r="I78" i="3" s="1"/>
  <c r="S77" i="3"/>
  <c r="R77" i="3"/>
  <c r="Q77" i="3"/>
  <c r="P77" i="3"/>
  <c r="O77" i="3"/>
  <c r="N77" i="3"/>
  <c r="H77" i="3"/>
  <c r="G77" i="3"/>
  <c r="I77" i="3" s="1"/>
  <c r="S76" i="3"/>
  <c r="R76" i="3"/>
  <c r="Q76" i="3"/>
  <c r="P76" i="3"/>
  <c r="O76" i="3"/>
  <c r="N76" i="3"/>
  <c r="I76" i="3"/>
  <c r="H76" i="3"/>
  <c r="G76" i="3"/>
  <c r="S75" i="3"/>
  <c r="R75" i="3"/>
  <c r="Q75" i="3"/>
  <c r="P75" i="3"/>
  <c r="O75" i="3"/>
  <c r="N75" i="3"/>
  <c r="H75" i="3"/>
  <c r="I75" i="3" s="1"/>
  <c r="G75" i="3"/>
  <c r="S74" i="3"/>
  <c r="R74" i="3"/>
  <c r="Q74" i="3"/>
  <c r="P74" i="3"/>
  <c r="O74" i="3"/>
  <c r="N74" i="3"/>
  <c r="H74" i="3"/>
  <c r="I74" i="3" s="1"/>
  <c r="G74" i="3"/>
  <c r="S73" i="3"/>
  <c r="R73" i="3"/>
  <c r="Q73" i="3"/>
  <c r="P73" i="3"/>
  <c r="O73" i="3"/>
  <c r="N73" i="3"/>
  <c r="H73" i="3"/>
  <c r="G73" i="3"/>
  <c r="I73" i="3" s="1"/>
  <c r="S72" i="3"/>
  <c r="R72" i="3"/>
  <c r="Q72" i="3"/>
  <c r="P72" i="3"/>
  <c r="O72" i="3"/>
  <c r="N72" i="3"/>
  <c r="H72" i="3"/>
  <c r="G72" i="3"/>
  <c r="I72" i="3" s="1"/>
  <c r="S71" i="3"/>
  <c r="R71" i="3"/>
  <c r="Q71" i="3"/>
  <c r="P71" i="3"/>
  <c r="O71" i="3"/>
  <c r="N71" i="3"/>
  <c r="H71" i="3"/>
  <c r="G71" i="3"/>
  <c r="S70" i="3"/>
  <c r="R70" i="3"/>
  <c r="Q70" i="3"/>
  <c r="P70" i="3"/>
  <c r="O70" i="3"/>
  <c r="N70" i="3"/>
  <c r="H70" i="3"/>
  <c r="I70" i="3" s="1"/>
  <c r="G70" i="3"/>
  <c r="V69" i="3"/>
  <c r="Q69" i="3"/>
  <c r="O69" i="3"/>
  <c r="N69" i="3"/>
  <c r="M69" i="3"/>
  <c r="L69" i="3"/>
  <c r="K69" i="3"/>
  <c r="J69" i="3"/>
  <c r="F69" i="3"/>
  <c r="E69" i="3"/>
  <c r="U259" i="3" s="1"/>
  <c r="D69" i="3"/>
  <c r="A69" i="3"/>
  <c r="S68" i="3"/>
  <c r="R68" i="3"/>
  <c r="Q68" i="3"/>
  <c r="P68" i="3"/>
  <c r="O68" i="3"/>
  <c r="N68" i="3"/>
  <c r="H68" i="3"/>
  <c r="G68" i="3"/>
  <c r="I68" i="3" s="1"/>
  <c r="A68" i="3"/>
  <c r="S67" i="3"/>
  <c r="R67" i="3"/>
  <c r="Q67" i="3"/>
  <c r="P67" i="3"/>
  <c r="O67" i="3"/>
  <c r="N67" i="3"/>
  <c r="H67" i="3"/>
  <c r="I67" i="3" s="1"/>
  <c r="G67" i="3"/>
  <c r="S66" i="3"/>
  <c r="R66" i="3"/>
  <c r="R69" i="3" s="1"/>
  <c r="Q66" i="3"/>
  <c r="P66" i="3"/>
  <c r="O66" i="3"/>
  <c r="N66" i="3"/>
  <c r="I66" i="3"/>
  <c r="H66" i="3"/>
  <c r="G66" i="3"/>
  <c r="S65" i="3"/>
  <c r="R65" i="3"/>
  <c r="Q65" i="3"/>
  <c r="P65" i="3"/>
  <c r="O65" i="3"/>
  <c r="N65" i="3"/>
  <c r="H65" i="3"/>
  <c r="I65" i="3" s="1"/>
  <c r="G65" i="3"/>
  <c r="S64" i="3"/>
  <c r="R64" i="3"/>
  <c r="Q64" i="3"/>
  <c r="P64" i="3"/>
  <c r="O64" i="3"/>
  <c r="N64" i="3"/>
  <c r="H64" i="3"/>
  <c r="I64" i="3" s="1"/>
  <c r="G64" i="3"/>
  <c r="S63" i="3"/>
  <c r="R63" i="3"/>
  <c r="Q63" i="3"/>
  <c r="P63" i="3"/>
  <c r="O63" i="3"/>
  <c r="N63" i="3"/>
  <c r="H63" i="3"/>
  <c r="I63" i="3" s="1"/>
  <c r="G63" i="3"/>
  <c r="S62" i="3"/>
  <c r="R62" i="3"/>
  <c r="Q62" i="3"/>
  <c r="P62" i="3"/>
  <c r="O62" i="3"/>
  <c r="N62" i="3"/>
  <c r="H62" i="3"/>
  <c r="I62" i="3" s="1"/>
  <c r="G62" i="3"/>
  <c r="S61" i="3"/>
  <c r="R61" i="3"/>
  <c r="Q61" i="3"/>
  <c r="P61" i="3"/>
  <c r="O61" i="3"/>
  <c r="N61" i="3"/>
  <c r="H61" i="3"/>
  <c r="I61" i="3" s="1"/>
  <c r="G61" i="3"/>
  <c r="S60" i="3"/>
  <c r="R60" i="3"/>
  <c r="Q60" i="3"/>
  <c r="P60" i="3"/>
  <c r="O60" i="3"/>
  <c r="N60" i="3"/>
  <c r="H60" i="3"/>
  <c r="G60" i="3"/>
  <c r="S59" i="3"/>
  <c r="R59" i="3"/>
  <c r="Q59" i="3"/>
  <c r="P59" i="3"/>
  <c r="O59" i="3"/>
  <c r="N59" i="3"/>
  <c r="I59" i="3"/>
  <c r="H59" i="3"/>
  <c r="G59" i="3"/>
  <c r="S58" i="3"/>
  <c r="R58" i="3"/>
  <c r="Q58" i="3"/>
  <c r="P58" i="3"/>
  <c r="O58" i="3"/>
  <c r="N58" i="3"/>
  <c r="I58" i="3"/>
  <c r="H58" i="3"/>
  <c r="G58" i="3"/>
  <c r="S57" i="3"/>
  <c r="R57" i="3"/>
  <c r="Q57" i="3"/>
  <c r="P57" i="3"/>
  <c r="O57" i="3"/>
  <c r="N57" i="3"/>
  <c r="H57" i="3"/>
  <c r="I57" i="3" s="1"/>
  <c r="G57" i="3"/>
  <c r="S56" i="3"/>
  <c r="R56" i="3"/>
  <c r="Q56" i="3"/>
  <c r="P56" i="3"/>
  <c r="O56" i="3"/>
  <c r="N56" i="3"/>
  <c r="H56" i="3"/>
  <c r="G56" i="3"/>
  <c r="S55" i="3"/>
  <c r="R55" i="3"/>
  <c r="Q55" i="3"/>
  <c r="P55" i="3"/>
  <c r="O55" i="3"/>
  <c r="N55" i="3"/>
  <c r="H55" i="3"/>
  <c r="I55" i="3" s="1"/>
  <c r="G55" i="3"/>
  <c r="S54" i="3"/>
  <c r="R54" i="3"/>
  <c r="Q54" i="3"/>
  <c r="P54" i="3"/>
  <c r="O54" i="3"/>
  <c r="N54" i="3"/>
  <c r="H54" i="3"/>
  <c r="I54" i="3" s="1"/>
  <c r="G54" i="3"/>
  <c r="S53" i="3"/>
  <c r="R53" i="3"/>
  <c r="Q53" i="3"/>
  <c r="P53" i="3"/>
  <c r="O53" i="3"/>
  <c r="N53" i="3"/>
  <c r="H53" i="3"/>
  <c r="G53" i="3"/>
  <c r="I53" i="3" s="1"/>
  <c r="S52" i="3"/>
  <c r="R52" i="3"/>
  <c r="Q52" i="3"/>
  <c r="P52" i="3"/>
  <c r="O52" i="3"/>
  <c r="N52" i="3"/>
  <c r="H52" i="3"/>
  <c r="I52" i="3" s="1"/>
  <c r="G52" i="3"/>
  <c r="S51" i="3"/>
  <c r="R51" i="3"/>
  <c r="Q51" i="3"/>
  <c r="P51" i="3"/>
  <c r="O51" i="3"/>
  <c r="N51" i="3"/>
  <c r="H51" i="3"/>
  <c r="G51" i="3"/>
  <c r="P50" i="3"/>
  <c r="O50" i="3"/>
  <c r="N50" i="3"/>
  <c r="M50" i="3"/>
  <c r="L50" i="3"/>
  <c r="S50" i="3" s="1"/>
  <c r="K50" i="3"/>
  <c r="J50" i="3"/>
  <c r="F50" i="3"/>
  <c r="G50" i="3" s="1"/>
  <c r="E50" i="3"/>
  <c r="W50" i="3" s="1"/>
  <c r="D50" i="3"/>
  <c r="A50" i="3"/>
  <c r="S49" i="3"/>
  <c r="R49" i="3"/>
  <c r="Q49" i="3"/>
  <c r="P49" i="3"/>
  <c r="O49" i="3"/>
  <c r="N49" i="3"/>
  <c r="H49" i="3"/>
  <c r="I49" i="3" s="1"/>
  <c r="G49" i="3"/>
  <c r="A49" i="3"/>
  <c r="S48" i="3"/>
  <c r="R48" i="3"/>
  <c r="Q48" i="3"/>
  <c r="P48" i="3"/>
  <c r="O48" i="3"/>
  <c r="N48" i="3"/>
  <c r="H48" i="3"/>
  <c r="I48" i="3" s="1"/>
  <c r="G48" i="3"/>
  <c r="S47" i="3"/>
  <c r="R47" i="3"/>
  <c r="Q47" i="3"/>
  <c r="P47" i="3"/>
  <c r="O47" i="3"/>
  <c r="N47" i="3"/>
  <c r="H47" i="3"/>
  <c r="G47" i="3"/>
  <c r="S46" i="3"/>
  <c r="R46" i="3"/>
  <c r="Q46" i="3"/>
  <c r="P46" i="3"/>
  <c r="O46" i="3"/>
  <c r="N46" i="3"/>
  <c r="H46" i="3"/>
  <c r="I46" i="3" s="1"/>
  <c r="G46" i="3"/>
  <c r="S45" i="3"/>
  <c r="R45" i="3"/>
  <c r="Q45" i="3"/>
  <c r="P45" i="3"/>
  <c r="O45" i="3"/>
  <c r="N45" i="3"/>
  <c r="H45" i="3"/>
  <c r="I45" i="3" s="1"/>
  <c r="G45" i="3"/>
  <c r="S44" i="3"/>
  <c r="R44" i="3"/>
  <c r="Q44" i="3"/>
  <c r="P44" i="3"/>
  <c r="O44" i="3"/>
  <c r="N44" i="3"/>
  <c r="H44" i="3"/>
  <c r="I44" i="3" s="1"/>
  <c r="G44" i="3"/>
  <c r="S43" i="3"/>
  <c r="R43" i="3"/>
  <c r="Q43" i="3"/>
  <c r="P43" i="3"/>
  <c r="O43" i="3"/>
  <c r="N43" i="3"/>
  <c r="H43" i="3"/>
  <c r="G43" i="3"/>
  <c r="S42" i="3"/>
  <c r="R42" i="3"/>
  <c r="Q42" i="3"/>
  <c r="P42" i="3"/>
  <c r="O42" i="3"/>
  <c r="N42" i="3"/>
  <c r="H42" i="3"/>
  <c r="G42" i="3"/>
  <c r="I42" i="3" s="1"/>
  <c r="S41" i="3"/>
  <c r="R41" i="3"/>
  <c r="Q41" i="3"/>
  <c r="P41" i="3"/>
  <c r="O41" i="3"/>
  <c r="N41" i="3"/>
  <c r="H41" i="3"/>
  <c r="I41" i="3" s="1"/>
  <c r="G41" i="3"/>
  <c r="S40" i="3"/>
  <c r="R40" i="3"/>
  <c r="Q40" i="3"/>
  <c r="P40" i="3"/>
  <c r="O40" i="3"/>
  <c r="N40" i="3"/>
  <c r="H40" i="3"/>
  <c r="I40" i="3" s="1"/>
  <c r="G40" i="3"/>
  <c r="S39" i="3"/>
  <c r="R39" i="3"/>
  <c r="Q39" i="3"/>
  <c r="P39" i="3"/>
  <c r="O39" i="3"/>
  <c r="N39" i="3"/>
  <c r="H39" i="3"/>
  <c r="G39" i="3"/>
  <c r="S38" i="3"/>
  <c r="R38" i="3"/>
  <c r="Q38" i="3"/>
  <c r="P38" i="3"/>
  <c r="O38" i="3"/>
  <c r="N38" i="3"/>
  <c r="H38" i="3"/>
  <c r="I38" i="3" s="1"/>
  <c r="G38" i="3"/>
  <c r="S37" i="3"/>
  <c r="R37" i="3"/>
  <c r="Q37" i="3"/>
  <c r="P37" i="3"/>
  <c r="O37" i="3"/>
  <c r="N37" i="3"/>
  <c r="H37" i="3"/>
  <c r="I37" i="3" s="1"/>
  <c r="G37" i="3"/>
  <c r="S36" i="3"/>
  <c r="R36" i="3"/>
  <c r="Q36" i="3"/>
  <c r="P36" i="3"/>
  <c r="O36" i="3"/>
  <c r="N36" i="3"/>
  <c r="H36" i="3"/>
  <c r="I36" i="3" s="1"/>
  <c r="G36" i="3"/>
  <c r="S35" i="3"/>
  <c r="R35" i="3"/>
  <c r="Q35" i="3"/>
  <c r="P35" i="3"/>
  <c r="O35" i="3"/>
  <c r="N35" i="3"/>
  <c r="H35" i="3"/>
  <c r="G35" i="3"/>
  <c r="S34" i="3"/>
  <c r="R34" i="3"/>
  <c r="Q34" i="3"/>
  <c r="P34" i="3"/>
  <c r="O34" i="3"/>
  <c r="N34" i="3"/>
  <c r="H34" i="3"/>
  <c r="I34" i="3" s="1"/>
  <c r="G34" i="3"/>
  <c r="S33" i="3"/>
  <c r="R33" i="3"/>
  <c r="Q33" i="3"/>
  <c r="P33" i="3"/>
  <c r="O33" i="3"/>
  <c r="N33" i="3"/>
  <c r="H33" i="3"/>
  <c r="I33" i="3" s="1"/>
  <c r="G33" i="3"/>
  <c r="S32" i="3"/>
  <c r="R32" i="3"/>
  <c r="Q32" i="3"/>
  <c r="P32" i="3"/>
  <c r="O32" i="3"/>
  <c r="N32" i="3"/>
  <c r="H32" i="3"/>
  <c r="I32" i="3" s="1"/>
  <c r="G32" i="3"/>
  <c r="W31" i="3"/>
  <c r="U31" i="3"/>
  <c r="S31" i="3"/>
  <c r="R31" i="3"/>
  <c r="O31" i="3"/>
  <c r="M31" i="3"/>
  <c r="L31" i="3"/>
  <c r="K31" i="3"/>
  <c r="J31" i="3"/>
  <c r="N31" i="3" s="1"/>
  <c r="F31" i="3"/>
  <c r="G31" i="3" s="1"/>
  <c r="E31" i="3"/>
  <c r="D31" i="3"/>
  <c r="V31" i="3" s="1"/>
  <c r="A31" i="3"/>
  <c r="S30" i="3"/>
  <c r="R30" i="3"/>
  <c r="Q30" i="3"/>
  <c r="P30" i="3"/>
  <c r="O30" i="3"/>
  <c r="N30" i="3"/>
  <c r="H30" i="3"/>
  <c r="G30" i="3"/>
  <c r="I30" i="3" s="1"/>
  <c r="A30" i="3"/>
  <c r="S29" i="3"/>
  <c r="R29" i="3"/>
  <c r="Q29" i="3"/>
  <c r="P29" i="3"/>
  <c r="O29" i="3"/>
  <c r="N29" i="3"/>
  <c r="H29" i="3"/>
  <c r="G29" i="3"/>
  <c r="I29" i="3" s="1"/>
  <c r="S28" i="3"/>
  <c r="R28" i="3"/>
  <c r="Q28" i="3"/>
  <c r="P28" i="3"/>
  <c r="O28" i="3"/>
  <c r="N28" i="3"/>
  <c r="H28" i="3"/>
  <c r="G28" i="3"/>
  <c r="I28" i="3" s="1"/>
  <c r="S27" i="3"/>
  <c r="R27" i="3"/>
  <c r="Q27" i="3"/>
  <c r="P27" i="3"/>
  <c r="O27" i="3"/>
  <c r="N27" i="3"/>
  <c r="H27" i="3"/>
  <c r="I27" i="3" s="1"/>
  <c r="G27" i="3"/>
  <c r="S26" i="3"/>
  <c r="R26" i="3"/>
  <c r="Q26" i="3"/>
  <c r="P26" i="3"/>
  <c r="O26" i="3"/>
  <c r="N26" i="3"/>
  <c r="I26" i="3"/>
  <c r="H26" i="3"/>
  <c r="G26" i="3"/>
  <c r="S25" i="3"/>
  <c r="R25" i="3"/>
  <c r="Q25" i="3"/>
  <c r="P25" i="3"/>
  <c r="O25" i="3"/>
  <c r="N25" i="3"/>
  <c r="H25" i="3"/>
  <c r="G25" i="3"/>
  <c r="I25" i="3" s="1"/>
  <c r="S24" i="3"/>
  <c r="R24" i="3"/>
  <c r="Q24" i="3"/>
  <c r="P24" i="3"/>
  <c r="O24" i="3"/>
  <c r="N24" i="3"/>
  <c r="H24" i="3"/>
  <c r="G24" i="3"/>
  <c r="I24" i="3" s="1"/>
  <c r="S23" i="3"/>
  <c r="R23" i="3"/>
  <c r="Q23" i="3"/>
  <c r="P23" i="3"/>
  <c r="O23" i="3"/>
  <c r="N23" i="3"/>
  <c r="I23" i="3"/>
  <c r="H23" i="3"/>
  <c r="G23" i="3"/>
  <c r="S22" i="3"/>
  <c r="R22" i="3"/>
  <c r="Q22" i="3"/>
  <c r="P22" i="3"/>
  <c r="O22" i="3"/>
  <c r="N22" i="3"/>
  <c r="H22" i="3"/>
  <c r="I22" i="3" s="1"/>
  <c r="G22" i="3"/>
  <c r="S21" i="3"/>
  <c r="R21" i="3"/>
  <c r="Q21" i="3"/>
  <c r="P21" i="3"/>
  <c r="O21" i="3"/>
  <c r="N21" i="3"/>
  <c r="H21" i="3"/>
  <c r="G21" i="3"/>
  <c r="I21" i="3" s="1"/>
  <c r="S20" i="3"/>
  <c r="R20" i="3"/>
  <c r="Q20" i="3"/>
  <c r="P20" i="3"/>
  <c r="O20" i="3"/>
  <c r="N20" i="3"/>
  <c r="H20" i="3"/>
  <c r="G20" i="3"/>
  <c r="I20" i="3" s="1"/>
  <c r="S19" i="3"/>
  <c r="R19" i="3"/>
  <c r="Q19" i="3"/>
  <c r="P19" i="3"/>
  <c r="O19" i="3"/>
  <c r="N19" i="3"/>
  <c r="H19" i="3"/>
  <c r="I19" i="3" s="1"/>
  <c r="G19" i="3"/>
  <c r="S18" i="3"/>
  <c r="R18" i="3"/>
  <c r="Q18" i="3"/>
  <c r="P18" i="3"/>
  <c r="O18" i="3"/>
  <c r="N18" i="3"/>
  <c r="H18" i="3"/>
  <c r="I18" i="3" s="1"/>
  <c r="G18" i="3"/>
  <c r="S17" i="3"/>
  <c r="R17" i="3"/>
  <c r="Q17" i="3"/>
  <c r="P17" i="3"/>
  <c r="O17" i="3"/>
  <c r="N17" i="3"/>
  <c r="H17" i="3"/>
  <c r="G17" i="3"/>
  <c r="I17" i="3" s="1"/>
  <c r="S16" i="3"/>
  <c r="R16" i="3"/>
  <c r="Q16" i="3"/>
  <c r="P16" i="3"/>
  <c r="O16" i="3"/>
  <c r="N16" i="3"/>
  <c r="H16" i="3"/>
  <c r="G16" i="3"/>
  <c r="I16" i="3" s="1"/>
  <c r="S15" i="3"/>
  <c r="R15" i="3"/>
  <c r="Q15" i="3"/>
  <c r="P15" i="3"/>
  <c r="O15" i="3"/>
  <c r="N15" i="3"/>
  <c r="I15" i="3"/>
  <c r="H15" i="3"/>
  <c r="G15" i="3"/>
  <c r="S14" i="3"/>
  <c r="R14" i="3"/>
  <c r="Q14" i="3"/>
  <c r="P14" i="3"/>
  <c r="O14" i="3"/>
  <c r="N14" i="3"/>
  <c r="I14" i="3"/>
  <c r="H14" i="3"/>
  <c r="G14" i="3"/>
  <c r="S13" i="3"/>
  <c r="R13" i="3"/>
  <c r="Q13" i="3"/>
  <c r="P13" i="3"/>
  <c r="O13" i="3"/>
  <c r="N13" i="3"/>
  <c r="H13" i="3"/>
  <c r="G13" i="3"/>
  <c r="I13" i="3" s="1"/>
  <c r="F9" i="3"/>
  <c r="F8" i="3"/>
  <c r="K8" i="3" s="1"/>
  <c r="K9" i="3" s="1"/>
  <c r="C8" i="3"/>
  <c r="C9" i="3" s="1"/>
  <c r="K4" i="3"/>
  <c r="K5" i="3" s="1"/>
  <c r="F4" i="3"/>
  <c r="F5" i="3" s="1"/>
  <c r="C4" i="3"/>
  <c r="C5" i="3" s="1"/>
  <c r="Y2" i="3"/>
  <c r="X2" i="3"/>
  <c r="V202" i="2"/>
  <c r="M202" i="2"/>
  <c r="C8" i="2" s="1"/>
  <c r="C9" i="2" s="1"/>
  <c r="L202" i="2"/>
  <c r="K202" i="2"/>
  <c r="J202" i="2"/>
  <c r="F202" i="2"/>
  <c r="E202" i="2"/>
  <c r="G202" i="2" s="1"/>
  <c r="D202" i="2"/>
  <c r="A202" i="2"/>
  <c r="S201" i="2"/>
  <c r="R201" i="2"/>
  <c r="Q201" i="2"/>
  <c r="P201" i="2"/>
  <c r="O201" i="2"/>
  <c r="N201" i="2"/>
  <c r="I201" i="2"/>
  <c r="H201" i="2"/>
  <c r="G201" i="2"/>
  <c r="A201" i="2"/>
  <c r="S200" i="2"/>
  <c r="R200" i="2"/>
  <c r="Q200" i="2"/>
  <c r="P200" i="2"/>
  <c r="O200" i="2"/>
  <c r="N200" i="2"/>
  <c r="H200" i="2"/>
  <c r="I200" i="2" s="1"/>
  <c r="G200" i="2"/>
  <c r="S199" i="2"/>
  <c r="R199" i="2"/>
  <c r="Q199" i="2"/>
  <c r="P199" i="2"/>
  <c r="O199" i="2"/>
  <c r="N199" i="2"/>
  <c r="H199" i="2"/>
  <c r="I199" i="2" s="1"/>
  <c r="G199" i="2"/>
  <c r="S198" i="2"/>
  <c r="R198" i="2"/>
  <c r="Q198" i="2"/>
  <c r="P198" i="2"/>
  <c r="O198" i="2"/>
  <c r="N198" i="2"/>
  <c r="H198" i="2"/>
  <c r="G198" i="2"/>
  <c r="I198" i="2" s="1"/>
  <c r="S197" i="2"/>
  <c r="R197" i="2"/>
  <c r="Q197" i="2"/>
  <c r="P197" i="2"/>
  <c r="O197" i="2"/>
  <c r="N197" i="2"/>
  <c r="H197" i="2"/>
  <c r="G197" i="2"/>
  <c r="I197" i="2" s="1"/>
  <c r="S196" i="2"/>
  <c r="R196" i="2"/>
  <c r="Q196" i="2"/>
  <c r="P196" i="2"/>
  <c r="O196" i="2"/>
  <c r="N196" i="2"/>
  <c r="H196" i="2"/>
  <c r="I196" i="2" s="1"/>
  <c r="G196" i="2"/>
  <c r="S195" i="2"/>
  <c r="R195" i="2"/>
  <c r="Q195" i="2"/>
  <c r="P195" i="2"/>
  <c r="O195" i="2"/>
  <c r="N195" i="2"/>
  <c r="H195" i="2"/>
  <c r="I195" i="2" s="1"/>
  <c r="G195" i="2"/>
  <c r="S194" i="2"/>
  <c r="R194" i="2"/>
  <c r="Q194" i="2"/>
  <c r="P194" i="2"/>
  <c r="O194" i="2"/>
  <c r="N194" i="2"/>
  <c r="H194" i="2"/>
  <c r="G194" i="2"/>
  <c r="I194" i="2" s="1"/>
  <c r="S193" i="2"/>
  <c r="R193" i="2"/>
  <c r="Q193" i="2"/>
  <c r="P193" i="2"/>
  <c r="O193" i="2"/>
  <c r="N193" i="2"/>
  <c r="H193" i="2"/>
  <c r="G193" i="2"/>
  <c r="I193" i="2" s="1"/>
  <c r="S192" i="2"/>
  <c r="R192" i="2"/>
  <c r="Q192" i="2"/>
  <c r="P192" i="2"/>
  <c r="O192" i="2"/>
  <c r="N192" i="2"/>
  <c r="I192" i="2"/>
  <c r="H192" i="2"/>
  <c r="G192" i="2"/>
  <c r="S191" i="2"/>
  <c r="R191" i="2"/>
  <c r="Q191" i="2"/>
  <c r="P191" i="2"/>
  <c r="O191" i="2"/>
  <c r="N191" i="2"/>
  <c r="I191" i="2"/>
  <c r="H191" i="2"/>
  <c r="G191" i="2"/>
  <c r="S190" i="2"/>
  <c r="R190" i="2"/>
  <c r="Q190" i="2"/>
  <c r="P190" i="2"/>
  <c r="O190" i="2"/>
  <c r="N190" i="2"/>
  <c r="H190" i="2"/>
  <c r="G190" i="2"/>
  <c r="I190" i="2" s="1"/>
  <c r="S189" i="2"/>
  <c r="R189" i="2"/>
  <c r="Q189" i="2"/>
  <c r="P189" i="2"/>
  <c r="O189" i="2"/>
  <c r="N189" i="2"/>
  <c r="H189" i="2"/>
  <c r="G189" i="2"/>
  <c r="I189" i="2" s="1"/>
  <c r="S188" i="2"/>
  <c r="R188" i="2"/>
  <c r="Q188" i="2"/>
  <c r="P188" i="2"/>
  <c r="O188" i="2"/>
  <c r="N188" i="2"/>
  <c r="I188" i="2"/>
  <c r="H188" i="2"/>
  <c r="G188" i="2"/>
  <c r="S187" i="2"/>
  <c r="R187" i="2"/>
  <c r="Q187" i="2"/>
  <c r="P187" i="2"/>
  <c r="O187" i="2"/>
  <c r="N187" i="2"/>
  <c r="H187" i="2"/>
  <c r="I187" i="2" s="1"/>
  <c r="G187" i="2"/>
  <c r="S186" i="2"/>
  <c r="R186" i="2"/>
  <c r="Q186" i="2"/>
  <c r="P186" i="2"/>
  <c r="O186" i="2"/>
  <c r="N186" i="2"/>
  <c r="H186" i="2"/>
  <c r="G186" i="2"/>
  <c r="I186" i="2" s="1"/>
  <c r="S185" i="2"/>
  <c r="R185" i="2"/>
  <c r="Q185" i="2"/>
  <c r="P185" i="2"/>
  <c r="O185" i="2"/>
  <c r="N185" i="2"/>
  <c r="H185" i="2"/>
  <c r="G185" i="2"/>
  <c r="I185" i="2" s="1"/>
  <c r="S184" i="2"/>
  <c r="R184" i="2"/>
  <c r="R202" i="2" s="1"/>
  <c r="Q184" i="2"/>
  <c r="P184" i="2"/>
  <c r="O184" i="2"/>
  <c r="N184" i="2"/>
  <c r="H184" i="2"/>
  <c r="I184" i="2" s="1"/>
  <c r="G184" i="2"/>
  <c r="S183" i="2"/>
  <c r="Q183" i="2"/>
  <c r="P183" i="2"/>
  <c r="N183" i="2"/>
  <c r="M183" i="2"/>
  <c r="O183" i="2" s="1"/>
  <c r="L183" i="2"/>
  <c r="K183" i="2"/>
  <c r="J183" i="2"/>
  <c r="F183" i="2"/>
  <c r="E183" i="2"/>
  <c r="U202" i="2" s="1"/>
  <c r="D183" i="2"/>
  <c r="A183" i="2"/>
  <c r="S182" i="2"/>
  <c r="R182" i="2"/>
  <c r="Q182" i="2"/>
  <c r="P182" i="2"/>
  <c r="O182" i="2"/>
  <c r="N182" i="2"/>
  <c r="H182" i="2"/>
  <c r="G182" i="2"/>
  <c r="I182" i="2" s="1"/>
  <c r="A182" i="2"/>
  <c r="S181" i="2"/>
  <c r="R181" i="2"/>
  <c r="Q181" i="2"/>
  <c r="P181" i="2"/>
  <c r="O181" i="2"/>
  <c r="N181" i="2"/>
  <c r="H181" i="2"/>
  <c r="I181" i="2" s="1"/>
  <c r="G181" i="2"/>
  <c r="S180" i="2"/>
  <c r="R180" i="2"/>
  <c r="Q180" i="2"/>
  <c r="P180" i="2"/>
  <c r="O180" i="2"/>
  <c r="N180" i="2"/>
  <c r="I180" i="2"/>
  <c r="H180" i="2"/>
  <c r="G180" i="2"/>
  <c r="S179" i="2"/>
  <c r="R179" i="2"/>
  <c r="Q179" i="2"/>
  <c r="P179" i="2"/>
  <c r="O179" i="2"/>
  <c r="N179" i="2"/>
  <c r="I179" i="2"/>
  <c r="H179" i="2"/>
  <c r="G179" i="2"/>
  <c r="S178" i="2"/>
  <c r="R178" i="2"/>
  <c r="Q178" i="2"/>
  <c r="P178" i="2"/>
  <c r="O178" i="2"/>
  <c r="N178" i="2"/>
  <c r="H178" i="2"/>
  <c r="G178" i="2"/>
  <c r="S177" i="2"/>
  <c r="R177" i="2"/>
  <c r="Q177" i="2"/>
  <c r="P177" i="2"/>
  <c r="O177" i="2"/>
  <c r="N177" i="2"/>
  <c r="H177" i="2"/>
  <c r="I177" i="2" s="1"/>
  <c r="G177" i="2"/>
  <c r="S176" i="2"/>
  <c r="R176" i="2"/>
  <c r="Q176" i="2"/>
  <c r="P176" i="2"/>
  <c r="O176" i="2"/>
  <c r="N176" i="2"/>
  <c r="I176" i="2"/>
  <c r="H176" i="2"/>
  <c r="G176" i="2"/>
  <c r="S175" i="2"/>
  <c r="R175" i="2"/>
  <c r="Q175" i="2"/>
  <c r="P175" i="2"/>
  <c r="O175" i="2"/>
  <c r="N175" i="2"/>
  <c r="I175" i="2"/>
  <c r="H175" i="2"/>
  <c r="G175" i="2"/>
  <c r="S174" i="2"/>
  <c r="R174" i="2"/>
  <c r="Q174" i="2"/>
  <c r="P174" i="2"/>
  <c r="O174" i="2"/>
  <c r="N174" i="2"/>
  <c r="H174" i="2"/>
  <c r="I174" i="2" s="1"/>
  <c r="G174" i="2"/>
  <c r="S173" i="2"/>
  <c r="R173" i="2"/>
  <c r="Q173" i="2"/>
  <c r="P173" i="2"/>
  <c r="O173" i="2"/>
  <c r="N173" i="2"/>
  <c r="H173" i="2"/>
  <c r="I173" i="2" s="1"/>
  <c r="G173" i="2"/>
  <c r="S172" i="2"/>
  <c r="R172" i="2"/>
  <c r="Q172" i="2"/>
  <c r="P172" i="2"/>
  <c r="O172" i="2"/>
  <c r="N172" i="2"/>
  <c r="I172" i="2"/>
  <c r="H172" i="2"/>
  <c r="G172" i="2"/>
  <c r="S171" i="2"/>
  <c r="R171" i="2"/>
  <c r="Q171" i="2"/>
  <c r="P171" i="2"/>
  <c r="O171" i="2"/>
  <c r="N171" i="2"/>
  <c r="H171" i="2"/>
  <c r="G171" i="2"/>
  <c r="I171" i="2" s="1"/>
  <c r="S170" i="2"/>
  <c r="R170" i="2"/>
  <c r="Q170" i="2"/>
  <c r="P170" i="2"/>
  <c r="O170" i="2"/>
  <c r="N170" i="2"/>
  <c r="H170" i="2"/>
  <c r="G170" i="2"/>
  <c r="S169" i="2"/>
  <c r="R169" i="2"/>
  <c r="Q169" i="2"/>
  <c r="P169" i="2"/>
  <c r="O169" i="2"/>
  <c r="N169" i="2"/>
  <c r="H169" i="2"/>
  <c r="I169" i="2" s="1"/>
  <c r="G169" i="2"/>
  <c r="S168" i="2"/>
  <c r="R168" i="2"/>
  <c r="R183" i="2" s="1"/>
  <c r="Q168" i="2"/>
  <c r="P168" i="2"/>
  <c r="O168" i="2"/>
  <c r="N168" i="2"/>
  <c r="I168" i="2"/>
  <c r="H168" i="2"/>
  <c r="G168" i="2"/>
  <c r="S167" i="2"/>
  <c r="R167" i="2"/>
  <c r="Q167" i="2"/>
  <c r="P167" i="2"/>
  <c r="O167" i="2"/>
  <c r="N167" i="2"/>
  <c r="I167" i="2"/>
  <c r="H167" i="2"/>
  <c r="G167" i="2"/>
  <c r="S166" i="2"/>
  <c r="R166" i="2"/>
  <c r="Q166" i="2"/>
  <c r="P166" i="2"/>
  <c r="O166" i="2"/>
  <c r="N166" i="2"/>
  <c r="H166" i="2"/>
  <c r="G166" i="2"/>
  <c r="S165" i="2"/>
  <c r="R165" i="2"/>
  <c r="Q165" i="2"/>
  <c r="P165" i="2"/>
  <c r="O165" i="2"/>
  <c r="N165" i="2"/>
  <c r="H165" i="2"/>
  <c r="I165" i="2" s="1"/>
  <c r="G165" i="2"/>
  <c r="V164" i="2"/>
  <c r="T164" i="2"/>
  <c r="Q164" i="2"/>
  <c r="M164" i="2"/>
  <c r="O164" i="2" s="1"/>
  <c r="L164" i="2"/>
  <c r="K164" i="2"/>
  <c r="J164" i="2"/>
  <c r="F164" i="2"/>
  <c r="E164" i="2"/>
  <c r="U164" i="2" s="1"/>
  <c r="D164" i="2"/>
  <c r="A164" i="2"/>
  <c r="S163" i="2"/>
  <c r="R163" i="2"/>
  <c r="Q163" i="2"/>
  <c r="P163" i="2"/>
  <c r="O163" i="2"/>
  <c r="N163" i="2"/>
  <c r="I163" i="2"/>
  <c r="H163" i="2"/>
  <c r="G163" i="2"/>
  <c r="A163" i="2"/>
  <c r="S162" i="2"/>
  <c r="R162" i="2"/>
  <c r="Q162" i="2"/>
  <c r="P162" i="2"/>
  <c r="O162" i="2"/>
  <c r="N162" i="2"/>
  <c r="H162" i="2"/>
  <c r="I162" i="2" s="1"/>
  <c r="G162" i="2"/>
  <c r="S161" i="2"/>
  <c r="R161" i="2"/>
  <c r="Q161" i="2"/>
  <c r="P161" i="2"/>
  <c r="O161" i="2"/>
  <c r="N161" i="2"/>
  <c r="H161" i="2"/>
  <c r="I161" i="2" s="1"/>
  <c r="G161" i="2"/>
  <c r="S160" i="2"/>
  <c r="R160" i="2"/>
  <c r="Q160" i="2"/>
  <c r="P160" i="2"/>
  <c r="O160" i="2"/>
  <c r="N160" i="2"/>
  <c r="I160" i="2"/>
  <c r="H160" i="2"/>
  <c r="G160" i="2"/>
  <c r="S159" i="2"/>
  <c r="R159" i="2"/>
  <c r="Q159" i="2"/>
  <c r="P159" i="2"/>
  <c r="O159" i="2"/>
  <c r="N159" i="2"/>
  <c r="H159" i="2"/>
  <c r="I159" i="2" s="1"/>
  <c r="G159" i="2"/>
  <c r="S158" i="2"/>
  <c r="R158" i="2"/>
  <c r="Q158" i="2"/>
  <c r="P158" i="2"/>
  <c r="O158" i="2"/>
  <c r="N158" i="2"/>
  <c r="H158" i="2"/>
  <c r="I158" i="2" s="1"/>
  <c r="G158" i="2"/>
  <c r="S157" i="2"/>
  <c r="R157" i="2"/>
  <c r="Q157" i="2"/>
  <c r="P157" i="2"/>
  <c r="O157" i="2"/>
  <c r="N157" i="2"/>
  <c r="H157" i="2"/>
  <c r="I157" i="2" s="1"/>
  <c r="G157" i="2"/>
  <c r="S156" i="2"/>
  <c r="R156" i="2"/>
  <c r="Q156" i="2"/>
  <c r="P156" i="2"/>
  <c r="O156" i="2"/>
  <c r="N156" i="2"/>
  <c r="I156" i="2"/>
  <c r="H156" i="2"/>
  <c r="G156" i="2"/>
  <c r="S155" i="2"/>
  <c r="R155" i="2"/>
  <c r="Q155" i="2"/>
  <c r="P155" i="2"/>
  <c r="O155" i="2"/>
  <c r="N155" i="2"/>
  <c r="H155" i="2"/>
  <c r="G155" i="2"/>
  <c r="S154" i="2"/>
  <c r="R154" i="2"/>
  <c r="Q154" i="2"/>
  <c r="P154" i="2"/>
  <c r="O154" i="2"/>
  <c r="N154" i="2"/>
  <c r="H154" i="2"/>
  <c r="G154" i="2"/>
  <c r="I154" i="2" s="1"/>
  <c r="S153" i="2"/>
  <c r="R153" i="2"/>
  <c r="Q153" i="2"/>
  <c r="P153" i="2"/>
  <c r="O153" i="2"/>
  <c r="N153" i="2"/>
  <c r="H153" i="2"/>
  <c r="I153" i="2" s="1"/>
  <c r="G153" i="2"/>
  <c r="S152" i="2"/>
  <c r="R152" i="2"/>
  <c r="Q152" i="2"/>
  <c r="P152" i="2"/>
  <c r="O152" i="2"/>
  <c r="N152" i="2"/>
  <c r="I152" i="2"/>
  <c r="H152" i="2"/>
  <c r="G152" i="2"/>
  <c r="S151" i="2"/>
  <c r="R151" i="2"/>
  <c r="Q151" i="2"/>
  <c r="P151" i="2"/>
  <c r="O151" i="2"/>
  <c r="N151" i="2"/>
  <c r="H151" i="2"/>
  <c r="G151" i="2"/>
  <c r="S150" i="2"/>
  <c r="R150" i="2"/>
  <c r="Q150" i="2"/>
  <c r="P150" i="2"/>
  <c r="O150" i="2"/>
  <c r="N150" i="2"/>
  <c r="H150" i="2"/>
  <c r="G150" i="2"/>
  <c r="I150" i="2" s="1"/>
  <c r="S149" i="2"/>
  <c r="R149" i="2"/>
  <c r="R164" i="2" s="1"/>
  <c r="Q149" i="2"/>
  <c r="P149" i="2"/>
  <c r="O149" i="2"/>
  <c r="N149" i="2"/>
  <c r="H149" i="2"/>
  <c r="I149" i="2" s="1"/>
  <c r="G149" i="2"/>
  <c r="S148" i="2"/>
  <c r="R148" i="2"/>
  <c r="Q148" i="2"/>
  <c r="P148" i="2"/>
  <c r="O148" i="2"/>
  <c r="N148" i="2"/>
  <c r="I148" i="2"/>
  <c r="H148" i="2"/>
  <c r="G148" i="2"/>
  <c r="S147" i="2"/>
  <c r="R147" i="2"/>
  <c r="Q147" i="2"/>
  <c r="P147" i="2"/>
  <c r="O147" i="2"/>
  <c r="N147" i="2"/>
  <c r="H147" i="2"/>
  <c r="I147" i="2" s="1"/>
  <c r="G147" i="2"/>
  <c r="S146" i="2"/>
  <c r="R146" i="2"/>
  <c r="Q146" i="2"/>
  <c r="P146" i="2"/>
  <c r="O146" i="2"/>
  <c r="N146" i="2"/>
  <c r="H146" i="2"/>
  <c r="I146" i="2" s="1"/>
  <c r="G146" i="2"/>
  <c r="V145" i="2"/>
  <c r="U145" i="2"/>
  <c r="M145" i="2"/>
  <c r="L145" i="2"/>
  <c r="K145" i="2"/>
  <c r="J145" i="2"/>
  <c r="F145" i="2"/>
  <c r="E145" i="2"/>
  <c r="G145" i="2" s="1"/>
  <c r="D145" i="2"/>
  <c r="T145" i="2" s="1"/>
  <c r="A145" i="2"/>
  <c r="S144" i="2"/>
  <c r="R144" i="2"/>
  <c r="Q144" i="2"/>
  <c r="P144" i="2"/>
  <c r="O144" i="2"/>
  <c r="N144" i="2"/>
  <c r="I144" i="2"/>
  <c r="H144" i="2"/>
  <c r="G144" i="2"/>
  <c r="A144" i="2"/>
  <c r="S143" i="2"/>
  <c r="R143" i="2"/>
  <c r="Q143" i="2"/>
  <c r="P143" i="2"/>
  <c r="O143" i="2"/>
  <c r="N143" i="2"/>
  <c r="I143" i="2"/>
  <c r="H143" i="2"/>
  <c r="G143" i="2"/>
  <c r="S142" i="2"/>
  <c r="R142" i="2"/>
  <c r="Q142" i="2"/>
  <c r="P142" i="2"/>
  <c r="O142" i="2"/>
  <c r="N142" i="2"/>
  <c r="I142" i="2"/>
  <c r="H142" i="2"/>
  <c r="G142" i="2"/>
  <c r="S141" i="2"/>
  <c r="R141" i="2"/>
  <c r="Q141" i="2"/>
  <c r="P141" i="2"/>
  <c r="O141" i="2"/>
  <c r="N141" i="2"/>
  <c r="H141" i="2"/>
  <c r="G141" i="2"/>
  <c r="I141" i="2" s="1"/>
  <c r="S140" i="2"/>
  <c r="R140" i="2"/>
  <c r="Q140" i="2"/>
  <c r="P140" i="2"/>
  <c r="O140" i="2"/>
  <c r="N140" i="2"/>
  <c r="H140" i="2"/>
  <c r="G140" i="2"/>
  <c r="I140" i="2" s="1"/>
  <c r="S139" i="2"/>
  <c r="R139" i="2"/>
  <c r="Q139" i="2"/>
  <c r="P139" i="2"/>
  <c r="O139" i="2"/>
  <c r="N139" i="2"/>
  <c r="H139" i="2"/>
  <c r="I139" i="2" s="1"/>
  <c r="G139" i="2"/>
  <c r="S138" i="2"/>
  <c r="R138" i="2"/>
  <c r="Q138" i="2"/>
  <c r="P138" i="2"/>
  <c r="O138" i="2"/>
  <c r="N138" i="2"/>
  <c r="I138" i="2"/>
  <c r="H138" i="2"/>
  <c r="G138" i="2"/>
  <c r="S137" i="2"/>
  <c r="R137" i="2"/>
  <c r="Q137" i="2"/>
  <c r="P137" i="2"/>
  <c r="O137" i="2"/>
  <c r="N137" i="2"/>
  <c r="H137" i="2"/>
  <c r="G137" i="2"/>
  <c r="I137" i="2" s="1"/>
  <c r="S136" i="2"/>
  <c r="R136" i="2"/>
  <c r="Q136" i="2"/>
  <c r="P136" i="2"/>
  <c r="O136" i="2"/>
  <c r="N136" i="2"/>
  <c r="H136" i="2"/>
  <c r="G136" i="2"/>
  <c r="I136" i="2" s="1"/>
  <c r="S135" i="2"/>
  <c r="R135" i="2"/>
  <c r="Q135" i="2"/>
  <c r="P135" i="2"/>
  <c r="O135" i="2"/>
  <c r="N135" i="2"/>
  <c r="H135" i="2"/>
  <c r="I135" i="2" s="1"/>
  <c r="G135" i="2"/>
  <c r="S134" i="2"/>
  <c r="R134" i="2"/>
  <c r="Q134" i="2"/>
  <c r="P134" i="2"/>
  <c r="O134" i="2"/>
  <c r="N134" i="2"/>
  <c r="H134" i="2"/>
  <c r="I134" i="2" s="1"/>
  <c r="G134" i="2"/>
  <c r="S133" i="2"/>
  <c r="R133" i="2"/>
  <c r="Q133" i="2"/>
  <c r="P133" i="2"/>
  <c r="O133" i="2"/>
  <c r="N133" i="2"/>
  <c r="H133" i="2"/>
  <c r="G133" i="2"/>
  <c r="I133" i="2" s="1"/>
  <c r="S132" i="2"/>
  <c r="R132" i="2"/>
  <c r="Q132" i="2"/>
  <c r="P132" i="2"/>
  <c r="O132" i="2"/>
  <c r="N132" i="2"/>
  <c r="H132" i="2"/>
  <c r="G132" i="2"/>
  <c r="I132" i="2" s="1"/>
  <c r="S131" i="2"/>
  <c r="R131" i="2"/>
  <c r="Q131" i="2"/>
  <c r="P131" i="2"/>
  <c r="O131" i="2"/>
  <c r="N131" i="2"/>
  <c r="I131" i="2"/>
  <c r="H131" i="2"/>
  <c r="G131" i="2"/>
  <c r="S130" i="2"/>
  <c r="R130" i="2"/>
  <c r="Q130" i="2"/>
  <c r="P130" i="2"/>
  <c r="O130" i="2"/>
  <c r="N130" i="2"/>
  <c r="I130" i="2"/>
  <c r="H130" i="2"/>
  <c r="G130" i="2"/>
  <c r="S129" i="2"/>
  <c r="R129" i="2"/>
  <c r="Q129" i="2"/>
  <c r="P129" i="2"/>
  <c r="O129" i="2"/>
  <c r="N129" i="2"/>
  <c r="H129" i="2"/>
  <c r="G129" i="2"/>
  <c r="I129" i="2" s="1"/>
  <c r="S128" i="2"/>
  <c r="R128" i="2"/>
  <c r="Q128" i="2"/>
  <c r="P128" i="2"/>
  <c r="O128" i="2"/>
  <c r="N128" i="2"/>
  <c r="H128" i="2"/>
  <c r="G128" i="2"/>
  <c r="I128" i="2" s="1"/>
  <c r="S127" i="2"/>
  <c r="R127" i="2"/>
  <c r="R145" i="2" s="1"/>
  <c r="Q127" i="2"/>
  <c r="P127" i="2"/>
  <c r="O127" i="2"/>
  <c r="N127" i="2"/>
  <c r="H127" i="2"/>
  <c r="I127" i="2" s="1"/>
  <c r="G127" i="2"/>
  <c r="S126" i="2"/>
  <c r="M126" i="2"/>
  <c r="O126" i="2" s="1"/>
  <c r="L126" i="2"/>
  <c r="K126" i="2"/>
  <c r="J126" i="2"/>
  <c r="F126" i="2"/>
  <c r="E126" i="2"/>
  <c r="D126" i="2"/>
  <c r="P126" i="2" s="1"/>
  <c r="A126" i="2"/>
  <c r="S125" i="2"/>
  <c r="R125" i="2"/>
  <c r="Q125" i="2"/>
  <c r="P125" i="2"/>
  <c r="O125" i="2"/>
  <c r="N125" i="2"/>
  <c r="H125" i="2"/>
  <c r="G125" i="2"/>
  <c r="I125" i="2" s="1"/>
  <c r="A125" i="2"/>
  <c r="S124" i="2"/>
  <c r="R124" i="2"/>
  <c r="Q124" i="2"/>
  <c r="P124" i="2"/>
  <c r="O124" i="2"/>
  <c r="N124" i="2"/>
  <c r="H124" i="2"/>
  <c r="I124" i="2" s="1"/>
  <c r="G124" i="2"/>
  <c r="S123" i="2"/>
  <c r="R123" i="2"/>
  <c r="Q123" i="2"/>
  <c r="P123" i="2"/>
  <c r="O123" i="2"/>
  <c r="N123" i="2"/>
  <c r="I123" i="2"/>
  <c r="H123" i="2"/>
  <c r="G123" i="2"/>
  <c r="S122" i="2"/>
  <c r="R122" i="2"/>
  <c r="Q122" i="2"/>
  <c r="P122" i="2"/>
  <c r="O122" i="2"/>
  <c r="N122" i="2"/>
  <c r="H122" i="2"/>
  <c r="G122" i="2"/>
  <c r="I122" i="2" s="1"/>
  <c r="S121" i="2"/>
  <c r="R121" i="2"/>
  <c r="Q121" i="2"/>
  <c r="P121" i="2"/>
  <c r="O121" i="2"/>
  <c r="N121" i="2"/>
  <c r="H121" i="2"/>
  <c r="G121" i="2"/>
  <c r="S120" i="2"/>
  <c r="R120" i="2"/>
  <c r="Q120" i="2"/>
  <c r="P120" i="2"/>
  <c r="O120" i="2"/>
  <c r="N120" i="2"/>
  <c r="H120" i="2"/>
  <c r="I120" i="2" s="1"/>
  <c r="G120" i="2"/>
  <c r="S119" i="2"/>
  <c r="R119" i="2"/>
  <c r="Q119" i="2"/>
  <c r="P119" i="2"/>
  <c r="O119" i="2"/>
  <c r="N119" i="2"/>
  <c r="I119" i="2"/>
  <c r="H119" i="2"/>
  <c r="G119" i="2"/>
  <c r="S118" i="2"/>
  <c r="R118" i="2"/>
  <c r="Q118" i="2"/>
  <c r="P118" i="2"/>
  <c r="O118" i="2"/>
  <c r="N118" i="2"/>
  <c r="I118" i="2"/>
  <c r="H118" i="2"/>
  <c r="G118" i="2"/>
  <c r="S117" i="2"/>
  <c r="R117" i="2"/>
  <c r="Q117" i="2"/>
  <c r="P117" i="2"/>
  <c r="O117" i="2"/>
  <c r="N117" i="2"/>
  <c r="H117" i="2"/>
  <c r="G117" i="2"/>
  <c r="S116" i="2"/>
  <c r="R116" i="2"/>
  <c r="Q116" i="2"/>
  <c r="P116" i="2"/>
  <c r="O116" i="2"/>
  <c r="N116" i="2"/>
  <c r="H116" i="2"/>
  <c r="I116" i="2" s="1"/>
  <c r="G116" i="2"/>
  <c r="S115" i="2"/>
  <c r="R115" i="2"/>
  <c r="Q115" i="2"/>
  <c r="P115" i="2"/>
  <c r="O115" i="2"/>
  <c r="N115" i="2"/>
  <c r="I115" i="2"/>
  <c r="H115" i="2"/>
  <c r="G115" i="2"/>
  <c r="S114" i="2"/>
  <c r="R114" i="2"/>
  <c r="Q114" i="2"/>
  <c r="P114" i="2"/>
  <c r="O114" i="2"/>
  <c r="N114" i="2"/>
  <c r="I114" i="2"/>
  <c r="H114" i="2"/>
  <c r="G114" i="2"/>
  <c r="S113" i="2"/>
  <c r="R113" i="2"/>
  <c r="Q113" i="2"/>
  <c r="P113" i="2"/>
  <c r="O113" i="2"/>
  <c r="N113" i="2"/>
  <c r="H113" i="2"/>
  <c r="I113" i="2" s="1"/>
  <c r="G113" i="2"/>
  <c r="S112" i="2"/>
  <c r="R112" i="2"/>
  <c r="Q112" i="2"/>
  <c r="P112" i="2"/>
  <c r="O112" i="2"/>
  <c r="N112" i="2"/>
  <c r="H112" i="2"/>
  <c r="I112" i="2" s="1"/>
  <c r="G112" i="2"/>
  <c r="S111" i="2"/>
  <c r="R111" i="2"/>
  <c r="R126" i="2" s="1"/>
  <c r="Q111" i="2"/>
  <c r="P111" i="2"/>
  <c r="O111" i="2"/>
  <c r="N111" i="2"/>
  <c r="I111" i="2"/>
  <c r="H111" i="2"/>
  <c r="G111" i="2"/>
  <c r="S110" i="2"/>
  <c r="R110" i="2"/>
  <c r="Q110" i="2"/>
  <c r="P110" i="2"/>
  <c r="O110" i="2"/>
  <c r="N110" i="2"/>
  <c r="H110" i="2"/>
  <c r="G110" i="2"/>
  <c r="I110" i="2" s="1"/>
  <c r="S109" i="2"/>
  <c r="R109" i="2"/>
  <c r="Q109" i="2"/>
  <c r="P109" i="2"/>
  <c r="O109" i="2"/>
  <c r="N109" i="2"/>
  <c r="H109" i="2"/>
  <c r="I109" i="2" s="1"/>
  <c r="G109" i="2"/>
  <c r="S108" i="2"/>
  <c r="R108" i="2"/>
  <c r="Q108" i="2"/>
  <c r="P108" i="2"/>
  <c r="O108" i="2"/>
  <c r="N108" i="2"/>
  <c r="H108" i="2"/>
  <c r="I108" i="2" s="1"/>
  <c r="G108" i="2"/>
  <c r="V107" i="2"/>
  <c r="U107" i="2"/>
  <c r="T107" i="2"/>
  <c r="Q107" i="2"/>
  <c r="M107" i="2"/>
  <c r="O107" i="2" s="1"/>
  <c r="L107" i="2"/>
  <c r="K107" i="2"/>
  <c r="J107" i="2"/>
  <c r="H107" i="2"/>
  <c r="F107" i="2"/>
  <c r="E107" i="2"/>
  <c r="D107" i="2"/>
  <c r="A107" i="2"/>
  <c r="S106" i="2"/>
  <c r="R106" i="2"/>
  <c r="Q106" i="2"/>
  <c r="P106" i="2"/>
  <c r="O106" i="2"/>
  <c r="N106" i="2"/>
  <c r="I106" i="2"/>
  <c r="H106" i="2"/>
  <c r="G106" i="2"/>
  <c r="A106" i="2"/>
  <c r="S105" i="2"/>
  <c r="R105" i="2"/>
  <c r="Q105" i="2"/>
  <c r="P105" i="2"/>
  <c r="O105" i="2"/>
  <c r="N105" i="2"/>
  <c r="I105" i="2"/>
  <c r="H105" i="2"/>
  <c r="G105" i="2"/>
  <c r="S104" i="2"/>
  <c r="R104" i="2"/>
  <c r="Q104" i="2"/>
  <c r="P104" i="2"/>
  <c r="O104" i="2"/>
  <c r="N104" i="2"/>
  <c r="H104" i="2"/>
  <c r="I104" i="2" s="1"/>
  <c r="G104" i="2"/>
  <c r="S103" i="2"/>
  <c r="R103" i="2"/>
  <c r="Q103" i="2"/>
  <c r="P103" i="2"/>
  <c r="O103" i="2"/>
  <c r="N103" i="2"/>
  <c r="H103" i="2"/>
  <c r="I103" i="2" s="1"/>
  <c r="G103" i="2"/>
  <c r="S102" i="2"/>
  <c r="R102" i="2"/>
  <c r="Q102" i="2"/>
  <c r="P102" i="2"/>
  <c r="O102" i="2"/>
  <c r="N102" i="2"/>
  <c r="H102" i="2"/>
  <c r="G102" i="2"/>
  <c r="S101" i="2"/>
  <c r="R101" i="2"/>
  <c r="Q101" i="2"/>
  <c r="P101" i="2"/>
  <c r="O101" i="2"/>
  <c r="N101" i="2"/>
  <c r="H101" i="2"/>
  <c r="G101" i="2"/>
  <c r="I101" i="2" s="1"/>
  <c r="S100" i="2"/>
  <c r="R100" i="2"/>
  <c r="Q100" i="2"/>
  <c r="P100" i="2"/>
  <c r="O100" i="2"/>
  <c r="N100" i="2"/>
  <c r="H100" i="2"/>
  <c r="I100" i="2" s="1"/>
  <c r="G100" i="2"/>
  <c r="S99" i="2"/>
  <c r="R99" i="2"/>
  <c r="Q99" i="2"/>
  <c r="P99" i="2"/>
  <c r="O99" i="2"/>
  <c r="N99" i="2"/>
  <c r="H99" i="2"/>
  <c r="I99" i="2" s="1"/>
  <c r="G99" i="2"/>
  <c r="S98" i="2"/>
  <c r="R98" i="2"/>
  <c r="Q98" i="2"/>
  <c r="P98" i="2"/>
  <c r="O98" i="2"/>
  <c r="N98" i="2"/>
  <c r="H98" i="2"/>
  <c r="G98" i="2"/>
  <c r="S97" i="2"/>
  <c r="R97" i="2"/>
  <c r="Q97" i="2"/>
  <c r="P97" i="2"/>
  <c r="O97" i="2"/>
  <c r="N97" i="2"/>
  <c r="I97" i="2"/>
  <c r="H97" i="2"/>
  <c r="G97" i="2"/>
  <c r="S96" i="2"/>
  <c r="R96" i="2"/>
  <c r="Q96" i="2"/>
  <c r="P96" i="2"/>
  <c r="O96" i="2"/>
  <c r="N96" i="2"/>
  <c r="H96" i="2"/>
  <c r="I96" i="2" s="1"/>
  <c r="G96" i="2"/>
  <c r="S95" i="2"/>
  <c r="R95" i="2"/>
  <c r="Q95" i="2"/>
  <c r="P95" i="2"/>
  <c r="O95" i="2"/>
  <c r="N95" i="2"/>
  <c r="H95" i="2"/>
  <c r="I95" i="2" s="1"/>
  <c r="G95" i="2"/>
  <c r="S94" i="2"/>
  <c r="R94" i="2"/>
  <c r="Q94" i="2"/>
  <c r="P94" i="2"/>
  <c r="O94" i="2"/>
  <c r="N94" i="2"/>
  <c r="H94" i="2"/>
  <c r="I94" i="2" s="1"/>
  <c r="G94" i="2"/>
  <c r="S93" i="2"/>
  <c r="R93" i="2"/>
  <c r="Q93" i="2"/>
  <c r="P93" i="2"/>
  <c r="O93" i="2"/>
  <c r="N93" i="2"/>
  <c r="I93" i="2"/>
  <c r="H93" i="2"/>
  <c r="G93" i="2"/>
  <c r="S92" i="2"/>
  <c r="R92" i="2"/>
  <c r="Q92" i="2"/>
  <c r="P92" i="2"/>
  <c r="O92" i="2"/>
  <c r="N92" i="2"/>
  <c r="H92" i="2"/>
  <c r="I92" i="2" s="1"/>
  <c r="G92" i="2"/>
  <c r="S91" i="2"/>
  <c r="R91" i="2"/>
  <c r="R107" i="2" s="1"/>
  <c r="Q91" i="2"/>
  <c r="P91" i="2"/>
  <c r="O91" i="2"/>
  <c r="N91" i="2"/>
  <c r="H91" i="2"/>
  <c r="I91" i="2" s="1"/>
  <c r="G91" i="2"/>
  <c r="S90" i="2"/>
  <c r="R90" i="2"/>
  <c r="Q90" i="2"/>
  <c r="P90" i="2"/>
  <c r="O90" i="2"/>
  <c r="N90" i="2"/>
  <c r="H90" i="2"/>
  <c r="G90" i="2"/>
  <c r="S89" i="2"/>
  <c r="R89" i="2"/>
  <c r="Q89" i="2"/>
  <c r="P89" i="2"/>
  <c r="O89" i="2"/>
  <c r="N89" i="2"/>
  <c r="I89" i="2"/>
  <c r="H89" i="2"/>
  <c r="G89" i="2"/>
  <c r="V88" i="2"/>
  <c r="U88" i="2"/>
  <c r="M88" i="2"/>
  <c r="L88" i="2"/>
  <c r="K88" i="2"/>
  <c r="J88" i="2"/>
  <c r="F88" i="2"/>
  <c r="E88" i="2"/>
  <c r="G88" i="2" s="1"/>
  <c r="D88" i="2"/>
  <c r="T88" i="2" s="1"/>
  <c r="A88" i="2"/>
  <c r="S87" i="2"/>
  <c r="R87" i="2"/>
  <c r="Q87" i="2"/>
  <c r="P87" i="2"/>
  <c r="O87" i="2"/>
  <c r="N87" i="2"/>
  <c r="H87" i="2"/>
  <c r="I87" i="2" s="1"/>
  <c r="G87" i="2"/>
  <c r="A87" i="2"/>
  <c r="S86" i="2"/>
  <c r="R86" i="2"/>
  <c r="Q86" i="2"/>
  <c r="P86" i="2"/>
  <c r="O86" i="2"/>
  <c r="N86" i="2"/>
  <c r="I86" i="2"/>
  <c r="H86" i="2"/>
  <c r="G86" i="2"/>
  <c r="S85" i="2"/>
  <c r="R85" i="2"/>
  <c r="Q85" i="2"/>
  <c r="P85" i="2"/>
  <c r="O85" i="2"/>
  <c r="N85" i="2"/>
  <c r="I85" i="2"/>
  <c r="H85" i="2"/>
  <c r="G85" i="2"/>
  <c r="S84" i="2"/>
  <c r="R84" i="2"/>
  <c r="Q84" i="2"/>
  <c r="P84" i="2"/>
  <c r="O84" i="2"/>
  <c r="N84" i="2"/>
  <c r="H84" i="2"/>
  <c r="G84" i="2"/>
  <c r="I84" i="2" s="1"/>
  <c r="S83" i="2"/>
  <c r="R83" i="2"/>
  <c r="Q83" i="2"/>
  <c r="P83" i="2"/>
  <c r="O83" i="2"/>
  <c r="N83" i="2"/>
  <c r="H83" i="2"/>
  <c r="G83" i="2"/>
  <c r="I83" i="2" s="1"/>
  <c r="S82" i="2"/>
  <c r="R82" i="2"/>
  <c r="Q82" i="2"/>
  <c r="P82" i="2"/>
  <c r="O82" i="2"/>
  <c r="N82" i="2"/>
  <c r="H82" i="2"/>
  <c r="I82" i="2" s="1"/>
  <c r="G82" i="2"/>
  <c r="S81" i="2"/>
  <c r="R81" i="2"/>
  <c r="Q81" i="2"/>
  <c r="P81" i="2"/>
  <c r="O81" i="2"/>
  <c r="N81" i="2"/>
  <c r="H81" i="2"/>
  <c r="I81" i="2" s="1"/>
  <c r="G81" i="2"/>
  <c r="S80" i="2"/>
  <c r="R80" i="2"/>
  <c r="Q80" i="2"/>
  <c r="P80" i="2"/>
  <c r="O80" i="2"/>
  <c r="N80" i="2"/>
  <c r="H80" i="2"/>
  <c r="G80" i="2"/>
  <c r="I80" i="2" s="1"/>
  <c r="S79" i="2"/>
  <c r="R79" i="2"/>
  <c r="Q79" i="2"/>
  <c r="P79" i="2"/>
  <c r="O79" i="2"/>
  <c r="N79" i="2"/>
  <c r="H79" i="2"/>
  <c r="G79" i="2"/>
  <c r="I79" i="2" s="1"/>
  <c r="S78" i="2"/>
  <c r="R78" i="2"/>
  <c r="Q78" i="2"/>
  <c r="P78" i="2"/>
  <c r="O78" i="2"/>
  <c r="N78" i="2"/>
  <c r="H78" i="2"/>
  <c r="I78" i="2" s="1"/>
  <c r="G78" i="2"/>
  <c r="S77" i="2"/>
  <c r="R77" i="2"/>
  <c r="Q77" i="2"/>
  <c r="P77" i="2"/>
  <c r="O77" i="2"/>
  <c r="N77" i="2"/>
  <c r="H77" i="2"/>
  <c r="I77" i="2" s="1"/>
  <c r="G77" i="2"/>
  <c r="S76" i="2"/>
  <c r="R76" i="2"/>
  <c r="Q76" i="2"/>
  <c r="P76" i="2"/>
  <c r="O76" i="2"/>
  <c r="N76" i="2"/>
  <c r="H76" i="2"/>
  <c r="G76" i="2"/>
  <c r="I76" i="2" s="1"/>
  <c r="S75" i="2"/>
  <c r="R75" i="2"/>
  <c r="Q75" i="2"/>
  <c r="P75" i="2"/>
  <c r="O75" i="2"/>
  <c r="N75" i="2"/>
  <c r="H75" i="2"/>
  <c r="G75" i="2"/>
  <c r="I75" i="2" s="1"/>
  <c r="S74" i="2"/>
  <c r="R74" i="2"/>
  <c r="Q74" i="2"/>
  <c r="P74" i="2"/>
  <c r="O74" i="2"/>
  <c r="N74" i="2"/>
  <c r="I74" i="2"/>
  <c r="H74" i="2"/>
  <c r="G74" i="2"/>
  <c r="S73" i="2"/>
  <c r="R73" i="2"/>
  <c r="Q73" i="2"/>
  <c r="P73" i="2"/>
  <c r="O73" i="2"/>
  <c r="N73" i="2"/>
  <c r="I73" i="2"/>
  <c r="H73" i="2"/>
  <c r="G73" i="2"/>
  <c r="S72" i="2"/>
  <c r="R72" i="2"/>
  <c r="Q72" i="2"/>
  <c r="P72" i="2"/>
  <c r="O72" i="2"/>
  <c r="N72" i="2"/>
  <c r="H72" i="2"/>
  <c r="G72" i="2"/>
  <c r="I72" i="2" s="1"/>
  <c r="S71" i="2"/>
  <c r="R71" i="2"/>
  <c r="Q71" i="2"/>
  <c r="P71" i="2"/>
  <c r="O71" i="2"/>
  <c r="N71" i="2"/>
  <c r="H71" i="2"/>
  <c r="G71" i="2"/>
  <c r="I71" i="2" s="1"/>
  <c r="S70" i="2"/>
  <c r="R70" i="2"/>
  <c r="Q70" i="2"/>
  <c r="P70" i="2"/>
  <c r="O70" i="2"/>
  <c r="N70" i="2"/>
  <c r="H70" i="2"/>
  <c r="I70" i="2" s="1"/>
  <c r="G70" i="2"/>
  <c r="S69" i="2"/>
  <c r="M69" i="2"/>
  <c r="O69" i="2" s="1"/>
  <c r="L69" i="2"/>
  <c r="K69" i="2"/>
  <c r="J69" i="2"/>
  <c r="F69" i="2"/>
  <c r="E69" i="2"/>
  <c r="D69" i="2"/>
  <c r="Q69" i="2" s="1"/>
  <c r="A69" i="2"/>
  <c r="S68" i="2"/>
  <c r="R68" i="2"/>
  <c r="Q68" i="2"/>
  <c r="P68" i="2"/>
  <c r="O68" i="2"/>
  <c r="N68" i="2"/>
  <c r="H68" i="2"/>
  <c r="G68" i="2"/>
  <c r="I68" i="2" s="1"/>
  <c r="A68" i="2"/>
  <c r="S67" i="2"/>
  <c r="R67" i="2"/>
  <c r="Q67" i="2"/>
  <c r="P67" i="2"/>
  <c r="O67" i="2"/>
  <c r="N67" i="2"/>
  <c r="H67" i="2"/>
  <c r="I67" i="2" s="1"/>
  <c r="G67" i="2"/>
  <c r="S66" i="2"/>
  <c r="R66" i="2"/>
  <c r="Q66" i="2"/>
  <c r="P66" i="2"/>
  <c r="O66" i="2"/>
  <c r="N66" i="2"/>
  <c r="I66" i="2"/>
  <c r="H66" i="2"/>
  <c r="G66" i="2"/>
  <c r="S65" i="2"/>
  <c r="R65" i="2"/>
  <c r="Q65" i="2"/>
  <c r="P65" i="2"/>
  <c r="O65" i="2"/>
  <c r="N65" i="2"/>
  <c r="H65" i="2"/>
  <c r="G65" i="2"/>
  <c r="I65" i="2" s="1"/>
  <c r="S64" i="2"/>
  <c r="R64" i="2"/>
  <c r="Q64" i="2"/>
  <c r="P64" i="2"/>
  <c r="O64" i="2"/>
  <c r="N64" i="2"/>
  <c r="H64" i="2"/>
  <c r="I64" i="2" s="1"/>
  <c r="G64" i="2"/>
  <c r="S63" i="2"/>
  <c r="R63" i="2"/>
  <c r="Q63" i="2"/>
  <c r="P63" i="2"/>
  <c r="O63" i="2"/>
  <c r="N63" i="2"/>
  <c r="H63" i="2"/>
  <c r="I63" i="2" s="1"/>
  <c r="G63" i="2"/>
  <c r="S62" i="2"/>
  <c r="R62" i="2"/>
  <c r="Q62" i="2"/>
  <c r="P62" i="2"/>
  <c r="O62" i="2"/>
  <c r="N62" i="2"/>
  <c r="I62" i="2"/>
  <c r="H62" i="2"/>
  <c r="G62" i="2"/>
  <c r="S61" i="2"/>
  <c r="R61" i="2"/>
  <c r="Q61" i="2"/>
  <c r="P61" i="2"/>
  <c r="O61" i="2"/>
  <c r="N61" i="2"/>
  <c r="H61" i="2"/>
  <c r="G61" i="2"/>
  <c r="I61" i="2" s="1"/>
  <c r="S60" i="2"/>
  <c r="R60" i="2"/>
  <c r="Q60" i="2"/>
  <c r="P60" i="2"/>
  <c r="O60" i="2"/>
  <c r="N60" i="2"/>
  <c r="H60" i="2"/>
  <c r="G60" i="2"/>
  <c r="S59" i="2"/>
  <c r="R59" i="2"/>
  <c r="Q59" i="2"/>
  <c r="P59" i="2"/>
  <c r="O59" i="2"/>
  <c r="N59" i="2"/>
  <c r="H59" i="2"/>
  <c r="I59" i="2" s="1"/>
  <c r="G59" i="2"/>
  <c r="S58" i="2"/>
  <c r="R58" i="2"/>
  <c r="Q58" i="2"/>
  <c r="P58" i="2"/>
  <c r="O58" i="2"/>
  <c r="N58" i="2"/>
  <c r="I58" i="2"/>
  <c r="H58" i="2"/>
  <c r="G58" i="2"/>
  <c r="S57" i="2"/>
  <c r="R57" i="2"/>
  <c r="Q57" i="2"/>
  <c r="P57" i="2"/>
  <c r="O57" i="2"/>
  <c r="N57" i="2"/>
  <c r="I57" i="2"/>
  <c r="H57" i="2"/>
  <c r="G57" i="2"/>
  <c r="S56" i="2"/>
  <c r="R56" i="2"/>
  <c r="Q56" i="2"/>
  <c r="P56" i="2"/>
  <c r="O56" i="2"/>
  <c r="N56" i="2"/>
  <c r="H56" i="2"/>
  <c r="I56" i="2" s="1"/>
  <c r="G56" i="2"/>
  <c r="S55" i="2"/>
  <c r="R55" i="2"/>
  <c r="Q55" i="2"/>
  <c r="P55" i="2"/>
  <c r="O55" i="2"/>
  <c r="N55" i="2"/>
  <c r="H55" i="2"/>
  <c r="I55" i="2" s="1"/>
  <c r="G55" i="2"/>
  <c r="S54" i="2"/>
  <c r="R54" i="2"/>
  <c r="R69" i="2" s="1"/>
  <c r="Q54" i="2"/>
  <c r="P54" i="2"/>
  <c r="O54" i="2"/>
  <c r="N54" i="2"/>
  <c r="I54" i="2"/>
  <c r="H54" i="2"/>
  <c r="G54" i="2"/>
  <c r="S53" i="2"/>
  <c r="R53" i="2"/>
  <c r="Q53" i="2"/>
  <c r="P53" i="2"/>
  <c r="O53" i="2"/>
  <c r="N53" i="2"/>
  <c r="H53" i="2"/>
  <c r="G53" i="2"/>
  <c r="I53" i="2" s="1"/>
  <c r="S52" i="2"/>
  <c r="R52" i="2"/>
  <c r="Q52" i="2"/>
  <c r="P52" i="2"/>
  <c r="O52" i="2"/>
  <c r="N52" i="2"/>
  <c r="H52" i="2"/>
  <c r="G52" i="2"/>
  <c r="S51" i="2"/>
  <c r="R51" i="2"/>
  <c r="Q51" i="2"/>
  <c r="P51" i="2"/>
  <c r="O51" i="2"/>
  <c r="N51" i="2"/>
  <c r="H51" i="2"/>
  <c r="I51" i="2" s="1"/>
  <c r="G51" i="2"/>
  <c r="V50" i="2"/>
  <c r="U50" i="2"/>
  <c r="T50" i="2"/>
  <c r="Q50" i="2"/>
  <c r="M50" i="2"/>
  <c r="O50" i="2" s="1"/>
  <c r="L50" i="2"/>
  <c r="K50" i="2"/>
  <c r="J50" i="2"/>
  <c r="F50" i="2"/>
  <c r="E50" i="2"/>
  <c r="H50" i="2" s="1"/>
  <c r="D50" i="2"/>
  <c r="A50" i="2"/>
  <c r="S49" i="2"/>
  <c r="R49" i="2"/>
  <c r="Q49" i="2"/>
  <c r="P49" i="2"/>
  <c r="O49" i="2"/>
  <c r="N49" i="2"/>
  <c r="H49" i="2"/>
  <c r="G49" i="2"/>
  <c r="I49" i="2" s="1"/>
  <c r="A49" i="2"/>
  <c r="S48" i="2"/>
  <c r="R48" i="2"/>
  <c r="Q48" i="2"/>
  <c r="P48" i="2"/>
  <c r="O48" i="2"/>
  <c r="N48" i="2"/>
  <c r="I48" i="2"/>
  <c r="H48" i="2"/>
  <c r="G48" i="2"/>
  <c r="S47" i="2"/>
  <c r="R47" i="2"/>
  <c r="Q47" i="2"/>
  <c r="P47" i="2"/>
  <c r="O47" i="2"/>
  <c r="N47" i="2"/>
  <c r="H47" i="2"/>
  <c r="I47" i="2" s="1"/>
  <c r="G47" i="2"/>
  <c r="S46" i="2"/>
  <c r="R46" i="2"/>
  <c r="Q46" i="2"/>
  <c r="P46" i="2"/>
  <c r="O46" i="2"/>
  <c r="N46" i="2"/>
  <c r="H46" i="2"/>
  <c r="I46" i="2" s="1"/>
  <c r="G46" i="2"/>
  <c r="S45" i="2"/>
  <c r="R45" i="2"/>
  <c r="Q45" i="2"/>
  <c r="P45" i="2"/>
  <c r="O45" i="2"/>
  <c r="N45" i="2"/>
  <c r="H45" i="2"/>
  <c r="I45" i="2" s="1"/>
  <c r="G45" i="2"/>
  <c r="S44" i="2"/>
  <c r="R44" i="2"/>
  <c r="Q44" i="2"/>
  <c r="P44" i="2"/>
  <c r="O44" i="2"/>
  <c r="N44" i="2"/>
  <c r="I44" i="2"/>
  <c r="H44" i="2"/>
  <c r="G44" i="2"/>
  <c r="S43" i="2"/>
  <c r="R43" i="2"/>
  <c r="Q43" i="2"/>
  <c r="P43" i="2"/>
  <c r="O43" i="2"/>
  <c r="N43" i="2"/>
  <c r="H43" i="2"/>
  <c r="I43" i="2" s="1"/>
  <c r="G43" i="2"/>
  <c r="S42" i="2"/>
  <c r="R42" i="2"/>
  <c r="Q42" i="2"/>
  <c r="P42" i="2"/>
  <c r="O42" i="2"/>
  <c r="N42" i="2"/>
  <c r="H42" i="2"/>
  <c r="I42" i="2" s="1"/>
  <c r="G42" i="2"/>
  <c r="S41" i="2"/>
  <c r="R41" i="2"/>
  <c r="Q41" i="2"/>
  <c r="P41" i="2"/>
  <c r="O41" i="2"/>
  <c r="N41" i="2"/>
  <c r="H41" i="2"/>
  <c r="G41" i="2"/>
  <c r="S40" i="2"/>
  <c r="R40" i="2"/>
  <c r="Q40" i="2"/>
  <c r="P40" i="2"/>
  <c r="O40" i="2"/>
  <c r="N40" i="2"/>
  <c r="I40" i="2"/>
  <c r="H40" i="2"/>
  <c r="G40" i="2"/>
  <c r="S39" i="2"/>
  <c r="R39" i="2"/>
  <c r="Q39" i="2"/>
  <c r="P39" i="2"/>
  <c r="O39" i="2"/>
  <c r="N39" i="2"/>
  <c r="H39" i="2"/>
  <c r="I39" i="2" s="1"/>
  <c r="G39" i="2"/>
  <c r="S38" i="2"/>
  <c r="R38" i="2"/>
  <c r="R50" i="2" s="1"/>
  <c r="Q38" i="2"/>
  <c r="P38" i="2"/>
  <c r="O38" i="2"/>
  <c r="N38" i="2"/>
  <c r="H38" i="2"/>
  <c r="I38" i="2" s="1"/>
  <c r="G38" i="2"/>
  <c r="S37" i="2"/>
  <c r="R37" i="2"/>
  <c r="Q37" i="2"/>
  <c r="P37" i="2"/>
  <c r="O37" i="2"/>
  <c r="N37" i="2"/>
  <c r="H37" i="2"/>
  <c r="G37" i="2"/>
  <c r="S36" i="2"/>
  <c r="R36" i="2"/>
  <c r="Q36" i="2"/>
  <c r="P36" i="2"/>
  <c r="O36" i="2"/>
  <c r="N36" i="2"/>
  <c r="H36" i="2"/>
  <c r="I36" i="2" s="1"/>
  <c r="G36" i="2"/>
  <c r="S35" i="2"/>
  <c r="R35" i="2"/>
  <c r="Q35" i="2"/>
  <c r="P35" i="2"/>
  <c r="O35" i="2"/>
  <c r="N35" i="2"/>
  <c r="H35" i="2"/>
  <c r="I35" i="2" s="1"/>
  <c r="G35" i="2"/>
  <c r="S34" i="2"/>
  <c r="R34" i="2"/>
  <c r="Q34" i="2"/>
  <c r="P34" i="2"/>
  <c r="O34" i="2"/>
  <c r="N34" i="2"/>
  <c r="H34" i="2"/>
  <c r="I34" i="2" s="1"/>
  <c r="G34" i="2"/>
  <c r="S33" i="2"/>
  <c r="R33" i="2"/>
  <c r="Q33" i="2"/>
  <c r="P33" i="2"/>
  <c r="O33" i="2"/>
  <c r="N33" i="2"/>
  <c r="H33" i="2"/>
  <c r="G33" i="2"/>
  <c r="S32" i="2"/>
  <c r="R32" i="2"/>
  <c r="Q32" i="2"/>
  <c r="P32" i="2"/>
  <c r="O32" i="2"/>
  <c r="N32" i="2"/>
  <c r="I32" i="2"/>
  <c r="H32" i="2"/>
  <c r="G32" i="2"/>
  <c r="V31" i="2"/>
  <c r="U31" i="2"/>
  <c r="P31" i="2"/>
  <c r="N31" i="2"/>
  <c r="M31" i="2"/>
  <c r="L31" i="2"/>
  <c r="K31" i="2"/>
  <c r="J31" i="2"/>
  <c r="F31" i="2"/>
  <c r="E31" i="2"/>
  <c r="G31" i="2" s="1"/>
  <c r="D31" i="2"/>
  <c r="A31" i="2"/>
  <c r="S30" i="2"/>
  <c r="R30" i="2"/>
  <c r="Q30" i="2"/>
  <c r="P30" i="2"/>
  <c r="O30" i="2"/>
  <c r="N30" i="2"/>
  <c r="H30" i="2"/>
  <c r="I30" i="2" s="1"/>
  <c r="G30" i="2"/>
  <c r="A30" i="2"/>
  <c r="S29" i="2"/>
  <c r="R29" i="2"/>
  <c r="Q29" i="2"/>
  <c r="P29" i="2"/>
  <c r="O29" i="2"/>
  <c r="N29" i="2"/>
  <c r="H29" i="2"/>
  <c r="I29" i="2" s="1"/>
  <c r="G29" i="2"/>
  <c r="S28" i="2"/>
  <c r="R28" i="2"/>
  <c r="Q28" i="2"/>
  <c r="P28" i="2"/>
  <c r="O28" i="2"/>
  <c r="N28" i="2"/>
  <c r="H28" i="2"/>
  <c r="I28" i="2" s="1"/>
  <c r="G28" i="2"/>
  <c r="S27" i="2"/>
  <c r="R27" i="2"/>
  <c r="Q27" i="2"/>
  <c r="P27" i="2"/>
  <c r="O27" i="2"/>
  <c r="N27" i="2"/>
  <c r="H27" i="2"/>
  <c r="G27" i="2"/>
  <c r="I27" i="2" s="1"/>
  <c r="S26" i="2"/>
  <c r="R26" i="2"/>
  <c r="Q26" i="2"/>
  <c r="P26" i="2"/>
  <c r="O26" i="2"/>
  <c r="N26" i="2"/>
  <c r="H26" i="2"/>
  <c r="G26" i="2"/>
  <c r="I26" i="2" s="1"/>
  <c r="S25" i="2"/>
  <c r="R25" i="2"/>
  <c r="Q25" i="2"/>
  <c r="P25" i="2"/>
  <c r="O25" i="2"/>
  <c r="N25" i="2"/>
  <c r="I25" i="2"/>
  <c r="H25" i="2"/>
  <c r="G25" i="2"/>
  <c r="S24" i="2"/>
  <c r="R24" i="2"/>
  <c r="Q24" i="2"/>
  <c r="P24" i="2"/>
  <c r="O24" i="2"/>
  <c r="N24" i="2"/>
  <c r="H24" i="2"/>
  <c r="I24" i="2" s="1"/>
  <c r="G24" i="2"/>
  <c r="S23" i="2"/>
  <c r="R23" i="2"/>
  <c r="Q23" i="2"/>
  <c r="P23" i="2"/>
  <c r="O23" i="2"/>
  <c r="N23" i="2"/>
  <c r="I23" i="2"/>
  <c r="H23" i="2"/>
  <c r="G23" i="2"/>
  <c r="S22" i="2"/>
  <c r="R22" i="2"/>
  <c r="Q22" i="2"/>
  <c r="P22" i="2"/>
  <c r="O22" i="2"/>
  <c r="N22" i="2"/>
  <c r="H22" i="2"/>
  <c r="G22" i="2"/>
  <c r="I22" i="2" s="1"/>
  <c r="S21" i="2"/>
  <c r="R21" i="2"/>
  <c r="Q21" i="2"/>
  <c r="P21" i="2"/>
  <c r="O21" i="2"/>
  <c r="N21" i="2"/>
  <c r="H21" i="2"/>
  <c r="I21" i="2" s="1"/>
  <c r="G21" i="2"/>
  <c r="S20" i="2"/>
  <c r="R20" i="2"/>
  <c r="Q20" i="2"/>
  <c r="P20" i="2"/>
  <c r="O20" i="2"/>
  <c r="N20" i="2"/>
  <c r="H20" i="2"/>
  <c r="I20" i="2" s="1"/>
  <c r="G20" i="2"/>
  <c r="S19" i="2"/>
  <c r="R19" i="2"/>
  <c r="Q19" i="2"/>
  <c r="P19" i="2"/>
  <c r="O19" i="2"/>
  <c r="N19" i="2"/>
  <c r="I19" i="2"/>
  <c r="H19" i="2"/>
  <c r="G19" i="2"/>
  <c r="S18" i="2"/>
  <c r="R18" i="2"/>
  <c r="Q18" i="2"/>
  <c r="P18" i="2"/>
  <c r="O18" i="2"/>
  <c r="N18" i="2"/>
  <c r="H18" i="2"/>
  <c r="G18" i="2"/>
  <c r="I18" i="2" s="1"/>
  <c r="S17" i="2"/>
  <c r="R17" i="2"/>
  <c r="Q17" i="2"/>
  <c r="P17" i="2"/>
  <c r="O17" i="2"/>
  <c r="N17" i="2"/>
  <c r="H17" i="2"/>
  <c r="I17" i="2" s="1"/>
  <c r="G17" i="2"/>
  <c r="S16" i="2"/>
  <c r="R16" i="2"/>
  <c r="Q16" i="2"/>
  <c r="P16" i="2"/>
  <c r="O16" i="2"/>
  <c r="N16" i="2"/>
  <c r="I16" i="2"/>
  <c r="H16" i="2"/>
  <c r="G16" i="2"/>
  <c r="S15" i="2"/>
  <c r="R15" i="2"/>
  <c r="Q15" i="2"/>
  <c r="P15" i="2"/>
  <c r="O15" i="2"/>
  <c r="N15" i="2"/>
  <c r="H15" i="2"/>
  <c r="G15" i="2"/>
  <c r="I15" i="2" s="1"/>
  <c r="S14" i="2"/>
  <c r="R14" i="2"/>
  <c r="Q14" i="2"/>
  <c r="P14" i="2"/>
  <c r="O14" i="2"/>
  <c r="N14" i="2"/>
  <c r="H14" i="2"/>
  <c r="G14" i="2"/>
  <c r="I14" i="2" s="1"/>
  <c r="S13" i="2"/>
  <c r="R13" i="2"/>
  <c r="Q13" i="2"/>
  <c r="P13" i="2"/>
  <c r="O13" i="2"/>
  <c r="N13" i="2"/>
  <c r="H13" i="2"/>
  <c r="I13" i="2" s="1"/>
  <c r="G13" i="2"/>
  <c r="K5" i="2"/>
  <c r="F5" i="2"/>
  <c r="K4" i="2"/>
  <c r="F4" i="2"/>
  <c r="Y2" i="2"/>
  <c r="X2" i="2"/>
  <c r="X201" i="1"/>
  <c r="V201" i="1"/>
  <c r="T201" i="1"/>
  <c r="S201" i="1"/>
  <c r="P201" i="1"/>
  <c r="N201" i="1"/>
  <c r="M201" i="1"/>
  <c r="L201" i="1"/>
  <c r="K201" i="1"/>
  <c r="O201" i="1" s="1"/>
  <c r="H201" i="1"/>
  <c r="G201" i="1"/>
  <c r="F201" i="1"/>
  <c r="D201" i="1"/>
  <c r="U201" i="1" s="1"/>
  <c r="A201" i="1"/>
  <c r="T200" i="1"/>
  <c r="R200" i="1"/>
  <c r="Q200" i="1"/>
  <c r="P200" i="1"/>
  <c r="O200" i="1"/>
  <c r="I200" i="1"/>
  <c r="J200" i="1" s="1"/>
  <c r="H200" i="1"/>
  <c r="T199" i="1"/>
  <c r="R199" i="1"/>
  <c r="Q199" i="1"/>
  <c r="P199" i="1"/>
  <c r="O199" i="1"/>
  <c r="I199" i="1"/>
  <c r="H199" i="1"/>
  <c r="J199" i="1" s="1"/>
  <c r="T198" i="1"/>
  <c r="R198" i="1"/>
  <c r="Q198" i="1"/>
  <c r="P198" i="1"/>
  <c r="O198" i="1"/>
  <c r="I198" i="1"/>
  <c r="H198" i="1"/>
  <c r="T197" i="1"/>
  <c r="R197" i="1"/>
  <c r="Q197" i="1"/>
  <c r="P197" i="1"/>
  <c r="O197" i="1"/>
  <c r="I197" i="1"/>
  <c r="H197" i="1"/>
  <c r="T196" i="1"/>
  <c r="R196" i="1"/>
  <c r="Q196" i="1"/>
  <c r="P196" i="1"/>
  <c r="O196" i="1"/>
  <c r="I196" i="1"/>
  <c r="H196" i="1"/>
  <c r="J196" i="1" s="1"/>
  <c r="T195" i="1"/>
  <c r="R195" i="1"/>
  <c r="Q195" i="1"/>
  <c r="P195" i="1"/>
  <c r="O195" i="1"/>
  <c r="I195" i="1"/>
  <c r="J195" i="1" s="1"/>
  <c r="J201" i="1" s="1"/>
  <c r="H195" i="1"/>
  <c r="Q192" i="1"/>
  <c r="N192" i="1"/>
  <c r="R192" i="1" s="1"/>
  <c r="M192" i="1"/>
  <c r="T192" i="1" s="1"/>
  <c r="L192" i="1"/>
  <c r="K192" i="1"/>
  <c r="G192" i="1"/>
  <c r="F192" i="1"/>
  <c r="D192" i="1"/>
  <c r="A192" i="1"/>
  <c r="T191" i="1"/>
  <c r="S191" i="1"/>
  <c r="R191" i="1"/>
  <c r="Q191" i="1"/>
  <c r="P191" i="1"/>
  <c r="O191" i="1"/>
  <c r="I191" i="1"/>
  <c r="J191" i="1" s="1"/>
  <c r="H191" i="1"/>
  <c r="A191" i="1"/>
  <c r="T190" i="1"/>
  <c r="S190" i="1"/>
  <c r="R190" i="1"/>
  <c r="Q190" i="1"/>
  <c r="P190" i="1"/>
  <c r="O190" i="1"/>
  <c r="I190" i="1"/>
  <c r="H190" i="1"/>
  <c r="J190" i="1" s="1"/>
  <c r="T189" i="1"/>
  <c r="S189" i="1"/>
  <c r="R189" i="1"/>
  <c r="Q189" i="1"/>
  <c r="P189" i="1"/>
  <c r="O189" i="1"/>
  <c r="I189" i="1"/>
  <c r="J189" i="1" s="1"/>
  <c r="H189" i="1"/>
  <c r="T188" i="1"/>
  <c r="S188" i="1"/>
  <c r="R188" i="1"/>
  <c r="Q188" i="1"/>
  <c r="P188" i="1"/>
  <c r="O188" i="1"/>
  <c r="I188" i="1"/>
  <c r="J188" i="1" s="1"/>
  <c r="H188" i="1"/>
  <c r="T187" i="1"/>
  <c r="S187" i="1"/>
  <c r="R187" i="1"/>
  <c r="Q187" i="1"/>
  <c r="P187" i="1"/>
  <c r="O187" i="1"/>
  <c r="J187" i="1"/>
  <c r="I187" i="1"/>
  <c r="H187" i="1"/>
  <c r="T186" i="1"/>
  <c r="S186" i="1"/>
  <c r="R186" i="1"/>
  <c r="Q186" i="1"/>
  <c r="P186" i="1"/>
  <c r="O186" i="1"/>
  <c r="I186" i="1"/>
  <c r="J186" i="1" s="1"/>
  <c r="H186" i="1"/>
  <c r="T185" i="1"/>
  <c r="S185" i="1"/>
  <c r="R185" i="1"/>
  <c r="Q185" i="1"/>
  <c r="P185" i="1"/>
  <c r="O185" i="1"/>
  <c r="J185" i="1"/>
  <c r="I185" i="1"/>
  <c r="H185" i="1"/>
  <c r="T184" i="1"/>
  <c r="S184" i="1"/>
  <c r="R184" i="1"/>
  <c r="Q184" i="1"/>
  <c r="P184" i="1"/>
  <c r="O184" i="1"/>
  <c r="I184" i="1"/>
  <c r="J184" i="1" s="1"/>
  <c r="H184" i="1"/>
  <c r="T183" i="1"/>
  <c r="S183" i="1"/>
  <c r="R183" i="1"/>
  <c r="Q183" i="1"/>
  <c r="P183" i="1"/>
  <c r="O183" i="1"/>
  <c r="I183" i="1"/>
  <c r="H183" i="1"/>
  <c r="J183" i="1" s="1"/>
  <c r="T182" i="1"/>
  <c r="S182" i="1"/>
  <c r="R182" i="1"/>
  <c r="Q182" i="1"/>
  <c r="P182" i="1"/>
  <c r="O182" i="1"/>
  <c r="I182" i="1"/>
  <c r="J182" i="1" s="1"/>
  <c r="H182" i="1"/>
  <c r="T181" i="1"/>
  <c r="S181" i="1"/>
  <c r="R181" i="1"/>
  <c r="Q181" i="1"/>
  <c r="P181" i="1"/>
  <c r="O181" i="1"/>
  <c r="J181" i="1"/>
  <c r="I181" i="1"/>
  <c r="H181" i="1"/>
  <c r="T180" i="1"/>
  <c r="S180" i="1"/>
  <c r="R180" i="1"/>
  <c r="Q180" i="1"/>
  <c r="P180" i="1"/>
  <c r="O180" i="1"/>
  <c r="J180" i="1"/>
  <c r="I180" i="1"/>
  <c r="H180" i="1"/>
  <c r="T179" i="1"/>
  <c r="S179" i="1"/>
  <c r="R179" i="1"/>
  <c r="Q179" i="1"/>
  <c r="P179" i="1"/>
  <c r="O179" i="1"/>
  <c r="J179" i="1"/>
  <c r="I179" i="1"/>
  <c r="H179" i="1"/>
  <c r="T178" i="1"/>
  <c r="S178" i="1"/>
  <c r="R178" i="1"/>
  <c r="Q178" i="1"/>
  <c r="P178" i="1"/>
  <c r="O178" i="1"/>
  <c r="I178" i="1"/>
  <c r="J178" i="1" s="1"/>
  <c r="H178" i="1"/>
  <c r="T177" i="1"/>
  <c r="S177" i="1"/>
  <c r="R177" i="1"/>
  <c r="Q177" i="1"/>
  <c r="P177" i="1"/>
  <c r="O177" i="1"/>
  <c r="I177" i="1"/>
  <c r="J177" i="1" s="1"/>
  <c r="H177" i="1"/>
  <c r="T176" i="1"/>
  <c r="S176" i="1"/>
  <c r="R176" i="1"/>
  <c r="Q176" i="1"/>
  <c r="P176" i="1"/>
  <c r="O176" i="1"/>
  <c r="I176" i="1"/>
  <c r="J176" i="1" s="1"/>
  <c r="H176" i="1"/>
  <c r="T175" i="1"/>
  <c r="S175" i="1"/>
  <c r="S192" i="1" s="1"/>
  <c r="R175" i="1"/>
  <c r="Q175" i="1"/>
  <c r="P175" i="1"/>
  <c r="O175" i="1"/>
  <c r="J175" i="1"/>
  <c r="I175" i="1"/>
  <c r="H175" i="1"/>
  <c r="X174" i="1"/>
  <c r="W174" i="1"/>
  <c r="U174" i="1"/>
  <c r="T174" i="1"/>
  <c r="O174" i="1"/>
  <c r="N174" i="1"/>
  <c r="R174" i="1" s="1"/>
  <c r="M174" i="1"/>
  <c r="L174" i="1"/>
  <c r="K174" i="1"/>
  <c r="Q174" i="1" s="1"/>
  <c r="I174" i="1"/>
  <c r="H174" i="1"/>
  <c r="G174" i="1"/>
  <c r="F174" i="1"/>
  <c r="V174" i="1" s="1"/>
  <c r="D174" i="1"/>
  <c r="A174" i="1"/>
  <c r="T173" i="1"/>
  <c r="S173" i="1"/>
  <c r="R173" i="1"/>
  <c r="Q173" i="1"/>
  <c r="P173" i="1"/>
  <c r="O173" i="1"/>
  <c r="I173" i="1"/>
  <c r="J173" i="1" s="1"/>
  <c r="H173" i="1"/>
  <c r="A173" i="1"/>
  <c r="T172" i="1"/>
  <c r="S172" i="1"/>
  <c r="R172" i="1"/>
  <c r="Q172" i="1"/>
  <c r="P172" i="1"/>
  <c r="O172" i="1"/>
  <c r="I172" i="1"/>
  <c r="H172" i="1"/>
  <c r="J172" i="1" s="1"/>
  <c r="T171" i="1"/>
  <c r="S171" i="1"/>
  <c r="R171" i="1"/>
  <c r="Q171" i="1"/>
  <c r="P171" i="1"/>
  <c r="O171" i="1"/>
  <c r="I171" i="1"/>
  <c r="J171" i="1" s="1"/>
  <c r="H171" i="1"/>
  <c r="T170" i="1"/>
  <c r="S170" i="1"/>
  <c r="R170" i="1"/>
  <c r="Q170" i="1"/>
  <c r="P170" i="1"/>
  <c r="O170" i="1"/>
  <c r="I170" i="1"/>
  <c r="H170" i="1"/>
  <c r="T169" i="1"/>
  <c r="S169" i="1"/>
  <c r="R169" i="1"/>
  <c r="Q169" i="1"/>
  <c r="P169" i="1"/>
  <c r="O169" i="1"/>
  <c r="J169" i="1"/>
  <c r="I169" i="1"/>
  <c r="H169" i="1"/>
  <c r="T168" i="1"/>
  <c r="S168" i="1"/>
  <c r="R168" i="1"/>
  <c r="Q168" i="1"/>
  <c r="P168" i="1"/>
  <c r="O168" i="1"/>
  <c r="I168" i="1"/>
  <c r="H168" i="1"/>
  <c r="J168" i="1" s="1"/>
  <c r="T167" i="1"/>
  <c r="S167" i="1"/>
  <c r="R167" i="1"/>
  <c r="Q167" i="1"/>
  <c r="P167" i="1"/>
  <c r="O167" i="1"/>
  <c r="I167" i="1"/>
  <c r="H167" i="1"/>
  <c r="T166" i="1"/>
  <c r="S166" i="1"/>
  <c r="R166" i="1"/>
  <c r="Q166" i="1"/>
  <c r="P166" i="1"/>
  <c r="O166" i="1"/>
  <c r="I166" i="1"/>
  <c r="J166" i="1" s="1"/>
  <c r="H166" i="1"/>
  <c r="T165" i="1"/>
  <c r="S165" i="1"/>
  <c r="R165" i="1"/>
  <c r="Q165" i="1"/>
  <c r="P165" i="1"/>
  <c r="O165" i="1"/>
  <c r="J165" i="1"/>
  <c r="I165" i="1"/>
  <c r="H165" i="1"/>
  <c r="T164" i="1"/>
  <c r="S164" i="1"/>
  <c r="R164" i="1"/>
  <c r="Q164" i="1"/>
  <c r="P164" i="1"/>
  <c r="O164" i="1"/>
  <c r="J164" i="1"/>
  <c r="I164" i="1"/>
  <c r="H164" i="1"/>
  <c r="T163" i="1"/>
  <c r="S163" i="1"/>
  <c r="R163" i="1"/>
  <c r="Q163" i="1"/>
  <c r="P163" i="1"/>
  <c r="O163" i="1"/>
  <c r="I163" i="1"/>
  <c r="H163" i="1"/>
  <c r="T162" i="1"/>
  <c r="S162" i="1"/>
  <c r="R162" i="1"/>
  <c r="Q162" i="1"/>
  <c r="P162" i="1"/>
  <c r="O162" i="1"/>
  <c r="I162" i="1"/>
  <c r="H162" i="1"/>
  <c r="T161" i="1"/>
  <c r="S161" i="1"/>
  <c r="R161" i="1"/>
  <c r="Q161" i="1"/>
  <c r="P161" i="1"/>
  <c r="O161" i="1"/>
  <c r="J161" i="1"/>
  <c r="I161" i="1"/>
  <c r="H161" i="1"/>
  <c r="T160" i="1"/>
  <c r="S160" i="1"/>
  <c r="R160" i="1"/>
  <c r="Q160" i="1"/>
  <c r="P160" i="1"/>
  <c r="O160" i="1"/>
  <c r="J160" i="1"/>
  <c r="I160" i="1"/>
  <c r="H160" i="1"/>
  <c r="T159" i="1"/>
  <c r="S159" i="1"/>
  <c r="R159" i="1"/>
  <c r="Q159" i="1"/>
  <c r="P159" i="1"/>
  <c r="O159" i="1"/>
  <c r="I159" i="1"/>
  <c r="J159" i="1" s="1"/>
  <c r="H159" i="1"/>
  <c r="T158" i="1"/>
  <c r="S158" i="1"/>
  <c r="R158" i="1"/>
  <c r="Q158" i="1"/>
  <c r="P158" i="1"/>
  <c r="O158" i="1"/>
  <c r="I158" i="1"/>
  <c r="H158" i="1"/>
  <c r="T157" i="1"/>
  <c r="S157" i="1"/>
  <c r="S174" i="1" s="1"/>
  <c r="R157" i="1"/>
  <c r="Q157" i="1"/>
  <c r="P157" i="1"/>
  <c r="O157" i="1"/>
  <c r="J157" i="1"/>
  <c r="I157" i="1"/>
  <c r="H157" i="1"/>
  <c r="W156" i="1"/>
  <c r="U156" i="1"/>
  <c r="T156" i="1"/>
  <c r="R156" i="1"/>
  <c r="P156" i="1"/>
  <c r="O156" i="1"/>
  <c r="N156" i="1"/>
  <c r="M156" i="1"/>
  <c r="L156" i="1"/>
  <c r="K156" i="1"/>
  <c r="Q156" i="1" s="1"/>
  <c r="G156" i="1"/>
  <c r="F156" i="1"/>
  <c r="D156" i="1"/>
  <c r="A156" i="1"/>
  <c r="T155" i="1"/>
  <c r="S155" i="1"/>
  <c r="R155" i="1"/>
  <c r="Q155" i="1"/>
  <c r="P155" i="1"/>
  <c r="O155" i="1"/>
  <c r="I155" i="1"/>
  <c r="J155" i="1" s="1"/>
  <c r="H155" i="1"/>
  <c r="A155" i="1"/>
  <c r="T154" i="1"/>
  <c r="S154" i="1"/>
  <c r="R154" i="1"/>
  <c r="Q154" i="1"/>
  <c r="P154" i="1"/>
  <c r="O154" i="1"/>
  <c r="I154" i="1"/>
  <c r="J154" i="1" s="1"/>
  <c r="H154" i="1"/>
  <c r="T153" i="1"/>
  <c r="S153" i="1"/>
  <c r="R153" i="1"/>
  <c r="Q153" i="1"/>
  <c r="P153" i="1"/>
  <c r="O153" i="1"/>
  <c r="I153" i="1"/>
  <c r="J153" i="1" s="1"/>
  <c r="H153" i="1"/>
  <c r="T152" i="1"/>
  <c r="S152" i="1"/>
  <c r="R152" i="1"/>
  <c r="Q152" i="1"/>
  <c r="P152" i="1"/>
  <c r="O152" i="1"/>
  <c r="I152" i="1"/>
  <c r="H152" i="1"/>
  <c r="T151" i="1"/>
  <c r="S151" i="1"/>
  <c r="R151" i="1"/>
  <c r="Q151" i="1"/>
  <c r="P151" i="1"/>
  <c r="O151" i="1"/>
  <c r="I151" i="1"/>
  <c r="J151" i="1" s="1"/>
  <c r="H151" i="1"/>
  <c r="T150" i="1"/>
  <c r="S150" i="1"/>
  <c r="R150" i="1"/>
  <c r="Q150" i="1"/>
  <c r="P150" i="1"/>
  <c r="O150" i="1"/>
  <c r="I150" i="1"/>
  <c r="J150" i="1" s="1"/>
  <c r="H150" i="1"/>
  <c r="T149" i="1"/>
  <c r="S149" i="1"/>
  <c r="R149" i="1"/>
  <c r="Q149" i="1"/>
  <c r="P149" i="1"/>
  <c r="O149" i="1"/>
  <c r="I149" i="1"/>
  <c r="J149" i="1" s="1"/>
  <c r="H149" i="1"/>
  <c r="T148" i="1"/>
  <c r="S148" i="1"/>
  <c r="S156" i="1" s="1"/>
  <c r="R148" i="1"/>
  <c r="Q148" i="1"/>
  <c r="P148" i="1"/>
  <c r="O148" i="1"/>
  <c r="I148" i="1"/>
  <c r="H148" i="1"/>
  <c r="T147" i="1"/>
  <c r="S147" i="1"/>
  <c r="R147" i="1"/>
  <c r="Q147" i="1"/>
  <c r="P147" i="1"/>
  <c r="O147" i="1"/>
  <c r="I147" i="1"/>
  <c r="J147" i="1" s="1"/>
  <c r="H147" i="1"/>
  <c r="T146" i="1"/>
  <c r="S146" i="1"/>
  <c r="R146" i="1"/>
  <c r="Q146" i="1"/>
  <c r="P146" i="1"/>
  <c r="O146" i="1"/>
  <c r="I146" i="1"/>
  <c r="J146" i="1" s="1"/>
  <c r="H146" i="1"/>
  <c r="T145" i="1"/>
  <c r="S145" i="1"/>
  <c r="R145" i="1"/>
  <c r="Q145" i="1"/>
  <c r="P145" i="1"/>
  <c r="O145" i="1"/>
  <c r="I145" i="1"/>
  <c r="J145" i="1" s="1"/>
  <c r="H145" i="1"/>
  <c r="T144" i="1"/>
  <c r="S144" i="1"/>
  <c r="R144" i="1"/>
  <c r="Q144" i="1"/>
  <c r="P144" i="1"/>
  <c r="O144" i="1"/>
  <c r="I144" i="1"/>
  <c r="H144" i="1"/>
  <c r="T143" i="1"/>
  <c r="S143" i="1"/>
  <c r="R143" i="1"/>
  <c r="Q143" i="1"/>
  <c r="P143" i="1"/>
  <c r="O143" i="1"/>
  <c r="I143" i="1"/>
  <c r="J143" i="1" s="1"/>
  <c r="H143" i="1"/>
  <c r="T142" i="1"/>
  <c r="S142" i="1"/>
  <c r="R142" i="1"/>
  <c r="Q142" i="1"/>
  <c r="P142" i="1"/>
  <c r="O142" i="1"/>
  <c r="I142" i="1"/>
  <c r="J142" i="1" s="1"/>
  <c r="H142" i="1"/>
  <c r="T141" i="1"/>
  <c r="S141" i="1"/>
  <c r="R141" i="1"/>
  <c r="Q141" i="1"/>
  <c r="P141" i="1"/>
  <c r="O141" i="1"/>
  <c r="I141" i="1"/>
  <c r="J141" i="1" s="1"/>
  <c r="H141" i="1"/>
  <c r="T140" i="1"/>
  <c r="S140" i="1"/>
  <c r="R140" i="1"/>
  <c r="Q140" i="1"/>
  <c r="P140" i="1"/>
  <c r="O140" i="1"/>
  <c r="I140" i="1"/>
  <c r="H140" i="1"/>
  <c r="T139" i="1"/>
  <c r="S139" i="1"/>
  <c r="R139" i="1"/>
  <c r="Q139" i="1"/>
  <c r="P139" i="1"/>
  <c r="O139" i="1"/>
  <c r="I139" i="1"/>
  <c r="H139" i="1"/>
  <c r="J139" i="1" s="1"/>
  <c r="V138" i="1"/>
  <c r="Q138" i="1"/>
  <c r="N138" i="1"/>
  <c r="M138" i="1"/>
  <c r="L138" i="1"/>
  <c r="K138" i="1"/>
  <c r="O138" i="1" s="1"/>
  <c r="G138" i="1"/>
  <c r="F138" i="1"/>
  <c r="H138" i="1" s="1"/>
  <c r="D138" i="1"/>
  <c r="W138" i="1" s="1"/>
  <c r="A138" i="1"/>
  <c r="T137" i="1"/>
  <c r="S137" i="1"/>
  <c r="R137" i="1"/>
  <c r="Q137" i="1"/>
  <c r="P137" i="1"/>
  <c r="O137" i="1"/>
  <c r="I137" i="1"/>
  <c r="J137" i="1" s="1"/>
  <c r="H137" i="1"/>
  <c r="A137" i="1"/>
  <c r="T136" i="1"/>
  <c r="S136" i="1"/>
  <c r="R136" i="1"/>
  <c r="Q136" i="1"/>
  <c r="P136" i="1"/>
  <c r="O136" i="1"/>
  <c r="I136" i="1"/>
  <c r="J136" i="1" s="1"/>
  <c r="H136" i="1"/>
  <c r="T135" i="1"/>
  <c r="S135" i="1"/>
  <c r="R135" i="1"/>
  <c r="Q135" i="1"/>
  <c r="P135" i="1"/>
  <c r="O135" i="1"/>
  <c r="I135" i="1"/>
  <c r="J135" i="1" s="1"/>
  <c r="H135" i="1"/>
  <c r="T134" i="1"/>
  <c r="S134" i="1"/>
  <c r="R134" i="1"/>
  <c r="Q134" i="1"/>
  <c r="P134" i="1"/>
  <c r="O134" i="1"/>
  <c r="I134" i="1"/>
  <c r="H134" i="1"/>
  <c r="J134" i="1" s="1"/>
  <c r="T133" i="1"/>
  <c r="S133" i="1"/>
  <c r="R133" i="1"/>
  <c r="Q133" i="1"/>
  <c r="P133" i="1"/>
  <c r="O133" i="1"/>
  <c r="I133" i="1"/>
  <c r="J133" i="1" s="1"/>
  <c r="H133" i="1"/>
  <c r="T132" i="1"/>
  <c r="S132" i="1"/>
  <c r="R132" i="1"/>
  <c r="Q132" i="1"/>
  <c r="P132" i="1"/>
  <c r="O132" i="1"/>
  <c r="I132" i="1"/>
  <c r="J132" i="1" s="1"/>
  <c r="H132" i="1"/>
  <c r="T131" i="1"/>
  <c r="S131" i="1"/>
  <c r="R131" i="1"/>
  <c r="Q131" i="1"/>
  <c r="P131" i="1"/>
  <c r="O131" i="1"/>
  <c r="I131" i="1"/>
  <c r="J131" i="1" s="1"/>
  <c r="H131" i="1"/>
  <c r="T130" i="1"/>
  <c r="S130" i="1"/>
  <c r="R130" i="1"/>
  <c r="Q130" i="1"/>
  <c r="P130" i="1"/>
  <c r="O130" i="1"/>
  <c r="I130" i="1"/>
  <c r="H130" i="1"/>
  <c r="J130" i="1" s="1"/>
  <c r="T129" i="1"/>
  <c r="S129" i="1"/>
  <c r="R129" i="1"/>
  <c r="Q129" i="1"/>
  <c r="P129" i="1"/>
  <c r="O129" i="1"/>
  <c r="I129" i="1"/>
  <c r="J129" i="1" s="1"/>
  <c r="H129" i="1"/>
  <c r="T128" i="1"/>
  <c r="S128" i="1"/>
  <c r="R128" i="1"/>
  <c r="Q128" i="1"/>
  <c r="P128" i="1"/>
  <c r="O128" i="1"/>
  <c r="J128" i="1"/>
  <c r="I128" i="1"/>
  <c r="H128" i="1"/>
  <c r="T127" i="1"/>
  <c r="S127" i="1"/>
  <c r="R127" i="1"/>
  <c r="Q127" i="1"/>
  <c r="P127" i="1"/>
  <c r="O127" i="1"/>
  <c r="J127" i="1"/>
  <c r="I127" i="1"/>
  <c r="H127" i="1"/>
  <c r="T126" i="1"/>
  <c r="S126" i="1"/>
  <c r="R126" i="1"/>
  <c r="Q126" i="1"/>
  <c r="P126" i="1"/>
  <c r="O126" i="1"/>
  <c r="J126" i="1"/>
  <c r="I126" i="1"/>
  <c r="H126" i="1"/>
  <c r="T125" i="1"/>
  <c r="S125" i="1"/>
  <c r="R125" i="1"/>
  <c r="Q125" i="1"/>
  <c r="P125" i="1"/>
  <c r="O125" i="1"/>
  <c r="I125" i="1"/>
  <c r="J125" i="1" s="1"/>
  <c r="H125" i="1"/>
  <c r="T124" i="1"/>
  <c r="S124" i="1"/>
  <c r="R124" i="1"/>
  <c r="Q124" i="1"/>
  <c r="P124" i="1"/>
  <c r="O124" i="1"/>
  <c r="I124" i="1"/>
  <c r="J124" i="1" s="1"/>
  <c r="H124" i="1"/>
  <c r="T123" i="1"/>
  <c r="S123" i="1"/>
  <c r="R123" i="1"/>
  <c r="Q123" i="1"/>
  <c r="P123" i="1"/>
  <c r="O123" i="1"/>
  <c r="I123" i="1"/>
  <c r="J123" i="1" s="1"/>
  <c r="H123" i="1"/>
  <c r="T122" i="1"/>
  <c r="S122" i="1"/>
  <c r="R122" i="1"/>
  <c r="Q122" i="1"/>
  <c r="P122" i="1"/>
  <c r="O122" i="1"/>
  <c r="J122" i="1"/>
  <c r="I122" i="1"/>
  <c r="H122" i="1"/>
  <c r="T121" i="1"/>
  <c r="S121" i="1"/>
  <c r="R121" i="1"/>
  <c r="Q121" i="1"/>
  <c r="P121" i="1"/>
  <c r="O121" i="1"/>
  <c r="I121" i="1"/>
  <c r="J121" i="1" s="1"/>
  <c r="H121" i="1"/>
  <c r="U120" i="1"/>
  <c r="T120" i="1"/>
  <c r="Q120" i="1"/>
  <c r="N120" i="1"/>
  <c r="P120" i="1" s="1"/>
  <c r="M120" i="1"/>
  <c r="L120" i="1"/>
  <c r="K120" i="1"/>
  <c r="O120" i="1" s="1"/>
  <c r="I120" i="1"/>
  <c r="G120" i="1"/>
  <c r="F120" i="1"/>
  <c r="X120" i="1" s="1"/>
  <c r="D120" i="1"/>
  <c r="W120" i="1" s="1"/>
  <c r="A120" i="1"/>
  <c r="T119" i="1"/>
  <c r="S119" i="1"/>
  <c r="R119" i="1"/>
  <c r="Q119" i="1"/>
  <c r="P119" i="1"/>
  <c r="O119" i="1"/>
  <c r="J119" i="1"/>
  <c r="I119" i="1"/>
  <c r="H119" i="1"/>
  <c r="A119" i="1"/>
  <c r="T118" i="1"/>
  <c r="S118" i="1"/>
  <c r="R118" i="1"/>
  <c r="Q118" i="1"/>
  <c r="P118" i="1"/>
  <c r="O118" i="1"/>
  <c r="I118" i="1"/>
  <c r="H118" i="1"/>
  <c r="T117" i="1"/>
  <c r="S117" i="1"/>
  <c r="R117" i="1"/>
  <c r="Q117" i="1"/>
  <c r="P117" i="1"/>
  <c r="O117" i="1"/>
  <c r="I117" i="1"/>
  <c r="J117" i="1" s="1"/>
  <c r="H117" i="1"/>
  <c r="T116" i="1"/>
  <c r="S116" i="1"/>
  <c r="R116" i="1"/>
  <c r="Q116" i="1"/>
  <c r="P116" i="1"/>
  <c r="O116" i="1"/>
  <c r="J116" i="1"/>
  <c r="I116" i="1"/>
  <c r="H116" i="1"/>
  <c r="T115" i="1"/>
  <c r="S115" i="1"/>
  <c r="R115" i="1"/>
  <c r="Q115" i="1"/>
  <c r="P115" i="1"/>
  <c r="O115" i="1"/>
  <c r="J115" i="1"/>
  <c r="I115" i="1"/>
  <c r="H115" i="1"/>
  <c r="T114" i="1"/>
  <c r="S114" i="1"/>
  <c r="R114" i="1"/>
  <c r="Q114" i="1"/>
  <c r="P114" i="1"/>
  <c r="O114" i="1"/>
  <c r="I114" i="1"/>
  <c r="H114" i="1"/>
  <c r="T113" i="1"/>
  <c r="S113" i="1"/>
  <c r="R113" i="1"/>
  <c r="Q113" i="1"/>
  <c r="P113" i="1"/>
  <c r="O113" i="1"/>
  <c r="I113" i="1"/>
  <c r="J113" i="1" s="1"/>
  <c r="H113" i="1"/>
  <c r="T112" i="1"/>
  <c r="S112" i="1"/>
  <c r="R112" i="1"/>
  <c r="Q112" i="1"/>
  <c r="P112" i="1"/>
  <c r="O112" i="1"/>
  <c r="J112" i="1"/>
  <c r="I112" i="1"/>
  <c r="H112" i="1"/>
  <c r="T111" i="1"/>
  <c r="S111" i="1"/>
  <c r="R111" i="1"/>
  <c r="Q111" i="1"/>
  <c r="P111" i="1"/>
  <c r="O111" i="1"/>
  <c r="J111" i="1"/>
  <c r="I111" i="1"/>
  <c r="H111" i="1"/>
  <c r="T110" i="1"/>
  <c r="S110" i="1"/>
  <c r="R110" i="1"/>
  <c r="Q110" i="1"/>
  <c r="P110" i="1"/>
  <c r="O110" i="1"/>
  <c r="I110" i="1"/>
  <c r="J110" i="1" s="1"/>
  <c r="H110" i="1"/>
  <c r="T109" i="1"/>
  <c r="S109" i="1"/>
  <c r="R109" i="1"/>
  <c r="Q109" i="1"/>
  <c r="P109" i="1"/>
  <c r="O109" i="1"/>
  <c r="I109" i="1"/>
  <c r="H109" i="1"/>
  <c r="T108" i="1"/>
  <c r="S108" i="1"/>
  <c r="R108" i="1"/>
  <c r="Q108" i="1"/>
  <c r="P108" i="1"/>
  <c r="O108" i="1"/>
  <c r="J108" i="1"/>
  <c r="I108" i="1"/>
  <c r="H108" i="1"/>
  <c r="T107" i="1"/>
  <c r="S107" i="1"/>
  <c r="R107" i="1"/>
  <c r="Q107" i="1"/>
  <c r="P107" i="1"/>
  <c r="O107" i="1"/>
  <c r="I107" i="1"/>
  <c r="H107" i="1"/>
  <c r="J107" i="1" s="1"/>
  <c r="T106" i="1"/>
  <c r="S106" i="1"/>
  <c r="R106" i="1"/>
  <c r="Q106" i="1"/>
  <c r="P106" i="1"/>
  <c r="O106" i="1"/>
  <c r="I106" i="1"/>
  <c r="J106" i="1" s="1"/>
  <c r="H106" i="1"/>
  <c r="T105" i="1"/>
  <c r="S105" i="1"/>
  <c r="R105" i="1"/>
  <c r="Q105" i="1"/>
  <c r="P105" i="1"/>
  <c r="O105" i="1"/>
  <c r="I105" i="1"/>
  <c r="J105" i="1" s="1"/>
  <c r="H105" i="1"/>
  <c r="T104" i="1"/>
  <c r="S104" i="1"/>
  <c r="R104" i="1"/>
  <c r="Q104" i="1"/>
  <c r="P104" i="1"/>
  <c r="O104" i="1"/>
  <c r="J104" i="1"/>
  <c r="I104" i="1"/>
  <c r="H104" i="1"/>
  <c r="T103" i="1"/>
  <c r="S103" i="1"/>
  <c r="R103" i="1"/>
  <c r="Q103" i="1"/>
  <c r="P103" i="1"/>
  <c r="O103" i="1"/>
  <c r="I103" i="1"/>
  <c r="H103" i="1"/>
  <c r="J103" i="1" s="1"/>
  <c r="X102" i="1"/>
  <c r="P102" i="1"/>
  <c r="O102" i="1"/>
  <c r="N102" i="1"/>
  <c r="M102" i="1"/>
  <c r="L102" i="1"/>
  <c r="K102" i="1"/>
  <c r="G102" i="1"/>
  <c r="F102" i="1"/>
  <c r="V102" i="1" s="1"/>
  <c r="D102" i="1"/>
  <c r="Q102" i="1" s="1"/>
  <c r="A102" i="1"/>
  <c r="T101" i="1"/>
  <c r="S101" i="1"/>
  <c r="R101" i="1"/>
  <c r="Q101" i="1"/>
  <c r="P101" i="1"/>
  <c r="O101" i="1"/>
  <c r="I101" i="1"/>
  <c r="J101" i="1" s="1"/>
  <c r="H101" i="1"/>
  <c r="A101" i="1"/>
  <c r="T100" i="1"/>
  <c r="S100" i="1"/>
  <c r="R100" i="1"/>
  <c r="Q100" i="1"/>
  <c r="P100" i="1"/>
  <c r="O100" i="1"/>
  <c r="I100" i="1"/>
  <c r="J100" i="1" s="1"/>
  <c r="H100" i="1"/>
  <c r="T99" i="1"/>
  <c r="S99" i="1"/>
  <c r="R99" i="1"/>
  <c r="Q99" i="1"/>
  <c r="P99" i="1"/>
  <c r="O99" i="1"/>
  <c r="I99" i="1"/>
  <c r="H99" i="1"/>
  <c r="T98" i="1"/>
  <c r="S98" i="1"/>
  <c r="R98" i="1"/>
  <c r="Q98" i="1"/>
  <c r="P98" i="1"/>
  <c r="O98" i="1"/>
  <c r="I98" i="1"/>
  <c r="H98" i="1"/>
  <c r="J98" i="1" s="1"/>
  <c r="T97" i="1"/>
  <c r="S97" i="1"/>
  <c r="R97" i="1"/>
  <c r="Q97" i="1"/>
  <c r="P97" i="1"/>
  <c r="O97" i="1"/>
  <c r="I97" i="1"/>
  <c r="J97" i="1" s="1"/>
  <c r="H97" i="1"/>
  <c r="T96" i="1"/>
  <c r="S96" i="1"/>
  <c r="R96" i="1"/>
  <c r="Q96" i="1"/>
  <c r="P96" i="1"/>
  <c r="O96" i="1"/>
  <c r="I96" i="1"/>
  <c r="J96" i="1" s="1"/>
  <c r="H96" i="1"/>
  <c r="T95" i="1"/>
  <c r="S95" i="1"/>
  <c r="R95" i="1"/>
  <c r="Q95" i="1"/>
  <c r="P95" i="1"/>
  <c r="O95" i="1"/>
  <c r="I95" i="1"/>
  <c r="H95" i="1"/>
  <c r="T94" i="1"/>
  <c r="S94" i="1"/>
  <c r="R94" i="1"/>
  <c r="Q94" i="1"/>
  <c r="P94" i="1"/>
  <c r="O94" i="1"/>
  <c r="I94" i="1"/>
  <c r="J94" i="1" s="1"/>
  <c r="H94" i="1"/>
  <c r="T93" i="1"/>
  <c r="S93" i="1"/>
  <c r="R93" i="1"/>
  <c r="Q93" i="1"/>
  <c r="P93" i="1"/>
  <c r="O93" i="1"/>
  <c r="I93" i="1"/>
  <c r="H93" i="1"/>
  <c r="T92" i="1"/>
  <c r="S92" i="1"/>
  <c r="R92" i="1"/>
  <c r="Q92" i="1"/>
  <c r="P92" i="1"/>
  <c r="O92" i="1"/>
  <c r="I92" i="1"/>
  <c r="J92" i="1" s="1"/>
  <c r="H92" i="1"/>
  <c r="T91" i="1"/>
  <c r="S91" i="1"/>
  <c r="S102" i="1" s="1"/>
  <c r="R91" i="1"/>
  <c r="Q91" i="1"/>
  <c r="P91" i="1"/>
  <c r="O91" i="1"/>
  <c r="I91" i="1"/>
  <c r="H91" i="1"/>
  <c r="T90" i="1"/>
  <c r="S90" i="1"/>
  <c r="R90" i="1"/>
  <c r="Q90" i="1"/>
  <c r="P90" i="1"/>
  <c r="O90" i="1"/>
  <c r="I90" i="1"/>
  <c r="J90" i="1" s="1"/>
  <c r="H90" i="1"/>
  <c r="T89" i="1"/>
  <c r="S89" i="1"/>
  <c r="R89" i="1"/>
  <c r="Q89" i="1"/>
  <c r="P89" i="1"/>
  <c r="O89" i="1"/>
  <c r="I89" i="1"/>
  <c r="H89" i="1"/>
  <c r="T88" i="1"/>
  <c r="S88" i="1"/>
  <c r="R88" i="1"/>
  <c r="Q88" i="1"/>
  <c r="P88" i="1"/>
  <c r="O88" i="1"/>
  <c r="I88" i="1"/>
  <c r="J88" i="1" s="1"/>
  <c r="H88" i="1"/>
  <c r="T87" i="1"/>
  <c r="S87" i="1"/>
  <c r="R87" i="1"/>
  <c r="Q87" i="1"/>
  <c r="P87" i="1"/>
  <c r="O87" i="1"/>
  <c r="I87" i="1"/>
  <c r="H87" i="1"/>
  <c r="T86" i="1"/>
  <c r="S86" i="1"/>
  <c r="R86" i="1"/>
  <c r="Q86" i="1"/>
  <c r="P86" i="1"/>
  <c r="O86" i="1"/>
  <c r="I86" i="1"/>
  <c r="J86" i="1" s="1"/>
  <c r="H86" i="1"/>
  <c r="T85" i="1"/>
  <c r="S85" i="1"/>
  <c r="R85" i="1"/>
  <c r="Q85" i="1"/>
  <c r="P85" i="1"/>
  <c r="O85" i="1"/>
  <c r="I85" i="1"/>
  <c r="J85" i="1" s="1"/>
  <c r="H85" i="1"/>
  <c r="X84" i="1"/>
  <c r="W84" i="1"/>
  <c r="V84" i="1"/>
  <c r="T84" i="1"/>
  <c r="N84" i="1"/>
  <c r="M84" i="1"/>
  <c r="L84" i="1"/>
  <c r="K84" i="1"/>
  <c r="H84" i="1"/>
  <c r="G84" i="1"/>
  <c r="F84" i="1"/>
  <c r="D84" i="1"/>
  <c r="U84" i="1" s="1"/>
  <c r="A84" i="1"/>
  <c r="T83" i="1"/>
  <c r="S83" i="1"/>
  <c r="R83" i="1"/>
  <c r="Q83" i="1"/>
  <c r="P83" i="1"/>
  <c r="O83" i="1"/>
  <c r="J83" i="1"/>
  <c r="I83" i="1"/>
  <c r="H83" i="1"/>
  <c r="A83" i="1"/>
  <c r="T82" i="1"/>
  <c r="S82" i="1"/>
  <c r="R82" i="1"/>
  <c r="Q82" i="1"/>
  <c r="P82" i="1"/>
  <c r="O82" i="1"/>
  <c r="I82" i="1"/>
  <c r="J82" i="1" s="1"/>
  <c r="H82" i="1"/>
  <c r="T81" i="1"/>
  <c r="S81" i="1"/>
  <c r="R81" i="1"/>
  <c r="Q81" i="1"/>
  <c r="P81" i="1"/>
  <c r="O81" i="1"/>
  <c r="I81" i="1"/>
  <c r="J81" i="1" s="1"/>
  <c r="H81" i="1"/>
  <c r="T80" i="1"/>
  <c r="S80" i="1"/>
  <c r="R80" i="1"/>
  <c r="Q80" i="1"/>
  <c r="P80" i="1"/>
  <c r="O80" i="1"/>
  <c r="I80" i="1"/>
  <c r="J80" i="1" s="1"/>
  <c r="H80" i="1"/>
  <c r="T79" i="1"/>
  <c r="S79" i="1"/>
  <c r="R79" i="1"/>
  <c r="Q79" i="1"/>
  <c r="P79" i="1"/>
  <c r="O79" i="1"/>
  <c r="I79" i="1"/>
  <c r="H79" i="1"/>
  <c r="J79" i="1" s="1"/>
  <c r="T78" i="1"/>
  <c r="S78" i="1"/>
  <c r="R78" i="1"/>
  <c r="Q78" i="1"/>
  <c r="P78" i="1"/>
  <c r="O78" i="1"/>
  <c r="I78" i="1"/>
  <c r="J78" i="1" s="1"/>
  <c r="H78" i="1"/>
  <c r="T77" i="1"/>
  <c r="S77" i="1"/>
  <c r="R77" i="1"/>
  <c r="Q77" i="1"/>
  <c r="P77" i="1"/>
  <c r="O77" i="1"/>
  <c r="I77" i="1"/>
  <c r="J77" i="1" s="1"/>
  <c r="H77" i="1"/>
  <c r="T76" i="1"/>
  <c r="S76" i="1"/>
  <c r="R76" i="1"/>
  <c r="Q76" i="1"/>
  <c r="P76" i="1"/>
  <c r="O76" i="1"/>
  <c r="I76" i="1"/>
  <c r="J76" i="1" s="1"/>
  <c r="H76" i="1"/>
  <c r="T75" i="1"/>
  <c r="S75" i="1"/>
  <c r="R75" i="1"/>
  <c r="Q75" i="1"/>
  <c r="P75" i="1"/>
  <c r="O75" i="1"/>
  <c r="I75" i="1"/>
  <c r="H75" i="1"/>
  <c r="J75" i="1" s="1"/>
  <c r="T74" i="1"/>
  <c r="S74" i="1"/>
  <c r="R74" i="1"/>
  <c r="Q74" i="1"/>
  <c r="P74" i="1"/>
  <c r="O74" i="1"/>
  <c r="I74" i="1"/>
  <c r="J74" i="1" s="1"/>
  <c r="H74" i="1"/>
  <c r="T73" i="1"/>
  <c r="S73" i="1"/>
  <c r="R73" i="1"/>
  <c r="Q73" i="1"/>
  <c r="P73" i="1"/>
  <c r="O73" i="1"/>
  <c r="I73" i="1"/>
  <c r="J73" i="1" s="1"/>
  <c r="H73" i="1"/>
  <c r="T72" i="1"/>
  <c r="S72" i="1"/>
  <c r="R72" i="1"/>
  <c r="Q72" i="1"/>
  <c r="P72" i="1"/>
  <c r="O72" i="1"/>
  <c r="I72" i="1"/>
  <c r="J72" i="1" s="1"/>
  <c r="H72" i="1"/>
  <c r="T71" i="1"/>
  <c r="S71" i="1"/>
  <c r="R71" i="1"/>
  <c r="Q71" i="1"/>
  <c r="P71" i="1"/>
  <c r="O71" i="1"/>
  <c r="I71" i="1"/>
  <c r="H71" i="1"/>
  <c r="J71" i="1" s="1"/>
  <c r="T70" i="1"/>
  <c r="S70" i="1"/>
  <c r="R70" i="1"/>
  <c r="Q70" i="1"/>
  <c r="P70" i="1"/>
  <c r="O70" i="1"/>
  <c r="I70" i="1"/>
  <c r="J70" i="1" s="1"/>
  <c r="H70" i="1"/>
  <c r="T69" i="1"/>
  <c r="S69" i="1"/>
  <c r="R69" i="1"/>
  <c r="Q69" i="1"/>
  <c r="P69" i="1"/>
  <c r="O69" i="1"/>
  <c r="I69" i="1"/>
  <c r="J69" i="1" s="1"/>
  <c r="H69" i="1"/>
  <c r="T68" i="1"/>
  <c r="S68" i="1"/>
  <c r="R68" i="1"/>
  <c r="Q68" i="1"/>
  <c r="P68" i="1"/>
  <c r="O68" i="1"/>
  <c r="I68" i="1"/>
  <c r="J68" i="1" s="1"/>
  <c r="H68" i="1"/>
  <c r="T67" i="1"/>
  <c r="S67" i="1"/>
  <c r="S84" i="1" s="1"/>
  <c r="R67" i="1"/>
  <c r="Q67" i="1"/>
  <c r="P67" i="1"/>
  <c r="O67" i="1"/>
  <c r="I67" i="1"/>
  <c r="H67" i="1"/>
  <c r="J67" i="1" s="1"/>
  <c r="X66" i="1"/>
  <c r="W66" i="1"/>
  <c r="V66" i="1"/>
  <c r="N66" i="1"/>
  <c r="M66" i="1"/>
  <c r="L66" i="1"/>
  <c r="K66" i="1"/>
  <c r="Q66" i="1" s="1"/>
  <c r="G66" i="1"/>
  <c r="H66" i="1" s="1"/>
  <c r="F66" i="1"/>
  <c r="D66" i="1"/>
  <c r="R66" i="1" s="1"/>
  <c r="A66" i="1"/>
  <c r="T65" i="1"/>
  <c r="S65" i="1"/>
  <c r="R65" i="1"/>
  <c r="Q65" i="1"/>
  <c r="P65" i="1"/>
  <c r="O65" i="1"/>
  <c r="I65" i="1"/>
  <c r="J65" i="1" s="1"/>
  <c r="H65" i="1"/>
  <c r="A65" i="1"/>
  <c r="T64" i="1"/>
  <c r="S64" i="1"/>
  <c r="R64" i="1"/>
  <c r="Q64" i="1"/>
  <c r="P64" i="1"/>
  <c r="O64" i="1"/>
  <c r="I64" i="1"/>
  <c r="J64" i="1" s="1"/>
  <c r="H64" i="1"/>
  <c r="T63" i="1"/>
  <c r="S63" i="1"/>
  <c r="R63" i="1"/>
  <c r="Q63" i="1"/>
  <c r="P63" i="1"/>
  <c r="O63" i="1"/>
  <c r="I63" i="1"/>
  <c r="J63" i="1" s="1"/>
  <c r="H63" i="1"/>
  <c r="T62" i="1"/>
  <c r="S62" i="1"/>
  <c r="R62" i="1"/>
  <c r="Q62" i="1"/>
  <c r="P62" i="1"/>
  <c r="O62" i="1"/>
  <c r="I62" i="1"/>
  <c r="J62" i="1" s="1"/>
  <c r="H62" i="1"/>
  <c r="T61" i="1"/>
  <c r="S61" i="1"/>
  <c r="R61" i="1"/>
  <c r="Q61" i="1"/>
  <c r="P61" i="1"/>
  <c r="O61" i="1"/>
  <c r="I61" i="1"/>
  <c r="J61" i="1" s="1"/>
  <c r="H61" i="1"/>
  <c r="T60" i="1"/>
  <c r="S60" i="1"/>
  <c r="R60" i="1"/>
  <c r="Q60" i="1"/>
  <c r="P60" i="1"/>
  <c r="O60" i="1"/>
  <c r="I60" i="1"/>
  <c r="J60" i="1" s="1"/>
  <c r="H60" i="1"/>
  <c r="T59" i="1"/>
  <c r="S59" i="1"/>
  <c r="R59" i="1"/>
  <c r="Q59" i="1"/>
  <c r="P59" i="1"/>
  <c r="O59" i="1"/>
  <c r="I59" i="1"/>
  <c r="J59" i="1" s="1"/>
  <c r="H59" i="1"/>
  <c r="T58" i="1"/>
  <c r="S58" i="1"/>
  <c r="R58" i="1"/>
  <c r="Q58" i="1"/>
  <c r="P58" i="1"/>
  <c r="O58" i="1"/>
  <c r="I58" i="1"/>
  <c r="J58" i="1" s="1"/>
  <c r="H58" i="1"/>
  <c r="T57" i="1"/>
  <c r="S57" i="1"/>
  <c r="R57" i="1"/>
  <c r="Q57" i="1"/>
  <c r="P57" i="1"/>
  <c r="O57" i="1"/>
  <c r="I57" i="1"/>
  <c r="J57" i="1" s="1"/>
  <c r="H57" i="1"/>
  <c r="T56" i="1"/>
  <c r="S56" i="1"/>
  <c r="R56" i="1"/>
  <c r="Q56" i="1"/>
  <c r="P56" i="1"/>
  <c r="O56" i="1"/>
  <c r="I56" i="1"/>
  <c r="J56" i="1" s="1"/>
  <c r="H56" i="1"/>
  <c r="T55" i="1"/>
  <c r="S55" i="1"/>
  <c r="R55" i="1"/>
  <c r="Q55" i="1"/>
  <c r="P55" i="1"/>
  <c r="O55" i="1"/>
  <c r="I55" i="1"/>
  <c r="J55" i="1" s="1"/>
  <c r="H55" i="1"/>
  <c r="T54" i="1"/>
  <c r="S54" i="1"/>
  <c r="R54" i="1"/>
  <c r="Q54" i="1"/>
  <c r="P54" i="1"/>
  <c r="O54" i="1"/>
  <c r="I54" i="1"/>
  <c r="J54" i="1" s="1"/>
  <c r="H54" i="1"/>
  <c r="T53" i="1"/>
  <c r="S53" i="1"/>
  <c r="R53" i="1"/>
  <c r="Q53" i="1"/>
  <c r="P53" i="1"/>
  <c r="O53" i="1"/>
  <c r="I53" i="1"/>
  <c r="J53" i="1" s="1"/>
  <c r="H53" i="1"/>
  <c r="T52" i="1"/>
  <c r="S52" i="1"/>
  <c r="R52" i="1"/>
  <c r="Q52" i="1"/>
  <c r="P52" i="1"/>
  <c r="O52" i="1"/>
  <c r="I52" i="1"/>
  <c r="J52" i="1" s="1"/>
  <c r="H52" i="1"/>
  <c r="T51" i="1"/>
  <c r="S51" i="1"/>
  <c r="R51" i="1"/>
  <c r="Q51" i="1"/>
  <c r="P51" i="1"/>
  <c r="O51" i="1"/>
  <c r="I51" i="1"/>
  <c r="J51" i="1" s="1"/>
  <c r="H51" i="1"/>
  <c r="T50" i="1"/>
  <c r="S50" i="1"/>
  <c r="S66" i="1" s="1"/>
  <c r="R50" i="1"/>
  <c r="Q50" i="1"/>
  <c r="P50" i="1"/>
  <c r="O50" i="1"/>
  <c r="I50" i="1"/>
  <c r="J50" i="1" s="1"/>
  <c r="H50" i="1"/>
  <c r="T49" i="1"/>
  <c r="S49" i="1"/>
  <c r="R49" i="1"/>
  <c r="Q49" i="1"/>
  <c r="P49" i="1"/>
  <c r="O49" i="1"/>
  <c r="I49" i="1"/>
  <c r="J49" i="1" s="1"/>
  <c r="H49" i="1"/>
  <c r="N48" i="1"/>
  <c r="P48" i="1" s="1"/>
  <c r="M48" i="1"/>
  <c r="L48" i="1"/>
  <c r="K48" i="1"/>
  <c r="T48" i="1" s="1"/>
  <c r="G48" i="1"/>
  <c r="F48" i="1"/>
  <c r="X48" i="1" s="1"/>
  <c r="D48" i="1"/>
  <c r="W48" i="1" s="1"/>
  <c r="A48" i="1"/>
  <c r="T47" i="1"/>
  <c r="S47" i="1"/>
  <c r="R47" i="1"/>
  <c r="Q47" i="1"/>
  <c r="P47" i="1"/>
  <c r="O47" i="1"/>
  <c r="I47" i="1"/>
  <c r="J47" i="1" s="1"/>
  <c r="H47" i="1"/>
  <c r="A47" i="1"/>
  <c r="T46" i="1"/>
  <c r="S46" i="1"/>
  <c r="R46" i="1"/>
  <c r="Q46" i="1"/>
  <c r="P46" i="1"/>
  <c r="O46" i="1"/>
  <c r="J46" i="1"/>
  <c r="I46" i="1"/>
  <c r="H46" i="1"/>
  <c r="T45" i="1"/>
  <c r="S45" i="1"/>
  <c r="R45" i="1"/>
  <c r="Q45" i="1"/>
  <c r="P45" i="1"/>
  <c r="O45" i="1"/>
  <c r="J45" i="1"/>
  <c r="I45" i="1"/>
  <c r="H45" i="1"/>
  <c r="T44" i="1"/>
  <c r="S44" i="1"/>
  <c r="R44" i="1"/>
  <c r="Q44" i="1"/>
  <c r="P44" i="1"/>
  <c r="O44" i="1"/>
  <c r="J44" i="1"/>
  <c r="I44" i="1"/>
  <c r="H44" i="1"/>
  <c r="T43" i="1"/>
  <c r="S43" i="1"/>
  <c r="R43" i="1"/>
  <c r="Q43" i="1"/>
  <c r="P43" i="1"/>
  <c r="O43" i="1"/>
  <c r="I43" i="1"/>
  <c r="H43" i="1"/>
  <c r="J43" i="1" s="1"/>
  <c r="T42" i="1"/>
  <c r="S42" i="1"/>
  <c r="R42" i="1"/>
  <c r="Q42" i="1"/>
  <c r="P42" i="1"/>
  <c r="O42" i="1"/>
  <c r="J42" i="1"/>
  <c r="I42" i="1"/>
  <c r="H42" i="1"/>
  <c r="T41" i="1"/>
  <c r="S41" i="1"/>
  <c r="R41" i="1"/>
  <c r="Q41" i="1"/>
  <c r="P41" i="1"/>
  <c r="O41" i="1"/>
  <c r="J41" i="1"/>
  <c r="I41" i="1"/>
  <c r="H41" i="1"/>
  <c r="T40" i="1"/>
  <c r="S40" i="1"/>
  <c r="R40" i="1"/>
  <c r="Q40" i="1"/>
  <c r="P40" i="1"/>
  <c r="O40" i="1"/>
  <c r="J40" i="1"/>
  <c r="I40" i="1"/>
  <c r="H40" i="1"/>
  <c r="T39" i="1"/>
  <c r="S39" i="1"/>
  <c r="R39" i="1"/>
  <c r="Q39" i="1"/>
  <c r="P39" i="1"/>
  <c r="O39" i="1"/>
  <c r="I39" i="1"/>
  <c r="J39" i="1" s="1"/>
  <c r="H39" i="1"/>
  <c r="T38" i="1"/>
  <c r="S38" i="1"/>
  <c r="R38" i="1"/>
  <c r="Q38" i="1"/>
  <c r="P38" i="1"/>
  <c r="O38" i="1"/>
  <c r="J38" i="1"/>
  <c r="I38" i="1"/>
  <c r="H38" i="1"/>
  <c r="T37" i="1"/>
  <c r="S37" i="1"/>
  <c r="R37" i="1"/>
  <c r="Q37" i="1"/>
  <c r="P37" i="1"/>
  <c r="O37" i="1"/>
  <c r="J37" i="1"/>
  <c r="I37" i="1"/>
  <c r="H37" i="1"/>
  <c r="T36" i="1"/>
  <c r="S36" i="1"/>
  <c r="R36" i="1"/>
  <c r="Q36" i="1"/>
  <c r="P36" i="1"/>
  <c r="O36" i="1"/>
  <c r="J36" i="1"/>
  <c r="I36" i="1"/>
  <c r="H36" i="1"/>
  <c r="T35" i="1"/>
  <c r="S35" i="1"/>
  <c r="R35" i="1"/>
  <c r="Q35" i="1"/>
  <c r="P35" i="1"/>
  <c r="O35" i="1"/>
  <c r="I35" i="1"/>
  <c r="J35" i="1" s="1"/>
  <c r="H35" i="1"/>
  <c r="T34" i="1"/>
  <c r="S34" i="1"/>
  <c r="R34" i="1"/>
  <c r="Q34" i="1"/>
  <c r="P34" i="1"/>
  <c r="O34" i="1"/>
  <c r="J34" i="1"/>
  <c r="I34" i="1"/>
  <c r="H34" i="1"/>
  <c r="T33" i="1"/>
  <c r="S33" i="1"/>
  <c r="S48" i="1" s="1"/>
  <c r="R33" i="1"/>
  <c r="Q33" i="1"/>
  <c r="P33" i="1"/>
  <c r="O33" i="1"/>
  <c r="J33" i="1"/>
  <c r="I33" i="1"/>
  <c r="H33" i="1"/>
  <c r="T32" i="1"/>
  <c r="S32" i="1"/>
  <c r="R32" i="1"/>
  <c r="Q32" i="1"/>
  <c r="P32" i="1"/>
  <c r="O32" i="1"/>
  <c r="J32" i="1"/>
  <c r="I32" i="1"/>
  <c r="H32" i="1"/>
  <c r="T31" i="1"/>
  <c r="S31" i="1"/>
  <c r="R31" i="1"/>
  <c r="Q31" i="1"/>
  <c r="P31" i="1"/>
  <c r="O31" i="1"/>
  <c r="I31" i="1"/>
  <c r="J31" i="1" s="1"/>
  <c r="H31" i="1"/>
  <c r="X30" i="1"/>
  <c r="W30" i="1"/>
  <c r="V30" i="1"/>
  <c r="U30" i="1"/>
  <c r="R30" i="1"/>
  <c r="N30" i="1"/>
  <c r="P30" i="1" s="1"/>
  <c r="M30" i="1"/>
  <c r="T30" i="1" s="1"/>
  <c r="L30" i="1"/>
  <c r="K30" i="1"/>
  <c r="Q30" i="1" s="1"/>
  <c r="I30" i="1"/>
  <c r="J30" i="1" s="1"/>
  <c r="G30" i="1"/>
  <c r="F30" i="1"/>
  <c r="H30" i="1" s="1"/>
  <c r="D30" i="1"/>
  <c r="A30" i="1"/>
  <c r="T29" i="1"/>
  <c r="S29" i="1"/>
  <c r="R29" i="1"/>
  <c r="Q29" i="1"/>
  <c r="P29" i="1"/>
  <c r="O29" i="1"/>
  <c r="J29" i="1"/>
  <c r="I29" i="1"/>
  <c r="H29" i="1"/>
  <c r="A29" i="1"/>
  <c r="T28" i="1"/>
  <c r="S28" i="1"/>
  <c r="R28" i="1"/>
  <c r="Q28" i="1"/>
  <c r="P28" i="1"/>
  <c r="O28" i="1"/>
  <c r="I28" i="1"/>
  <c r="J28" i="1" s="1"/>
  <c r="H28" i="1"/>
  <c r="T27" i="1"/>
  <c r="S27" i="1"/>
  <c r="R27" i="1"/>
  <c r="Q27" i="1"/>
  <c r="P27" i="1"/>
  <c r="O27" i="1"/>
  <c r="I27" i="1"/>
  <c r="J27" i="1" s="1"/>
  <c r="H27" i="1"/>
  <c r="T26" i="1"/>
  <c r="S26" i="1"/>
  <c r="R26" i="1"/>
  <c r="Q26" i="1"/>
  <c r="P26" i="1"/>
  <c r="O26" i="1"/>
  <c r="I26" i="1"/>
  <c r="J26" i="1" s="1"/>
  <c r="H26" i="1"/>
  <c r="T25" i="1"/>
  <c r="S25" i="1"/>
  <c r="R25" i="1"/>
  <c r="Q25" i="1"/>
  <c r="P25" i="1"/>
  <c r="O25" i="1"/>
  <c r="I25" i="1"/>
  <c r="J25" i="1" s="1"/>
  <c r="H25" i="1"/>
  <c r="T24" i="1"/>
  <c r="S24" i="1"/>
  <c r="R24" i="1"/>
  <c r="Q24" i="1"/>
  <c r="P24" i="1"/>
  <c r="O24" i="1"/>
  <c r="I24" i="1"/>
  <c r="J24" i="1" s="1"/>
  <c r="H24" i="1"/>
  <c r="T23" i="1"/>
  <c r="S23" i="1"/>
  <c r="R23" i="1"/>
  <c r="Q23" i="1"/>
  <c r="P23" i="1"/>
  <c r="O23" i="1"/>
  <c r="I23" i="1"/>
  <c r="J23" i="1" s="1"/>
  <c r="H23" i="1"/>
  <c r="T22" i="1"/>
  <c r="S22" i="1"/>
  <c r="R22" i="1"/>
  <c r="Q22" i="1"/>
  <c r="P22" i="1"/>
  <c r="O22" i="1"/>
  <c r="I22" i="1"/>
  <c r="J22" i="1" s="1"/>
  <c r="H22" i="1"/>
  <c r="T21" i="1"/>
  <c r="S21" i="1"/>
  <c r="R21" i="1"/>
  <c r="Q21" i="1"/>
  <c r="P21" i="1"/>
  <c r="O21" i="1"/>
  <c r="I21" i="1"/>
  <c r="J21" i="1" s="1"/>
  <c r="H21" i="1"/>
  <c r="T20" i="1"/>
  <c r="S20" i="1"/>
  <c r="R20" i="1"/>
  <c r="Q20" i="1"/>
  <c r="P20" i="1"/>
  <c r="O20" i="1"/>
  <c r="I20" i="1"/>
  <c r="J20" i="1" s="1"/>
  <c r="H20" i="1"/>
  <c r="T19" i="1"/>
  <c r="S19" i="1"/>
  <c r="R19" i="1"/>
  <c r="Q19" i="1"/>
  <c r="P19" i="1"/>
  <c r="O19" i="1"/>
  <c r="I19" i="1"/>
  <c r="J19" i="1" s="1"/>
  <c r="H19" i="1"/>
  <c r="T18" i="1"/>
  <c r="S18" i="1"/>
  <c r="R18" i="1"/>
  <c r="Q18" i="1"/>
  <c r="P18" i="1"/>
  <c r="O18" i="1"/>
  <c r="I18" i="1"/>
  <c r="J18" i="1" s="1"/>
  <c r="H18" i="1"/>
  <c r="T17" i="1"/>
  <c r="S17" i="1"/>
  <c r="R17" i="1"/>
  <c r="Q17" i="1"/>
  <c r="P17" i="1"/>
  <c r="O17" i="1"/>
  <c r="I17" i="1"/>
  <c r="J17" i="1" s="1"/>
  <c r="H17" i="1"/>
  <c r="T16" i="1"/>
  <c r="S16" i="1"/>
  <c r="R16" i="1"/>
  <c r="Q16" i="1"/>
  <c r="P16" i="1"/>
  <c r="O16" i="1"/>
  <c r="I16" i="1"/>
  <c r="J16" i="1" s="1"/>
  <c r="H16" i="1"/>
  <c r="T15" i="1"/>
  <c r="S15" i="1"/>
  <c r="R15" i="1"/>
  <c r="Q15" i="1"/>
  <c r="P15" i="1"/>
  <c r="O15" i="1"/>
  <c r="I15" i="1"/>
  <c r="J15" i="1" s="1"/>
  <c r="H15" i="1"/>
  <c r="T14" i="1"/>
  <c r="S14" i="1"/>
  <c r="R14" i="1"/>
  <c r="Q14" i="1"/>
  <c r="P14" i="1"/>
  <c r="O14" i="1"/>
  <c r="I14" i="1"/>
  <c r="H14" i="1"/>
  <c r="J14" i="1" s="1"/>
  <c r="T13" i="1"/>
  <c r="S13" i="1"/>
  <c r="S30" i="1" s="1"/>
  <c r="R13" i="1"/>
  <c r="Q13" i="1"/>
  <c r="P13" i="1"/>
  <c r="O13" i="1"/>
  <c r="I13" i="1"/>
  <c r="J13" i="1" s="1"/>
  <c r="H13" i="1"/>
  <c r="G8" i="1"/>
  <c r="G9" i="1" s="1"/>
  <c r="C8" i="1"/>
  <c r="C9" i="1" s="1"/>
  <c r="G5" i="1"/>
  <c r="C5" i="1"/>
  <c r="L4" i="1"/>
  <c r="L5" i="1" s="1"/>
  <c r="G4" i="1"/>
  <c r="C4" i="1"/>
  <c r="Z2" i="1"/>
  <c r="Y2" i="1"/>
  <c r="O192" i="1" l="1"/>
  <c r="S202" i="2"/>
  <c r="P202" i="2"/>
  <c r="F8" i="2"/>
  <c r="Q31" i="3"/>
  <c r="S145" i="2"/>
  <c r="P145" i="2"/>
  <c r="P164" i="2"/>
  <c r="N164" i="2"/>
  <c r="S164" i="2"/>
  <c r="I178" i="2"/>
  <c r="I47" i="3"/>
  <c r="I51" i="3"/>
  <c r="I82" i="3"/>
  <c r="I625" i="3"/>
  <c r="P716" i="5"/>
  <c r="R716" i="5"/>
  <c r="O716" i="5"/>
  <c r="R732" i="5"/>
  <c r="P732" i="5"/>
  <c r="S120" i="1"/>
  <c r="O48" i="1"/>
  <c r="T66" i="1"/>
  <c r="R84" i="1"/>
  <c r="P84" i="1"/>
  <c r="J87" i="1"/>
  <c r="R138" i="1"/>
  <c r="P138" i="1"/>
  <c r="J144" i="1"/>
  <c r="J163" i="1"/>
  <c r="J170" i="1"/>
  <c r="Q201" i="1"/>
  <c r="I66" i="1"/>
  <c r="J66" i="1" s="1"/>
  <c r="U66" i="1"/>
  <c r="J93" i="1"/>
  <c r="J118" i="1"/>
  <c r="Q31" i="2"/>
  <c r="O31" i="2"/>
  <c r="I37" i="2"/>
  <c r="I52" i="2"/>
  <c r="I102" i="2"/>
  <c r="P107" i="2"/>
  <c r="N107" i="2"/>
  <c r="S107" i="2"/>
  <c r="I121" i="2"/>
  <c r="I155" i="2"/>
  <c r="P31" i="3"/>
  <c r="R50" i="3"/>
  <c r="V50" i="3"/>
  <c r="T50" i="3"/>
  <c r="H50" i="3"/>
  <c r="I50" i="3" s="1"/>
  <c r="Q50" i="3"/>
  <c r="I118" i="3"/>
  <c r="T164" i="3"/>
  <c r="H164" i="3"/>
  <c r="I164" i="3" s="1"/>
  <c r="V164" i="3"/>
  <c r="I381" i="3"/>
  <c r="G411" i="3"/>
  <c r="H411" i="3"/>
  <c r="I411" i="3" s="1"/>
  <c r="T481" i="3"/>
  <c r="H481" i="3"/>
  <c r="I481" i="3" s="1"/>
  <c r="P481" i="3"/>
  <c r="L8" i="1"/>
  <c r="L9" i="1" s="1"/>
  <c r="J89" i="1"/>
  <c r="W102" i="1"/>
  <c r="U102" i="1"/>
  <c r="I102" i="1"/>
  <c r="J102" i="1" s="1"/>
  <c r="R102" i="1"/>
  <c r="X156" i="1"/>
  <c r="I156" i="1"/>
  <c r="J162" i="1"/>
  <c r="I33" i="2"/>
  <c r="I98" i="2"/>
  <c r="N145" i="2"/>
  <c r="I170" i="2"/>
  <c r="T31" i="3"/>
  <c r="S164" i="3"/>
  <c r="P164" i="3"/>
  <c r="N164" i="3"/>
  <c r="R316" i="3"/>
  <c r="U447" i="3"/>
  <c r="U532" i="3"/>
  <c r="V69" i="2"/>
  <c r="T69" i="2"/>
  <c r="H69" i="2"/>
  <c r="Q202" i="2"/>
  <c r="O202" i="2"/>
  <c r="J114" i="1"/>
  <c r="P192" i="1"/>
  <c r="O30" i="1"/>
  <c r="H48" i="1"/>
  <c r="S138" i="1"/>
  <c r="U138" i="1"/>
  <c r="I138" i="1"/>
  <c r="J138" i="1" s="1"/>
  <c r="J198" i="1"/>
  <c r="W201" i="1"/>
  <c r="S88" i="2"/>
  <c r="P88" i="2"/>
  <c r="Q126" i="2"/>
  <c r="G88" i="3"/>
  <c r="H88" i="3"/>
  <c r="I88" i="3" s="1"/>
  <c r="I128" i="3"/>
  <c r="I163" i="3"/>
  <c r="I189" i="3"/>
  <c r="I192" i="3"/>
  <c r="I339" i="3"/>
  <c r="I342" i="3"/>
  <c r="I351" i="3"/>
  <c r="I565" i="3"/>
  <c r="I575" i="3"/>
  <c r="R48" i="1"/>
  <c r="W50" i="2"/>
  <c r="G50" i="2"/>
  <c r="I50" i="2" s="1"/>
  <c r="I43" i="3"/>
  <c r="P278" i="3"/>
  <c r="N278" i="3"/>
  <c r="I440" i="3"/>
  <c r="I104" i="7"/>
  <c r="I48" i="1"/>
  <c r="U48" i="1"/>
  <c r="J95" i="1"/>
  <c r="R120" i="1"/>
  <c r="J152" i="1"/>
  <c r="H156" i="1"/>
  <c r="V156" i="1"/>
  <c r="J158" i="1"/>
  <c r="I201" i="1"/>
  <c r="T31" i="2"/>
  <c r="H31" i="2"/>
  <c r="I31" i="2" s="1"/>
  <c r="I166" i="2"/>
  <c r="I39" i="3"/>
  <c r="T69" i="3"/>
  <c r="I71" i="3"/>
  <c r="P107" i="3"/>
  <c r="N107" i="3"/>
  <c r="U126" i="3"/>
  <c r="I131" i="3"/>
  <c r="I159" i="3"/>
  <c r="I280" i="3"/>
  <c r="I283" i="3"/>
  <c r="I292" i="3"/>
  <c r="I295" i="3"/>
  <c r="S373" i="3"/>
  <c r="P373" i="3"/>
  <c r="N373" i="3"/>
  <c r="I578" i="3"/>
  <c r="H600" i="3"/>
  <c r="I600" i="3" s="1"/>
  <c r="G600" i="3"/>
  <c r="U600" i="3"/>
  <c r="J99" i="1"/>
  <c r="J174" i="1"/>
  <c r="V48" i="1"/>
  <c r="O66" i="1"/>
  <c r="T102" i="1"/>
  <c r="W192" i="1"/>
  <c r="U192" i="1"/>
  <c r="I192" i="1"/>
  <c r="P50" i="2"/>
  <c r="N50" i="2"/>
  <c r="S50" i="2"/>
  <c r="V183" i="2"/>
  <c r="T183" i="2"/>
  <c r="H183" i="2"/>
  <c r="I183" i="2" s="1"/>
  <c r="T202" i="2"/>
  <c r="H31" i="3"/>
  <c r="I31" i="3" s="1"/>
  <c r="U69" i="3"/>
  <c r="R88" i="3"/>
  <c r="R107" i="3"/>
  <c r="R126" i="3"/>
  <c r="R145" i="3"/>
  <c r="S183" i="3"/>
  <c r="P183" i="3"/>
  <c r="N183" i="3"/>
  <c r="S278" i="3"/>
  <c r="R297" i="3"/>
  <c r="T430" i="3"/>
  <c r="H430" i="3"/>
  <c r="I430" i="3" s="1"/>
  <c r="P430" i="3"/>
  <c r="Q48" i="1"/>
  <c r="X192" i="1"/>
  <c r="V192" i="1"/>
  <c r="Q88" i="2"/>
  <c r="O88" i="2"/>
  <c r="V126" i="2"/>
  <c r="T126" i="2"/>
  <c r="H126" i="2"/>
  <c r="I126" i="2" s="1"/>
  <c r="W164" i="2"/>
  <c r="G164" i="2"/>
  <c r="W183" i="2"/>
  <c r="U183" i="2"/>
  <c r="G183" i="2"/>
  <c r="U781" i="3"/>
  <c r="U668" i="3"/>
  <c r="U566" i="3"/>
  <c r="U549" i="3"/>
  <c r="U724" i="3"/>
  <c r="G69" i="3"/>
  <c r="U481" i="3"/>
  <c r="U430" i="3"/>
  <c r="U316" i="3"/>
  <c r="W69" i="3"/>
  <c r="U583" i="3"/>
  <c r="U373" i="3"/>
  <c r="U183" i="3"/>
  <c r="H69" i="3"/>
  <c r="U686" i="3"/>
  <c r="U515" i="3"/>
  <c r="S88" i="3"/>
  <c r="P88" i="3"/>
  <c r="N88" i="3"/>
  <c r="R240" i="3"/>
  <c r="U354" i="3"/>
  <c r="R373" i="3"/>
  <c r="I516" i="3"/>
  <c r="J140" i="1"/>
  <c r="W69" i="2"/>
  <c r="U69" i="2"/>
  <c r="G69" i="2"/>
  <c r="N202" i="2"/>
  <c r="W202" i="3"/>
  <c r="G202" i="3"/>
  <c r="I202" i="3" s="1"/>
  <c r="P66" i="1"/>
  <c r="Q84" i="1"/>
  <c r="O84" i="1"/>
  <c r="J91" i="1"/>
  <c r="J109" i="1"/>
  <c r="V120" i="1"/>
  <c r="T138" i="1"/>
  <c r="J148" i="1"/>
  <c r="I60" i="2"/>
  <c r="N69" i="2"/>
  <c r="R88" i="2"/>
  <c r="N88" i="2"/>
  <c r="W107" i="2"/>
  <c r="G107" i="2"/>
  <c r="I107" i="2" s="1"/>
  <c r="W126" i="2"/>
  <c r="U126" i="2"/>
  <c r="G126" i="2"/>
  <c r="I35" i="3"/>
  <c r="S240" i="3"/>
  <c r="U335" i="3"/>
  <c r="G335" i="3"/>
  <c r="I338" i="3"/>
  <c r="I347" i="3"/>
  <c r="I350" i="3"/>
  <c r="I491" i="3"/>
  <c r="P634" i="3"/>
  <c r="S634" i="3"/>
  <c r="N634" i="3"/>
  <c r="G762" i="3"/>
  <c r="H762" i="3"/>
  <c r="I762" i="3" s="1"/>
  <c r="U762" i="3"/>
  <c r="I117" i="2"/>
  <c r="N126" i="2"/>
  <c r="Q145" i="2"/>
  <c r="O145" i="2"/>
  <c r="I151" i="2"/>
  <c r="W107" i="3"/>
  <c r="G107" i="3"/>
  <c r="H120" i="1"/>
  <c r="J120" i="1" s="1"/>
  <c r="J167" i="1"/>
  <c r="H192" i="1"/>
  <c r="J197" i="1"/>
  <c r="R201" i="1"/>
  <c r="R31" i="2"/>
  <c r="S31" i="2"/>
  <c r="I41" i="2"/>
  <c r="P69" i="2"/>
  <c r="I90" i="2"/>
  <c r="H164" i="2"/>
  <c r="I164" i="2" s="1"/>
  <c r="S107" i="3"/>
  <c r="R183" i="3"/>
  <c r="U498" i="3"/>
  <c r="R566" i="3"/>
  <c r="I84" i="1"/>
  <c r="J84" i="1" s="1"/>
  <c r="X138" i="1"/>
  <c r="W31" i="2"/>
  <c r="W88" i="2"/>
  <c r="W145" i="2"/>
  <c r="W202" i="2"/>
  <c r="I83" i="3"/>
  <c r="I132" i="3"/>
  <c r="O145" i="3"/>
  <c r="W164" i="3"/>
  <c r="U164" i="3"/>
  <c r="G164" i="3"/>
  <c r="R221" i="3"/>
  <c r="I208" i="3"/>
  <c r="Q259" i="3"/>
  <c r="O259" i="3"/>
  <c r="I315" i="3"/>
  <c r="T335" i="3"/>
  <c r="H335" i="3"/>
  <c r="I335" i="3" s="1"/>
  <c r="I377" i="3"/>
  <c r="I393" i="3"/>
  <c r="I402" i="3"/>
  <c r="I405" i="3"/>
  <c r="I436" i="3"/>
  <c r="U464" i="3"/>
  <c r="I487" i="3"/>
  <c r="I524" i="3"/>
  <c r="I660" i="3"/>
  <c r="P668" i="3"/>
  <c r="S668" i="3"/>
  <c r="N668" i="3"/>
  <c r="I698" i="3"/>
  <c r="I701" i="3"/>
  <c r="I705" i="3"/>
  <c r="I694" i="3"/>
  <c r="U743" i="3"/>
  <c r="T79" i="4"/>
  <c r="H79" i="4"/>
  <c r="V79" i="4"/>
  <c r="Q79" i="4"/>
  <c r="W138" i="5"/>
  <c r="U138" i="5"/>
  <c r="I138" i="5"/>
  <c r="Q138" i="5"/>
  <c r="I155" i="3"/>
  <c r="I271" i="3"/>
  <c r="I330" i="3"/>
  <c r="R354" i="3"/>
  <c r="I392" i="3"/>
  <c r="I398" i="3"/>
  <c r="I401" i="3"/>
  <c r="P549" i="3"/>
  <c r="S549" i="3"/>
  <c r="N549" i="3"/>
  <c r="I561" i="3"/>
  <c r="R617" i="3"/>
  <c r="I613" i="3"/>
  <c r="I638" i="3"/>
  <c r="I676" i="3"/>
  <c r="I749" i="3"/>
  <c r="I752" i="3"/>
  <c r="I61" i="4"/>
  <c r="S84" i="5"/>
  <c r="O88" i="3"/>
  <c r="O107" i="3"/>
  <c r="W145" i="3"/>
  <c r="G145" i="3"/>
  <c r="O164" i="3"/>
  <c r="Q183" i="3"/>
  <c r="O183" i="3"/>
  <c r="P392" i="3"/>
  <c r="N392" i="3"/>
  <c r="H102" i="1"/>
  <c r="P174" i="1"/>
  <c r="I60" i="3"/>
  <c r="S69" i="3"/>
  <c r="P69" i="3"/>
  <c r="S126" i="3"/>
  <c r="P126" i="3"/>
  <c r="U145" i="3"/>
  <c r="I147" i="3"/>
  <c r="I185" i="3"/>
  <c r="I188" i="3"/>
  <c r="I197" i="3"/>
  <c r="I200" i="3"/>
  <c r="T221" i="3"/>
  <c r="H221" i="3"/>
  <c r="I263" i="3"/>
  <c r="I279" i="3"/>
  <c r="I288" i="3"/>
  <c r="I291" i="3"/>
  <c r="I322" i="3"/>
  <c r="Q373" i="3"/>
  <c r="O373" i="3"/>
  <c r="I429" i="3"/>
  <c r="P447" i="3"/>
  <c r="N447" i="3"/>
  <c r="R464" i="3"/>
  <c r="I480" i="3"/>
  <c r="P498" i="3"/>
  <c r="N498" i="3"/>
  <c r="I574" i="3"/>
  <c r="I616" i="3"/>
  <c r="R668" i="3"/>
  <c r="I804" i="3"/>
  <c r="I807" i="3"/>
  <c r="I816" i="3"/>
  <c r="S79" i="4"/>
  <c r="P79" i="4"/>
  <c r="O79" i="4"/>
  <c r="N79" i="4"/>
  <c r="S102" i="5"/>
  <c r="I56" i="3"/>
  <c r="I110" i="3"/>
  <c r="H145" i="3"/>
  <c r="U221" i="3"/>
  <c r="G221" i="3"/>
  <c r="U278" i="3"/>
  <c r="I318" i="3"/>
  <c r="N335" i="3"/>
  <c r="I343" i="3"/>
  <c r="I346" i="3"/>
  <c r="Q549" i="3"/>
  <c r="O549" i="3"/>
  <c r="P743" i="3"/>
  <c r="O743" i="3"/>
  <c r="S743" i="3"/>
  <c r="N743" i="3"/>
  <c r="S51" i="4"/>
  <c r="P51" i="4"/>
  <c r="N51" i="4"/>
  <c r="U50" i="3"/>
  <c r="Q88" i="3"/>
  <c r="Q107" i="3"/>
  <c r="Q164" i="3"/>
  <c r="U240" i="3"/>
  <c r="R259" i="3"/>
  <c r="T316" i="3"/>
  <c r="H316" i="3"/>
  <c r="I316" i="3" s="1"/>
  <c r="C4" i="2"/>
  <c r="C5" i="2" s="1"/>
  <c r="H88" i="2"/>
  <c r="I88" i="2" s="1"/>
  <c r="H145" i="2"/>
  <c r="I145" i="2" s="1"/>
  <c r="H202" i="2"/>
  <c r="I202" i="2" s="1"/>
  <c r="T107" i="3"/>
  <c r="H107" i="3"/>
  <c r="I107" i="3" s="1"/>
  <c r="I113" i="3"/>
  <c r="I224" i="3"/>
  <c r="I233" i="3"/>
  <c r="I236" i="3"/>
  <c r="S259" i="3"/>
  <c r="P259" i="3"/>
  <c r="N259" i="3"/>
  <c r="G297" i="3"/>
  <c r="I297" i="3" s="1"/>
  <c r="U297" i="3"/>
  <c r="Q335" i="3"/>
  <c r="I389" i="3"/>
  <c r="S392" i="3"/>
  <c r="Q430" i="3"/>
  <c r="I449" i="3"/>
  <c r="I452" i="3"/>
  <c r="I461" i="3"/>
  <c r="Q481" i="3"/>
  <c r="I500" i="3"/>
  <c r="I503" i="3"/>
  <c r="I550" i="3"/>
  <c r="I570" i="3"/>
  <c r="T583" i="3"/>
  <c r="H583" i="3"/>
  <c r="I583" i="3" s="1"/>
  <c r="U634" i="3"/>
  <c r="G634" i="3"/>
  <c r="T724" i="3"/>
  <c r="H724" i="3"/>
  <c r="I724" i="3" s="1"/>
  <c r="I731" i="3"/>
  <c r="Q838" i="3"/>
  <c r="O838" i="3"/>
  <c r="S30" i="5"/>
  <c r="W126" i="3"/>
  <c r="W183" i="3"/>
  <c r="S202" i="3"/>
  <c r="S297" i="3"/>
  <c r="S411" i="3"/>
  <c r="I511" i="3"/>
  <c r="S515" i="3"/>
  <c r="N532" i="3"/>
  <c r="I609" i="3"/>
  <c r="I622" i="3"/>
  <c r="H651" i="3"/>
  <c r="G651" i="3"/>
  <c r="I656" i="3"/>
  <c r="Q686" i="3"/>
  <c r="I704" i="3"/>
  <c r="I728" i="3"/>
  <c r="I735" i="3"/>
  <c r="O781" i="3"/>
  <c r="Q800" i="3"/>
  <c r="U79" i="4"/>
  <c r="G79" i="4"/>
  <c r="I109" i="4"/>
  <c r="S246" i="5"/>
  <c r="P240" i="3"/>
  <c r="P354" i="3"/>
  <c r="P464" i="3"/>
  <c r="I514" i="3"/>
  <c r="T532" i="3"/>
  <c r="H532" i="3"/>
  <c r="I582" i="3"/>
  <c r="I588" i="3"/>
  <c r="S651" i="3"/>
  <c r="P651" i="3"/>
  <c r="I697" i="3"/>
  <c r="S724" i="3"/>
  <c r="N724" i="3"/>
  <c r="T800" i="3"/>
  <c r="H800" i="3"/>
  <c r="R64" i="4"/>
  <c r="R109" i="4"/>
  <c r="N566" i="3"/>
  <c r="I584" i="3"/>
  <c r="I599" i="3"/>
  <c r="S600" i="3"/>
  <c r="P600" i="3"/>
  <c r="O634" i="3"/>
  <c r="I643" i="3"/>
  <c r="R686" i="3"/>
  <c r="I727" i="3"/>
  <c r="T781" i="3"/>
  <c r="H781" i="3"/>
  <c r="I781" i="3" s="1"/>
  <c r="Q781" i="3"/>
  <c r="U800" i="3"/>
  <c r="G800" i="3"/>
  <c r="U819" i="3"/>
  <c r="R838" i="3"/>
  <c r="R25" i="4"/>
  <c r="Q51" i="4"/>
  <c r="O51" i="4"/>
  <c r="J36" i="5"/>
  <c r="Q408" i="5"/>
  <c r="P408" i="5"/>
  <c r="O408" i="5"/>
  <c r="T408" i="5"/>
  <c r="J411" i="5"/>
  <c r="J418" i="5"/>
  <c r="J464" i="5"/>
  <c r="J471" i="5"/>
  <c r="J524" i="5"/>
  <c r="T819" i="3"/>
  <c r="T705" i="3"/>
  <c r="T651" i="3"/>
  <c r="T600" i="3"/>
  <c r="I545" i="3"/>
  <c r="O566" i="3"/>
  <c r="I646" i="3"/>
  <c r="Q668" i="3"/>
  <c r="O668" i="3"/>
  <c r="I690" i="3"/>
  <c r="S762" i="3"/>
  <c r="I782" i="3"/>
  <c r="R38" i="4"/>
  <c r="I29" i="4"/>
  <c r="G240" i="3"/>
  <c r="I240" i="3" s="1"/>
  <c r="O278" i="3"/>
  <c r="G354" i="3"/>
  <c r="I354" i="3" s="1"/>
  <c r="O392" i="3"/>
  <c r="O447" i="3"/>
  <c r="G464" i="3"/>
  <c r="I464" i="3" s="1"/>
  <c r="O498" i="3"/>
  <c r="G532" i="3"/>
  <c r="Q634" i="3"/>
  <c r="Q724" i="3"/>
  <c r="O724" i="3"/>
  <c r="T240" i="3"/>
  <c r="T354" i="3"/>
  <c r="T464" i="3"/>
  <c r="T566" i="3"/>
  <c r="P724" i="3"/>
  <c r="R819" i="3"/>
  <c r="J32" i="5"/>
  <c r="J97" i="5"/>
  <c r="N515" i="3"/>
  <c r="I533" i="3"/>
  <c r="T549" i="3"/>
  <c r="I562" i="3"/>
  <c r="N600" i="3"/>
  <c r="O617" i="3"/>
  <c r="I642" i="3"/>
  <c r="O651" i="3"/>
  <c r="I736" i="3"/>
  <c r="T743" i="3"/>
  <c r="I780" i="3"/>
  <c r="S838" i="3"/>
  <c r="P838" i="3"/>
  <c r="N838" i="3"/>
  <c r="I17" i="4"/>
  <c r="W318" i="5"/>
  <c r="I318" i="5"/>
  <c r="R318" i="5"/>
  <c r="Q318" i="5"/>
  <c r="U318" i="5"/>
  <c r="T183" i="3"/>
  <c r="T259" i="3"/>
  <c r="T373" i="3"/>
  <c r="T634" i="3"/>
  <c r="T668" i="3"/>
  <c r="U705" i="3"/>
  <c r="R246" i="5"/>
  <c r="P246" i="5"/>
  <c r="X156" i="5"/>
  <c r="H156" i="5"/>
  <c r="X444" i="5"/>
  <c r="V444" i="5"/>
  <c r="H444" i="5"/>
  <c r="H515" i="3"/>
  <c r="I515" i="3" s="1"/>
  <c r="H566" i="3"/>
  <c r="I566" i="3" s="1"/>
  <c r="H617" i="3"/>
  <c r="I617" i="3" s="1"/>
  <c r="H668" i="3"/>
  <c r="I668" i="3" s="1"/>
  <c r="N25" i="4"/>
  <c r="I26" i="4"/>
  <c r="N38" i="4"/>
  <c r="S38" i="4"/>
  <c r="Q64" i="4"/>
  <c r="I68" i="4"/>
  <c r="Q94" i="4"/>
  <c r="O94" i="4"/>
  <c r="I117" i="4"/>
  <c r="I128" i="4"/>
  <c r="V154" i="4"/>
  <c r="T154" i="4"/>
  <c r="H154" i="4"/>
  <c r="I154" i="4" s="1"/>
  <c r="J60" i="5"/>
  <c r="T84" i="5"/>
  <c r="Q84" i="5"/>
  <c r="O84" i="5"/>
  <c r="J142" i="5"/>
  <c r="I156" i="5"/>
  <c r="J222" i="5"/>
  <c r="J230" i="5"/>
  <c r="J237" i="5"/>
  <c r="S300" i="5"/>
  <c r="T336" i="5"/>
  <c r="Q336" i="5"/>
  <c r="O336" i="5"/>
  <c r="T462" i="5"/>
  <c r="Q462" i="5"/>
  <c r="O462" i="5"/>
  <c r="I16" i="4"/>
  <c r="P64" i="4"/>
  <c r="I103" i="4"/>
  <c r="I113" i="4"/>
  <c r="I139" i="4"/>
  <c r="R84" i="5"/>
  <c r="P84" i="5"/>
  <c r="Q120" i="5"/>
  <c r="O120" i="5"/>
  <c r="J154" i="5"/>
  <c r="J264" i="5"/>
  <c r="R336" i="5"/>
  <c r="P336" i="5"/>
  <c r="J403" i="5"/>
  <c r="R462" i="5"/>
  <c r="P462" i="5"/>
  <c r="P38" i="4"/>
  <c r="R79" i="4"/>
  <c r="Q109" i="4"/>
  <c r="P139" i="4"/>
  <c r="N139" i="4"/>
  <c r="U66" i="5"/>
  <c r="J166" i="5"/>
  <c r="T174" i="5"/>
  <c r="Q174" i="5"/>
  <c r="S480" i="5"/>
  <c r="J534" i="5"/>
  <c r="V60" i="6"/>
  <c r="T60" i="6"/>
  <c r="H60" i="6"/>
  <c r="Q60" i="6"/>
  <c r="J44" i="5"/>
  <c r="X66" i="5"/>
  <c r="V66" i="5"/>
  <c r="J89" i="5"/>
  <c r="S138" i="5"/>
  <c r="S534" i="5"/>
  <c r="T51" i="4"/>
  <c r="H51" i="4"/>
  <c r="I51" i="4" s="1"/>
  <c r="V51" i="4"/>
  <c r="J29" i="5"/>
  <c r="X102" i="5"/>
  <c r="V102" i="5"/>
  <c r="I102" i="5"/>
  <c r="J102" i="5" s="1"/>
  <c r="H102" i="5"/>
  <c r="J150" i="5"/>
  <c r="J162" i="5"/>
  <c r="J350" i="5"/>
  <c r="J582" i="5"/>
  <c r="N762" i="3"/>
  <c r="T38" i="4"/>
  <c r="I95" i="4"/>
  <c r="P109" i="4"/>
  <c r="Q30" i="5"/>
  <c r="O30" i="5"/>
  <c r="J37" i="5"/>
  <c r="H66" i="5"/>
  <c r="J98" i="5"/>
  <c r="J117" i="5"/>
  <c r="T120" i="5"/>
  <c r="R138" i="5"/>
  <c r="R174" i="5"/>
  <c r="P174" i="5"/>
  <c r="J187" i="5"/>
  <c r="Q192" i="5"/>
  <c r="P192" i="5"/>
  <c r="O192" i="5"/>
  <c r="S408" i="5"/>
  <c r="H634" i="3"/>
  <c r="I634" i="3" s="1"/>
  <c r="G838" i="3"/>
  <c r="S8" i="4"/>
  <c r="S9" i="4" s="1"/>
  <c r="G25" i="4"/>
  <c r="I25" i="4" s="1"/>
  <c r="T25" i="4"/>
  <c r="G38" i="4"/>
  <c r="I38" i="4" s="1"/>
  <c r="U38" i="4"/>
  <c r="I76" i="4"/>
  <c r="I94" i="4"/>
  <c r="R124" i="4"/>
  <c r="I136" i="4"/>
  <c r="S139" i="4"/>
  <c r="J40" i="5"/>
  <c r="I66" i="5"/>
  <c r="J85" i="5"/>
  <c r="P138" i="5"/>
  <c r="J143" i="5"/>
  <c r="J158" i="5"/>
  <c r="O174" i="5"/>
  <c r="T246" i="5"/>
  <c r="Q246" i="5"/>
  <c r="J830" i="5"/>
  <c r="H838" i="3"/>
  <c r="I838" i="3" s="1"/>
  <c r="P94" i="4"/>
  <c r="N94" i="4"/>
  <c r="V156" i="5"/>
  <c r="W444" i="5"/>
  <c r="I444" i="5"/>
  <c r="J444" i="5" s="1"/>
  <c r="U444" i="5"/>
  <c r="Q444" i="5"/>
  <c r="I30" i="5"/>
  <c r="J30" i="5" s="1"/>
  <c r="X84" i="5"/>
  <c r="T156" i="5"/>
  <c r="I192" i="5"/>
  <c r="J192" i="5" s="1"/>
  <c r="I210" i="5"/>
  <c r="J210" i="5" s="1"/>
  <c r="V210" i="5"/>
  <c r="P228" i="5"/>
  <c r="J234" i="5"/>
  <c r="J241" i="5"/>
  <c r="J287" i="5"/>
  <c r="J294" i="5"/>
  <c r="J309" i="5"/>
  <c r="J362" i="5"/>
  <c r="J369" i="5"/>
  <c r="J415" i="5"/>
  <c r="J422" i="5"/>
  <c r="J468" i="5"/>
  <c r="J475" i="5"/>
  <c r="X534" i="5"/>
  <c r="H534" i="5"/>
  <c r="J549" i="5"/>
  <c r="S636" i="5"/>
  <c r="W684" i="5"/>
  <c r="U684" i="5"/>
  <c r="I684" i="5"/>
  <c r="J684" i="5" s="1"/>
  <c r="Q684" i="5"/>
  <c r="T780" i="5"/>
  <c r="Q780" i="5"/>
  <c r="O780" i="5"/>
  <c r="J789" i="5"/>
  <c r="J955" i="5"/>
  <c r="P124" i="4"/>
  <c r="Q48" i="5"/>
  <c r="Q264" i="5"/>
  <c r="P264" i="5"/>
  <c r="O264" i="5"/>
  <c r="W282" i="5"/>
  <c r="U282" i="5"/>
  <c r="I282" i="5"/>
  <c r="J303" i="5"/>
  <c r="X318" i="5"/>
  <c r="H318" i="5"/>
  <c r="V318" i="5"/>
  <c r="J377" i="5"/>
  <c r="S426" i="5"/>
  <c r="V462" i="5"/>
  <c r="Q498" i="5"/>
  <c r="P498" i="5"/>
  <c r="O498" i="5"/>
  <c r="W516" i="5"/>
  <c r="U516" i="5"/>
  <c r="I516" i="5"/>
  <c r="J516" i="5" s="1"/>
  <c r="J571" i="5"/>
  <c r="J598" i="5"/>
  <c r="P668" i="5"/>
  <c r="O668" i="5"/>
  <c r="R668" i="5"/>
  <c r="J854" i="5"/>
  <c r="J915" i="5"/>
  <c r="V204" i="6"/>
  <c r="T204" i="6"/>
  <c r="H204" i="6"/>
  <c r="I204" i="6" s="1"/>
  <c r="Q204" i="6"/>
  <c r="P204" i="6"/>
  <c r="Q124" i="4"/>
  <c r="R48" i="5"/>
  <c r="U300" i="5"/>
  <c r="S588" i="5"/>
  <c r="W204" i="6"/>
  <c r="U204" i="6"/>
  <c r="G204" i="6"/>
  <c r="L8" i="5"/>
  <c r="L9" i="5" s="1"/>
  <c r="H138" i="5"/>
  <c r="J189" i="5"/>
  <c r="H228" i="5"/>
  <c r="X228" i="5"/>
  <c r="X300" i="5"/>
  <c r="H300" i="5"/>
  <c r="V300" i="5"/>
  <c r="J373" i="5"/>
  <c r="J532" i="5"/>
  <c r="J552" i="5"/>
  <c r="J632" i="5"/>
  <c r="J842" i="5"/>
  <c r="S955" i="5"/>
  <c r="R168" i="6"/>
  <c r="I263" i="6"/>
  <c r="G124" i="4"/>
  <c r="O139" i="4"/>
  <c r="H48" i="5"/>
  <c r="P120" i="5"/>
  <c r="S282" i="5"/>
  <c r="S336" i="5"/>
  <c r="S372" i="5"/>
  <c r="W390" i="5"/>
  <c r="U390" i="5"/>
  <c r="I390" i="5"/>
  <c r="J390" i="5" s="1"/>
  <c r="S516" i="5"/>
  <c r="J544" i="5"/>
  <c r="Q588" i="5"/>
  <c r="O588" i="5"/>
  <c r="T588" i="5"/>
  <c r="V620" i="5"/>
  <c r="S829" i="5"/>
  <c r="S919" i="5"/>
  <c r="J911" i="5"/>
  <c r="S132" i="6"/>
  <c r="P132" i="6"/>
  <c r="N132" i="6"/>
  <c r="H124" i="4"/>
  <c r="T124" i="4"/>
  <c r="I48" i="5"/>
  <c r="J48" i="5" s="1"/>
  <c r="U48" i="5"/>
  <c r="V138" i="5"/>
  <c r="O156" i="5"/>
  <c r="S192" i="5"/>
  <c r="J181" i="5"/>
  <c r="J196" i="5"/>
  <c r="S228" i="5"/>
  <c r="I228" i="5"/>
  <c r="J261" i="5"/>
  <c r="I300" i="5"/>
  <c r="J300" i="5" s="1"/>
  <c r="J311" i="5"/>
  <c r="J332" i="5"/>
  <c r="X390" i="5"/>
  <c r="V390" i="5"/>
  <c r="H390" i="5"/>
  <c r="J442" i="5"/>
  <c r="J495" i="5"/>
  <c r="J525" i="5"/>
  <c r="S700" i="5"/>
  <c r="O66" i="5"/>
  <c r="H84" i="5"/>
  <c r="J84" i="5" s="1"/>
  <c r="I174" i="5"/>
  <c r="J174" i="5" s="1"/>
  <c r="Q210" i="5"/>
  <c r="V764" i="5"/>
  <c r="V748" i="5"/>
  <c r="V732" i="5"/>
  <c r="V919" i="5"/>
  <c r="V937" i="5"/>
  <c r="V684" i="5"/>
  <c r="V901" i="5"/>
  <c r="V604" i="5"/>
  <c r="V829" i="5"/>
  <c r="V426" i="5"/>
  <c r="X246" i="5"/>
  <c r="V780" i="5"/>
  <c r="V246" i="5"/>
  <c r="V354" i="5"/>
  <c r="I246" i="5"/>
  <c r="J246" i="5" s="1"/>
  <c r="H246" i="5"/>
  <c r="T264" i="5"/>
  <c r="X480" i="5"/>
  <c r="V480" i="5"/>
  <c r="H480" i="5"/>
  <c r="T498" i="5"/>
  <c r="T228" i="5"/>
  <c r="Q228" i="5"/>
  <c r="O228" i="5"/>
  <c r="R282" i="5"/>
  <c r="W354" i="5"/>
  <c r="U354" i="5"/>
  <c r="I354" i="5"/>
  <c r="J354" i="5" s="1"/>
  <c r="T390" i="5"/>
  <c r="R516" i="5"/>
  <c r="P588" i="5"/>
  <c r="R588" i="5"/>
  <c r="W668" i="5"/>
  <c r="I668" i="5"/>
  <c r="S732" i="5"/>
  <c r="V796" i="5"/>
  <c r="S901" i="5"/>
  <c r="V72" i="6"/>
  <c r="T72" i="6"/>
  <c r="H72" i="6"/>
  <c r="I72" i="6" s="1"/>
  <c r="P72" i="6"/>
  <c r="U829" i="5"/>
  <c r="U780" i="5"/>
  <c r="U764" i="5"/>
  <c r="U748" i="5"/>
  <c r="U937" i="5"/>
  <c r="U847" i="5"/>
  <c r="U700" i="5"/>
  <c r="U955" i="5"/>
  <c r="O282" i="5"/>
  <c r="T300" i="5"/>
  <c r="T318" i="5"/>
  <c r="W372" i="5"/>
  <c r="I408" i="5"/>
  <c r="J408" i="5" s="1"/>
  <c r="X462" i="5"/>
  <c r="Q480" i="5"/>
  <c r="O516" i="5"/>
  <c r="T534" i="5"/>
  <c r="S552" i="5"/>
  <c r="O552" i="5"/>
  <c r="J602" i="5"/>
  <c r="U620" i="5"/>
  <c r="U636" i="5"/>
  <c r="X652" i="5"/>
  <c r="H652" i="5"/>
  <c r="J652" i="5" s="1"/>
  <c r="V652" i="5"/>
  <c r="J692" i="5"/>
  <c r="J737" i="5"/>
  <c r="U796" i="5"/>
  <c r="J846" i="5"/>
  <c r="J862" i="5"/>
  <c r="I68" i="6"/>
  <c r="I196" i="6"/>
  <c r="R240" i="6"/>
  <c r="U372" i="6"/>
  <c r="G372" i="6"/>
  <c r="R384" i="6"/>
  <c r="J548" i="5"/>
  <c r="T552" i="5"/>
  <c r="S570" i="5"/>
  <c r="S604" i="5"/>
  <c r="X668" i="5"/>
  <c r="V668" i="5"/>
  <c r="J683" i="5"/>
  <c r="J688" i="5"/>
  <c r="J733" i="5"/>
  <c r="J850" i="5"/>
  <c r="J979" i="5"/>
  <c r="I31" i="6"/>
  <c r="I56" i="6"/>
  <c r="I259" i="6"/>
  <c r="I346" i="6"/>
  <c r="I509" i="6"/>
  <c r="O372" i="5"/>
  <c r="R426" i="5"/>
  <c r="I480" i="5"/>
  <c r="J480" i="5" s="1"/>
  <c r="U552" i="5"/>
  <c r="J594" i="5"/>
  <c r="J601" i="5"/>
  <c r="I620" i="5"/>
  <c r="J620" i="5" s="1"/>
  <c r="J628" i="5"/>
  <c r="J635" i="5"/>
  <c r="J647" i="5"/>
  <c r="J691" i="5"/>
  <c r="W732" i="5"/>
  <c r="U732" i="5"/>
  <c r="I732" i="5"/>
  <c r="J732" i="5" s="1"/>
  <c r="J736" i="5"/>
  <c r="T764" i="5"/>
  <c r="Q764" i="5"/>
  <c r="R780" i="5"/>
  <c r="P780" i="5"/>
  <c r="J782" i="5"/>
  <c r="T829" i="5"/>
  <c r="Q829" i="5"/>
  <c r="O829" i="5"/>
  <c r="J835" i="5"/>
  <c r="V865" i="5"/>
  <c r="U883" i="5"/>
  <c r="I883" i="5"/>
  <c r="J883" i="5" s="1"/>
  <c r="Q883" i="5"/>
  <c r="X973" i="5"/>
  <c r="V973" i="5"/>
  <c r="I973" i="5"/>
  <c r="H973" i="5"/>
  <c r="P24" i="6"/>
  <c r="N24" i="6"/>
  <c r="S24" i="6"/>
  <c r="I155" i="6"/>
  <c r="I156" i="6"/>
  <c r="I251" i="6"/>
  <c r="H282" i="5"/>
  <c r="P372" i="5"/>
  <c r="H516" i="5"/>
  <c r="H552" i="5"/>
  <c r="V552" i="5"/>
  <c r="P570" i="5"/>
  <c r="Q604" i="5"/>
  <c r="S620" i="5"/>
  <c r="J650" i="5"/>
  <c r="H668" i="5"/>
  <c r="S764" i="5"/>
  <c r="V812" i="5"/>
  <c r="V883" i="5"/>
  <c r="J885" i="5"/>
  <c r="I52" i="6"/>
  <c r="I255" i="6"/>
  <c r="U588" i="5"/>
  <c r="R604" i="5"/>
  <c r="R684" i="5"/>
  <c r="S780" i="5"/>
  <c r="W901" i="5"/>
  <c r="I901" i="5"/>
  <c r="J901" i="5" s="1"/>
  <c r="R901" i="5"/>
  <c r="U901" i="5"/>
  <c r="R36" i="6"/>
  <c r="U228" i="6"/>
  <c r="G228" i="6"/>
  <c r="I426" i="5"/>
  <c r="J426" i="5" s="1"/>
  <c r="V516" i="5"/>
  <c r="O534" i="5"/>
  <c r="V588" i="5"/>
  <c r="J643" i="5"/>
  <c r="J687" i="5"/>
  <c r="T732" i="5"/>
  <c r="R764" i="5"/>
  <c r="P764" i="5"/>
  <c r="J794" i="5"/>
  <c r="R829" i="5"/>
  <c r="P829" i="5"/>
  <c r="J831" i="5"/>
  <c r="J865" i="5"/>
  <c r="J879" i="5"/>
  <c r="O24" i="6"/>
  <c r="I183" i="6"/>
  <c r="U336" i="5"/>
  <c r="H462" i="5"/>
  <c r="J462" i="5" s="1"/>
  <c r="X570" i="5"/>
  <c r="V570" i="5"/>
  <c r="H588" i="5"/>
  <c r="U604" i="5"/>
  <c r="S668" i="5"/>
  <c r="X700" i="5"/>
  <c r="V700" i="5"/>
  <c r="I700" i="5"/>
  <c r="H700" i="5"/>
  <c r="W716" i="5"/>
  <c r="U716" i="5"/>
  <c r="I716" i="5"/>
  <c r="J716" i="5" s="1"/>
  <c r="S748" i="5"/>
  <c r="Q865" i="5"/>
  <c r="P865" i="5"/>
  <c r="O865" i="5"/>
  <c r="X955" i="5"/>
  <c r="V955" i="5"/>
  <c r="R192" i="6"/>
  <c r="Q276" i="6"/>
  <c r="O276" i="6"/>
  <c r="U462" i="5"/>
  <c r="U570" i="5"/>
  <c r="I588" i="5"/>
  <c r="J588" i="5" s="1"/>
  <c r="X716" i="5"/>
  <c r="V716" i="5"/>
  <c r="H716" i="5"/>
  <c r="J741" i="5"/>
  <c r="Q812" i="5"/>
  <c r="P812" i="5"/>
  <c r="O812" i="5"/>
  <c r="X847" i="5"/>
  <c r="V847" i="5"/>
  <c r="I847" i="5"/>
  <c r="H847" i="5"/>
  <c r="J897" i="5"/>
  <c r="W919" i="5"/>
  <c r="I919" i="5"/>
  <c r="J919" i="5" s="1"/>
  <c r="U919" i="5"/>
  <c r="R919" i="5"/>
  <c r="J951" i="5"/>
  <c r="I76" i="6"/>
  <c r="I168" i="6"/>
  <c r="R252" i="6"/>
  <c r="I636" i="5"/>
  <c r="J636" i="5" s="1"/>
  <c r="Q700" i="5"/>
  <c r="O732" i="5"/>
  <c r="X780" i="5"/>
  <c r="W796" i="5"/>
  <c r="X829" i="5"/>
  <c r="Q847" i="5"/>
  <c r="O919" i="5"/>
  <c r="I43" i="6"/>
  <c r="S108" i="6"/>
  <c r="P108" i="6"/>
  <c r="N108" i="6"/>
  <c r="R120" i="6"/>
  <c r="I187" i="6"/>
  <c r="T324" i="6"/>
  <c r="T372" i="6"/>
  <c r="H372" i="6"/>
  <c r="I372" i="6" s="1"/>
  <c r="Q372" i="6"/>
  <c r="N432" i="6"/>
  <c r="S432" i="6"/>
  <c r="P432" i="6"/>
  <c r="O432" i="6"/>
  <c r="W652" i="5"/>
  <c r="S937" i="5"/>
  <c r="J933" i="5"/>
  <c r="T937" i="5"/>
  <c r="J943" i="5"/>
  <c r="J976" i="5"/>
  <c r="J982" i="5" s="1"/>
  <c r="I39" i="6"/>
  <c r="W60" i="6"/>
  <c r="U60" i="6"/>
  <c r="G60" i="6"/>
  <c r="R96" i="6"/>
  <c r="Q108" i="6"/>
  <c r="O108" i="6"/>
  <c r="P144" i="6"/>
  <c r="O144" i="6"/>
  <c r="N144" i="6"/>
  <c r="R204" i="6"/>
  <c r="I231" i="6"/>
  <c r="I264" i="6"/>
  <c r="S288" i="6"/>
  <c r="P288" i="6"/>
  <c r="O288" i="6"/>
  <c r="N288" i="6"/>
  <c r="I309" i="6"/>
  <c r="T312" i="6"/>
  <c r="R348" i="6"/>
  <c r="S372" i="6"/>
  <c r="N372" i="6"/>
  <c r="P372" i="6"/>
  <c r="O372" i="6"/>
  <c r="R420" i="6"/>
  <c r="R432" i="6"/>
  <c r="T457" i="6"/>
  <c r="H457" i="6"/>
  <c r="Q457" i="6"/>
  <c r="P457" i="6"/>
  <c r="I554" i="6"/>
  <c r="I561" i="6"/>
  <c r="T97" i="7"/>
  <c r="H97" i="7"/>
  <c r="Q97" i="7"/>
  <c r="P97" i="7"/>
  <c r="I113" i="6"/>
  <c r="P192" i="6"/>
  <c r="N216" i="6"/>
  <c r="R264" i="6"/>
  <c r="I286" i="6"/>
  <c r="O408" i="6"/>
  <c r="Q408" i="6"/>
  <c r="I414" i="6"/>
  <c r="R457" i="6"/>
  <c r="I447" i="6"/>
  <c r="U457" i="6"/>
  <c r="G457" i="6"/>
  <c r="K9" i="7"/>
  <c r="I45" i="7"/>
  <c r="H919" i="5"/>
  <c r="J925" i="5"/>
  <c r="J939" i="5"/>
  <c r="Q973" i="5"/>
  <c r="O973" i="5"/>
  <c r="P48" i="6"/>
  <c r="R60" i="6"/>
  <c r="N84" i="6"/>
  <c r="Q96" i="6"/>
  <c r="O96" i="6"/>
  <c r="T132" i="6"/>
  <c r="I154" i="6"/>
  <c r="R216" i="6"/>
  <c r="O216" i="6"/>
  <c r="P252" i="6"/>
  <c r="U300" i="6"/>
  <c r="I305" i="6"/>
  <c r="P336" i="6"/>
  <c r="S336" i="6"/>
  <c r="N336" i="6"/>
  <c r="I402" i="6"/>
  <c r="N408" i="6"/>
  <c r="O444" i="6"/>
  <c r="N444" i="6"/>
  <c r="S444" i="6"/>
  <c r="P444" i="6"/>
  <c r="N496" i="6"/>
  <c r="S535" i="6"/>
  <c r="P535" i="6"/>
  <c r="N535" i="6"/>
  <c r="T982" i="5"/>
  <c r="Q982" i="5"/>
  <c r="O982" i="5"/>
  <c r="T288" i="6"/>
  <c r="V36" i="6"/>
  <c r="T36" i="6"/>
  <c r="H36" i="6"/>
  <c r="Q36" i="6"/>
  <c r="Q48" i="6"/>
  <c r="O84" i="6"/>
  <c r="U132" i="6"/>
  <c r="V180" i="6"/>
  <c r="T180" i="6"/>
  <c r="H180" i="6"/>
  <c r="I180" i="6" s="1"/>
  <c r="R288" i="6"/>
  <c r="T300" i="6"/>
  <c r="H300" i="6"/>
  <c r="I300" i="6" s="1"/>
  <c r="O496" i="6"/>
  <c r="R133" i="7"/>
  <c r="W24" i="6"/>
  <c r="U24" i="6"/>
  <c r="T548" i="6"/>
  <c r="T396" i="6"/>
  <c r="T120" i="6"/>
  <c r="T108" i="6"/>
  <c r="T348" i="6"/>
  <c r="T483" i="6"/>
  <c r="T432" i="6"/>
  <c r="T276" i="6"/>
  <c r="T84" i="6"/>
  <c r="T420" i="6"/>
  <c r="T336" i="6"/>
  <c r="V48" i="6"/>
  <c r="T408" i="6"/>
  <c r="T496" i="6"/>
  <c r="Q72" i="6"/>
  <c r="R84" i="6"/>
  <c r="W168" i="6"/>
  <c r="U168" i="6"/>
  <c r="W180" i="6"/>
  <c r="U180" i="6"/>
  <c r="V192" i="6"/>
  <c r="T192" i="6"/>
  <c r="H192" i="6"/>
  <c r="T252" i="6"/>
  <c r="H252" i="6"/>
  <c r="I252" i="6" s="1"/>
  <c r="U288" i="6"/>
  <c r="I493" i="6"/>
  <c r="H780" i="5"/>
  <c r="J780" i="5" s="1"/>
  <c r="J880" i="5"/>
  <c r="J898" i="5"/>
  <c r="U483" i="6"/>
  <c r="U408" i="6"/>
  <c r="U108" i="6"/>
  <c r="U348" i="6"/>
  <c r="U96" i="6"/>
  <c r="U432" i="6"/>
  <c r="U276" i="6"/>
  <c r="U420" i="6"/>
  <c r="U216" i="6"/>
  <c r="U72" i="6"/>
  <c r="W48" i="6"/>
  <c r="U48" i="6"/>
  <c r="U496" i="6"/>
  <c r="G48" i="6"/>
  <c r="I48" i="6" s="1"/>
  <c r="N72" i="6"/>
  <c r="S144" i="6"/>
  <c r="W192" i="6"/>
  <c r="U192" i="6"/>
  <c r="G192" i="6"/>
  <c r="T240" i="6"/>
  <c r="H240" i="6"/>
  <c r="I240" i="6" s="1"/>
  <c r="U252" i="6"/>
  <c r="P276" i="6"/>
  <c r="S276" i="6"/>
  <c r="N276" i="6"/>
  <c r="I293" i="6"/>
  <c r="Q336" i="6"/>
  <c r="O336" i="6"/>
  <c r="R483" i="6"/>
  <c r="I527" i="6"/>
  <c r="O535" i="6"/>
  <c r="R982" i="5"/>
  <c r="P982" i="5"/>
  <c r="G24" i="6"/>
  <c r="I24" i="6" s="1"/>
  <c r="G36" i="6"/>
  <c r="U36" i="6"/>
  <c r="T48" i="6"/>
  <c r="R72" i="6"/>
  <c r="O72" i="6"/>
  <c r="S120" i="6"/>
  <c r="P120" i="6"/>
  <c r="N120" i="6"/>
  <c r="T144" i="6"/>
  <c r="I146" i="6"/>
  <c r="G168" i="6"/>
  <c r="G180" i="6"/>
  <c r="T216" i="6"/>
  <c r="H216" i="6"/>
  <c r="I216" i="6" s="1"/>
  <c r="T228" i="6"/>
  <c r="H228" i="6"/>
  <c r="I228" i="6" s="1"/>
  <c r="U240" i="6"/>
  <c r="G240" i="6"/>
  <c r="T264" i="6"/>
  <c r="I289" i="6"/>
  <c r="S384" i="6"/>
  <c r="I478" i="6"/>
  <c r="I510" i="6"/>
  <c r="P84" i="6"/>
  <c r="V156" i="6"/>
  <c r="I342" i="6"/>
  <c r="I375" i="6"/>
  <c r="I410" i="6"/>
  <c r="T470" i="6"/>
  <c r="O483" i="6"/>
  <c r="Q483" i="6"/>
  <c r="I550" i="6"/>
  <c r="Q25" i="7"/>
  <c r="O25" i="7"/>
  <c r="N25" i="7"/>
  <c r="I163" i="7"/>
  <c r="I206" i="7"/>
  <c r="I223" i="7"/>
  <c r="P96" i="6"/>
  <c r="G312" i="6"/>
  <c r="I312" i="6" s="1"/>
  <c r="U312" i="6"/>
  <c r="R360" i="6"/>
  <c r="U470" i="6"/>
  <c r="N509" i="6"/>
  <c r="S509" i="6"/>
  <c r="I272" i="6"/>
  <c r="Q288" i="6"/>
  <c r="I338" i="6"/>
  <c r="N348" i="6"/>
  <c r="T522" i="6"/>
  <c r="H522" i="6"/>
  <c r="I522" i="6" s="1"/>
  <c r="I57" i="7"/>
  <c r="I100" i="7"/>
  <c r="Q151" i="7"/>
  <c r="O151" i="7"/>
  <c r="N151" i="7"/>
  <c r="G84" i="6"/>
  <c r="O132" i="6"/>
  <c r="R300" i="6"/>
  <c r="I323" i="6"/>
  <c r="I332" i="6"/>
  <c r="O348" i="6"/>
  <c r="R372" i="6"/>
  <c r="I363" i="6"/>
  <c r="I381" i="6"/>
  <c r="U396" i="6"/>
  <c r="H396" i="6"/>
  <c r="I396" i="6" s="1"/>
  <c r="I416" i="6"/>
  <c r="I441" i="6"/>
  <c r="U444" i="6"/>
  <c r="I449" i="6"/>
  <c r="I485" i="6"/>
  <c r="U522" i="6"/>
  <c r="G522" i="6"/>
  <c r="R79" i="7"/>
  <c r="I132" i="7"/>
  <c r="I159" i="7"/>
  <c r="I218" i="7"/>
  <c r="H84" i="6"/>
  <c r="O264" i="6"/>
  <c r="Q264" i="6"/>
  <c r="S312" i="6"/>
  <c r="N312" i="6"/>
  <c r="U336" i="6"/>
  <c r="Q509" i="6"/>
  <c r="U84" i="6"/>
  <c r="H96" i="6"/>
  <c r="I96" i="6" s="1"/>
  <c r="T96" i="6"/>
  <c r="N168" i="6"/>
  <c r="N264" i="6"/>
  <c r="I281" i="6"/>
  <c r="I344" i="6"/>
  <c r="O360" i="6"/>
  <c r="I377" i="6"/>
  <c r="T384" i="6"/>
  <c r="H384" i="6"/>
  <c r="I408" i="6"/>
  <c r="I412" i="6"/>
  <c r="I437" i="6"/>
  <c r="T444" i="6"/>
  <c r="H444" i="6"/>
  <c r="I444" i="6" s="1"/>
  <c r="I445" i="6"/>
  <c r="R509" i="6"/>
  <c r="O509" i="6"/>
  <c r="S522" i="6"/>
  <c r="N522" i="6"/>
  <c r="T535" i="6"/>
  <c r="U548" i="6"/>
  <c r="H548" i="6"/>
  <c r="I548" i="6" s="1"/>
  <c r="I43" i="7"/>
  <c r="I53" i="7"/>
  <c r="I112" i="7"/>
  <c r="S205" i="7"/>
  <c r="P205" i="7"/>
  <c r="N205" i="7"/>
  <c r="O168" i="6"/>
  <c r="R276" i="6"/>
  <c r="P360" i="6"/>
  <c r="U384" i="6"/>
  <c r="G384" i="6"/>
  <c r="N396" i="6"/>
  <c r="P509" i="6"/>
  <c r="G535" i="6"/>
  <c r="U535" i="6"/>
  <c r="U561" i="6"/>
  <c r="I214" i="7"/>
  <c r="G288" i="6"/>
  <c r="I288" i="6" s="1"/>
  <c r="O324" i="6"/>
  <c r="N324" i="6"/>
  <c r="T360" i="6"/>
  <c r="Q470" i="6"/>
  <c r="O470" i="6"/>
  <c r="N470" i="6"/>
  <c r="I259" i="7"/>
  <c r="N384" i="6"/>
  <c r="N457" i="6"/>
  <c r="H535" i="6"/>
  <c r="F9" i="7"/>
  <c r="S79" i="7"/>
  <c r="P133" i="7"/>
  <c r="O223" i="7"/>
  <c r="P396" i="6"/>
  <c r="P548" i="6"/>
  <c r="H79" i="7"/>
  <c r="I79" i="7" s="1"/>
  <c r="Q133" i="7"/>
  <c r="S169" i="7"/>
  <c r="N187" i="7"/>
  <c r="P223" i="7"/>
  <c r="G259" i="7"/>
  <c r="S259" i="7"/>
  <c r="O61" i="7"/>
  <c r="P187" i="7"/>
  <c r="P61" i="7"/>
  <c r="H133" i="7"/>
  <c r="I133" i="7" s="1"/>
  <c r="S223" i="7"/>
  <c r="N241" i="7"/>
  <c r="N266" i="7"/>
  <c r="O561" i="6"/>
  <c r="P25" i="7"/>
  <c r="G97" i="7"/>
  <c r="P151" i="7"/>
  <c r="O241" i="7"/>
  <c r="O266" i="7"/>
  <c r="O115" i="7"/>
  <c r="P241" i="7"/>
  <c r="P266" i="7"/>
  <c r="P324" i="6"/>
  <c r="P470" i="6"/>
  <c r="G61" i="7"/>
  <c r="N79" i="7"/>
  <c r="P115" i="7"/>
  <c r="H187" i="7"/>
  <c r="I187" i="7" s="1"/>
  <c r="O205" i="7"/>
  <c r="I260" i="7"/>
  <c r="I266" i="7" s="1"/>
  <c r="H61" i="7"/>
  <c r="H25" i="7"/>
  <c r="I25" i="7" s="1"/>
  <c r="N43" i="7"/>
  <c r="H151" i="7"/>
  <c r="I151" i="7" s="1"/>
  <c r="O169" i="7"/>
  <c r="N259" i="7"/>
  <c r="H324" i="6"/>
  <c r="I324" i="6" s="1"/>
  <c r="H470" i="6"/>
  <c r="I470" i="6" s="1"/>
  <c r="H115" i="7"/>
  <c r="I115" i="7" s="1"/>
  <c r="I124" i="4" l="1"/>
  <c r="I60" i="6"/>
  <c r="I221" i="3"/>
  <c r="I79" i="4"/>
  <c r="F9" i="2"/>
  <c r="K8" i="2"/>
  <c r="K9" i="2" s="1"/>
  <c r="I97" i="7"/>
  <c r="I69" i="3"/>
  <c r="J192" i="1"/>
  <c r="I69" i="2"/>
  <c r="J282" i="5"/>
  <c r="I384" i="6"/>
  <c r="J847" i="5"/>
  <c r="J228" i="5"/>
  <c r="J700" i="5"/>
  <c r="J156" i="5"/>
  <c r="I800" i="3"/>
  <c r="J48" i="1"/>
  <c r="J668" i="5"/>
  <c r="I532" i="3"/>
  <c r="J973" i="5"/>
  <c r="I61" i="7"/>
  <c r="I84" i="6"/>
  <c r="I192" i="6"/>
  <c r="J66" i="5"/>
  <c r="J318" i="5"/>
  <c r="I651" i="3"/>
  <c r="I145" i="3"/>
  <c r="I36" i="6"/>
  <c r="I457" i="6"/>
  <c r="J156" i="1"/>
  <c r="I535" i="6"/>
  <c r="J138" i="5"/>
</calcChain>
</file>

<file path=xl/sharedStrings.xml><?xml version="1.0" encoding="utf-8"?>
<sst xmlns="http://schemas.openxmlformats.org/spreadsheetml/2006/main" count="3706" uniqueCount="140">
  <si>
    <r>
      <rPr>
        <u/>
        <sz val="10"/>
        <color rgb="FF000000"/>
        <rFont val="Calibri"/>
      </rPr>
      <t xml:space="preserve">WALMART - DATA SOURCES: </t>
    </r>
    <r>
      <rPr>
        <u/>
        <sz val="10"/>
        <color rgb="FF1155CC"/>
        <rFont val="Calibri"/>
      </rPr>
      <t>https://seller.walmart.com/analytics/overview/item-sale</t>
    </r>
    <r>
      <rPr>
        <u/>
        <sz val="10"/>
        <color rgb="FF1155CC"/>
        <rFont val="Calibri"/>
      </rPr>
      <t xml:space="preserve">;
</t>
    </r>
    <r>
      <rPr>
        <u/>
        <sz val="10"/>
        <color rgb="FF1155CC"/>
        <rFont val="Calibri"/>
      </rPr>
      <t>https://seller.walmart.com/analytics/reports</t>
    </r>
    <r>
      <rPr>
        <u/>
        <sz val="10"/>
        <color rgb="FF1155CC"/>
        <rFont val="Calibri"/>
      </rPr>
      <t xml:space="preserve">;
</t>
    </r>
    <r>
      <rPr>
        <u/>
        <sz val="10"/>
        <color rgb="FF000000"/>
        <rFont val="Calibri"/>
      </rPr>
      <t>And Intentwise</t>
    </r>
  </si>
  <si>
    <t xml:space="preserve"> WEEKLY PERFORMANCE</t>
  </si>
  <si>
    <t>Total Sales</t>
  </si>
  <si>
    <t>Total Orders</t>
  </si>
  <si>
    <t>Total Units Sold</t>
  </si>
  <si>
    <t>Advertising Sales</t>
  </si>
  <si>
    <t>Advertising Spend</t>
  </si>
  <si>
    <t>ACoS</t>
  </si>
  <si>
    <t>SALES METRICS</t>
  </si>
  <si>
    <t xml:space="preserve">ADVERTISING PERFORMANCE </t>
  </si>
  <si>
    <t>MoM</t>
  </si>
  <si>
    <t>YoY</t>
  </si>
  <si>
    <t>Month-Code</t>
  </si>
  <si>
    <t>DATE</t>
  </si>
  <si>
    <t>BRAND</t>
  </si>
  <si>
    <t>SALES</t>
  </si>
  <si>
    <t>Average Sales Price by Brand</t>
  </si>
  <si>
    <t>UNITS SOLD</t>
  </si>
  <si>
    <t>ORDERED ITEMS</t>
  </si>
  <si>
    <t>UNITS PER ORDER</t>
  </si>
  <si>
    <t>SALES PER ORDER</t>
  </si>
  <si>
    <t>ASP</t>
  </si>
  <si>
    <t>SP AD SPEND</t>
  </si>
  <si>
    <t>IMPRESSIONS</t>
  </si>
  <si>
    <t>UNIT SALES</t>
  </si>
  <si>
    <t>AD SALES</t>
  </si>
  <si>
    <t>ROAS (return on ad send)</t>
  </si>
  <si>
    <t>TACoS (Total Advertsing Cost of Sales)</t>
  </si>
  <si>
    <t>REVENUE PERCENTAGE OF AD SALES</t>
  </si>
  <si>
    <t>ORGANIC SALES</t>
  </si>
  <si>
    <t>CPO</t>
  </si>
  <si>
    <t>UNITS</t>
  </si>
  <si>
    <t>AirDoctor</t>
  </si>
  <si>
    <t>AquaTru</t>
  </si>
  <si>
    <t>Beflexible</t>
  </si>
  <si>
    <t>Better Bladder</t>
  </si>
  <si>
    <t>Ideal Prostate</t>
  </si>
  <si>
    <t>to</t>
  </si>
  <si>
    <t>Miracle Blade</t>
  </si>
  <si>
    <t>Paint Zoom</t>
  </si>
  <si>
    <t>Profemin</t>
  </si>
  <si>
    <t>Prosvent</t>
  </si>
  <si>
    <t>SaniTru</t>
  </si>
  <si>
    <t>Rotorazer Saw</t>
  </si>
  <si>
    <t>Superthotics</t>
  </si>
  <si>
    <t>Therabotanics</t>
  </si>
  <si>
    <t>WALKFIT</t>
  </si>
  <si>
    <t>Ultmax</t>
  </si>
  <si>
    <t>Ionic Pro</t>
  </si>
  <si>
    <t>AromaTru</t>
  </si>
  <si>
    <t>2025 - Week 52</t>
  </si>
  <si>
    <t>2026 - Week 1</t>
  </si>
  <si>
    <t>2026 - Week 2</t>
  </si>
  <si>
    <t>2026 - Week 3</t>
  </si>
  <si>
    <t>2026 - Week 4</t>
  </si>
  <si>
    <t>2026 - Week 5</t>
  </si>
  <si>
    <t>2026 - Week 6</t>
  </si>
  <si>
    <t>2026 - Week 7</t>
  </si>
  <si>
    <t>Previous Week</t>
  </si>
  <si>
    <t>Current Week</t>
  </si>
  <si>
    <t>BeFlexible</t>
  </si>
  <si>
    <t>Grown American</t>
  </si>
  <si>
    <t>Cebria</t>
  </si>
  <si>
    <r>
      <rPr>
        <u/>
        <sz val="10"/>
        <color rgb="FF000000"/>
        <rFont val="Calibri"/>
      </rPr>
      <t xml:space="preserve">WALMART - DATA SOURCES: </t>
    </r>
    <r>
      <rPr>
        <u/>
        <sz val="10"/>
        <color rgb="FF1155CC"/>
        <rFont val="Calibri"/>
      </rPr>
      <t>https://seller.walmart.com/analytics/overview/item-sale</t>
    </r>
    <r>
      <rPr>
        <u/>
        <sz val="10"/>
        <color rgb="FF1155CC"/>
        <rFont val="Calibri"/>
      </rPr>
      <t xml:space="preserve">;
</t>
    </r>
    <r>
      <rPr>
        <u/>
        <sz val="10"/>
        <color rgb="FF1155CC"/>
        <rFont val="Calibri"/>
      </rPr>
      <t>https://seller.walmart.com/analytics/reports</t>
    </r>
    <r>
      <rPr>
        <u/>
        <sz val="10"/>
        <color rgb="FF1155CC"/>
        <rFont val="Calibri"/>
      </rPr>
      <t xml:space="preserve">;
</t>
    </r>
    <r>
      <rPr>
        <u/>
        <sz val="10"/>
        <color rgb="FF000000"/>
        <rFont val="Calibri"/>
      </rPr>
      <t>And Intentwise</t>
    </r>
  </si>
  <si>
    <t>SEM Campaigns</t>
  </si>
  <si>
    <r>
      <rPr>
        <u/>
        <sz val="10"/>
        <color rgb="FF000000"/>
        <rFont val="Calibri"/>
      </rPr>
      <t xml:space="preserve">WALMART - DATA SOURCES: </t>
    </r>
    <r>
      <rPr>
        <u/>
        <sz val="10"/>
        <color rgb="FF1155CC"/>
        <rFont val="Calibri"/>
      </rPr>
      <t>https://seller.walmart.com/analytics/overview/item-sale</t>
    </r>
    <r>
      <rPr>
        <u/>
        <sz val="10"/>
        <color rgb="FF1155CC"/>
        <rFont val="Calibri"/>
      </rPr>
      <t xml:space="preserve">;
</t>
    </r>
    <r>
      <rPr>
        <u/>
        <sz val="10"/>
        <color rgb="FF1155CC"/>
        <rFont val="Calibri"/>
      </rPr>
      <t>https://seller.walmart.com/analytics/reports</t>
    </r>
    <r>
      <rPr>
        <u/>
        <sz val="10"/>
        <color rgb="FF1155CC"/>
        <rFont val="Calibri"/>
      </rPr>
      <t xml:space="preserve">;
</t>
    </r>
    <r>
      <rPr>
        <u/>
        <sz val="10"/>
        <color rgb="FF000000"/>
        <rFont val="Calibri"/>
      </rPr>
      <t>And Intentwise</t>
    </r>
  </si>
  <si>
    <t>GA Grown American</t>
  </si>
  <si>
    <t>2025 - 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</si>
  <si>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</si>
  <si>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</si>
  <si>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</si>
  <si>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</si>
  <si>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</si>
  <si>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</si>
  <si>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</si>
  <si>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</si>
  <si>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</si>
  <si>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</si>
  <si>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</si>
  <si>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</si>
  <si>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</si>
  <si>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</si>
  <si>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</si>
  <si>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</si>
  <si>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</si>
  <si>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</si>
  <si>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</si>
  <si>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</si>
  <si>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</si>
  <si>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</si>
  <si>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</si>
  <si>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</si>
  <si>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</si>
  <si>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</si>
  <si>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</si>
  <si>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</si>
  <si>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</si>
  <si>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</si>
  <si>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</si>
  <si>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</si>
  <si>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</si>
  <si>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</si>
  <si>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</si>
  <si>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</si>
  <si>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</si>
  <si>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</si>
  <si>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</si>
  <si>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</si>
  <si>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</si>
  <si>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</si>
  <si>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r>
      <rPr>
        <u/>
        <sz val="10"/>
        <color rgb="FF000000"/>
        <rFont val="Calibri"/>
      </rPr>
      <t xml:space="preserve">WALMART - DATA SOURCES: </t>
    </r>
    <r>
      <rPr>
        <u/>
        <sz val="10"/>
        <color rgb="FF1155CC"/>
        <rFont val="Calibri"/>
      </rPr>
      <t>https://seller.walmart.com/advertising/search-engine-marketing/</t>
    </r>
  </si>
  <si>
    <t>Campaign Name</t>
  </si>
  <si>
    <t>Dielon - AquaTru - Highly Recommended</t>
  </si>
  <si>
    <t>Dielon - Ideal Prostate - Highly Recommended</t>
  </si>
  <si>
    <t>Dielon - Prosvent - Highly Recommended</t>
  </si>
  <si>
    <t>Dielon - Better Bladder - Highly Recommended</t>
  </si>
  <si>
    <t>Dielon - Rotorazer - Highly Recommended</t>
  </si>
  <si>
    <t>Dielon - Superthotics - Highly Recommended</t>
  </si>
  <si>
    <t>Dielon - AirDoctor Filter - Highly Recommended</t>
  </si>
  <si>
    <t>Dielon - AquaTru Filters- Highly Recommended</t>
  </si>
  <si>
    <t>Dielon - AirDoctor Main - Highly Recommended</t>
  </si>
  <si>
    <t>Dielon - Walkfit Platinum - Highly Recommended</t>
  </si>
  <si>
    <t>Dielon - Ionic Pro - Highly Suggested</t>
  </si>
  <si>
    <t>Dielon - Grown American - Highly Recommended</t>
  </si>
  <si>
    <t>Dielon - AirDoctor Main - Suggested</t>
  </si>
  <si>
    <t>Dielon - Aquatru Main - Suggested</t>
  </si>
  <si>
    <r>
      <rPr>
        <u/>
        <sz val="10"/>
        <color rgb="FF000000"/>
        <rFont val="Calibri"/>
      </rPr>
      <t xml:space="preserve">WALMART - DATA SOURCES: </t>
    </r>
    <r>
      <rPr>
        <u/>
        <sz val="10"/>
        <color rgb="FF1155CC"/>
        <rFont val="Calibri"/>
      </rPr>
      <t>https://seller.walmart.com/analytics/overview/item-sale</t>
    </r>
    <r>
      <rPr>
        <u/>
        <sz val="10"/>
        <color rgb="FF1155CC"/>
        <rFont val="Calibri"/>
      </rPr>
      <t xml:space="preserve">;
</t>
    </r>
    <r>
      <rPr>
        <u/>
        <sz val="10"/>
        <color rgb="FF1155CC"/>
        <rFont val="Calibri"/>
      </rPr>
      <t>https://seller.walmart.com/analytics/reports</t>
    </r>
    <r>
      <rPr>
        <u/>
        <sz val="10"/>
        <color rgb="FF1155CC"/>
        <rFont val="Calibri"/>
      </rPr>
      <t xml:space="preserve">;
</t>
    </r>
    <r>
      <rPr>
        <u/>
        <sz val="10"/>
        <color rgb="FF000000"/>
        <rFont val="Calibri"/>
      </rPr>
      <t>And Intentwise</t>
    </r>
  </si>
  <si>
    <t>2024 - Week 51</t>
  </si>
  <si>
    <t>2024 - Week 52</t>
  </si>
  <si>
    <t>2025 - Week 1</t>
  </si>
  <si>
    <t>2025 - Week 2</t>
  </si>
  <si>
    <t>2025 - Week 3</t>
  </si>
  <si>
    <t>2025 - Week 4</t>
  </si>
  <si>
    <t>2025 - Week 5</t>
  </si>
  <si>
    <t>2025 - Week 6</t>
  </si>
  <si>
    <t>2025 - Week 7</t>
  </si>
  <si>
    <t>2025 - Week 8</t>
  </si>
  <si>
    <r>
      <rPr>
        <u/>
        <sz val="10"/>
        <color rgb="FF000000"/>
        <rFont val="Calibri"/>
      </rPr>
      <t xml:space="preserve">WALMART - DATA SOURCES: </t>
    </r>
    <r>
      <rPr>
        <u/>
        <sz val="10"/>
        <color rgb="FF1155CC"/>
        <rFont val="Calibri"/>
      </rPr>
      <t>https://seller.walmart.com/advertising/search-engine-marketing/</t>
    </r>
  </si>
  <si>
    <r>
      <rPr>
        <u/>
        <sz val="10"/>
        <color rgb="FF000000"/>
        <rFont val="Calibri"/>
      </rPr>
      <t xml:space="preserve">WALMART - DATA SOURCES: </t>
    </r>
    <r>
      <rPr>
        <u/>
        <sz val="10"/>
        <color rgb="FF1155CC"/>
        <rFont val="Calibri"/>
      </rPr>
      <t>https://seller.walmart.com/analytics/overview/item-sale</t>
    </r>
    <r>
      <rPr>
        <u/>
        <sz val="10"/>
        <color rgb="FF1155CC"/>
        <rFont val="Calibri"/>
      </rPr>
      <t xml:space="preserve">;
</t>
    </r>
    <r>
      <rPr>
        <u/>
        <sz val="10"/>
        <color rgb="FF1155CC"/>
        <rFont val="Calibri"/>
      </rPr>
      <t>https://seller.walmart.com/analytics/reports</t>
    </r>
    <r>
      <rPr>
        <u/>
        <sz val="10"/>
        <color rgb="FF1155CC"/>
        <rFont val="Calibri"/>
      </rPr>
      <t xml:space="preserve">;
</t>
    </r>
    <r>
      <rPr>
        <u/>
        <sz val="10"/>
        <color rgb="FF000000"/>
        <rFont val="Calibri"/>
      </rPr>
      <t>And Intentwise</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</si>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</sst>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m\-yyyy"/>
  </numFmts>
  <fonts count="27" x14ac:knownFonts="1">
    <font>
      <sz val="10"/>
      <color rgb="FF000000"/>
      <name val="Arial"/>
      <scheme val="minor"/>
    </font>
    <font>
      <u/>
      <sz val="10"/>
      <color rgb="FF1155CC"/>
      <name val="Calibri"/>
    </font>
    <font>
      <sz val="10"/>
      <name val="Arial"/>
    </font>
    <font>
      <sz val="10"/>
      <color theme="1"/>
      <name val="Calibri"/>
    </font>
    <font>
      <sz val="10"/>
      <color rgb="FF000000"/>
      <name val="Calibri"/>
    </font>
    <font>
      <sz val="15"/>
      <color theme="1"/>
      <name val="Calibri"/>
    </font>
    <font>
      <sz val="15"/>
      <color rgb="FF757171"/>
      <name val="Calibri"/>
    </font>
    <font>
      <sz val="13"/>
      <color theme="1"/>
      <name val="Calibri"/>
    </font>
    <font>
      <b/>
      <sz val="13"/>
      <color theme="1"/>
      <name val="Calibri"/>
    </font>
    <font>
      <b/>
      <sz val="10"/>
      <color rgb="FF008000"/>
      <name val="Calibri"/>
    </font>
    <font>
      <b/>
      <sz val="10"/>
      <color theme="1"/>
      <name val="Calibri"/>
    </font>
    <font>
      <sz val="13"/>
      <color rgb="FF757171"/>
      <name val="Calibri"/>
    </font>
    <font>
      <b/>
      <sz val="10"/>
      <color theme="7"/>
      <name val="Calibri"/>
    </font>
    <font>
      <b/>
      <sz val="10"/>
      <color rgb="FFFF0000"/>
      <name val="Calibri"/>
    </font>
    <font>
      <sz val="10"/>
      <color theme="1"/>
      <name val="Calibri"/>
    </font>
    <font>
      <sz val="10"/>
      <color theme="1"/>
      <name val="Arial"/>
    </font>
    <font>
      <b/>
      <sz val="10"/>
      <color theme="1"/>
      <name val="Calibri"/>
    </font>
    <font>
      <b/>
      <sz val="10"/>
      <color rgb="FF34A853"/>
      <name val="Calibri"/>
    </font>
    <font>
      <b/>
      <sz val="10"/>
      <color rgb="FF000000"/>
      <name val="Calibri"/>
    </font>
    <font>
      <b/>
      <sz val="13"/>
      <color rgb="FF008000"/>
      <name val="Calibri"/>
    </font>
    <font>
      <b/>
      <sz val="13"/>
      <color theme="7"/>
      <name val="Calibri"/>
    </font>
    <font>
      <b/>
      <sz val="13"/>
      <color rgb="FFFF0000"/>
      <name val="Calibri"/>
    </font>
    <font>
      <b/>
      <sz val="12"/>
      <color theme="1"/>
      <name val="Calibri"/>
    </font>
    <font>
      <b/>
      <sz val="10"/>
      <color rgb="FF34A853"/>
      <name val="Calibri"/>
    </font>
    <font>
      <b/>
      <sz val="10"/>
      <color rgb="FFEA4335"/>
      <name val="Calibri"/>
    </font>
    <font>
      <sz val="10"/>
      <color rgb="FF757171"/>
      <name val="Calibri"/>
    </font>
    <font>
      <u/>
      <sz val="10"/>
      <color rgb="FF000000"/>
      <name val="Calibri"/>
    </font>
  </fonts>
  <fills count="18">
    <fill>
      <patternFill patternType="none"/>
    </fill>
    <fill>
      <patternFill patternType="gray125"/>
    </fill>
    <fill>
      <patternFill patternType="solid">
        <fgColor rgb="FFB7E1CD"/>
        <bgColor rgb="FFB7E1CD"/>
      </patternFill>
    </fill>
    <fill>
      <patternFill patternType="solid">
        <fgColor rgb="FFFFE599"/>
        <bgColor rgb="FFFFE599"/>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D9D9D9"/>
        <bgColor rgb="FFD9D9D9"/>
      </patternFill>
    </fill>
    <fill>
      <patternFill patternType="solid">
        <fgColor rgb="FFF6CEAD"/>
        <bgColor rgb="FFF6CEAD"/>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F6B26B"/>
        <bgColor rgb="FFF6B26B"/>
      </patternFill>
    </fill>
    <fill>
      <patternFill patternType="solid">
        <fgColor rgb="FF55BDCB"/>
        <bgColor rgb="FF55BDCB"/>
      </patternFill>
    </fill>
    <fill>
      <patternFill patternType="solid">
        <fgColor rgb="FFB6D7A8"/>
        <bgColor rgb="FFB6D7A8"/>
      </patternFill>
    </fill>
    <fill>
      <patternFill patternType="solid">
        <fgColor rgb="FFF1C232"/>
        <bgColor rgb="FFF1C232"/>
      </patternFill>
    </fill>
  </fills>
  <borders count="26">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right style="thin">
        <color rgb="FFFFFFFF"/>
      </right>
      <top/>
      <bottom/>
      <diagonal/>
    </border>
    <border>
      <left style="thin">
        <color rgb="FFFFFFFF"/>
      </left>
      <right/>
      <top/>
      <bottom style="thin">
        <color rgb="FFFFFFFF"/>
      </bottom>
      <diagonal/>
    </border>
    <border>
      <left style="thin">
        <color rgb="FF000000"/>
      </left>
      <right style="thin">
        <color rgb="FF000000"/>
      </right>
      <top style="thin">
        <color rgb="FF000000"/>
      </top>
      <bottom style="thin">
        <color rgb="FFFFFFFF"/>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FFFFFF"/>
      </left>
      <right/>
      <top/>
      <bottom/>
      <diagonal/>
    </border>
    <border>
      <left style="thin">
        <color rgb="FF000000"/>
      </left>
      <right style="thin">
        <color rgb="FFFFFFFF"/>
      </right>
      <top/>
      <bottom/>
      <diagonal/>
    </border>
    <border>
      <left/>
      <right style="thin">
        <color rgb="FF000000"/>
      </right>
      <top/>
      <bottom/>
      <diagonal/>
    </border>
    <border>
      <left style="thin">
        <color rgb="FF000000"/>
      </left>
      <right/>
      <top/>
      <bottom/>
      <diagonal/>
    </border>
    <border>
      <left style="thin">
        <color rgb="FF000000"/>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right style="thin">
        <color rgb="FF000000"/>
      </right>
      <top/>
      <bottom style="thin">
        <color rgb="FFFFFFFF"/>
      </bottom>
      <diagonal/>
    </border>
    <border>
      <left style="thin">
        <color rgb="FF000000"/>
      </left>
      <right style="thin">
        <color rgb="FFFFFFFF"/>
      </right>
      <top/>
      <bottom style="thin">
        <color rgb="FFFFFFFF"/>
      </bottom>
      <diagonal/>
    </border>
  </borders>
  <cellStyleXfs count="1">
    <xf numFmtId="0" fontId="0" fillId="0" borderId="0"/>
  </cellStyleXfs>
  <cellXfs count="355">
    <xf numFmtId="0" fontId="0" fillId="0" borderId="0" xfId="0"/>
    <xf numFmtId="0" fontId="3" fillId="0" borderId="3" xfId="0" applyFont="1" applyBorder="1"/>
    <xf numFmtId="0" fontId="3" fillId="0" borderId="2" xfId="0" applyFont="1" applyBorder="1"/>
    <xf numFmtId="164" fontId="3" fillId="0" borderId="2" xfId="0" applyNumberFormat="1" applyFont="1" applyBorder="1"/>
    <xf numFmtId="165" fontId="3" fillId="0" borderId="2" xfId="0" applyNumberFormat="1" applyFont="1" applyBorder="1"/>
    <xf numFmtId="0" fontId="4" fillId="2" borderId="3" xfId="0" applyFont="1" applyFill="1" applyBorder="1" applyAlignment="1">
      <alignment horizontal="center" vertical="center"/>
    </xf>
    <xf numFmtId="10" fontId="4" fillId="2" borderId="3" xfId="0" applyNumberFormat="1" applyFont="1" applyFill="1" applyBorder="1" applyAlignment="1">
      <alignment horizontal="center" vertical="center"/>
    </xf>
    <xf numFmtId="0" fontId="5" fillId="0" borderId="0" xfId="0" applyFont="1" applyAlignment="1">
      <alignment horizontal="center"/>
    </xf>
    <xf numFmtId="0" fontId="5" fillId="0" borderId="5" xfId="0" applyFont="1" applyBorder="1" applyAlignment="1">
      <alignment horizontal="center"/>
    </xf>
    <xf numFmtId="0" fontId="6" fillId="0" borderId="3" xfId="0" applyFont="1" applyBorder="1"/>
    <xf numFmtId="0" fontId="5" fillId="0" borderId="0" xfId="0" applyFont="1"/>
    <xf numFmtId="164" fontId="5" fillId="0" borderId="0" xfId="0" applyNumberFormat="1" applyFont="1"/>
    <xf numFmtId="0" fontId="5" fillId="0" borderId="3" xfId="0" applyFont="1" applyBorder="1"/>
    <xf numFmtId="165" fontId="5" fillId="0" borderId="3" xfId="0" applyNumberFormat="1" applyFont="1" applyBorder="1"/>
    <xf numFmtId="0" fontId="7" fillId="0" borderId="0" xfId="0" applyFont="1" applyAlignment="1">
      <alignment horizontal="center"/>
    </xf>
    <xf numFmtId="0" fontId="7" fillId="0" borderId="5" xfId="0" applyFont="1" applyBorder="1" applyAlignment="1">
      <alignment horizontal="center"/>
    </xf>
    <xf numFmtId="165" fontId="7" fillId="0" borderId="3" xfId="0" applyNumberFormat="1" applyFont="1" applyBorder="1" applyAlignment="1">
      <alignment horizontal="left"/>
    </xf>
    <xf numFmtId="0" fontId="7" fillId="0" borderId="0" xfId="0" applyFont="1"/>
    <xf numFmtId="164" fontId="7" fillId="0" borderId="0" xfId="0" applyNumberFormat="1" applyFont="1"/>
    <xf numFmtId="0" fontId="7" fillId="0" borderId="3" xfId="0" applyFont="1" applyBorder="1"/>
    <xf numFmtId="165" fontId="7" fillId="0" borderId="3" xfId="0" applyNumberFormat="1" applyFont="1" applyBorder="1"/>
    <xf numFmtId="9" fontId="8" fillId="0" borderId="0" xfId="0" applyNumberFormat="1" applyFont="1" applyAlignment="1">
      <alignment horizontal="center"/>
    </xf>
    <xf numFmtId="9" fontId="8" fillId="0" borderId="5" xfId="0" applyNumberFormat="1" applyFont="1" applyBorder="1" applyAlignment="1">
      <alignment horizontal="center"/>
    </xf>
    <xf numFmtId="10" fontId="9" fillId="0" borderId="3" xfId="0" applyNumberFormat="1" applyFont="1" applyBorder="1" applyAlignment="1">
      <alignment horizontal="left"/>
    </xf>
    <xf numFmtId="0" fontId="10" fillId="0" borderId="0" xfId="0" applyFont="1"/>
    <xf numFmtId="164" fontId="10" fillId="0" borderId="0" xfId="0" applyNumberFormat="1" applyFont="1"/>
    <xf numFmtId="9" fontId="8" fillId="0" borderId="3" xfId="0" applyNumberFormat="1" applyFont="1" applyBorder="1"/>
    <xf numFmtId="0" fontId="11" fillId="0" borderId="3" xfId="0" applyFont="1" applyBorder="1"/>
    <xf numFmtId="0" fontId="8" fillId="0" borderId="0" xfId="0" applyFont="1" applyAlignment="1">
      <alignment horizontal="center"/>
    </xf>
    <xf numFmtId="0" fontId="8" fillId="0" borderId="5" xfId="0" applyFont="1" applyBorder="1" applyAlignment="1">
      <alignment horizontal="center"/>
    </xf>
    <xf numFmtId="10" fontId="10" fillId="0" borderId="6" xfId="0" applyNumberFormat="1" applyFont="1" applyBorder="1" applyAlignment="1">
      <alignment horizontal="left"/>
    </xf>
    <xf numFmtId="0" fontId="8" fillId="0" borderId="6" xfId="0" applyFont="1" applyBorder="1"/>
    <xf numFmtId="165" fontId="8" fillId="0" borderId="6" xfId="0" applyNumberFormat="1" applyFont="1" applyBorder="1"/>
    <xf numFmtId="0" fontId="8" fillId="0" borderId="3" xfId="0" applyFont="1" applyBorder="1"/>
    <xf numFmtId="0" fontId="3" fillId="0" borderId="0" xfId="0" applyFont="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2" xfId="0" applyFont="1" applyBorder="1" applyAlignment="1">
      <alignment horizontal="center"/>
    </xf>
    <xf numFmtId="165" fontId="3" fillId="0" borderId="13" xfId="0" applyNumberFormat="1" applyFont="1" applyBorder="1" applyAlignment="1">
      <alignment horizontal="center"/>
    </xf>
    <xf numFmtId="165" fontId="3" fillId="0" borderId="14" xfId="0" applyNumberFormat="1" applyFont="1" applyBorder="1" applyAlignment="1">
      <alignment horizontal="center"/>
    </xf>
    <xf numFmtId="0" fontId="10" fillId="0" borderId="0" xfId="0" applyFont="1" applyAlignment="1">
      <alignment horizontal="center" wrapText="1"/>
    </xf>
    <xf numFmtId="0" fontId="10" fillId="0" borderId="15" xfId="0" applyFont="1" applyBorder="1" applyAlignment="1">
      <alignment horizontal="center" wrapText="1"/>
    </xf>
    <xf numFmtId="0" fontId="10" fillId="0" borderId="16" xfId="0" applyFont="1" applyBorder="1" applyAlignment="1">
      <alignment horizontal="center" wrapText="1"/>
    </xf>
    <xf numFmtId="164" fontId="10" fillId="3" borderId="6" xfId="0" applyNumberFormat="1" applyFont="1" applyFill="1" applyBorder="1" applyAlignment="1">
      <alignment horizontal="center" wrapText="1"/>
    </xf>
    <xf numFmtId="0" fontId="10" fillId="0" borderId="6" xfId="0" applyFont="1" applyBorder="1" applyAlignment="1">
      <alignment horizontal="center" wrapText="1"/>
    </xf>
    <xf numFmtId="164" fontId="10" fillId="0" borderId="16" xfId="0" applyNumberFormat="1" applyFont="1" applyBorder="1" applyAlignment="1">
      <alignment horizontal="center" wrapText="1"/>
    </xf>
    <xf numFmtId="0" fontId="10" fillId="0" borderId="17" xfId="0" applyFont="1" applyBorder="1" applyAlignment="1">
      <alignment horizontal="center" wrapText="1"/>
    </xf>
    <xf numFmtId="165" fontId="10" fillId="0" borderId="0" xfId="0" applyNumberFormat="1" applyFont="1" applyAlignment="1">
      <alignment horizontal="center" wrapText="1"/>
    </xf>
    <xf numFmtId="0" fontId="10" fillId="0" borderId="18" xfId="0" applyFont="1" applyBorder="1" applyAlignment="1">
      <alignment horizontal="center" wrapText="1"/>
    </xf>
    <xf numFmtId="0" fontId="14" fillId="0" borderId="0" xfId="0" applyFont="1"/>
    <xf numFmtId="0" fontId="3" fillId="2" borderId="0" xfId="0" applyFont="1" applyFill="1" applyAlignment="1">
      <alignment horizontal="center"/>
    </xf>
    <xf numFmtId="0" fontId="10" fillId="2" borderId="1" xfId="0" applyFont="1" applyFill="1" applyBorder="1" applyAlignment="1">
      <alignment horizontal="center"/>
    </xf>
    <xf numFmtId="0" fontId="10" fillId="2" borderId="19" xfId="0" applyFont="1" applyFill="1" applyBorder="1" applyAlignment="1">
      <alignment horizontal="center"/>
    </xf>
    <xf numFmtId="165" fontId="10" fillId="2" borderId="19" xfId="0" applyNumberFormat="1" applyFont="1" applyFill="1" applyBorder="1" applyAlignment="1">
      <alignment horizontal="center"/>
    </xf>
    <xf numFmtId="164" fontId="10" fillId="2" borderId="2" xfId="0" applyNumberFormat="1" applyFont="1" applyFill="1" applyBorder="1" applyAlignment="1">
      <alignment horizontal="center"/>
    </xf>
    <xf numFmtId="0" fontId="10" fillId="2" borderId="2" xfId="0" applyFont="1" applyFill="1" applyBorder="1" applyAlignment="1">
      <alignment horizontal="center"/>
    </xf>
    <xf numFmtId="2" fontId="10" fillId="2" borderId="2" xfId="0" applyNumberFormat="1" applyFont="1" applyFill="1" applyBorder="1" applyAlignment="1">
      <alignment horizontal="center"/>
    </xf>
    <xf numFmtId="164" fontId="10" fillId="2" borderId="20" xfId="0" applyNumberFormat="1" applyFont="1" applyFill="1" applyBorder="1" applyAlignment="1">
      <alignment horizontal="center"/>
    </xf>
    <xf numFmtId="165" fontId="10" fillId="2" borderId="2" xfId="0" applyNumberFormat="1" applyFont="1" applyFill="1" applyBorder="1" applyAlignment="1">
      <alignment horizontal="center"/>
    </xf>
    <xf numFmtId="10" fontId="10" fillId="2" borderId="2" xfId="0" applyNumberFormat="1" applyFont="1" applyFill="1" applyBorder="1" applyAlignment="1">
      <alignment horizontal="center"/>
    </xf>
    <xf numFmtId="4" fontId="10" fillId="2" borderId="2" xfId="0" applyNumberFormat="1" applyFont="1" applyFill="1" applyBorder="1" applyAlignment="1">
      <alignment horizontal="center"/>
    </xf>
    <xf numFmtId="10" fontId="10" fillId="2" borderId="21" xfId="0" applyNumberFormat="1" applyFont="1" applyFill="1" applyBorder="1" applyAlignment="1">
      <alignment horizontal="center"/>
    </xf>
    <xf numFmtId="165" fontId="10" fillId="2" borderId="20" xfId="0" applyNumberFormat="1" applyFont="1" applyFill="1" applyBorder="1" applyAlignment="1">
      <alignment horizontal="center"/>
    </xf>
    <xf numFmtId="164" fontId="10" fillId="2" borderId="21" xfId="0" applyNumberFormat="1" applyFont="1" applyFill="1" applyBorder="1" applyAlignment="1">
      <alignment horizontal="center"/>
    </xf>
    <xf numFmtId="10" fontId="3" fillId="2" borderId="19" xfId="0" applyNumberFormat="1" applyFont="1" applyFill="1" applyBorder="1" applyAlignment="1">
      <alignment horizontal="center"/>
    </xf>
    <xf numFmtId="10" fontId="10" fillId="2" borderId="19" xfId="0" applyNumberFormat="1" applyFont="1" applyFill="1" applyBorder="1" applyAlignment="1">
      <alignment horizontal="center"/>
    </xf>
    <xf numFmtId="0" fontId="3" fillId="0" borderId="0" xfId="0" applyFont="1"/>
    <xf numFmtId="0" fontId="15" fillId="0" borderId="0" xfId="0" applyFont="1"/>
    <xf numFmtId="14" fontId="14" fillId="0" borderId="1" xfId="0" applyNumberFormat="1" applyFont="1" applyBorder="1" applyAlignment="1">
      <alignment horizontal="center"/>
    </xf>
    <xf numFmtId="0" fontId="14" fillId="0" borderId="19" xfId="0" applyFont="1" applyBorder="1" applyAlignment="1">
      <alignment horizontal="center"/>
    </xf>
    <xf numFmtId="165" fontId="14" fillId="4" borderId="19" xfId="0" applyNumberFormat="1" applyFont="1" applyFill="1" applyBorder="1" applyAlignment="1">
      <alignment horizontal="center"/>
    </xf>
    <xf numFmtId="164" fontId="15" fillId="0" borderId="2" xfId="0" applyNumberFormat="1" applyFont="1" applyBorder="1"/>
    <xf numFmtId="0" fontId="14" fillId="0" borderId="22" xfId="0" applyFont="1" applyBorder="1" applyAlignment="1">
      <alignment horizontal="center"/>
    </xf>
    <xf numFmtId="2" fontId="14" fillId="0" borderId="2" xfId="0" applyNumberFormat="1" applyFont="1" applyBorder="1" applyAlignment="1">
      <alignment horizontal="center"/>
    </xf>
    <xf numFmtId="164" fontId="14" fillId="0" borderId="2" xfId="0" applyNumberFormat="1" applyFont="1" applyBorder="1" applyAlignment="1">
      <alignment horizontal="center"/>
    </xf>
    <xf numFmtId="164" fontId="14" fillId="0" borderId="20" xfId="0" applyNumberFormat="1" applyFont="1" applyBorder="1" applyAlignment="1">
      <alignment horizontal="center"/>
    </xf>
    <xf numFmtId="165" fontId="14" fillId="4" borderId="19" xfId="0" applyNumberFormat="1" applyFont="1" applyFill="1" applyBorder="1" applyAlignment="1">
      <alignment horizontal="center" wrapText="1"/>
    </xf>
    <xf numFmtId="165" fontId="14" fillId="4" borderId="22" xfId="0" applyNumberFormat="1" applyFont="1" applyFill="1" applyBorder="1" applyAlignment="1">
      <alignment horizontal="center"/>
    </xf>
    <xf numFmtId="10" fontId="14" fillId="0" borderId="2" xfId="0" applyNumberFormat="1" applyFont="1" applyBorder="1" applyAlignment="1">
      <alignment horizontal="center"/>
    </xf>
    <xf numFmtId="4" fontId="14" fillId="0" borderId="2" xfId="0" applyNumberFormat="1" applyFont="1" applyBorder="1" applyAlignment="1">
      <alignment horizontal="center"/>
    </xf>
    <xf numFmtId="10" fontId="14" fillId="0" borderId="21" xfId="0" applyNumberFormat="1" applyFont="1" applyBorder="1" applyAlignment="1">
      <alignment horizontal="center"/>
    </xf>
    <xf numFmtId="165" fontId="14" fillId="4" borderId="20" xfId="0" applyNumberFormat="1" applyFont="1" applyFill="1" applyBorder="1" applyAlignment="1">
      <alignment horizontal="center"/>
    </xf>
    <xf numFmtId="164" fontId="14" fillId="0" borderId="21" xfId="0" applyNumberFormat="1" applyFont="1" applyBorder="1" applyAlignment="1">
      <alignment horizontal="center"/>
    </xf>
    <xf numFmtId="10" fontId="15" fillId="0" borderId="19" xfId="0" applyNumberFormat="1" applyFont="1" applyBorder="1"/>
    <xf numFmtId="0" fontId="15" fillId="0" borderId="3" xfId="0" applyFont="1" applyBorder="1"/>
    <xf numFmtId="14" fontId="15" fillId="0" borderId="1" xfId="0" applyNumberFormat="1" applyFont="1" applyBorder="1"/>
    <xf numFmtId="165" fontId="14" fillId="5" borderId="19" xfId="0" applyNumberFormat="1" applyFont="1" applyFill="1" applyBorder="1" applyAlignment="1">
      <alignment horizontal="center"/>
    </xf>
    <xf numFmtId="165" fontId="14" fillId="5" borderId="22" xfId="0" applyNumberFormat="1" applyFont="1" applyFill="1" applyBorder="1" applyAlignment="1">
      <alignment horizontal="center"/>
    </xf>
    <xf numFmtId="165" fontId="14" fillId="5" borderId="20" xfId="0" applyNumberFormat="1" applyFont="1" applyFill="1" applyBorder="1" applyAlignment="1">
      <alignment horizontal="center"/>
    </xf>
    <xf numFmtId="165" fontId="14" fillId="6" borderId="19" xfId="0" applyNumberFormat="1" applyFont="1" applyFill="1" applyBorder="1" applyAlignment="1">
      <alignment horizontal="center"/>
    </xf>
    <xf numFmtId="165" fontId="14" fillId="6" borderId="22" xfId="0" applyNumberFormat="1" applyFont="1" applyFill="1" applyBorder="1" applyAlignment="1">
      <alignment horizontal="center"/>
    </xf>
    <xf numFmtId="165" fontId="14" fillId="6" borderId="20" xfId="0" applyNumberFormat="1" applyFont="1" applyFill="1" applyBorder="1" applyAlignment="1">
      <alignment horizontal="center"/>
    </xf>
    <xf numFmtId="165" fontId="14" fillId="2" borderId="19" xfId="0" applyNumberFormat="1" applyFont="1" applyFill="1" applyBorder="1" applyAlignment="1">
      <alignment horizontal="center"/>
    </xf>
    <xf numFmtId="165" fontId="14" fillId="2" borderId="22" xfId="0" applyNumberFormat="1" applyFont="1" applyFill="1" applyBorder="1" applyAlignment="1">
      <alignment horizontal="center"/>
    </xf>
    <xf numFmtId="165" fontId="14" fillId="2" borderId="20" xfId="0" applyNumberFormat="1" applyFont="1" applyFill="1" applyBorder="1" applyAlignment="1">
      <alignment horizontal="center"/>
    </xf>
    <xf numFmtId="165" fontId="14" fillId="7" borderId="19" xfId="0" applyNumberFormat="1" applyFont="1" applyFill="1" applyBorder="1" applyAlignment="1">
      <alignment horizontal="center"/>
    </xf>
    <xf numFmtId="165" fontId="14" fillId="7" borderId="22" xfId="0" applyNumberFormat="1" applyFont="1" applyFill="1" applyBorder="1" applyAlignment="1">
      <alignment horizontal="center"/>
    </xf>
    <xf numFmtId="165" fontId="14" fillId="7" borderId="20" xfId="0" applyNumberFormat="1" applyFont="1" applyFill="1" applyBorder="1" applyAlignment="1">
      <alignment horizontal="center"/>
    </xf>
    <xf numFmtId="165" fontId="14" fillId="8" borderId="19" xfId="0" applyNumberFormat="1" applyFont="1" applyFill="1" applyBorder="1" applyAlignment="1">
      <alignment horizontal="center"/>
    </xf>
    <xf numFmtId="165" fontId="14" fillId="8" borderId="22" xfId="0" applyNumberFormat="1" applyFont="1" applyFill="1" applyBorder="1" applyAlignment="1">
      <alignment horizontal="center"/>
    </xf>
    <xf numFmtId="165" fontId="14" fillId="8" borderId="20" xfId="0" applyNumberFormat="1" applyFont="1" applyFill="1" applyBorder="1" applyAlignment="1">
      <alignment horizontal="center"/>
    </xf>
    <xf numFmtId="165" fontId="14" fillId="9" borderId="19" xfId="0" applyNumberFormat="1" applyFont="1" applyFill="1" applyBorder="1" applyAlignment="1">
      <alignment horizontal="center"/>
    </xf>
    <xf numFmtId="165" fontId="14" fillId="9" borderId="22" xfId="0" applyNumberFormat="1" applyFont="1" applyFill="1" applyBorder="1" applyAlignment="1">
      <alignment horizontal="center"/>
    </xf>
    <xf numFmtId="165" fontId="14" fillId="9" borderId="20" xfId="0" applyNumberFormat="1" applyFont="1" applyFill="1" applyBorder="1" applyAlignment="1">
      <alignment horizontal="center"/>
    </xf>
    <xf numFmtId="165" fontId="14" fillId="10" borderId="19" xfId="0" applyNumberFormat="1" applyFont="1" applyFill="1" applyBorder="1" applyAlignment="1">
      <alignment horizontal="center"/>
    </xf>
    <xf numFmtId="165" fontId="14" fillId="10" borderId="22" xfId="0" applyNumberFormat="1" applyFont="1" applyFill="1" applyBorder="1" applyAlignment="1">
      <alignment horizontal="center"/>
    </xf>
    <xf numFmtId="165" fontId="14" fillId="10" borderId="20" xfId="0" applyNumberFormat="1" applyFont="1" applyFill="1" applyBorder="1" applyAlignment="1">
      <alignment horizontal="center"/>
    </xf>
    <xf numFmtId="165" fontId="14" fillId="11" borderId="19" xfId="0" applyNumberFormat="1" applyFont="1" applyFill="1" applyBorder="1" applyAlignment="1">
      <alignment horizontal="center"/>
    </xf>
    <xf numFmtId="165" fontId="14" fillId="11" borderId="22" xfId="0" applyNumberFormat="1" applyFont="1" applyFill="1" applyBorder="1" applyAlignment="1">
      <alignment horizontal="center"/>
    </xf>
    <xf numFmtId="165" fontId="14" fillId="12" borderId="20" xfId="0" applyNumberFormat="1" applyFont="1" applyFill="1" applyBorder="1" applyAlignment="1">
      <alignment horizontal="center"/>
    </xf>
    <xf numFmtId="0" fontId="15" fillId="0" borderId="6" xfId="0" applyFont="1" applyBorder="1"/>
    <xf numFmtId="0" fontId="14" fillId="0" borderId="21" xfId="0" applyFont="1" applyBorder="1" applyAlignment="1">
      <alignment horizontal="center"/>
    </xf>
    <xf numFmtId="10" fontId="15" fillId="0" borderId="21" xfId="0" applyNumberFormat="1" applyFont="1" applyBorder="1"/>
    <xf numFmtId="10" fontId="15" fillId="0" borderId="2" xfId="0" applyNumberFormat="1" applyFont="1" applyBorder="1"/>
    <xf numFmtId="0" fontId="15" fillId="0" borderId="2" xfId="0" applyFont="1" applyBorder="1"/>
    <xf numFmtId="165" fontId="14" fillId="13" borderId="19" xfId="0" applyNumberFormat="1" applyFont="1" applyFill="1" applyBorder="1" applyAlignment="1">
      <alignment horizontal="center"/>
    </xf>
    <xf numFmtId="165" fontId="14" fillId="13" borderId="22" xfId="0" applyNumberFormat="1" applyFont="1" applyFill="1" applyBorder="1" applyAlignment="1">
      <alignment horizontal="center"/>
    </xf>
    <xf numFmtId="0" fontId="14" fillId="0" borderId="0" xfId="0" applyFont="1" applyAlignment="1">
      <alignment horizontal="center"/>
    </xf>
    <xf numFmtId="0" fontId="16" fillId="2" borderId="1" xfId="0" applyFont="1" applyFill="1" applyBorder="1" applyAlignment="1">
      <alignment horizontal="center"/>
    </xf>
    <xf numFmtId="0" fontId="15" fillId="2" borderId="19" xfId="0" applyFont="1" applyFill="1" applyBorder="1"/>
    <xf numFmtId="165" fontId="16" fillId="2" borderId="19" xfId="0" applyNumberFormat="1" applyFont="1" applyFill="1" applyBorder="1" applyAlignment="1">
      <alignment horizontal="center"/>
    </xf>
    <xf numFmtId="164" fontId="15" fillId="2" borderId="2" xfId="0" applyNumberFormat="1" applyFont="1" applyFill="1" applyBorder="1"/>
    <xf numFmtId="0" fontId="16" fillId="2" borderId="2" xfId="0" applyFont="1" applyFill="1" applyBorder="1" applyAlignment="1">
      <alignment horizontal="center"/>
    </xf>
    <xf numFmtId="2" fontId="16" fillId="2" borderId="2" xfId="0" applyNumberFormat="1" applyFont="1" applyFill="1" applyBorder="1" applyAlignment="1">
      <alignment horizontal="center"/>
    </xf>
    <xf numFmtId="164" fontId="16" fillId="2" borderId="2" xfId="0" applyNumberFormat="1" applyFont="1" applyFill="1" applyBorder="1" applyAlignment="1">
      <alignment horizontal="center"/>
    </xf>
    <xf numFmtId="164" fontId="16" fillId="2" borderId="20" xfId="0" applyNumberFormat="1" applyFont="1" applyFill="1" applyBorder="1" applyAlignment="1">
      <alignment horizontal="center"/>
    </xf>
    <xf numFmtId="165" fontId="16" fillId="2" borderId="2" xfId="0" applyNumberFormat="1" applyFont="1" applyFill="1" applyBorder="1" applyAlignment="1">
      <alignment horizontal="center"/>
    </xf>
    <xf numFmtId="10" fontId="16" fillId="2" borderId="2" xfId="0" applyNumberFormat="1" applyFont="1" applyFill="1" applyBorder="1" applyAlignment="1">
      <alignment horizontal="center"/>
    </xf>
    <xf numFmtId="4" fontId="16" fillId="2" borderId="2" xfId="0" applyNumberFormat="1" applyFont="1" applyFill="1" applyBorder="1" applyAlignment="1">
      <alignment horizontal="center"/>
    </xf>
    <xf numFmtId="10" fontId="16" fillId="2" borderId="21" xfId="0" applyNumberFormat="1" applyFont="1" applyFill="1" applyBorder="1" applyAlignment="1">
      <alignment horizontal="center"/>
    </xf>
    <xf numFmtId="165" fontId="16" fillId="2" borderId="20" xfId="0" applyNumberFormat="1" applyFont="1" applyFill="1" applyBorder="1" applyAlignment="1">
      <alignment horizontal="center"/>
    </xf>
    <xf numFmtId="164" fontId="16" fillId="2" borderId="21" xfId="0" applyNumberFormat="1" applyFont="1" applyFill="1" applyBorder="1" applyAlignment="1">
      <alignment horizontal="center"/>
    </xf>
    <xf numFmtId="10" fontId="17" fillId="2" borderId="19" xfId="0" applyNumberFormat="1" applyFont="1" applyFill="1" applyBorder="1" applyAlignment="1">
      <alignment horizontal="center"/>
    </xf>
    <xf numFmtId="10" fontId="15" fillId="2" borderId="19" xfId="0" applyNumberFormat="1" applyFont="1" applyFill="1" applyBorder="1"/>
    <xf numFmtId="10" fontId="14" fillId="0" borderId="19" xfId="0" applyNumberFormat="1" applyFont="1" applyBorder="1"/>
    <xf numFmtId="0" fontId="14" fillId="0" borderId="3" xfId="0" applyFont="1" applyBorder="1"/>
    <xf numFmtId="14" fontId="14" fillId="0" borderId="1" xfId="0" applyNumberFormat="1" applyFont="1" applyBorder="1"/>
    <xf numFmtId="0" fontId="14" fillId="0" borderId="1" xfId="0" applyFont="1" applyBorder="1" applyAlignment="1">
      <alignment horizontal="center"/>
    </xf>
    <xf numFmtId="0" fontId="14" fillId="0" borderId="6" xfId="0" applyFont="1" applyBorder="1"/>
    <xf numFmtId="10" fontId="14" fillId="0" borderId="21" xfId="0" applyNumberFormat="1" applyFont="1" applyBorder="1"/>
    <xf numFmtId="10" fontId="14" fillId="0" borderId="2" xfId="0" applyNumberFormat="1" applyFont="1" applyBorder="1"/>
    <xf numFmtId="0" fontId="14" fillId="0" borderId="2" xfId="0" applyFont="1" applyBorder="1"/>
    <xf numFmtId="10" fontId="14" fillId="0" borderId="19" xfId="0" applyNumberFormat="1" applyFont="1" applyBorder="1" applyAlignment="1">
      <alignment horizontal="center"/>
    </xf>
    <xf numFmtId="0" fontId="14" fillId="0" borderId="3" xfId="0" applyFont="1" applyBorder="1" applyAlignment="1">
      <alignment horizontal="center"/>
    </xf>
    <xf numFmtId="0" fontId="14" fillId="2" borderId="19" xfId="0" applyFont="1" applyFill="1" applyBorder="1"/>
    <xf numFmtId="164" fontId="14" fillId="0" borderId="0" xfId="0" applyNumberFormat="1" applyFont="1"/>
    <xf numFmtId="14" fontId="3" fillId="0" borderId="1" xfId="0" applyNumberFormat="1" applyFont="1" applyBorder="1" applyAlignment="1">
      <alignment horizontal="center"/>
    </xf>
    <xf numFmtId="0" fontId="3" fillId="0" borderId="19" xfId="0" applyFont="1" applyBorder="1" applyAlignment="1">
      <alignment horizontal="center"/>
    </xf>
    <xf numFmtId="165" fontId="3" fillId="4" borderId="19" xfId="0" applyNumberFormat="1" applyFont="1" applyFill="1" applyBorder="1" applyAlignment="1">
      <alignment horizontal="center"/>
    </xf>
    <xf numFmtId="164" fontId="3" fillId="0" borderId="2" xfId="0" applyNumberFormat="1" applyFont="1" applyBorder="1" applyAlignment="1">
      <alignment horizontal="center"/>
    </xf>
    <xf numFmtId="0" fontId="3" fillId="0" borderId="22" xfId="0" applyFont="1" applyBorder="1" applyAlignment="1">
      <alignment horizontal="center"/>
    </xf>
    <xf numFmtId="2" fontId="3" fillId="0" borderId="2" xfId="0" applyNumberFormat="1" applyFont="1" applyBorder="1" applyAlignment="1">
      <alignment horizontal="center"/>
    </xf>
    <xf numFmtId="165" fontId="3" fillId="0" borderId="19" xfId="0" applyNumberFormat="1" applyFont="1" applyBorder="1" applyAlignment="1">
      <alignment horizontal="center"/>
    </xf>
    <xf numFmtId="165" fontId="3" fillId="5" borderId="22" xfId="0" applyNumberFormat="1" applyFont="1" applyFill="1" applyBorder="1" applyAlignment="1">
      <alignment horizontal="center"/>
    </xf>
    <xf numFmtId="10" fontId="3" fillId="0" borderId="2" xfId="0" applyNumberFormat="1" applyFont="1" applyBorder="1" applyAlignment="1">
      <alignment horizontal="center"/>
    </xf>
    <xf numFmtId="4" fontId="3" fillId="0" borderId="2" xfId="0" applyNumberFormat="1" applyFont="1" applyBorder="1" applyAlignment="1">
      <alignment horizontal="center"/>
    </xf>
    <xf numFmtId="10" fontId="3" fillId="0" borderId="21" xfId="0" applyNumberFormat="1" applyFont="1" applyBorder="1"/>
    <xf numFmtId="165" fontId="3" fillId="0" borderId="20" xfId="0" applyNumberFormat="1" applyFont="1" applyBorder="1" applyAlignment="1">
      <alignment horizontal="center"/>
    </xf>
    <xf numFmtId="164" fontId="3" fillId="0" borderId="21" xfId="0" applyNumberFormat="1" applyFont="1" applyBorder="1"/>
    <xf numFmtId="10" fontId="3" fillId="0" borderId="19" xfId="0" applyNumberFormat="1" applyFont="1" applyBorder="1" applyAlignment="1">
      <alignment horizontal="center"/>
    </xf>
    <xf numFmtId="166" fontId="3" fillId="0" borderId="0" xfId="0" applyNumberFormat="1" applyFont="1" applyAlignment="1">
      <alignment horizontal="center"/>
    </xf>
    <xf numFmtId="165" fontId="3" fillId="5" borderId="19" xfId="0" applyNumberFormat="1" applyFont="1" applyFill="1" applyBorder="1" applyAlignment="1">
      <alignment horizontal="center"/>
    </xf>
    <xf numFmtId="165" fontId="3" fillId="9" borderId="19" xfId="0" applyNumberFormat="1" applyFont="1" applyFill="1" applyBorder="1" applyAlignment="1">
      <alignment horizontal="center"/>
    </xf>
    <xf numFmtId="165" fontId="3" fillId="9" borderId="22" xfId="0" applyNumberFormat="1" applyFont="1" applyFill="1" applyBorder="1" applyAlignment="1">
      <alignment horizontal="center"/>
    </xf>
    <xf numFmtId="165" fontId="3" fillId="10" borderId="19" xfId="0" applyNumberFormat="1" applyFont="1" applyFill="1" applyBorder="1" applyAlignment="1">
      <alignment horizontal="center"/>
    </xf>
    <xf numFmtId="165" fontId="3" fillId="10" borderId="22" xfId="0" applyNumberFormat="1" applyFont="1" applyFill="1" applyBorder="1" applyAlignment="1">
      <alignment horizontal="center"/>
    </xf>
    <xf numFmtId="165" fontId="3" fillId="12" borderId="19" xfId="0" applyNumberFormat="1" applyFont="1" applyFill="1" applyBorder="1" applyAlignment="1">
      <alignment horizontal="center"/>
    </xf>
    <xf numFmtId="165" fontId="3" fillId="12" borderId="22" xfId="0" applyNumberFormat="1" applyFont="1" applyFill="1" applyBorder="1" applyAlignment="1">
      <alignment horizontal="center"/>
    </xf>
    <xf numFmtId="164" fontId="10" fillId="2" borderId="19" xfId="0" applyNumberFormat="1" applyFont="1" applyFill="1" applyBorder="1" applyAlignment="1">
      <alignment horizontal="center"/>
    </xf>
    <xf numFmtId="10" fontId="10" fillId="2" borderId="21" xfId="0" applyNumberFormat="1" applyFont="1" applyFill="1" applyBorder="1"/>
    <xf numFmtId="165" fontId="18" fillId="2" borderId="20" xfId="0" applyNumberFormat="1" applyFont="1" applyFill="1" applyBorder="1" applyAlignment="1">
      <alignment horizontal="center"/>
    </xf>
    <xf numFmtId="164" fontId="10" fillId="2" borderId="21" xfId="0" applyNumberFormat="1" applyFont="1" applyFill="1" applyBorder="1"/>
    <xf numFmtId="0" fontId="10" fillId="0" borderId="0" xfId="0" applyFont="1" applyAlignment="1">
      <alignment horizontal="center"/>
    </xf>
    <xf numFmtId="165" fontId="10" fillId="0" borderId="0" xfId="0" applyNumberFormat="1" applyFont="1" applyAlignment="1">
      <alignment horizontal="center"/>
    </xf>
    <xf numFmtId="164" fontId="10" fillId="0" borderId="0" xfId="0" applyNumberFormat="1" applyFont="1" applyAlignment="1">
      <alignment horizontal="center"/>
    </xf>
    <xf numFmtId="2" fontId="10" fillId="0" borderId="0" xfId="0" applyNumberFormat="1" applyFont="1" applyAlignment="1">
      <alignment horizontal="center"/>
    </xf>
    <xf numFmtId="10" fontId="10" fillId="0" borderId="0" xfId="0" applyNumberFormat="1" applyFont="1" applyAlignment="1">
      <alignment horizontal="center"/>
    </xf>
    <xf numFmtId="9" fontId="10" fillId="0" borderId="0" xfId="0" applyNumberFormat="1" applyFont="1" applyAlignment="1">
      <alignment horizontal="center"/>
    </xf>
    <xf numFmtId="165" fontId="18" fillId="0" borderId="0" xfId="0" applyNumberFormat="1" applyFont="1" applyAlignment="1">
      <alignment horizontal="center"/>
    </xf>
    <xf numFmtId="10" fontId="3" fillId="0" borderId="0" xfId="0" applyNumberFormat="1" applyFont="1" applyAlignment="1">
      <alignment horizontal="center"/>
    </xf>
    <xf numFmtId="0" fontId="5" fillId="0" borderId="4" xfId="0" applyFont="1" applyBorder="1" applyAlignment="1">
      <alignment horizontal="center"/>
    </xf>
    <xf numFmtId="0" fontId="5" fillId="0" borderId="5" xfId="0" applyFont="1" applyBorder="1"/>
    <xf numFmtId="0" fontId="7" fillId="0" borderId="20" xfId="0" applyFont="1" applyBorder="1" applyAlignment="1">
      <alignment horizontal="center"/>
    </xf>
    <xf numFmtId="0" fontId="7" fillId="0" borderId="2" xfId="0" applyFont="1" applyBorder="1"/>
    <xf numFmtId="0" fontId="7" fillId="0" borderId="22" xfId="0" applyFont="1" applyBorder="1"/>
    <xf numFmtId="9" fontId="8" fillId="0" borderId="20" xfId="0" applyNumberFormat="1" applyFont="1" applyBorder="1" applyAlignment="1">
      <alignment horizontal="center"/>
    </xf>
    <xf numFmtId="10" fontId="19" fillId="0" borderId="3" xfId="0" applyNumberFormat="1" applyFont="1" applyBorder="1" applyAlignment="1">
      <alignment horizontal="left"/>
    </xf>
    <xf numFmtId="0" fontId="8" fillId="0" borderId="2" xfId="0" applyFont="1" applyBorder="1"/>
    <xf numFmtId="0" fontId="8" fillId="0" borderId="22" xfId="0" applyFont="1" applyBorder="1"/>
    <xf numFmtId="0" fontId="5" fillId="0" borderId="20" xfId="0" applyFont="1" applyBorder="1" applyAlignment="1">
      <alignment horizontal="center"/>
    </xf>
    <xf numFmtId="0" fontId="5" fillId="0" borderId="2" xfId="0" applyFont="1" applyBorder="1"/>
    <xf numFmtId="0" fontId="5" fillId="0" borderId="22" xfId="0" applyFont="1" applyBorder="1"/>
    <xf numFmtId="0" fontId="8" fillId="0" borderId="20" xfId="0" applyFont="1" applyBorder="1" applyAlignment="1">
      <alignment horizontal="center"/>
    </xf>
    <xf numFmtId="10" fontId="8" fillId="0" borderId="6" xfId="0" applyNumberFormat="1" applyFont="1" applyBorder="1" applyAlignment="1">
      <alignment horizontal="left"/>
    </xf>
    <xf numFmtId="0" fontId="8" fillId="0" borderId="0" xfId="0" applyFont="1"/>
    <xf numFmtId="0" fontId="8" fillId="0" borderId="23" xfId="0" applyFont="1" applyBorder="1"/>
    <xf numFmtId="0" fontId="3" fillId="0" borderId="20" xfId="0" applyFont="1" applyBorder="1" applyAlignment="1">
      <alignment horizontal="center"/>
    </xf>
    <xf numFmtId="0" fontId="22" fillId="14" borderId="19" xfId="0" applyFont="1" applyFill="1" applyBorder="1" applyAlignment="1">
      <alignment horizontal="center"/>
    </xf>
    <xf numFmtId="3" fontId="14" fillId="0" borderId="22" xfId="0" applyNumberFormat="1" applyFont="1" applyBorder="1" applyAlignment="1">
      <alignment horizontal="center"/>
    </xf>
    <xf numFmtId="165" fontId="14" fillId="15" borderId="19" xfId="0" applyNumberFormat="1" applyFont="1" applyFill="1" applyBorder="1" applyAlignment="1">
      <alignment horizontal="center"/>
    </xf>
    <xf numFmtId="165" fontId="14" fillId="16" borderId="19" xfId="0" applyNumberFormat="1" applyFont="1" applyFill="1" applyBorder="1" applyAlignment="1">
      <alignment horizontal="center"/>
    </xf>
    <xf numFmtId="165" fontId="14" fillId="16" borderId="22" xfId="0" applyNumberFormat="1" applyFont="1" applyFill="1" applyBorder="1" applyAlignment="1">
      <alignment horizontal="center"/>
    </xf>
    <xf numFmtId="165" fontId="14" fillId="16" borderId="20" xfId="0" applyNumberFormat="1" applyFont="1" applyFill="1" applyBorder="1" applyAlignment="1">
      <alignment horizontal="center"/>
    </xf>
    <xf numFmtId="3" fontId="14" fillId="5" borderId="22" xfId="0" applyNumberFormat="1" applyFont="1" applyFill="1" applyBorder="1" applyAlignment="1">
      <alignment horizontal="center"/>
    </xf>
    <xf numFmtId="0" fontId="14" fillId="5" borderId="22" xfId="0" applyFont="1" applyFill="1" applyBorder="1" applyAlignment="1">
      <alignment horizontal="center"/>
    </xf>
    <xf numFmtId="0" fontId="16" fillId="2" borderId="24" xfId="0" applyFont="1" applyFill="1" applyBorder="1" applyAlignment="1">
      <alignment horizontal="center"/>
    </xf>
    <xf numFmtId="0" fontId="14" fillId="2" borderId="24" xfId="0" applyFont="1" applyFill="1" applyBorder="1"/>
    <xf numFmtId="165" fontId="16" fillId="2" borderId="3" xfId="0" applyNumberFormat="1" applyFont="1" applyFill="1" applyBorder="1" applyAlignment="1">
      <alignment horizontal="center"/>
    </xf>
    <xf numFmtId="0" fontId="16" fillId="2" borderId="3" xfId="0" applyFont="1" applyFill="1" applyBorder="1" applyAlignment="1">
      <alignment horizontal="center"/>
    </xf>
    <xf numFmtId="2" fontId="16" fillId="2" borderId="3" xfId="0" applyNumberFormat="1" applyFont="1" applyFill="1" applyBorder="1" applyAlignment="1">
      <alignment horizontal="center"/>
    </xf>
    <xf numFmtId="164" fontId="16" fillId="2" borderId="3" xfId="0" applyNumberFormat="1" applyFont="1" applyFill="1" applyBorder="1" applyAlignment="1">
      <alignment horizontal="center"/>
    </xf>
    <xf numFmtId="164" fontId="16" fillId="2" borderId="4" xfId="0" applyNumberFormat="1" applyFont="1" applyFill="1" applyBorder="1" applyAlignment="1">
      <alignment horizontal="center"/>
    </xf>
    <xf numFmtId="165" fontId="16" fillId="2" borderId="25" xfId="0" applyNumberFormat="1" applyFont="1" applyFill="1" applyBorder="1" applyAlignment="1">
      <alignment horizontal="center"/>
    </xf>
    <xf numFmtId="10" fontId="16" fillId="2" borderId="3" xfId="0" applyNumberFormat="1" applyFont="1" applyFill="1" applyBorder="1" applyAlignment="1">
      <alignment horizontal="center"/>
    </xf>
    <xf numFmtId="4" fontId="16" fillId="2" borderId="3" xfId="0" applyNumberFormat="1" applyFont="1" applyFill="1" applyBorder="1" applyAlignment="1">
      <alignment horizontal="center"/>
    </xf>
    <xf numFmtId="10" fontId="16" fillId="2" borderId="24" xfId="0" applyNumberFormat="1" applyFont="1" applyFill="1" applyBorder="1" applyAlignment="1">
      <alignment horizontal="center"/>
    </xf>
    <xf numFmtId="165" fontId="16" fillId="2" borderId="4" xfId="0" applyNumberFormat="1" applyFont="1" applyFill="1" applyBorder="1" applyAlignment="1">
      <alignment horizontal="center"/>
    </xf>
    <xf numFmtId="164" fontId="16" fillId="2" borderId="24" xfId="0" applyNumberFormat="1" applyFont="1" applyFill="1" applyBorder="1" applyAlignment="1">
      <alignment horizontal="center"/>
    </xf>
    <xf numFmtId="10" fontId="14" fillId="2" borderId="24" xfId="0" applyNumberFormat="1" applyFont="1" applyFill="1" applyBorder="1"/>
    <xf numFmtId="10" fontId="17" fillId="2" borderId="24" xfId="0" applyNumberFormat="1" applyFont="1" applyFill="1" applyBorder="1" applyAlignment="1">
      <alignment horizontal="center"/>
    </xf>
    <xf numFmtId="10" fontId="17" fillId="2" borderId="3" xfId="0" applyNumberFormat="1" applyFont="1" applyFill="1" applyBorder="1" applyAlignment="1">
      <alignment horizontal="center"/>
    </xf>
    <xf numFmtId="164" fontId="3" fillId="0" borderId="20" xfId="0" applyNumberFormat="1" applyFont="1" applyBorder="1" applyAlignment="1">
      <alignment horizontal="center"/>
    </xf>
    <xf numFmtId="165" fontId="3" fillId="4" borderId="19" xfId="0" applyNumberFormat="1" applyFont="1" applyFill="1" applyBorder="1" applyAlignment="1">
      <alignment horizontal="center" wrapText="1"/>
    </xf>
    <xf numFmtId="165" fontId="3" fillId="4" borderId="22" xfId="0" applyNumberFormat="1" applyFont="1" applyFill="1" applyBorder="1" applyAlignment="1">
      <alignment horizontal="center"/>
    </xf>
    <xf numFmtId="10" fontId="3" fillId="0" borderId="21" xfId="0" applyNumberFormat="1" applyFont="1" applyBorder="1" applyAlignment="1">
      <alignment horizontal="center"/>
    </xf>
    <xf numFmtId="165" fontId="3" fillId="4" borderId="20" xfId="0" applyNumberFormat="1" applyFont="1" applyFill="1" applyBorder="1" applyAlignment="1">
      <alignment horizontal="center"/>
    </xf>
    <xf numFmtId="164" fontId="3" fillId="0" borderId="21" xfId="0" applyNumberFormat="1" applyFont="1" applyBorder="1" applyAlignment="1">
      <alignment horizontal="center"/>
    </xf>
    <xf numFmtId="165" fontId="3" fillId="5" borderId="20" xfId="0" applyNumberFormat="1" applyFont="1" applyFill="1" applyBorder="1" applyAlignment="1">
      <alignment horizontal="center"/>
    </xf>
    <xf numFmtId="165" fontId="3" fillId="6" borderId="19" xfId="0" applyNumberFormat="1" applyFont="1" applyFill="1" applyBorder="1" applyAlignment="1">
      <alignment horizontal="center"/>
    </xf>
    <xf numFmtId="165" fontId="3" fillId="6" borderId="22" xfId="0" applyNumberFormat="1" applyFont="1" applyFill="1" applyBorder="1" applyAlignment="1">
      <alignment horizontal="center"/>
    </xf>
    <xf numFmtId="165" fontId="3" fillId="6" borderId="20" xfId="0" applyNumberFormat="1" applyFont="1" applyFill="1" applyBorder="1" applyAlignment="1">
      <alignment horizontal="center"/>
    </xf>
    <xf numFmtId="165" fontId="3" fillId="16" borderId="19" xfId="0" applyNumberFormat="1" applyFont="1" applyFill="1" applyBorder="1" applyAlignment="1">
      <alignment horizontal="center"/>
    </xf>
    <xf numFmtId="165" fontId="3" fillId="16" borderId="22" xfId="0" applyNumberFormat="1" applyFont="1" applyFill="1" applyBorder="1" applyAlignment="1">
      <alignment horizontal="center"/>
    </xf>
    <xf numFmtId="165" fontId="3" fillId="16" borderId="20" xfId="0" applyNumberFormat="1" applyFont="1" applyFill="1" applyBorder="1" applyAlignment="1">
      <alignment horizontal="center"/>
    </xf>
    <xf numFmtId="0" fontId="3" fillId="0" borderId="1" xfId="0" applyFont="1" applyBorder="1" applyAlignment="1">
      <alignment horizontal="center"/>
    </xf>
    <xf numFmtId="165" fontId="3" fillId="2" borderId="19" xfId="0" applyNumberFormat="1" applyFont="1" applyFill="1" applyBorder="1" applyAlignment="1">
      <alignment horizontal="center"/>
    </xf>
    <xf numFmtId="165" fontId="3" fillId="2" borderId="22" xfId="0" applyNumberFormat="1" applyFont="1" applyFill="1" applyBorder="1" applyAlignment="1">
      <alignment horizontal="center"/>
    </xf>
    <xf numFmtId="165" fontId="3" fillId="2" borderId="20" xfId="0" applyNumberFormat="1" applyFont="1" applyFill="1" applyBorder="1" applyAlignment="1">
      <alignment horizontal="center"/>
    </xf>
    <xf numFmtId="165" fontId="3" fillId="7" borderId="19" xfId="0" applyNumberFormat="1" applyFont="1" applyFill="1" applyBorder="1" applyAlignment="1">
      <alignment horizontal="center"/>
    </xf>
    <xf numFmtId="165" fontId="3" fillId="7" borderId="22" xfId="0" applyNumberFormat="1" applyFont="1" applyFill="1" applyBorder="1" applyAlignment="1">
      <alignment horizontal="center"/>
    </xf>
    <xf numFmtId="165" fontId="3" fillId="7" borderId="20" xfId="0" applyNumberFormat="1" applyFont="1" applyFill="1" applyBorder="1" applyAlignment="1">
      <alignment horizontal="center"/>
    </xf>
    <xf numFmtId="165" fontId="3" fillId="8" borderId="19" xfId="0" applyNumberFormat="1" applyFont="1" applyFill="1" applyBorder="1" applyAlignment="1">
      <alignment horizontal="center"/>
    </xf>
    <xf numFmtId="165" fontId="3" fillId="8" borderId="22" xfId="0" applyNumberFormat="1" applyFont="1" applyFill="1" applyBorder="1" applyAlignment="1">
      <alignment horizontal="center"/>
    </xf>
    <xf numFmtId="165" fontId="3" fillId="8" borderId="20" xfId="0" applyNumberFormat="1" applyFont="1" applyFill="1" applyBorder="1" applyAlignment="1">
      <alignment horizontal="center"/>
    </xf>
    <xf numFmtId="165" fontId="4" fillId="9" borderId="20" xfId="0" applyNumberFormat="1" applyFont="1" applyFill="1" applyBorder="1" applyAlignment="1">
      <alignment horizontal="center"/>
    </xf>
    <xf numFmtId="165" fontId="3" fillId="10" borderId="20" xfId="0" applyNumberFormat="1" applyFont="1" applyFill="1" applyBorder="1" applyAlignment="1">
      <alignment horizontal="center"/>
    </xf>
    <xf numFmtId="165" fontId="3" fillId="11" borderId="19" xfId="0" applyNumberFormat="1" applyFont="1" applyFill="1" applyBorder="1" applyAlignment="1">
      <alignment horizontal="center"/>
    </xf>
    <xf numFmtId="165" fontId="3" fillId="11" borderId="22" xfId="0" applyNumberFormat="1" applyFont="1" applyFill="1" applyBorder="1" applyAlignment="1">
      <alignment horizontal="center"/>
    </xf>
    <xf numFmtId="165" fontId="3" fillId="12" borderId="20" xfId="0" applyNumberFormat="1" applyFont="1" applyFill="1" applyBorder="1" applyAlignment="1">
      <alignment horizontal="center"/>
    </xf>
    <xf numFmtId="0" fontId="14" fillId="0" borderId="6" xfId="0" applyFont="1" applyBorder="1" applyAlignment="1">
      <alignment horizontal="center"/>
    </xf>
    <xf numFmtId="165" fontId="3" fillId="13" borderId="19" xfId="0" applyNumberFormat="1" applyFont="1" applyFill="1" applyBorder="1" applyAlignment="1">
      <alignment horizontal="center"/>
    </xf>
    <xf numFmtId="165" fontId="3" fillId="13" borderId="22" xfId="0" applyNumberFormat="1" applyFont="1" applyFill="1" applyBorder="1" applyAlignment="1">
      <alignment horizontal="center"/>
    </xf>
    <xf numFmtId="3" fontId="3" fillId="5" borderId="22" xfId="0" applyNumberFormat="1" applyFont="1" applyFill="1" applyBorder="1" applyAlignment="1">
      <alignment horizontal="center"/>
    </xf>
    <xf numFmtId="0" fontId="3" fillId="5" borderId="22" xfId="0" applyFont="1" applyFill="1" applyBorder="1" applyAlignment="1">
      <alignment horizontal="center"/>
    </xf>
    <xf numFmtId="0" fontId="3" fillId="0" borderId="6" xfId="0" applyFont="1" applyBorder="1" applyAlignment="1">
      <alignment horizontal="center"/>
    </xf>
    <xf numFmtId="0" fontId="10" fillId="2" borderId="24" xfId="0" applyFont="1" applyFill="1" applyBorder="1" applyAlignment="1">
      <alignment horizontal="center"/>
    </xf>
    <xf numFmtId="0" fontId="3" fillId="2" borderId="24" xfId="0" applyFont="1" applyFill="1" applyBorder="1"/>
    <xf numFmtId="165" fontId="10" fillId="2" borderId="3" xfId="0" applyNumberFormat="1" applyFont="1" applyFill="1" applyBorder="1" applyAlignment="1">
      <alignment horizontal="center"/>
    </xf>
    <xf numFmtId="0" fontId="10" fillId="2" borderId="3" xfId="0" applyFont="1" applyFill="1" applyBorder="1" applyAlignment="1">
      <alignment horizontal="center"/>
    </xf>
    <xf numFmtId="2" fontId="10" fillId="2" borderId="3" xfId="0" applyNumberFormat="1" applyFont="1" applyFill="1" applyBorder="1" applyAlignment="1">
      <alignment horizontal="center"/>
    </xf>
    <xf numFmtId="164" fontId="10" fillId="2" borderId="3" xfId="0" applyNumberFormat="1" applyFont="1" applyFill="1" applyBorder="1" applyAlignment="1">
      <alignment horizontal="center"/>
    </xf>
    <xf numFmtId="164" fontId="10" fillId="2" borderId="4" xfId="0" applyNumberFormat="1" applyFont="1" applyFill="1" applyBorder="1" applyAlignment="1">
      <alignment horizontal="center"/>
    </xf>
    <xf numFmtId="165" fontId="10" fillId="2" borderId="25" xfId="0" applyNumberFormat="1" applyFont="1" applyFill="1" applyBorder="1" applyAlignment="1">
      <alignment horizontal="center"/>
    </xf>
    <xf numFmtId="10" fontId="10" fillId="2" borderId="3" xfId="0" applyNumberFormat="1" applyFont="1" applyFill="1" applyBorder="1" applyAlignment="1">
      <alignment horizontal="center"/>
    </xf>
    <xf numFmtId="4" fontId="10" fillId="2" borderId="3" xfId="0" applyNumberFormat="1" applyFont="1" applyFill="1" applyBorder="1" applyAlignment="1">
      <alignment horizontal="center"/>
    </xf>
    <xf numFmtId="10" fontId="10" fillId="2" borderId="24" xfId="0" applyNumberFormat="1" applyFont="1" applyFill="1" applyBorder="1" applyAlignment="1">
      <alignment horizontal="center"/>
    </xf>
    <xf numFmtId="165" fontId="10" fillId="2" borderId="4" xfId="0" applyNumberFormat="1" applyFont="1" applyFill="1" applyBorder="1" applyAlignment="1">
      <alignment horizontal="center"/>
    </xf>
    <xf numFmtId="164" fontId="10" fillId="2" borderId="24" xfId="0" applyNumberFormat="1" applyFont="1" applyFill="1" applyBorder="1" applyAlignment="1">
      <alignment horizontal="center"/>
    </xf>
    <xf numFmtId="10" fontId="23" fillId="2" borderId="24" xfId="0" applyNumberFormat="1" applyFont="1" applyFill="1" applyBorder="1" applyAlignment="1">
      <alignment horizontal="center"/>
    </xf>
    <xf numFmtId="10" fontId="23" fillId="2" borderId="3" xfId="0" applyNumberFormat="1" applyFont="1" applyFill="1" applyBorder="1" applyAlignment="1">
      <alignment horizontal="center"/>
    </xf>
    <xf numFmtId="10" fontId="14" fillId="2" borderId="19" xfId="0" applyNumberFormat="1" applyFont="1" applyFill="1" applyBorder="1"/>
    <xf numFmtId="0" fontId="14" fillId="5" borderId="22" xfId="0" applyFont="1" applyFill="1" applyBorder="1"/>
    <xf numFmtId="10" fontId="24" fillId="2" borderId="19" xfId="0" applyNumberFormat="1" applyFont="1" applyFill="1" applyBorder="1" applyAlignment="1">
      <alignment horizontal="center"/>
    </xf>
    <xf numFmtId="165" fontId="14" fillId="17" borderId="19" xfId="0" applyNumberFormat="1" applyFont="1" applyFill="1" applyBorder="1" applyAlignment="1">
      <alignment horizontal="center"/>
    </xf>
    <xf numFmtId="165" fontId="14" fillId="17" borderId="22" xfId="0" applyNumberFormat="1" applyFont="1" applyFill="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12" xfId="0" applyFont="1" applyBorder="1" applyAlignment="1">
      <alignment horizontal="center"/>
    </xf>
    <xf numFmtId="165" fontId="7" fillId="0" borderId="13" xfId="0" applyNumberFormat="1" applyFont="1" applyBorder="1" applyAlignment="1">
      <alignment horizontal="center"/>
    </xf>
    <xf numFmtId="165" fontId="7" fillId="0" borderId="14" xfId="0" applyNumberFormat="1" applyFont="1" applyBorder="1" applyAlignment="1">
      <alignment horizontal="center"/>
    </xf>
    <xf numFmtId="165" fontId="15" fillId="4" borderId="19" xfId="0" applyNumberFormat="1" applyFont="1" applyFill="1" applyBorder="1"/>
    <xf numFmtId="0" fontId="15" fillId="0" borderId="22" xfId="0" applyFont="1" applyBorder="1"/>
    <xf numFmtId="165" fontId="15" fillId="5" borderId="19" xfId="0" applyNumberFormat="1" applyFont="1" applyFill="1" applyBorder="1"/>
    <xf numFmtId="165" fontId="15" fillId="6" borderId="19" xfId="0" applyNumberFormat="1" applyFont="1" applyFill="1" applyBorder="1"/>
    <xf numFmtId="165" fontId="15" fillId="15" borderId="19" xfId="0" applyNumberFormat="1" applyFont="1" applyFill="1" applyBorder="1"/>
    <xf numFmtId="165" fontId="15" fillId="16" borderId="19" xfId="0" applyNumberFormat="1" applyFont="1" applyFill="1" applyBorder="1"/>
    <xf numFmtId="165" fontId="15" fillId="2" borderId="19" xfId="0" applyNumberFormat="1" applyFont="1" applyFill="1" applyBorder="1"/>
    <xf numFmtId="165" fontId="15" fillId="7" borderId="19" xfId="0" applyNumberFormat="1" applyFont="1" applyFill="1" applyBorder="1"/>
    <xf numFmtId="165" fontId="15" fillId="8" borderId="19" xfId="0" applyNumberFormat="1" applyFont="1" applyFill="1" applyBorder="1"/>
    <xf numFmtId="2" fontId="15" fillId="0" borderId="2" xfId="0" applyNumberFormat="1" applyFont="1" applyBorder="1"/>
    <xf numFmtId="164" fontId="15" fillId="0" borderId="20" xfId="0" applyNumberFormat="1" applyFont="1" applyBorder="1"/>
    <xf numFmtId="165" fontId="15" fillId="13" borderId="19" xfId="0" applyNumberFormat="1" applyFont="1" applyFill="1" applyBorder="1"/>
    <xf numFmtId="3" fontId="16" fillId="2" borderId="2" xfId="0" applyNumberFormat="1" applyFont="1" applyFill="1" applyBorder="1" applyAlignment="1">
      <alignment horizontal="center"/>
    </xf>
    <xf numFmtId="3" fontId="3" fillId="0" borderId="22" xfId="0" applyNumberFormat="1" applyFont="1" applyBorder="1" applyAlignment="1">
      <alignment horizontal="center"/>
    </xf>
    <xf numFmtId="3" fontId="16" fillId="2" borderId="3" xfId="0" applyNumberFormat="1" applyFont="1" applyFill="1" applyBorder="1" applyAlignment="1">
      <alignment horizontal="center"/>
    </xf>
    <xf numFmtId="164" fontId="14" fillId="2" borderId="2" xfId="0" applyNumberFormat="1" applyFont="1" applyFill="1" applyBorder="1"/>
    <xf numFmtId="164" fontId="14" fillId="0" borderId="2" xfId="0" applyNumberFormat="1" applyFont="1" applyBorder="1"/>
    <xf numFmtId="0" fontId="15" fillId="2" borderId="24" xfId="0" applyFont="1" applyFill="1" applyBorder="1"/>
    <xf numFmtId="10" fontId="15" fillId="2" borderId="24" xfId="0" applyNumberFormat="1" applyFont="1" applyFill="1" applyBorder="1"/>
    <xf numFmtId="3" fontId="10" fillId="2" borderId="2" xfId="0" applyNumberFormat="1" applyFont="1" applyFill="1" applyBorder="1" applyAlignment="1">
      <alignment horizontal="center"/>
    </xf>
    <xf numFmtId="3" fontId="15" fillId="0" borderId="22" xfId="0" applyNumberFormat="1" applyFont="1" applyBorder="1"/>
    <xf numFmtId="0" fontId="3" fillId="0" borderId="5" xfId="0" applyFont="1" applyBorder="1" applyAlignment="1">
      <alignment horizontal="center"/>
    </xf>
    <xf numFmtId="0" fontId="25" fillId="0" borderId="3" xfId="0" applyFont="1" applyBorder="1"/>
    <xf numFmtId="165" fontId="3" fillId="0" borderId="3" xfId="0" applyNumberFormat="1" applyFont="1" applyBorder="1"/>
    <xf numFmtId="165" fontId="3" fillId="0" borderId="3" xfId="0" applyNumberFormat="1" applyFont="1" applyBorder="1" applyAlignment="1">
      <alignment horizontal="left"/>
    </xf>
    <xf numFmtId="9" fontId="10" fillId="0" borderId="5" xfId="0" applyNumberFormat="1" applyFont="1" applyBorder="1" applyAlignment="1">
      <alignment horizontal="center"/>
    </xf>
    <xf numFmtId="9" fontId="10" fillId="0" borderId="3" xfId="0" applyNumberFormat="1" applyFont="1" applyBorder="1"/>
    <xf numFmtId="0" fontId="10" fillId="0" borderId="5" xfId="0" applyFont="1" applyBorder="1" applyAlignment="1">
      <alignment horizontal="center"/>
    </xf>
    <xf numFmtId="0" fontId="10" fillId="0" borderId="6" xfId="0" applyFont="1" applyBorder="1"/>
    <xf numFmtId="165" fontId="10" fillId="0" borderId="6" xfId="0" applyNumberFormat="1" applyFont="1" applyBorder="1"/>
    <xf numFmtId="0" fontId="10" fillId="0" borderId="3" xfId="0" applyFont="1" applyBorder="1"/>
    <xf numFmtId="165" fontId="14" fillId="15" borderId="22" xfId="0" applyNumberFormat="1" applyFont="1" applyFill="1" applyBorder="1" applyAlignment="1">
      <alignment horizontal="center"/>
    </xf>
    <xf numFmtId="3" fontId="10" fillId="2" borderId="3" xfId="0" applyNumberFormat="1" applyFont="1" applyFill="1" applyBorder="1" applyAlignment="1">
      <alignment horizontal="center"/>
    </xf>
    <xf numFmtId="0" fontId="1" fillId="0" borderId="1" xfId="0" applyFont="1" applyBorder="1" applyAlignment="1">
      <alignment horizontal="center" wrapText="1"/>
    </xf>
    <xf numFmtId="0" fontId="2" fillId="0" borderId="2" xfId="0" applyFont="1" applyBorder="1"/>
    <xf numFmtId="0" fontId="3" fillId="2" borderId="4" xfId="0" applyFont="1" applyFill="1" applyBorder="1" applyAlignment="1">
      <alignment horizontal="center"/>
    </xf>
    <xf numFmtId="0" fontId="2" fillId="0" borderId="3" xfId="0" applyFont="1" applyBorder="1"/>
    <xf numFmtId="0" fontId="4" fillId="2" borderId="4" xfId="0" applyFont="1" applyFill="1" applyBorder="1" applyAlignment="1">
      <alignment horizontal="center"/>
    </xf>
    <xf numFmtId="0" fontId="2" fillId="0" borderId="4" xfId="0" applyFont="1" applyBorder="1"/>
    <xf numFmtId="10" fontId="6" fillId="0" borderId="4" xfId="0" applyNumberFormat="1" applyFont="1" applyBorder="1"/>
    <xf numFmtId="0" fontId="6" fillId="0" borderId="4" xfId="0" applyFont="1" applyBorder="1"/>
    <xf numFmtId="1" fontId="7" fillId="0" borderId="4" xfId="0" applyNumberFormat="1" applyFont="1" applyBorder="1" applyAlignment="1">
      <alignment horizontal="left"/>
    </xf>
    <xf numFmtId="10" fontId="12" fillId="0" borderId="0" xfId="0" applyNumberFormat="1" applyFont="1" applyAlignment="1">
      <alignment horizontal="left"/>
    </xf>
    <xf numFmtId="0" fontId="0" fillId="0" borderId="0" xfId="0"/>
    <xf numFmtId="0" fontId="2" fillId="0" borderId="6" xfId="0" applyFont="1" applyBorder="1"/>
    <xf numFmtId="0" fontId="3" fillId="0" borderId="9" xfId="0" applyFont="1" applyBorder="1" applyAlignment="1">
      <alignment horizontal="center"/>
    </xf>
    <xf numFmtId="0" fontId="2" fillId="0" borderId="10" xfId="0" applyFont="1" applyBorder="1"/>
    <xf numFmtId="0" fontId="2" fillId="0" borderId="11" xfId="0" applyFont="1" applyBorder="1"/>
    <xf numFmtId="164" fontId="3" fillId="0" borderId="10" xfId="0" applyNumberFormat="1" applyFont="1" applyBorder="1" applyAlignment="1">
      <alignment horizontal="center" wrapText="1"/>
    </xf>
    <xf numFmtId="0" fontId="3" fillId="0" borderId="10" xfId="0" applyFont="1" applyBorder="1" applyAlignment="1">
      <alignment horizontal="center"/>
    </xf>
    <xf numFmtId="10" fontId="9" fillId="0" borderId="4" xfId="0" applyNumberFormat="1" applyFont="1" applyBorder="1" applyAlignment="1">
      <alignment horizontal="left"/>
    </xf>
    <xf numFmtId="165" fontId="7" fillId="0" borderId="4" xfId="0" applyNumberFormat="1" applyFont="1" applyBorder="1" applyAlignment="1">
      <alignment horizontal="left"/>
    </xf>
    <xf numFmtId="10" fontId="7" fillId="0" borderId="4" xfId="0" applyNumberFormat="1" applyFont="1" applyBorder="1" applyAlignment="1">
      <alignment horizontal="left"/>
    </xf>
    <xf numFmtId="10" fontId="13" fillId="0" borderId="0" xfId="0" applyNumberFormat="1" applyFont="1" applyAlignment="1">
      <alignment horizontal="left"/>
    </xf>
    <xf numFmtId="10" fontId="6" fillId="0" borderId="7" xfId="0" applyNumberFormat="1" applyFont="1" applyBorder="1"/>
    <xf numFmtId="1" fontId="7" fillId="0" borderId="1" xfId="0" applyNumberFormat="1" applyFont="1" applyBorder="1" applyAlignment="1">
      <alignment horizontal="left"/>
    </xf>
    <xf numFmtId="0" fontId="2" fillId="0" borderId="20" xfId="0" applyFont="1" applyBorder="1"/>
    <xf numFmtId="10" fontId="20" fillId="0" borderId="0" xfId="0" applyNumberFormat="1" applyFont="1" applyAlignment="1">
      <alignment horizontal="left"/>
    </xf>
    <xf numFmtId="10" fontId="19" fillId="0" borderId="1" xfId="0" applyNumberFormat="1" applyFont="1" applyBorder="1" applyAlignment="1">
      <alignment horizontal="left"/>
    </xf>
    <xf numFmtId="10" fontId="19" fillId="0" borderId="4" xfId="0" applyNumberFormat="1" applyFont="1" applyBorder="1" applyAlignment="1">
      <alignment horizontal="left"/>
    </xf>
    <xf numFmtId="0" fontId="6" fillId="0" borderId="1" xfId="0" applyFont="1" applyBorder="1"/>
    <xf numFmtId="165" fontId="7" fillId="0" borderId="1" xfId="0" applyNumberFormat="1" applyFont="1" applyBorder="1" applyAlignment="1">
      <alignment horizontal="left"/>
    </xf>
    <xf numFmtId="10" fontId="21" fillId="0" borderId="0" xfId="0" applyNumberFormat="1" applyFont="1" applyAlignment="1">
      <alignment horizontal="left"/>
    </xf>
    <xf numFmtId="0" fontId="11" fillId="0" borderId="4" xfId="0" applyFont="1" applyBorder="1"/>
    <xf numFmtId="10" fontId="11" fillId="0" borderId="4" xfId="0" applyNumberFormat="1" applyFont="1" applyBorder="1"/>
    <xf numFmtId="0" fontId="7" fillId="0" borderId="9" xfId="0" applyFont="1" applyBorder="1" applyAlignment="1">
      <alignment horizontal="center"/>
    </xf>
    <xf numFmtId="164" fontId="7" fillId="0" borderId="10" xfId="0" applyNumberFormat="1" applyFont="1" applyBorder="1" applyAlignment="1">
      <alignment horizontal="center" wrapText="1"/>
    </xf>
    <xf numFmtId="0" fontId="7" fillId="0" borderId="10" xfId="0" applyFont="1" applyBorder="1" applyAlignment="1">
      <alignment horizontal="center"/>
    </xf>
    <xf numFmtId="10" fontId="25" fillId="0" borderId="4" xfId="0" applyNumberFormat="1" applyFont="1" applyBorder="1"/>
    <xf numFmtId="0" fontId="25" fillId="0" borderId="4" xfId="0" applyFont="1" applyBorder="1"/>
    <xf numFmtId="1" fontId="3" fillId="0" borderId="4" xfId="0" applyNumberFormat="1" applyFont="1" applyBorder="1" applyAlignment="1">
      <alignment horizontal="left"/>
    </xf>
    <xf numFmtId="165" fontId="3" fillId="0" borderId="4" xfId="0" applyNumberFormat="1" applyFont="1" applyBorder="1" applyAlignment="1">
      <alignment horizontal="left"/>
    </xf>
    <xf numFmtId="10" fontId="3" fillId="0" borderId="4" xfId="0" applyNumberFormat="1" applyFont="1" applyBorder="1" applyAlignment="1">
      <alignment horizontal="left"/>
    </xf>
  </cellXfs>
  <cellStyles count="1">
    <cellStyle name="Normal" xfId="0" builtinId="0"/>
  </cellStyles>
  <dxfs count="56">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monthly_reporting_20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_reporting_2021"/>
    </sheetNames>
    <sheetDataSet>
      <sheetData sheetId="0" refreshError="1"/>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00FF"/>
    <outlinePr summaryRight="0"/>
  </sheetPr>
  <dimension ref="A1:AA206"/>
  <sheetViews>
    <sheetView showGridLines="0" tabSelected="1" workbookViewId="0">
      <pane xSplit="2" ySplit="11" topLeftCell="C12" activePane="bottomRight" state="frozen"/>
      <selection pane="topRight" activeCell="C1" sqref="C1"/>
      <selection pane="bottomLeft" activeCell="A12" sqref="A12"/>
      <selection pane="bottomRight" activeCell="C12" sqref="C12"/>
    </sheetView>
  </sheetViews>
  <sheetFormatPr defaultColWidth="12.5703125" defaultRowHeight="15.75" customHeight="1" outlineLevelRow="1" x14ac:dyDescent="0.2"/>
  <cols>
    <col min="1" max="1" width="10.5703125" customWidth="1"/>
    <col min="2" max="2" width="18.28515625" customWidth="1"/>
    <col min="3" max="3" width="14.140625" customWidth="1"/>
    <col min="4" max="4" width="11.42578125" customWidth="1"/>
    <col min="5" max="11" width="10.42578125" customWidth="1"/>
    <col min="12" max="12" width="11.28515625" customWidth="1"/>
    <col min="13" max="13" width="9.7109375" customWidth="1"/>
    <col min="14" max="14" width="11.140625" customWidth="1"/>
    <col min="15" max="17" width="9.7109375" customWidth="1"/>
    <col min="18" max="18" width="10.7109375" customWidth="1"/>
    <col min="19" max="19" width="9.7109375" customWidth="1"/>
    <col min="20" max="20" width="10.85546875" customWidth="1"/>
    <col min="21" max="26" width="9.7109375" customWidth="1"/>
    <col min="27" max="27" width="0.42578125" customWidth="1"/>
  </cols>
  <sheetData>
    <row r="1" spans="1:27" ht="33" customHeight="1" x14ac:dyDescent="0.2">
      <c r="A1" s="315" t="s">
        <v>0</v>
      </c>
      <c r="B1" s="316"/>
      <c r="C1" s="1"/>
      <c r="D1" s="2"/>
      <c r="E1" s="3"/>
      <c r="F1" s="2"/>
      <c r="G1" s="2"/>
      <c r="H1" s="2"/>
      <c r="I1" s="2"/>
      <c r="J1" s="2"/>
      <c r="K1" s="2"/>
      <c r="L1" s="2"/>
      <c r="M1" s="3"/>
      <c r="N1" s="2"/>
      <c r="O1" s="2"/>
      <c r="P1" s="2"/>
      <c r="Q1" s="2"/>
      <c r="R1" s="2"/>
      <c r="S1" s="2"/>
      <c r="T1" s="2"/>
      <c r="U1" s="4"/>
      <c r="V1" s="4"/>
      <c r="W1" s="2"/>
      <c r="X1" s="2"/>
      <c r="Y1" s="2"/>
      <c r="Z1" s="2"/>
      <c r="AA1" s="2"/>
    </row>
    <row r="2" spans="1:27" ht="12.75" x14ac:dyDescent="0.2">
      <c r="A2" s="317"/>
      <c r="B2" s="318"/>
      <c r="C2" s="319" t="s">
        <v>1</v>
      </c>
      <c r="D2" s="320"/>
      <c r="E2" s="320"/>
      <c r="F2" s="320"/>
      <c r="G2" s="320"/>
      <c r="H2" s="320"/>
      <c r="I2" s="320"/>
      <c r="J2" s="320"/>
      <c r="K2" s="320"/>
      <c r="L2" s="320"/>
      <c r="M2" s="320"/>
      <c r="N2" s="320"/>
      <c r="O2" s="320"/>
      <c r="P2" s="320"/>
      <c r="Q2" s="320"/>
      <c r="R2" s="320"/>
      <c r="S2" s="320"/>
      <c r="T2" s="320"/>
      <c r="U2" s="320"/>
      <c r="V2" s="320"/>
      <c r="W2" s="320"/>
      <c r="X2" s="318"/>
      <c r="Y2" s="5" t="e">
        <f>(#REF!+#REF!+#REF!+#REF!)-([1]monthly_reporting_2021!E17+[1]monthly_reporting_2021!E23+[1]monthly_reporting_2021!E29+[1]monthly_reporting_2021!E35)</f>
        <v>#REF!</v>
      </c>
      <c r="Z2" s="6" t="e">
        <f>((#REF!+#REF!+#REF!+#REF!)-([1]monthly_reporting_2021!F17+[1]monthly_reporting_2021!F23+[1]monthly_reporting_2021!F29+[1]monthly_reporting_2021!F35))/(#REF!+#REF!+#REF!+#REF!)</f>
        <v>#REF!</v>
      </c>
      <c r="AA2" s="1"/>
    </row>
    <row r="3" spans="1:27" ht="21" customHeight="1" x14ac:dyDescent="0.3">
      <c r="A3" s="7"/>
      <c r="B3" s="8"/>
      <c r="C3" s="9" t="s">
        <v>2</v>
      </c>
      <c r="D3" s="10"/>
      <c r="E3" s="11"/>
      <c r="F3" s="10"/>
      <c r="G3" s="321" t="s">
        <v>3</v>
      </c>
      <c r="H3" s="320"/>
      <c r="I3" s="320"/>
      <c r="J3" s="318"/>
      <c r="K3" s="10"/>
      <c r="L3" s="322" t="s">
        <v>4</v>
      </c>
      <c r="M3" s="320"/>
      <c r="N3" s="320"/>
      <c r="O3" s="318"/>
      <c r="P3" s="12"/>
      <c r="Q3" s="12"/>
      <c r="R3" s="12"/>
      <c r="S3" s="12"/>
      <c r="T3" s="12"/>
      <c r="U3" s="13"/>
      <c r="V3" s="13"/>
      <c r="W3" s="12"/>
      <c r="X3" s="12"/>
      <c r="Y3" s="12"/>
      <c r="Z3" s="12"/>
      <c r="AA3" s="12"/>
    </row>
    <row r="4" spans="1:27" ht="21" customHeight="1" x14ac:dyDescent="0.3">
      <c r="A4" s="14"/>
      <c r="B4" s="15"/>
      <c r="C4" s="16">
        <f>VLOOKUP("Current Week",$B$11:$Y$201,MATCH("SALES",$B$11:$Y$11,0),FALSE)</f>
        <v>19868.78</v>
      </c>
      <c r="D4" s="17"/>
      <c r="E4" s="18"/>
      <c r="F4" s="17"/>
      <c r="G4" s="323">
        <f>VLOOKUP("Current Week",$B$11:$Y$201,MATCH("Units Sold",$B$11:$Y$11,0),FALSE)</f>
        <v>229</v>
      </c>
      <c r="H4" s="320"/>
      <c r="I4" s="318"/>
      <c r="J4" s="19"/>
      <c r="K4" s="17"/>
      <c r="L4" s="323">
        <f>VLOOKUP("Current Week",$B$11:$Y$201,MATCH("Ordered Items",$B$11:$Y$11,0),FALSE)</f>
        <v>246</v>
      </c>
      <c r="M4" s="320"/>
      <c r="N4" s="318"/>
      <c r="O4" s="19"/>
      <c r="P4" s="19"/>
      <c r="Q4" s="19"/>
      <c r="R4" s="19"/>
      <c r="S4" s="19"/>
      <c r="T4" s="19"/>
      <c r="U4" s="20"/>
      <c r="V4" s="20"/>
      <c r="W4" s="19"/>
      <c r="X4" s="19"/>
      <c r="Y4" s="19"/>
      <c r="Z4" s="19"/>
      <c r="AA4" s="19"/>
    </row>
    <row r="5" spans="1:27" ht="17.25" x14ac:dyDescent="0.3">
      <c r="A5" s="21"/>
      <c r="B5" s="22"/>
      <c r="C5" s="23">
        <f>(C4-(VLOOKUP("Previous Week",$B$11:$Y$206,MATCH("SALES",$B$11:$Y$11,0),FALSE)))/C4</f>
        <v>-0.35721317564540972</v>
      </c>
      <c r="D5" s="24"/>
      <c r="E5" s="25"/>
      <c r="F5" s="24"/>
      <c r="G5" s="332">
        <f>(G4-(VLOOKUP("Previous Week",$B$11:$Y$206,MATCH("Units Sold",$B$11:$Y$11,0),FALSE)))/G4</f>
        <v>-0.29257641921397382</v>
      </c>
      <c r="H5" s="320"/>
      <c r="I5" s="320"/>
      <c r="J5" s="318"/>
      <c r="K5" s="24"/>
      <c r="L5" s="332">
        <f>(L4-(VLOOKUP("Previous Week",$B$11:$Y$206,MATCH("Ordered Items",$B$11:$Y$11,0),FALSE)))/L4</f>
        <v>-0.17073170731707318</v>
      </c>
      <c r="M5" s="320"/>
      <c r="N5" s="320"/>
      <c r="O5" s="318"/>
      <c r="P5" s="26"/>
      <c r="Q5" s="26"/>
      <c r="R5" s="26"/>
      <c r="S5" s="26"/>
      <c r="T5" s="26"/>
      <c r="U5" s="26"/>
      <c r="V5" s="26"/>
      <c r="W5" s="26"/>
      <c r="X5" s="26"/>
      <c r="Y5" s="26"/>
      <c r="Z5" s="26"/>
      <c r="AA5" s="26"/>
    </row>
    <row r="6" spans="1:27" ht="6" customHeight="1" x14ac:dyDescent="0.3">
      <c r="A6" s="14"/>
      <c r="B6" s="15"/>
      <c r="C6" s="27"/>
      <c r="D6" s="17"/>
      <c r="E6" s="18"/>
      <c r="F6" s="17"/>
      <c r="G6" s="19"/>
      <c r="H6" s="19"/>
      <c r="I6" s="19"/>
      <c r="J6" s="19"/>
      <c r="K6" s="17"/>
      <c r="L6" s="19"/>
      <c r="M6" s="19"/>
      <c r="N6" s="19"/>
      <c r="O6" s="19"/>
      <c r="P6" s="19"/>
      <c r="Q6" s="19"/>
      <c r="R6" s="19"/>
      <c r="S6" s="19"/>
      <c r="T6" s="19"/>
      <c r="U6" s="20"/>
      <c r="V6" s="20"/>
      <c r="W6" s="19"/>
      <c r="X6" s="19"/>
      <c r="Y6" s="19"/>
      <c r="Z6" s="19"/>
      <c r="AA6" s="19"/>
    </row>
    <row r="7" spans="1:27" ht="22.5" customHeight="1" x14ac:dyDescent="0.3">
      <c r="A7" s="7"/>
      <c r="B7" s="8"/>
      <c r="C7" s="9" t="s">
        <v>5</v>
      </c>
      <c r="D7" s="10"/>
      <c r="E7" s="11"/>
      <c r="F7" s="10"/>
      <c r="G7" s="322" t="s">
        <v>6</v>
      </c>
      <c r="H7" s="320"/>
      <c r="I7" s="320"/>
      <c r="J7" s="318"/>
      <c r="K7" s="10"/>
      <c r="L7" s="322" t="s">
        <v>7</v>
      </c>
      <c r="M7" s="320"/>
      <c r="N7" s="320"/>
      <c r="O7" s="318"/>
      <c r="P7" s="12"/>
      <c r="Q7" s="12"/>
      <c r="R7" s="12"/>
      <c r="S7" s="12"/>
      <c r="T7" s="12"/>
      <c r="U7" s="13"/>
      <c r="V7" s="13"/>
      <c r="W7" s="12"/>
      <c r="X7" s="12"/>
      <c r="Y7" s="12"/>
      <c r="Z7" s="12"/>
      <c r="AA7" s="12"/>
    </row>
    <row r="8" spans="1:27" ht="21" customHeight="1" x14ac:dyDescent="0.3">
      <c r="A8" s="14"/>
      <c r="B8" s="15"/>
      <c r="C8" s="16">
        <f>VLOOKUP("Current Week",$B$11:$Y$201,MATCH("AD SALES",$B$11:$Y$11,0),FALSE)</f>
        <v>5846.1299999999992</v>
      </c>
      <c r="D8" s="17"/>
      <c r="E8" s="18"/>
      <c r="F8" s="17"/>
      <c r="G8" s="333">
        <f>VLOOKUP("Current Week",$B$11:$Y$201,MATCH("SP AD SPEND",$B$11:$Y$11,0),FALSE)</f>
        <v>3418.5099999999998</v>
      </c>
      <c r="H8" s="320"/>
      <c r="I8" s="318"/>
      <c r="J8" s="19"/>
      <c r="K8" s="17"/>
      <c r="L8" s="334">
        <f>G8/C8</f>
        <v>0.58474751673329195</v>
      </c>
      <c r="M8" s="320"/>
      <c r="N8" s="318"/>
      <c r="O8" s="19"/>
      <c r="P8" s="19"/>
      <c r="Q8" s="19"/>
      <c r="R8" s="19"/>
      <c r="S8" s="19"/>
      <c r="T8" s="19"/>
      <c r="U8" s="20"/>
      <c r="V8" s="20"/>
      <c r="W8" s="19"/>
      <c r="X8" s="19"/>
      <c r="Y8" s="19"/>
      <c r="Z8" s="19"/>
      <c r="AA8" s="19"/>
    </row>
    <row r="9" spans="1:27" ht="19.5" customHeight="1" x14ac:dyDescent="0.3">
      <c r="A9" s="28"/>
      <c r="B9" s="29"/>
      <c r="C9" s="30">
        <f>(C8-(VLOOKUP("Previous Week",$B$11:$Y$206,MATCH("AD SALES",$B$11:$Y$11,0),FALSE)))/C8</f>
        <v>-0.644773551050011</v>
      </c>
      <c r="D9" s="24"/>
      <c r="E9" s="25"/>
      <c r="F9" s="24"/>
      <c r="G9" s="324">
        <f>(G8-(VLOOKUP("Previous Week",$B$11:$Y$206,MATCH("SP AD SPEND",$B$11:$Y$11,0),FALSE)))/G8</f>
        <v>-8.1096735127292305E-2</v>
      </c>
      <c r="H9" s="325"/>
      <c r="I9" s="325"/>
      <c r="J9" s="326"/>
      <c r="K9" s="24"/>
      <c r="L9" s="335">
        <f>(L8-(VLOOKUP("Previous Week",$B$11:$Y$206,MATCH("ACOS",$B$11:$Y$11,0),FALSE)))/L8</f>
        <v>0.34270785517123109</v>
      </c>
      <c r="M9" s="325"/>
      <c r="N9" s="325"/>
      <c r="O9" s="326"/>
      <c r="P9" s="31"/>
      <c r="Q9" s="31"/>
      <c r="R9" s="31"/>
      <c r="S9" s="31"/>
      <c r="T9" s="31"/>
      <c r="U9" s="32"/>
      <c r="V9" s="32"/>
      <c r="W9" s="31"/>
      <c r="X9" s="31"/>
      <c r="Y9" s="31"/>
      <c r="Z9" s="31"/>
      <c r="AA9" s="33"/>
    </row>
    <row r="10" spans="1:27" ht="15" customHeight="1" x14ac:dyDescent="0.2">
      <c r="A10" s="34"/>
      <c r="B10" s="35"/>
      <c r="C10" s="36"/>
      <c r="D10" s="327" t="s">
        <v>8</v>
      </c>
      <c r="E10" s="328"/>
      <c r="F10" s="328"/>
      <c r="G10" s="328"/>
      <c r="H10" s="328"/>
      <c r="I10" s="328"/>
      <c r="J10" s="329"/>
      <c r="K10" s="37"/>
      <c r="L10" s="38"/>
      <c r="M10" s="330" t="s">
        <v>9</v>
      </c>
      <c r="N10" s="328"/>
      <c r="O10" s="328"/>
      <c r="P10" s="328"/>
      <c r="Q10" s="328"/>
      <c r="R10" s="328"/>
      <c r="S10" s="328"/>
      <c r="T10" s="329"/>
      <c r="U10" s="39"/>
      <c r="V10" s="40"/>
      <c r="W10" s="331" t="s">
        <v>10</v>
      </c>
      <c r="X10" s="329"/>
      <c r="Y10" s="327" t="s">
        <v>11</v>
      </c>
      <c r="Z10" s="329"/>
      <c r="AA10" s="1"/>
    </row>
    <row r="11" spans="1:27" ht="24.75" customHeight="1" x14ac:dyDescent="0.2">
      <c r="A11" s="41" t="s">
        <v>12</v>
      </c>
      <c r="B11" s="42" t="s">
        <v>13</v>
      </c>
      <c r="C11" s="43" t="s">
        <v>14</v>
      </c>
      <c r="D11" s="43" t="s">
        <v>15</v>
      </c>
      <c r="E11" s="44" t="s">
        <v>16</v>
      </c>
      <c r="F11" s="45" t="s">
        <v>17</v>
      </c>
      <c r="G11" s="45" t="s">
        <v>18</v>
      </c>
      <c r="H11" s="45" t="s">
        <v>19</v>
      </c>
      <c r="I11" s="45" t="s">
        <v>20</v>
      </c>
      <c r="J11" s="41" t="s">
        <v>21</v>
      </c>
      <c r="K11" s="46" t="s">
        <v>22</v>
      </c>
      <c r="L11" s="45" t="s">
        <v>23</v>
      </c>
      <c r="M11" s="45" t="s">
        <v>24</v>
      </c>
      <c r="N11" s="45" t="s">
        <v>25</v>
      </c>
      <c r="O11" s="45" t="s">
        <v>7</v>
      </c>
      <c r="P11" s="45" t="s">
        <v>26</v>
      </c>
      <c r="Q11" s="41" t="s">
        <v>27</v>
      </c>
      <c r="R11" s="47" t="s">
        <v>28</v>
      </c>
      <c r="S11" s="48" t="s">
        <v>29</v>
      </c>
      <c r="T11" s="41" t="s">
        <v>30</v>
      </c>
      <c r="U11" s="49" t="s">
        <v>15</v>
      </c>
      <c r="V11" s="47" t="s">
        <v>31</v>
      </c>
      <c r="W11" s="49" t="s">
        <v>15</v>
      </c>
      <c r="X11" s="47" t="s">
        <v>31</v>
      </c>
      <c r="Y11" s="45"/>
      <c r="Z11" s="50"/>
      <c r="AA11" s="50"/>
    </row>
    <row r="12" spans="1:27" ht="12.75" x14ac:dyDescent="0.2">
      <c r="A12" s="51"/>
      <c r="B12" s="52"/>
      <c r="C12" s="53"/>
      <c r="D12" s="54"/>
      <c r="E12" s="55"/>
      <c r="F12" s="56"/>
      <c r="G12" s="56"/>
      <c r="H12" s="57"/>
      <c r="I12" s="55"/>
      <c r="J12" s="58"/>
      <c r="K12" s="54"/>
      <c r="L12" s="56"/>
      <c r="M12" s="56"/>
      <c r="N12" s="59"/>
      <c r="O12" s="60"/>
      <c r="P12" s="61"/>
      <c r="Q12" s="60"/>
      <c r="R12" s="62"/>
      <c r="S12" s="63"/>
      <c r="T12" s="64"/>
      <c r="U12" s="65"/>
      <c r="V12" s="65"/>
      <c r="W12" s="66"/>
      <c r="X12" s="66"/>
      <c r="Y12" s="67"/>
      <c r="Z12" s="50"/>
      <c r="AA12" s="50"/>
    </row>
    <row r="13" spans="1:27" ht="12.75" hidden="1" outlineLevel="1" x14ac:dyDescent="0.2">
      <c r="A13" s="68"/>
      <c r="B13" s="69">
        <v>46012</v>
      </c>
      <c r="C13" s="70" t="s">
        <v>32</v>
      </c>
      <c r="D13" s="71">
        <v>7936.51</v>
      </c>
      <c r="E13" s="72"/>
      <c r="F13" s="73">
        <v>30</v>
      </c>
      <c r="G13" s="73">
        <v>30</v>
      </c>
      <c r="H13" s="74">
        <f t="shared" ref="H13:H192" si="0">F13/G13</f>
        <v>1</v>
      </c>
      <c r="I13" s="75">
        <f t="shared" ref="I13:I192" si="1">D13/F13</f>
        <v>264.55033333333336</v>
      </c>
      <c r="J13" s="76">
        <f t="shared" ref="J13:J192" si="2">I13/H13</f>
        <v>264.55033333333336</v>
      </c>
      <c r="K13" s="77">
        <v>1654.24</v>
      </c>
      <c r="L13" s="73">
        <v>263207</v>
      </c>
      <c r="M13" s="73">
        <v>16</v>
      </c>
      <c r="N13" s="78">
        <v>4466.7299999999996</v>
      </c>
      <c r="O13" s="79">
        <f t="shared" ref="O13:O14" si="3">K13/N13</f>
        <v>0.37034698761733981</v>
      </c>
      <c r="P13" s="80">
        <f t="shared" ref="P13:P192" si="4">N13/K13</f>
        <v>2.7001704710320142</v>
      </c>
      <c r="Q13" s="79">
        <f t="shared" ref="Q13:Q192" si="5">K13/D13</f>
        <v>0.20843418580711168</v>
      </c>
      <c r="R13" s="81">
        <f t="shared" ref="R13:R192" si="6">N13/D13</f>
        <v>0.56280783366996312</v>
      </c>
      <c r="S13" s="82">
        <f t="shared" ref="S13:S29" si="7">D13-N13</f>
        <v>3469.7800000000007</v>
      </c>
      <c r="T13" s="83">
        <f t="shared" ref="T13:T192" si="8">K13/M13</f>
        <v>103.39</v>
      </c>
      <c r="U13" s="84"/>
      <c r="V13" s="84"/>
      <c r="W13" s="84"/>
      <c r="X13" s="84"/>
      <c r="Y13" s="85"/>
      <c r="Z13" s="68"/>
      <c r="AA13" s="68"/>
    </row>
    <row r="14" spans="1:27" ht="12.75" hidden="1" outlineLevel="1" x14ac:dyDescent="0.2">
      <c r="A14" s="68"/>
      <c r="B14" s="86"/>
      <c r="C14" s="70" t="s">
        <v>33</v>
      </c>
      <c r="D14" s="87">
        <v>19206.39</v>
      </c>
      <c r="E14" s="72"/>
      <c r="F14" s="73">
        <v>104</v>
      </c>
      <c r="G14" s="73">
        <v>119</v>
      </c>
      <c r="H14" s="74">
        <f t="shared" si="0"/>
        <v>0.87394957983193278</v>
      </c>
      <c r="I14" s="75">
        <f t="shared" si="1"/>
        <v>184.67682692307693</v>
      </c>
      <c r="J14" s="76">
        <f t="shared" si="2"/>
        <v>211.31290772928995</v>
      </c>
      <c r="K14" s="87">
        <v>1288.08</v>
      </c>
      <c r="L14" s="73">
        <v>442713</v>
      </c>
      <c r="M14" s="73">
        <v>37</v>
      </c>
      <c r="N14" s="88">
        <v>6713.65</v>
      </c>
      <c r="O14" s="79">
        <f t="shared" si="3"/>
        <v>0.19185986758320733</v>
      </c>
      <c r="P14" s="80">
        <f t="shared" si="4"/>
        <v>5.2121374448792004</v>
      </c>
      <c r="Q14" s="79">
        <f t="shared" si="5"/>
        <v>6.7065179869824576E-2</v>
      </c>
      <c r="R14" s="81">
        <f t="shared" si="6"/>
        <v>0.34955293524707143</v>
      </c>
      <c r="S14" s="89">
        <f t="shared" si="7"/>
        <v>12492.74</v>
      </c>
      <c r="T14" s="83">
        <f t="shared" si="8"/>
        <v>34.812972972972972</v>
      </c>
      <c r="U14" s="84"/>
      <c r="V14" s="84"/>
      <c r="W14" s="84"/>
      <c r="X14" s="84"/>
      <c r="Y14" s="85"/>
      <c r="Z14" s="68"/>
      <c r="AA14" s="68"/>
    </row>
    <row r="15" spans="1:27" ht="12.75" hidden="1" outlineLevel="1" x14ac:dyDescent="0.2">
      <c r="A15" s="68"/>
      <c r="B15" s="86"/>
      <c r="C15" s="70" t="s">
        <v>34</v>
      </c>
      <c r="D15" s="90">
        <v>0</v>
      </c>
      <c r="E15" s="72"/>
      <c r="F15" s="73">
        <v>0</v>
      </c>
      <c r="G15" s="73">
        <v>0</v>
      </c>
      <c r="H15" s="74" t="e">
        <f t="shared" si="0"/>
        <v>#DIV/0!</v>
      </c>
      <c r="I15" s="75" t="e">
        <f t="shared" si="1"/>
        <v>#DIV/0!</v>
      </c>
      <c r="J15" s="76" t="e">
        <f t="shared" si="2"/>
        <v>#DIV/0!</v>
      </c>
      <c r="K15" s="90">
        <v>7.5</v>
      </c>
      <c r="L15" s="73">
        <v>288</v>
      </c>
      <c r="M15" s="73">
        <v>0</v>
      </c>
      <c r="N15" s="91">
        <v>0</v>
      </c>
      <c r="O15" s="79" t="e">
        <f>(K15/N15)</f>
        <v>#DIV/0!</v>
      </c>
      <c r="P15" s="80">
        <f t="shared" si="4"/>
        <v>0</v>
      </c>
      <c r="Q15" s="79" t="e">
        <f t="shared" si="5"/>
        <v>#DIV/0!</v>
      </c>
      <c r="R15" s="81" t="e">
        <f t="shared" si="6"/>
        <v>#DIV/0!</v>
      </c>
      <c r="S15" s="92">
        <f t="shared" si="7"/>
        <v>0</v>
      </c>
      <c r="T15" s="83" t="e">
        <f t="shared" si="8"/>
        <v>#DIV/0!</v>
      </c>
      <c r="U15" s="84"/>
      <c r="V15" s="84"/>
      <c r="W15" s="84"/>
      <c r="X15" s="84"/>
      <c r="Y15" s="85"/>
      <c r="Z15" s="68"/>
      <c r="AA15" s="68"/>
    </row>
    <row r="16" spans="1:27" ht="12.75" hidden="1" outlineLevel="1" x14ac:dyDescent="0.2">
      <c r="A16" s="68"/>
      <c r="B16" s="86"/>
      <c r="C16" s="70" t="s">
        <v>35</v>
      </c>
      <c r="D16" s="90">
        <v>545.54999999999995</v>
      </c>
      <c r="E16" s="72"/>
      <c r="F16" s="73">
        <v>9</v>
      </c>
      <c r="G16" s="73">
        <v>10</v>
      </c>
      <c r="H16" s="74">
        <f t="shared" si="0"/>
        <v>0.9</v>
      </c>
      <c r="I16" s="75">
        <f t="shared" si="1"/>
        <v>60.61666666666666</v>
      </c>
      <c r="J16" s="76">
        <f t="shared" si="2"/>
        <v>67.351851851851848</v>
      </c>
      <c r="K16" s="90">
        <v>184.21</v>
      </c>
      <c r="L16" s="73">
        <v>16259</v>
      </c>
      <c r="M16" s="73">
        <v>1</v>
      </c>
      <c r="N16" s="91">
        <v>59.95</v>
      </c>
      <c r="O16" s="79">
        <f t="shared" ref="O16:O32" si="9">K16/N16</f>
        <v>3.0727272727272728</v>
      </c>
      <c r="P16" s="80">
        <f t="shared" si="4"/>
        <v>0.32544378698224852</v>
      </c>
      <c r="Q16" s="79">
        <f t="shared" si="5"/>
        <v>0.33765924296581434</v>
      </c>
      <c r="R16" s="81">
        <f t="shared" si="6"/>
        <v>0.10988910274035378</v>
      </c>
      <c r="S16" s="92">
        <f t="shared" si="7"/>
        <v>485.59999999999997</v>
      </c>
      <c r="T16" s="83">
        <f t="shared" si="8"/>
        <v>184.21</v>
      </c>
      <c r="U16" s="84"/>
      <c r="V16" s="84"/>
      <c r="W16" s="84"/>
      <c r="X16" s="84"/>
      <c r="Y16" s="85"/>
      <c r="Z16" s="68"/>
      <c r="AA16" s="68"/>
    </row>
    <row r="17" spans="1:27" ht="12.75" hidden="1" outlineLevel="1" x14ac:dyDescent="0.2">
      <c r="A17" s="68"/>
      <c r="B17" s="86"/>
      <c r="C17" s="70" t="s">
        <v>36</v>
      </c>
      <c r="D17" s="90">
        <v>589.54999999999995</v>
      </c>
      <c r="E17" s="72"/>
      <c r="F17" s="73">
        <v>9</v>
      </c>
      <c r="G17" s="73">
        <v>9</v>
      </c>
      <c r="H17" s="74">
        <f t="shared" si="0"/>
        <v>1</v>
      </c>
      <c r="I17" s="75">
        <f t="shared" si="1"/>
        <v>65.505555555555546</v>
      </c>
      <c r="J17" s="76">
        <f t="shared" si="2"/>
        <v>65.505555555555546</v>
      </c>
      <c r="K17" s="90">
        <v>52.21</v>
      </c>
      <c r="L17" s="73">
        <v>18056</v>
      </c>
      <c r="M17" s="73">
        <v>7</v>
      </c>
      <c r="N17" s="91">
        <v>479.65</v>
      </c>
      <c r="O17" s="79">
        <f t="shared" si="9"/>
        <v>0.10885020327322006</v>
      </c>
      <c r="P17" s="80">
        <f t="shared" si="4"/>
        <v>9.186937368320244</v>
      </c>
      <c r="Q17" s="79">
        <f t="shared" si="5"/>
        <v>8.8559070477482835E-2</v>
      </c>
      <c r="R17" s="81">
        <f t="shared" si="6"/>
        <v>0.81358663387329322</v>
      </c>
      <c r="S17" s="92">
        <f t="shared" si="7"/>
        <v>109.89999999999998</v>
      </c>
      <c r="T17" s="83">
        <f t="shared" si="8"/>
        <v>7.4585714285714291</v>
      </c>
      <c r="U17" s="84"/>
      <c r="V17" s="84"/>
      <c r="W17" s="84"/>
      <c r="X17" s="84"/>
      <c r="Y17" s="85"/>
      <c r="Z17" s="68"/>
      <c r="AA17" s="68"/>
    </row>
    <row r="18" spans="1:27" ht="12.75" hidden="1" outlineLevel="1" x14ac:dyDescent="0.2">
      <c r="A18" s="68"/>
      <c r="B18" s="69" t="s">
        <v>37</v>
      </c>
      <c r="C18" s="70" t="s">
        <v>38</v>
      </c>
      <c r="D18" s="93">
        <v>-70.63</v>
      </c>
      <c r="E18" s="72"/>
      <c r="F18" s="73">
        <v>-2</v>
      </c>
      <c r="G18" s="73">
        <v>1</v>
      </c>
      <c r="H18" s="74">
        <f t="shared" si="0"/>
        <v>-2</v>
      </c>
      <c r="I18" s="75">
        <f t="shared" si="1"/>
        <v>35.314999999999998</v>
      </c>
      <c r="J18" s="76">
        <f t="shared" si="2"/>
        <v>-17.657499999999999</v>
      </c>
      <c r="K18" s="93">
        <v>8.48</v>
      </c>
      <c r="L18" s="73">
        <v>697</v>
      </c>
      <c r="M18" s="73">
        <v>0</v>
      </c>
      <c r="N18" s="94">
        <v>0</v>
      </c>
      <c r="O18" s="79" t="e">
        <f t="shared" si="9"/>
        <v>#DIV/0!</v>
      </c>
      <c r="P18" s="80">
        <f t="shared" si="4"/>
        <v>0</v>
      </c>
      <c r="Q18" s="79">
        <f t="shared" si="5"/>
        <v>-0.12006229647458588</v>
      </c>
      <c r="R18" s="81">
        <f t="shared" si="6"/>
        <v>0</v>
      </c>
      <c r="S18" s="95">
        <f t="shared" si="7"/>
        <v>-70.63</v>
      </c>
      <c r="T18" s="83" t="e">
        <f t="shared" si="8"/>
        <v>#DIV/0!</v>
      </c>
      <c r="U18" s="84"/>
      <c r="V18" s="84"/>
      <c r="W18" s="84"/>
      <c r="X18" s="84"/>
      <c r="Y18" s="85"/>
      <c r="Z18" s="68"/>
      <c r="AA18" s="68"/>
    </row>
    <row r="19" spans="1:27" ht="12.75" hidden="1" outlineLevel="1" x14ac:dyDescent="0.2">
      <c r="A19" s="68"/>
      <c r="B19" s="86"/>
      <c r="C19" s="70" t="s">
        <v>39</v>
      </c>
      <c r="D19" s="96">
        <v>0</v>
      </c>
      <c r="E19" s="72"/>
      <c r="F19" s="73">
        <v>0</v>
      </c>
      <c r="G19" s="73">
        <v>0</v>
      </c>
      <c r="H19" s="74" t="e">
        <f t="shared" si="0"/>
        <v>#DIV/0!</v>
      </c>
      <c r="I19" s="75" t="e">
        <f t="shared" si="1"/>
        <v>#DIV/0!</v>
      </c>
      <c r="J19" s="76" t="e">
        <f t="shared" si="2"/>
        <v>#DIV/0!</v>
      </c>
      <c r="K19" s="96">
        <v>0</v>
      </c>
      <c r="L19" s="73">
        <v>0</v>
      </c>
      <c r="M19" s="73">
        <v>0</v>
      </c>
      <c r="N19" s="97">
        <v>0</v>
      </c>
      <c r="O19" s="79" t="e">
        <f t="shared" si="9"/>
        <v>#DIV/0!</v>
      </c>
      <c r="P19" s="80" t="e">
        <f t="shared" si="4"/>
        <v>#DIV/0!</v>
      </c>
      <c r="Q19" s="79" t="e">
        <f t="shared" si="5"/>
        <v>#DIV/0!</v>
      </c>
      <c r="R19" s="81" t="e">
        <f t="shared" si="6"/>
        <v>#DIV/0!</v>
      </c>
      <c r="S19" s="98">
        <f t="shared" si="7"/>
        <v>0</v>
      </c>
      <c r="T19" s="83" t="e">
        <f t="shared" si="8"/>
        <v>#DIV/0!</v>
      </c>
      <c r="U19" s="84"/>
      <c r="V19" s="84"/>
      <c r="W19" s="84"/>
      <c r="X19" s="84"/>
      <c r="Y19" s="85"/>
      <c r="Z19" s="68"/>
      <c r="AA19" s="68"/>
    </row>
    <row r="20" spans="1:27" ht="12.75" hidden="1" outlineLevel="1" x14ac:dyDescent="0.2">
      <c r="A20" s="68"/>
      <c r="B20" s="86"/>
      <c r="C20" s="70" t="s">
        <v>40</v>
      </c>
      <c r="D20" s="99">
        <v>0</v>
      </c>
      <c r="E20" s="72"/>
      <c r="F20" s="73">
        <v>0</v>
      </c>
      <c r="G20" s="73">
        <v>0</v>
      </c>
      <c r="H20" s="74" t="e">
        <f t="shared" si="0"/>
        <v>#DIV/0!</v>
      </c>
      <c r="I20" s="75" t="e">
        <f t="shared" si="1"/>
        <v>#DIV/0!</v>
      </c>
      <c r="J20" s="76" t="e">
        <f t="shared" si="2"/>
        <v>#DIV/0!</v>
      </c>
      <c r="K20" s="99">
        <v>0</v>
      </c>
      <c r="L20" s="73">
        <v>0</v>
      </c>
      <c r="M20" s="73">
        <v>0</v>
      </c>
      <c r="N20" s="100">
        <v>0</v>
      </c>
      <c r="O20" s="79" t="e">
        <f t="shared" si="9"/>
        <v>#DIV/0!</v>
      </c>
      <c r="P20" s="80" t="e">
        <f t="shared" si="4"/>
        <v>#DIV/0!</v>
      </c>
      <c r="Q20" s="79" t="e">
        <f t="shared" si="5"/>
        <v>#DIV/0!</v>
      </c>
      <c r="R20" s="81" t="e">
        <f t="shared" si="6"/>
        <v>#DIV/0!</v>
      </c>
      <c r="S20" s="101">
        <f t="shared" si="7"/>
        <v>0</v>
      </c>
      <c r="T20" s="83" t="e">
        <f t="shared" si="8"/>
        <v>#DIV/0!</v>
      </c>
      <c r="U20" s="84"/>
      <c r="V20" s="84"/>
      <c r="W20" s="84"/>
      <c r="X20" s="84"/>
      <c r="Y20" s="85"/>
      <c r="Z20" s="68"/>
      <c r="AA20" s="68"/>
    </row>
    <row r="21" spans="1:27" ht="12.75" hidden="1" outlineLevel="1" x14ac:dyDescent="0.2">
      <c r="A21" s="68"/>
      <c r="B21" s="86"/>
      <c r="C21" s="70" t="s">
        <v>41</v>
      </c>
      <c r="D21" s="102">
        <v>2629.8</v>
      </c>
      <c r="E21" s="72"/>
      <c r="F21" s="73">
        <v>29</v>
      </c>
      <c r="G21" s="73">
        <v>28</v>
      </c>
      <c r="H21" s="74">
        <f t="shared" si="0"/>
        <v>1.0357142857142858</v>
      </c>
      <c r="I21" s="75">
        <f t="shared" si="1"/>
        <v>90.682758620689668</v>
      </c>
      <c r="J21" s="76">
        <f t="shared" si="2"/>
        <v>87.555766944114154</v>
      </c>
      <c r="K21" s="102">
        <v>668.15</v>
      </c>
      <c r="L21" s="73">
        <v>36463</v>
      </c>
      <c r="M21" s="73">
        <v>17</v>
      </c>
      <c r="N21" s="103">
        <v>1466.87</v>
      </c>
      <c r="O21" s="79">
        <f t="shared" si="9"/>
        <v>0.4554936701957229</v>
      </c>
      <c r="P21" s="80">
        <f t="shared" si="4"/>
        <v>2.1954201900770784</v>
      </c>
      <c r="Q21" s="79">
        <f t="shared" si="5"/>
        <v>0.25406875047532129</v>
      </c>
      <c r="R21" s="81">
        <f t="shared" si="6"/>
        <v>0.55778766446117567</v>
      </c>
      <c r="S21" s="104">
        <f t="shared" si="7"/>
        <v>1162.9300000000003</v>
      </c>
      <c r="T21" s="83">
        <f t="shared" si="8"/>
        <v>39.30294117647059</v>
      </c>
      <c r="U21" s="84"/>
      <c r="V21" s="84"/>
      <c r="W21" s="84"/>
      <c r="X21" s="84"/>
      <c r="Y21" s="85"/>
      <c r="Z21" s="68"/>
      <c r="AA21" s="68"/>
    </row>
    <row r="22" spans="1:27" ht="12.75" hidden="1" outlineLevel="1" x14ac:dyDescent="0.2">
      <c r="A22" s="68"/>
      <c r="B22" s="86"/>
      <c r="C22" s="70" t="s">
        <v>42</v>
      </c>
      <c r="D22" s="90">
        <v>59.97</v>
      </c>
      <c r="E22" s="72"/>
      <c r="F22" s="73">
        <v>3</v>
      </c>
      <c r="G22" s="73">
        <v>4</v>
      </c>
      <c r="H22" s="74">
        <f t="shared" si="0"/>
        <v>0.75</v>
      </c>
      <c r="I22" s="75">
        <f t="shared" si="1"/>
        <v>19.989999999999998</v>
      </c>
      <c r="J22" s="76">
        <f t="shared" si="2"/>
        <v>26.653333333333332</v>
      </c>
      <c r="K22" s="90">
        <v>136.24</v>
      </c>
      <c r="L22" s="73">
        <v>47577</v>
      </c>
      <c r="M22" s="73">
        <v>2</v>
      </c>
      <c r="N22" s="91">
        <v>39.979999999999997</v>
      </c>
      <c r="O22" s="79">
        <f t="shared" si="9"/>
        <v>3.4077038519259633</v>
      </c>
      <c r="P22" s="80">
        <f t="shared" si="4"/>
        <v>0.2934527304756312</v>
      </c>
      <c r="Q22" s="79">
        <f t="shared" si="5"/>
        <v>2.2718025679506422</v>
      </c>
      <c r="R22" s="81">
        <f t="shared" si="6"/>
        <v>0.66666666666666663</v>
      </c>
      <c r="S22" s="92">
        <f t="shared" si="7"/>
        <v>19.990000000000002</v>
      </c>
      <c r="T22" s="83">
        <f t="shared" si="8"/>
        <v>68.12</v>
      </c>
      <c r="U22" s="84"/>
      <c r="V22" s="84"/>
      <c r="W22" s="84"/>
      <c r="X22" s="84"/>
      <c r="Y22" s="85"/>
      <c r="Z22" s="68"/>
      <c r="AA22" s="68"/>
    </row>
    <row r="23" spans="1:27" ht="12.75" hidden="1" outlineLevel="1" x14ac:dyDescent="0.2">
      <c r="A23" s="68"/>
      <c r="B23" s="86"/>
      <c r="C23" s="70" t="s">
        <v>43</v>
      </c>
      <c r="D23" s="105">
        <v>78.59</v>
      </c>
      <c r="E23" s="72"/>
      <c r="F23" s="73">
        <v>0</v>
      </c>
      <c r="G23" s="73">
        <v>2</v>
      </c>
      <c r="H23" s="74">
        <f t="shared" si="0"/>
        <v>0</v>
      </c>
      <c r="I23" s="75" t="e">
        <f t="shared" si="1"/>
        <v>#DIV/0!</v>
      </c>
      <c r="J23" s="76" t="e">
        <f t="shared" si="2"/>
        <v>#DIV/0!</v>
      </c>
      <c r="K23" s="105">
        <v>36.36</v>
      </c>
      <c r="L23" s="73">
        <v>10972</v>
      </c>
      <c r="M23" s="73">
        <v>1</v>
      </c>
      <c r="N23" s="106">
        <v>154.46</v>
      </c>
      <c r="O23" s="79">
        <f t="shared" si="9"/>
        <v>0.23540075100349603</v>
      </c>
      <c r="P23" s="80">
        <f t="shared" si="4"/>
        <v>4.2480748074807479</v>
      </c>
      <c r="Q23" s="79">
        <f t="shared" si="5"/>
        <v>0.46265428171523093</v>
      </c>
      <c r="R23" s="81">
        <f t="shared" si="6"/>
        <v>1.9653899987275736</v>
      </c>
      <c r="S23" s="107">
        <f t="shared" si="7"/>
        <v>-75.87</v>
      </c>
      <c r="T23" s="83">
        <f t="shared" si="8"/>
        <v>36.36</v>
      </c>
      <c r="U23" s="84"/>
      <c r="V23" s="84"/>
      <c r="W23" s="84"/>
      <c r="X23" s="84"/>
      <c r="Y23" s="85"/>
      <c r="Z23" s="68"/>
      <c r="AA23" s="68"/>
    </row>
    <row r="24" spans="1:27" ht="12.75" hidden="1" outlineLevel="1" x14ac:dyDescent="0.2">
      <c r="A24" s="68"/>
      <c r="B24" s="86"/>
      <c r="C24" s="70" t="s">
        <v>44</v>
      </c>
      <c r="D24" s="108">
        <v>190.8</v>
      </c>
      <c r="E24" s="72"/>
      <c r="F24" s="73">
        <v>4</v>
      </c>
      <c r="G24" s="73">
        <v>4</v>
      </c>
      <c r="H24" s="74">
        <f t="shared" si="0"/>
        <v>1</v>
      </c>
      <c r="I24" s="75">
        <f t="shared" si="1"/>
        <v>47.7</v>
      </c>
      <c r="J24" s="76">
        <f t="shared" si="2"/>
        <v>47.7</v>
      </c>
      <c r="K24" s="108">
        <v>80.52</v>
      </c>
      <c r="L24" s="73">
        <v>40401</v>
      </c>
      <c r="M24" s="73">
        <v>3</v>
      </c>
      <c r="N24" s="109">
        <v>134.85</v>
      </c>
      <c r="O24" s="79">
        <f t="shared" si="9"/>
        <v>0.59710789766407124</v>
      </c>
      <c r="P24" s="80">
        <f t="shared" si="4"/>
        <v>1.6747391952309985</v>
      </c>
      <c r="Q24" s="79">
        <f t="shared" si="5"/>
        <v>0.42201257861635216</v>
      </c>
      <c r="R24" s="81">
        <f t="shared" si="6"/>
        <v>0.70676100628930816</v>
      </c>
      <c r="S24" s="110">
        <f t="shared" si="7"/>
        <v>55.950000000000017</v>
      </c>
      <c r="T24" s="83">
        <f t="shared" si="8"/>
        <v>26.84</v>
      </c>
      <c r="U24" s="84"/>
      <c r="V24" s="84"/>
      <c r="W24" s="84"/>
      <c r="X24" s="84"/>
      <c r="Y24" s="85"/>
      <c r="Z24" s="68"/>
      <c r="AA24" s="68"/>
    </row>
    <row r="25" spans="1:27" ht="12.75" hidden="1" outlineLevel="1" x14ac:dyDescent="0.2">
      <c r="A25" s="111"/>
      <c r="B25" s="86"/>
      <c r="C25" s="112" t="s">
        <v>45</v>
      </c>
      <c r="D25" s="71">
        <v>0</v>
      </c>
      <c r="E25" s="72"/>
      <c r="F25" s="73">
        <v>0</v>
      </c>
      <c r="G25" s="73">
        <v>0</v>
      </c>
      <c r="H25" s="74" t="e">
        <f t="shared" si="0"/>
        <v>#DIV/0!</v>
      </c>
      <c r="I25" s="75" t="e">
        <f t="shared" si="1"/>
        <v>#DIV/0!</v>
      </c>
      <c r="J25" s="76" t="e">
        <f t="shared" si="2"/>
        <v>#DIV/0!</v>
      </c>
      <c r="K25" s="71">
        <v>0</v>
      </c>
      <c r="L25" s="73">
        <v>0</v>
      </c>
      <c r="M25" s="73">
        <v>0</v>
      </c>
      <c r="N25" s="78">
        <v>0</v>
      </c>
      <c r="O25" s="79" t="e">
        <f t="shared" si="9"/>
        <v>#DIV/0!</v>
      </c>
      <c r="P25" s="80" t="e">
        <f t="shared" si="4"/>
        <v>#DIV/0!</v>
      </c>
      <c r="Q25" s="79" t="e">
        <f t="shared" si="5"/>
        <v>#DIV/0!</v>
      </c>
      <c r="R25" s="81" t="e">
        <f t="shared" si="6"/>
        <v>#DIV/0!</v>
      </c>
      <c r="S25" s="82">
        <f t="shared" si="7"/>
        <v>0</v>
      </c>
      <c r="T25" s="83" t="e">
        <f t="shared" si="8"/>
        <v>#DIV/0!</v>
      </c>
      <c r="U25" s="113"/>
      <c r="V25" s="113"/>
      <c r="W25" s="113"/>
      <c r="X25" s="114"/>
      <c r="Y25" s="115"/>
      <c r="Z25" s="68"/>
      <c r="AA25" s="68"/>
    </row>
    <row r="26" spans="1:27" ht="12.75" hidden="1" outlineLevel="1" x14ac:dyDescent="0.2">
      <c r="A26" s="68"/>
      <c r="B26" s="86"/>
      <c r="C26" s="70" t="s">
        <v>46</v>
      </c>
      <c r="D26" s="116">
        <v>1312.67</v>
      </c>
      <c r="E26" s="72"/>
      <c r="F26" s="73">
        <v>34</v>
      </c>
      <c r="G26" s="73">
        <v>31</v>
      </c>
      <c r="H26" s="74">
        <f t="shared" si="0"/>
        <v>1.096774193548387</v>
      </c>
      <c r="I26" s="75">
        <f t="shared" si="1"/>
        <v>38.60794117647059</v>
      </c>
      <c r="J26" s="76">
        <f t="shared" si="2"/>
        <v>35.201358131487893</v>
      </c>
      <c r="K26" s="116">
        <v>269.35000000000002</v>
      </c>
      <c r="L26" s="73">
        <v>50705</v>
      </c>
      <c r="M26" s="73">
        <v>13</v>
      </c>
      <c r="N26" s="117">
        <v>403.73</v>
      </c>
      <c r="O26" s="79">
        <f t="shared" si="9"/>
        <v>0.66715379089985882</v>
      </c>
      <c r="P26" s="80">
        <f t="shared" si="4"/>
        <v>1.4989047707443846</v>
      </c>
      <c r="Q26" s="79">
        <f t="shared" si="5"/>
        <v>0.20519247030860766</v>
      </c>
      <c r="R26" s="81">
        <f t="shared" si="6"/>
        <v>0.30756397266639751</v>
      </c>
      <c r="S26" s="82">
        <f t="shared" si="7"/>
        <v>908.94</v>
      </c>
      <c r="T26" s="83">
        <f t="shared" si="8"/>
        <v>20.719230769230769</v>
      </c>
      <c r="U26" s="84"/>
      <c r="V26" s="84"/>
      <c r="W26" s="84"/>
      <c r="X26" s="84"/>
      <c r="Y26" s="85"/>
      <c r="Z26" s="68"/>
      <c r="AA26" s="68"/>
    </row>
    <row r="27" spans="1:27" ht="12.75" hidden="1" outlineLevel="1" x14ac:dyDescent="0.2">
      <c r="A27" s="68"/>
      <c r="B27" s="86"/>
      <c r="C27" s="70" t="s">
        <v>47</v>
      </c>
      <c r="D27" s="87">
        <v>-29.95</v>
      </c>
      <c r="E27" s="72"/>
      <c r="F27" s="73">
        <v>-1</v>
      </c>
      <c r="G27" s="73">
        <v>0</v>
      </c>
      <c r="H27" s="74" t="e">
        <f t="shared" si="0"/>
        <v>#DIV/0!</v>
      </c>
      <c r="I27" s="75">
        <f t="shared" si="1"/>
        <v>29.95</v>
      </c>
      <c r="J27" s="76" t="e">
        <f t="shared" si="2"/>
        <v>#DIV/0!</v>
      </c>
      <c r="K27" s="87">
        <v>0</v>
      </c>
      <c r="L27" s="73">
        <v>0</v>
      </c>
      <c r="M27" s="73">
        <v>0</v>
      </c>
      <c r="N27" s="88">
        <v>0</v>
      </c>
      <c r="O27" s="79" t="e">
        <f t="shared" si="9"/>
        <v>#DIV/0!</v>
      </c>
      <c r="P27" s="80" t="e">
        <f t="shared" si="4"/>
        <v>#DIV/0!</v>
      </c>
      <c r="Q27" s="79">
        <f t="shared" si="5"/>
        <v>0</v>
      </c>
      <c r="R27" s="81">
        <f t="shared" si="6"/>
        <v>0</v>
      </c>
      <c r="S27" s="82">
        <f t="shared" si="7"/>
        <v>-29.95</v>
      </c>
      <c r="T27" s="83" t="e">
        <f t="shared" si="8"/>
        <v>#DIV/0!</v>
      </c>
      <c r="U27" s="84"/>
      <c r="V27" s="84"/>
      <c r="W27" s="84"/>
      <c r="X27" s="84"/>
      <c r="Y27" s="85"/>
      <c r="Z27" s="68"/>
      <c r="AA27" s="68"/>
    </row>
    <row r="28" spans="1:27" ht="12.75" hidden="1" outlineLevel="1" x14ac:dyDescent="0.2">
      <c r="A28" s="68"/>
      <c r="B28" s="86"/>
      <c r="C28" s="70" t="s">
        <v>48</v>
      </c>
      <c r="D28" s="102">
        <v>4625.0600000000004</v>
      </c>
      <c r="E28" s="72"/>
      <c r="F28" s="73">
        <v>26</v>
      </c>
      <c r="G28" s="73">
        <v>28</v>
      </c>
      <c r="H28" s="74">
        <f t="shared" si="0"/>
        <v>0.9285714285714286</v>
      </c>
      <c r="I28" s="75">
        <f t="shared" si="1"/>
        <v>177.8869230769231</v>
      </c>
      <c r="J28" s="76">
        <f t="shared" si="2"/>
        <v>191.57053254437872</v>
      </c>
      <c r="K28" s="102">
        <v>692.49</v>
      </c>
      <c r="L28" s="73">
        <v>44157</v>
      </c>
      <c r="M28" s="73">
        <v>11</v>
      </c>
      <c r="N28" s="103">
        <v>1670.89</v>
      </c>
      <c r="O28" s="79">
        <f t="shared" si="9"/>
        <v>0.41444379941228926</v>
      </c>
      <c r="P28" s="80">
        <f t="shared" si="4"/>
        <v>2.4128723880489251</v>
      </c>
      <c r="Q28" s="79">
        <f t="shared" si="5"/>
        <v>0.14972562518107871</v>
      </c>
      <c r="R28" s="81">
        <f t="shared" si="6"/>
        <v>0.36126882678278766</v>
      </c>
      <c r="S28" s="82">
        <f t="shared" si="7"/>
        <v>2954.17</v>
      </c>
      <c r="T28" s="83">
        <f t="shared" si="8"/>
        <v>62.953636363636363</v>
      </c>
      <c r="U28" s="84"/>
      <c r="V28" s="84"/>
      <c r="W28" s="84"/>
      <c r="X28" s="84"/>
      <c r="Y28" s="85"/>
      <c r="Z28" s="68"/>
      <c r="AA28" s="68"/>
    </row>
    <row r="29" spans="1:27" ht="12.75" hidden="1" outlineLevel="1" x14ac:dyDescent="0.2">
      <c r="A29" s="118" t="str">
        <f t="shared" ref="A29:A30" si="10">IFERROR(IF(B29&gt;0,MONTH(B29)&amp;"-"&amp;YEAR(B29),B29),)</f>
        <v>12-2025</v>
      </c>
      <c r="B29" s="69">
        <v>46018</v>
      </c>
      <c r="C29" s="70" t="s">
        <v>49</v>
      </c>
      <c r="D29" s="116">
        <v>0</v>
      </c>
      <c r="E29" s="72"/>
      <c r="F29" s="73">
        <v>0</v>
      </c>
      <c r="G29" s="73">
        <v>0</v>
      </c>
      <c r="H29" s="74" t="e">
        <f t="shared" si="0"/>
        <v>#DIV/0!</v>
      </c>
      <c r="I29" s="75" t="e">
        <f t="shared" si="1"/>
        <v>#DIV/0!</v>
      </c>
      <c r="J29" s="76" t="e">
        <f t="shared" si="2"/>
        <v>#DIV/0!</v>
      </c>
      <c r="K29" s="116">
        <v>16.97</v>
      </c>
      <c r="L29" s="73">
        <v>17393</v>
      </c>
      <c r="M29" s="73">
        <v>0</v>
      </c>
      <c r="N29" s="117">
        <v>0</v>
      </c>
      <c r="O29" s="79" t="e">
        <f t="shared" si="9"/>
        <v>#DIV/0!</v>
      </c>
      <c r="P29" s="80">
        <f t="shared" si="4"/>
        <v>0</v>
      </c>
      <c r="Q29" s="79" t="e">
        <f t="shared" si="5"/>
        <v>#DIV/0!</v>
      </c>
      <c r="R29" s="81" t="e">
        <f t="shared" si="6"/>
        <v>#DIV/0!</v>
      </c>
      <c r="S29" s="82">
        <f t="shared" si="7"/>
        <v>0</v>
      </c>
      <c r="T29" s="83" t="e">
        <f t="shared" si="8"/>
        <v>#DIV/0!</v>
      </c>
      <c r="U29" s="84"/>
      <c r="V29" s="84"/>
      <c r="W29" s="84"/>
      <c r="X29" s="84"/>
      <c r="Y29" s="85"/>
      <c r="Z29" s="68"/>
      <c r="AA29" s="68"/>
    </row>
    <row r="30" spans="1:27" ht="12.75" collapsed="1" x14ac:dyDescent="0.2">
      <c r="A30" s="68">
        <f t="shared" si="10"/>
        <v>0</v>
      </c>
      <c r="B30" s="119" t="s">
        <v>50</v>
      </c>
      <c r="C30" s="120"/>
      <c r="D30" s="121">
        <f>SUM(D13:D29)</f>
        <v>37074.31</v>
      </c>
      <c r="E30" s="122"/>
      <c r="F30" s="123">
        <f t="shared" ref="F30:G30" si="11">SUM(F13:F29)</f>
        <v>245</v>
      </c>
      <c r="G30" s="123">
        <f t="shared" si="11"/>
        <v>266</v>
      </c>
      <c r="H30" s="124">
        <f t="shared" si="0"/>
        <v>0.92105263157894735</v>
      </c>
      <c r="I30" s="125">
        <f t="shared" si="1"/>
        <v>151.32371428571429</v>
      </c>
      <c r="J30" s="126">
        <f t="shared" si="2"/>
        <v>164.29431836734693</v>
      </c>
      <c r="K30" s="121">
        <f t="shared" ref="K30:N30" si="12">SUM(K13:K29)</f>
        <v>5094.8</v>
      </c>
      <c r="L30" s="123">
        <f t="shared" si="12"/>
        <v>988888</v>
      </c>
      <c r="M30" s="123">
        <f t="shared" si="12"/>
        <v>108</v>
      </c>
      <c r="N30" s="127">
        <f t="shared" si="12"/>
        <v>15590.759999999997</v>
      </c>
      <c r="O30" s="128">
        <f t="shared" si="9"/>
        <v>0.32678329985196369</v>
      </c>
      <c r="P30" s="129">
        <f t="shared" si="4"/>
        <v>3.0601318991913318</v>
      </c>
      <c r="Q30" s="128">
        <f t="shared" si="5"/>
        <v>0.13742130332297486</v>
      </c>
      <c r="R30" s="130">
        <f t="shared" si="6"/>
        <v>0.42052731392708315</v>
      </c>
      <c r="S30" s="131">
        <f>SUM(S13:S29)</f>
        <v>21483.550000000003</v>
      </c>
      <c r="T30" s="132">
        <f t="shared" si="8"/>
        <v>47.174074074074078</v>
      </c>
      <c r="U30" s="133">
        <f>IFERROR((D30-#REF!)/D30,)</f>
        <v>0</v>
      </c>
      <c r="V30" s="133">
        <f>IFERROR((F30-#REF!)/F30,)</f>
        <v>0</v>
      </c>
      <c r="W30" s="134">
        <f>IFERROR((D30-#REF!)/D30, )</f>
        <v>0</v>
      </c>
      <c r="X30" s="134">
        <f>IFERROR((F30-#REF!)/F30, )</f>
        <v>0</v>
      </c>
      <c r="Y30" s="68"/>
      <c r="Z30" s="68"/>
      <c r="AA30" s="68"/>
    </row>
    <row r="31" spans="1:27" ht="12.75" hidden="1" outlineLevel="1" x14ac:dyDescent="0.2">
      <c r="A31" s="68"/>
      <c r="B31" s="69">
        <v>46019</v>
      </c>
      <c r="C31" s="70" t="s">
        <v>32</v>
      </c>
      <c r="D31" s="71">
        <v>13519.5</v>
      </c>
      <c r="E31" s="72"/>
      <c r="F31" s="73">
        <v>57</v>
      </c>
      <c r="G31" s="73">
        <v>57</v>
      </c>
      <c r="H31" s="74">
        <f t="shared" si="0"/>
        <v>1</v>
      </c>
      <c r="I31" s="75">
        <f t="shared" si="1"/>
        <v>237.18421052631578</v>
      </c>
      <c r="J31" s="76">
        <f t="shared" si="2"/>
        <v>237.18421052631578</v>
      </c>
      <c r="K31" s="77">
        <v>1867.63</v>
      </c>
      <c r="L31" s="73">
        <v>249548</v>
      </c>
      <c r="M31" s="73">
        <v>23</v>
      </c>
      <c r="N31" s="78">
        <v>5019.4399999999996</v>
      </c>
      <c r="O31" s="79">
        <f t="shared" si="9"/>
        <v>0.37207935546594845</v>
      </c>
      <c r="P31" s="80">
        <f t="shared" si="4"/>
        <v>2.6875987213741475</v>
      </c>
      <c r="Q31" s="79">
        <f t="shared" si="5"/>
        <v>0.13814342246384853</v>
      </c>
      <c r="R31" s="81">
        <f t="shared" si="6"/>
        <v>0.37127408558008801</v>
      </c>
      <c r="S31" s="82">
        <f t="shared" ref="S31:S47" si="13">D31-N31</f>
        <v>8500.0600000000013</v>
      </c>
      <c r="T31" s="83">
        <f t="shared" si="8"/>
        <v>81.201304347826095</v>
      </c>
      <c r="U31" s="84"/>
      <c r="V31" s="84"/>
      <c r="W31" s="84"/>
      <c r="X31" s="84"/>
      <c r="Y31" s="85"/>
      <c r="Z31" s="68"/>
      <c r="AA31" s="68"/>
    </row>
    <row r="32" spans="1:27" ht="12.75" hidden="1" outlineLevel="1" x14ac:dyDescent="0.2">
      <c r="A32" s="68"/>
      <c r="B32" s="86"/>
      <c r="C32" s="70" t="s">
        <v>33</v>
      </c>
      <c r="D32" s="87">
        <v>18767.79</v>
      </c>
      <c r="E32" s="72"/>
      <c r="F32" s="73">
        <v>145</v>
      </c>
      <c r="G32" s="73">
        <v>161</v>
      </c>
      <c r="H32" s="74">
        <f t="shared" si="0"/>
        <v>0.90062111801242239</v>
      </c>
      <c r="I32" s="75">
        <f t="shared" si="1"/>
        <v>129.43303448275861</v>
      </c>
      <c r="J32" s="76">
        <f t="shared" si="2"/>
        <v>143.71530035671819</v>
      </c>
      <c r="K32" s="87">
        <v>1072.07</v>
      </c>
      <c r="L32" s="73">
        <v>465644</v>
      </c>
      <c r="M32" s="73">
        <v>32</v>
      </c>
      <c r="N32" s="88">
        <v>3923.85</v>
      </c>
      <c r="O32" s="79">
        <f t="shared" si="9"/>
        <v>0.27321890490207323</v>
      </c>
      <c r="P32" s="80">
        <f t="shared" si="4"/>
        <v>3.6600688387885119</v>
      </c>
      <c r="Q32" s="79">
        <f t="shared" si="5"/>
        <v>5.7122868489044257E-2</v>
      </c>
      <c r="R32" s="81">
        <f t="shared" si="6"/>
        <v>0.20907363093896508</v>
      </c>
      <c r="S32" s="89">
        <f t="shared" si="13"/>
        <v>14843.94</v>
      </c>
      <c r="T32" s="83">
        <f t="shared" si="8"/>
        <v>33.502187499999998</v>
      </c>
      <c r="U32" s="84"/>
      <c r="V32" s="84"/>
      <c r="W32" s="84"/>
      <c r="X32" s="84"/>
      <c r="Y32" s="85"/>
      <c r="Z32" s="68"/>
      <c r="AA32" s="68"/>
    </row>
    <row r="33" spans="1:27" ht="12.75" hidden="1" outlineLevel="1" x14ac:dyDescent="0.2">
      <c r="A33" s="68"/>
      <c r="B33" s="86"/>
      <c r="C33" s="70" t="s">
        <v>34</v>
      </c>
      <c r="D33" s="90">
        <v>0</v>
      </c>
      <c r="E33" s="72"/>
      <c r="F33" s="73">
        <v>0</v>
      </c>
      <c r="G33" s="73">
        <v>0</v>
      </c>
      <c r="H33" s="74" t="e">
        <f t="shared" si="0"/>
        <v>#DIV/0!</v>
      </c>
      <c r="I33" s="75" t="e">
        <f t="shared" si="1"/>
        <v>#DIV/0!</v>
      </c>
      <c r="J33" s="76" t="e">
        <f t="shared" si="2"/>
        <v>#DIV/0!</v>
      </c>
      <c r="K33" s="90">
        <v>0</v>
      </c>
      <c r="L33" s="73">
        <v>376</v>
      </c>
      <c r="M33" s="73">
        <v>0</v>
      </c>
      <c r="N33" s="91">
        <v>0</v>
      </c>
      <c r="O33" s="79" t="e">
        <f>(K33/N33)</f>
        <v>#DIV/0!</v>
      </c>
      <c r="P33" s="80" t="e">
        <f t="shared" si="4"/>
        <v>#DIV/0!</v>
      </c>
      <c r="Q33" s="79" t="e">
        <f t="shared" si="5"/>
        <v>#DIV/0!</v>
      </c>
      <c r="R33" s="81" t="e">
        <f t="shared" si="6"/>
        <v>#DIV/0!</v>
      </c>
      <c r="S33" s="92">
        <f t="shared" si="13"/>
        <v>0</v>
      </c>
      <c r="T33" s="83" t="e">
        <f t="shared" si="8"/>
        <v>#DIV/0!</v>
      </c>
      <c r="U33" s="84"/>
      <c r="V33" s="84"/>
      <c r="W33" s="84"/>
      <c r="X33" s="84"/>
      <c r="Y33" s="85"/>
      <c r="Z33" s="68"/>
      <c r="AA33" s="68"/>
    </row>
    <row r="34" spans="1:27" ht="12.75" hidden="1" outlineLevel="1" x14ac:dyDescent="0.2">
      <c r="A34" s="68"/>
      <c r="B34" s="86"/>
      <c r="C34" s="70" t="s">
        <v>35</v>
      </c>
      <c r="D34" s="90">
        <v>125.9</v>
      </c>
      <c r="E34" s="72"/>
      <c r="F34" s="73">
        <v>2</v>
      </c>
      <c r="G34" s="73">
        <v>2</v>
      </c>
      <c r="H34" s="74">
        <f t="shared" si="0"/>
        <v>1</v>
      </c>
      <c r="I34" s="75">
        <f t="shared" si="1"/>
        <v>62.95</v>
      </c>
      <c r="J34" s="76">
        <f t="shared" si="2"/>
        <v>62.95</v>
      </c>
      <c r="K34" s="90">
        <v>298.8</v>
      </c>
      <c r="L34" s="73">
        <v>26455</v>
      </c>
      <c r="M34" s="73">
        <v>5</v>
      </c>
      <c r="N34" s="91">
        <v>299.75</v>
      </c>
      <c r="O34" s="79">
        <f t="shared" ref="O34:O50" si="14">K34/N34</f>
        <v>0.99683069224353626</v>
      </c>
      <c r="P34" s="80">
        <f t="shared" si="4"/>
        <v>1.0031793842034806</v>
      </c>
      <c r="Q34" s="79">
        <f t="shared" si="5"/>
        <v>2.3733121525019856</v>
      </c>
      <c r="R34" s="81">
        <f t="shared" si="6"/>
        <v>2.380857823669579</v>
      </c>
      <c r="S34" s="92">
        <f t="shared" si="13"/>
        <v>-173.85</v>
      </c>
      <c r="T34" s="83">
        <f t="shared" si="8"/>
        <v>59.760000000000005</v>
      </c>
      <c r="U34" s="84"/>
      <c r="V34" s="84"/>
      <c r="W34" s="84"/>
      <c r="X34" s="84"/>
      <c r="Y34" s="85"/>
      <c r="Z34" s="68"/>
      <c r="AA34" s="68"/>
    </row>
    <row r="35" spans="1:27" ht="12.75" hidden="1" outlineLevel="1" x14ac:dyDescent="0.2">
      <c r="A35" s="68"/>
      <c r="B35" s="86"/>
      <c r="C35" s="70" t="s">
        <v>36</v>
      </c>
      <c r="D35" s="90">
        <v>359.7</v>
      </c>
      <c r="E35" s="72"/>
      <c r="F35" s="73">
        <v>6</v>
      </c>
      <c r="G35" s="73">
        <v>6</v>
      </c>
      <c r="H35" s="74">
        <f t="shared" si="0"/>
        <v>1</v>
      </c>
      <c r="I35" s="75">
        <f t="shared" si="1"/>
        <v>59.949999999999996</v>
      </c>
      <c r="J35" s="76">
        <f t="shared" si="2"/>
        <v>59.949999999999996</v>
      </c>
      <c r="K35" s="90">
        <v>105.72</v>
      </c>
      <c r="L35" s="73">
        <v>27117</v>
      </c>
      <c r="M35" s="73">
        <v>2</v>
      </c>
      <c r="N35" s="91">
        <v>129.9</v>
      </c>
      <c r="O35" s="79">
        <f t="shared" si="14"/>
        <v>0.81385681293302536</v>
      </c>
      <c r="P35" s="80">
        <f t="shared" si="4"/>
        <v>1.2287173666288309</v>
      </c>
      <c r="Q35" s="79">
        <f t="shared" si="5"/>
        <v>0.29391159299416181</v>
      </c>
      <c r="R35" s="81">
        <f t="shared" si="6"/>
        <v>0.36113427856547126</v>
      </c>
      <c r="S35" s="92">
        <f t="shared" si="13"/>
        <v>229.79999999999998</v>
      </c>
      <c r="T35" s="83">
        <f t="shared" si="8"/>
        <v>52.86</v>
      </c>
      <c r="U35" s="84"/>
      <c r="V35" s="84"/>
      <c r="W35" s="84"/>
      <c r="X35" s="84"/>
      <c r="Y35" s="85"/>
      <c r="Z35" s="68"/>
      <c r="AA35" s="68"/>
    </row>
    <row r="36" spans="1:27" ht="12.75" hidden="1" outlineLevel="1" x14ac:dyDescent="0.2">
      <c r="A36" s="68"/>
      <c r="B36" s="69" t="s">
        <v>37</v>
      </c>
      <c r="C36" s="70" t="s">
        <v>38</v>
      </c>
      <c r="D36" s="93">
        <v>-60.73</v>
      </c>
      <c r="E36" s="72"/>
      <c r="F36" s="73">
        <v>0</v>
      </c>
      <c r="G36" s="73">
        <v>1</v>
      </c>
      <c r="H36" s="74">
        <f t="shared" si="0"/>
        <v>0</v>
      </c>
      <c r="I36" s="75" t="e">
        <f t="shared" si="1"/>
        <v>#DIV/0!</v>
      </c>
      <c r="J36" s="76" t="e">
        <f t="shared" si="2"/>
        <v>#DIV/0!</v>
      </c>
      <c r="K36" s="93">
        <v>83.88</v>
      </c>
      <c r="L36" s="73">
        <v>253679</v>
      </c>
      <c r="M36" s="73">
        <v>0</v>
      </c>
      <c r="N36" s="94">
        <v>0</v>
      </c>
      <c r="O36" s="79" t="e">
        <f t="shared" si="14"/>
        <v>#DIV/0!</v>
      </c>
      <c r="P36" s="80">
        <f t="shared" si="4"/>
        <v>0</v>
      </c>
      <c r="Q36" s="79">
        <f t="shared" si="5"/>
        <v>-1.3811954552939238</v>
      </c>
      <c r="R36" s="81">
        <f t="shared" si="6"/>
        <v>0</v>
      </c>
      <c r="S36" s="95">
        <f t="shared" si="13"/>
        <v>-60.73</v>
      </c>
      <c r="T36" s="83" t="e">
        <f t="shared" si="8"/>
        <v>#DIV/0!</v>
      </c>
      <c r="U36" s="84"/>
      <c r="V36" s="84"/>
      <c r="W36" s="84"/>
      <c r="X36" s="84"/>
      <c r="Y36" s="85"/>
      <c r="Z36" s="68"/>
      <c r="AA36" s="68"/>
    </row>
    <row r="37" spans="1:27" ht="12.75" hidden="1" outlineLevel="1" x14ac:dyDescent="0.2">
      <c r="A37" s="68"/>
      <c r="B37" s="86"/>
      <c r="C37" s="70" t="s">
        <v>39</v>
      </c>
      <c r="D37" s="96">
        <v>0</v>
      </c>
      <c r="E37" s="72"/>
      <c r="F37" s="73">
        <v>0</v>
      </c>
      <c r="G37" s="73">
        <v>0</v>
      </c>
      <c r="H37" s="74" t="e">
        <f t="shared" si="0"/>
        <v>#DIV/0!</v>
      </c>
      <c r="I37" s="75" t="e">
        <f t="shared" si="1"/>
        <v>#DIV/0!</v>
      </c>
      <c r="J37" s="76" t="e">
        <f t="shared" si="2"/>
        <v>#DIV/0!</v>
      </c>
      <c r="K37" s="96">
        <v>0</v>
      </c>
      <c r="L37" s="73">
        <v>0</v>
      </c>
      <c r="M37" s="73">
        <v>0</v>
      </c>
      <c r="N37" s="97">
        <v>0</v>
      </c>
      <c r="O37" s="79" t="e">
        <f t="shared" si="14"/>
        <v>#DIV/0!</v>
      </c>
      <c r="P37" s="80" t="e">
        <f t="shared" si="4"/>
        <v>#DIV/0!</v>
      </c>
      <c r="Q37" s="79" t="e">
        <f t="shared" si="5"/>
        <v>#DIV/0!</v>
      </c>
      <c r="R37" s="81" t="e">
        <f t="shared" si="6"/>
        <v>#DIV/0!</v>
      </c>
      <c r="S37" s="98">
        <f t="shared" si="13"/>
        <v>0</v>
      </c>
      <c r="T37" s="83" t="e">
        <f t="shared" si="8"/>
        <v>#DIV/0!</v>
      </c>
      <c r="U37" s="84"/>
      <c r="V37" s="84"/>
      <c r="W37" s="84"/>
      <c r="X37" s="84"/>
      <c r="Y37" s="85"/>
      <c r="Z37" s="68"/>
      <c r="AA37" s="68"/>
    </row>
    <row r="38" spans="1:27" ht="12.75" hidden="1" outlineLevel="1" x14ac:dyDescent="0.2">
      <c r="A38" s="68"/>
      <c r="B38" s="86"/>
      <c r="C38" s="70" t="s">
        <v>40</v>
      </c>
      <c r="D38" s="99">
        <v>0</v>
      </c>
      <c r="E38" s="72"/>
      <c r="F38" s="73">
        <v>0</v>
      </c>
      <c r="G38" s="73">
        <v>0</v>
      </c>
      <c r="H38" s="74" t="e">
        <f t="shared" si="0"/>
        <v>#DIV/0!</v>
      </c>
      <c r="I38" s="75" t="e">
        <f t="shared" si="1"/>
        <v>#DIV/0!</v>
      </c>
      <c r="J38" s="76" t="e">
        <f t="shared" si="2"/>
        <v>#DIV/0!</v>
      </c>
      <c r="K38" s="99">
        <v>0</v>
      </c>
      <c r="L38" s="73">
        <v>0</v>
      </c>
      <c r="M38" s="73">
        <v>0</v>
      </c>
      <c r="N38" s="100">
        <v>0</v>
      </c>
      <c r="O38" s="79" t="e">
        <f t="shared" si="14"/>
        <v>#DIV/0!</v>
      </c>
      <c r="P38" s="80" t="e">
        <f t="shared" si="4"/>
        <v>#DIV/0!</v>
      </c>
      <c r="Q38" s="79" t="e">
        <f t="shared" si="5"/>
        <v>#DIV/0!</v>
      </c>
      <c r="R38" s="81" t="e">
        <f t="shared" si="6"/>
        <v>#DIV/0!</v>
      </c>
      <c r="S38" s="101">
        <f t="shared" si="13"/>
        <v>0</v>
      </c>
      <c r="T38" s="83" t="e">
        <f t="shared" si="8"/>
        <v>#DIV/0!</v>
      </c>
      <c r="U38" s="84"/>
      <c r="V38" s="84"/>
      <c r="W38" s="84"/>
      <c r="X38" s="84"/>
      <c r="Y38" s="85"/>
      <c r="Z38" s="68"/>
      <c r="AA38" s="68"/>
    </row>
    <row r="39" spans="1:27" ht="12.75" hidden="1" outlineLevel="1" x14ac:dyDescent="0.2">
      <c r="A39" s="68"/>
      <c r="B39" s="86"/>
      <c r="C39" s="70" t="s">
        <v>41</v>
      </c>
      <c r="D39" s="102">
        <v>3534.27</v>
      </c>
      <c r="E39" s="72"/>
      <c r="F39" s="73">
        <v>49</v>
      </c>
      <c r="G39" s="73">
        <v>51</v>
      </c>
      <c r="H39" s="74">
        <f t="shared" si="0"/>
        <v>0.96078431372549022</v>
      </c>
      <c r="I39" s="75">
        <f t="shared" si="1"/>
        <v>72.127959183673468</v>
      </c>
      <c r="J39" s="76">
        <f t="shared" si="2"/>
        <v>75.071957517700952</v>
      </c>
      <c r="K39" s="102">
        <v>799.06</v>
      </c>
      <c r="L39" s="73">
        <v>59789</v>
      </c>
      <c r="M39" s="73">
        <v>14</v>
      </c>
      <c r="N39" s="103">
        <v>877.86</v>
      </c>
      <c r="O39" s="79">
        <f t="shared" si="14"/>
        <v>0.91023625635067085</v>
      </c>
      <c r="P39" s="80">
        <f t="shared" si="4"/>
        <v>1.0986158736515406</v>
      </c>
      <c r="Q39" s="79">
        <f t="shared" si="5"/>
        <v>0.22608912165737194</v>
      </c>
      <c r="R39" s="81">
        <f t="shared" si="6"/>
        <v>0.24838509791272315</v>
      </c>
      <c r="S39" s="104">
        <f t="shared" si="13"/>
        <v>2656.41</v>
      </c>
      <c r="T39" s="83">
        <f t="shared" si="8"/>
        <v>57.075714285714284</v>
      </c>
      <c r="U39" s="84"/>
      <c r="V39" s="84"/>
      <c r="W39" s="84"/>
      <c r="X39" s="84"/>
      <c r="Y39" s="85"/>
      <c r="Z39" s="68"/>
      <c r="AA39" s="68"/>
    </row>
    <row r="40" spans="1:27" ht="12.75" hidden="1" outlineLevel="1" x14ac:dyDescent="0.2">
      <c r="A40" s="68"/>
      <c r="B40" s="86"/>
      <c r="C40" s="70" t="s">
        <v>42</v>
      </c>
      <c r="D40" s="90">
        <v>59.97</v>
      </c>
      <c r="E40" s="72"/>
      <c r="F40" s="73">
        <v>3</v>
      </c>
      <c r="G40" s="73">
        <v>3</v>
      </c>
      <c r="H40" s="74">
        <f t="shared" si="0"/>
        <v>1</v>
      </c>
      <c r="I40" s="75">
        <f t="shared" si="1"/>
        <v>19.989999999999998</v>
      </c>
      <c r="J40" s="76">
        <f t="shared" si="2"/>
        <v>19.989999999999998</v>
      </c>
      <c r="K40" s="90">
        <v>356.37</v>
      </c>
      <c r="L40" s="73">
        <v>105893</v>
      </c>
      <c r="M40" s="73">
        <v>2</v>
      </c>
      <c r="N40" s="91">
        <v>39.979999999999997</v>
      </c>
      <c r="O40" s="79">
        <f t="shared" si="14"/>
        <v>8.9137068534267136</v>
      </c>
      <c r="P40" s="80">
        <f t="shared" si="4"/>
        <v>0.11218677217498665</v>
      </c>
      <c r="Q40" s="79">
        <f t="shared" si="5"/>
        <v>5.9424712356178091</v>
      </c>
      <c r="R40" s="81">
        <f t="shared" si="6"/>
        <v>0.66666666666666663</v>
      </c>
      <c r="S40" s="92">
        <f t="shared" si="13"/>
        <v>19.990000000000002</v>
      </c>
      <c r="T40" s="83">
        <f t="shared" si="8"/>
        <v>178.185</v>
      </c>
      <c r="U40" s="84"/>
      <c r="V40" s="84"/>
      <c r="W40" s="84"/>
      <c r="X40" s="84"/>
      <c r="Y40" s="85"/>
      <c r="Z40" s="68"/>
      <c r="AA40" s="68"/>
    </row>
    <row r="41" spans="1:27" ht="12.75" hidden="1" outlineLevel="1" x14ac:dyDescent="0.2">
      <c r="A41" s="68"/>
      <c r="B41" s="86"/>
      <c r="C41" s="70" t="s">
        <v>43</v>
      </c>
      <c r="D41" s="105">
        <v>1547.97</v>
      </c>
      <c r="E41" s="72"/>
      <c r="F41" s="73">
        <v>13</v>
      </c>
      <c r="G41" s="73">
        <v>13</v>
      </c>
      <c r="H41" s="74">
        <f t="shared" si="0"/>
        <v>1</v>
      </c>
      <c r="I41" s="75">
        <f t="shared" si="1"/>
        <v>119.07461538461538</v>
      </c>
      <c r="J41" s="76">
        <f t="shared" si="2"/>
        <v>119.07461538461538</v>
      </c>
      <c r="K41" s="105">
        <v>74.14</v>
      </c>
      <c r="L41" s="73">
        <v>10788</v>
      </c>
      <c r="M41" s="73">
        <v>1</v>
      </c>
      <c r="N41" s="106">
        <v>0</v>
      </c>
      <c r="O41" s="79" t="e">
        <f t="shared" si="14"/>
        <v>#DIV/0!</v>
      </c>
      <c r="P41" s="80">
        <f t="shared" si="4"/>
        <v>0</v>
      </c>
      <c r="Q41" s="79">
        <f t="shared" si="5"/>
        <v>4.7894985044929811E-2</v>
      </c>
      <c r="R41" s="81">
        <f t="shared" si="6"/>
        <v>0</v>
      </c>
      <c r="S41" s="107">
        <f t="shared" si="13"/>
        <v>1547.97</v>
      </c>
      <c r="T41" s="83">
        <f t="shared" si="8"/>
        <v>74.14</v>
      </c>
      <c r="U41" s="84"/>
      <c r="V41" s="84"/>
      <c r="W41" s="84"/>
      <c r="X41" s="84"/>
      <c r="Y41" s="85"/>
      <c r="Z41" s="68"/>
      <c r="AA41" s="68"/>
    </row>
    <row r="42" spans="1:27" ht="12.75" hidden="1" outlineLevel="1" x14ac:dyDescent="0.2">
      <c r="A42" s="68"/>
      <c r="B42" s="86"/>
      <c r="C42" s="70" t="s">
        <v>44</v>
      </c>
      <c r="D42" s="108">
        <v>209.8</v>
      </c>
      <c r="E42" s="72"/>
      <c r="F42" s="73">
        <v>4</v>
      </c>
      <c r="G42" s="73">
        <v>4</v>
      </c>
      <c r="H42" s="74">
        <f t="shared" si="0"/>
        <v>1</v>
      </c>
      <c r="I42" s="75">
        <f t="shared" si="1"/>
        <v>52.45</v>
      </c>
      <c r="J42" s="76">
        <f t="shared" si="2"/>
        <v>52.45</v>
      </c>
      <c r="K42" s="108">
        <v>72.7</v>
      </c>
      <c r="L42" s="73">
        <v>40190</v>
      </c>
      <c r="M42" s="73">
        <v>3</v>
      </c>
      <c r="N42" s="109">
        <v>164.85</v>
      </c>
      <c r="O42" s="79">
        <f t="shared" si="14"/>
        <v>0.44100697603882322</v>
      </c>
      <c r="P42" s="80">
        <f t="shared" si="4"/>
        <v>2.2675378266850066</v>
      </c>
      <c r="Q42" s="79">
        <f t="shared" si="5"/>
        <v>0.34652049571020016</v>
      </c>
      <c r="R42" s="81">
        <f t="shared" si="6"/>
        <v>0.78574833174451852</v>
      </c>
      <c r="S42" s="110">
        <f t="shared" si="13"/>
        <v>44.950000000000017</v>
      </c>
      <c r="T42" s="83">
        <f t="shared" si="8"/>
        <v>24.233333333333334</v>
      </c>
      <c r="U42" s="84"/>
      <c r="V42" s="84"/>
      <c r="W42" s="84"/>
      <c r="X42" s="84"/>
      <c r="Y42" s="85"/>
      <c r="Z42" s="68"/>
      <c r="AA42" s="68"/>
    </row>
    <row r="43" spans="1:27" ht="12.75" hidden="1" outlineLevel="1" x14ac:dyDescent="0.2">
      <c r="A43" s="111"/>
      <c r="B43" s="86"/>
      <c r="C43" s="112" t="s">
        <v>45</v>
      </c>
      <c r="D43" s="71">
        <v>0</v>
      </c>
      <c r="E43" s="72"/>
      <c r="F43" s="73">
        <v>0</v>
      </c>
      <c r="G43" s="73">
        <v>0</v>
      </c>
      <c r="H43" s="74" t="e">
        <f t="shared" si="0"/>
        <v>#DIV/0!</v>
      </c>
      <c r="I43" s="75" t="e">
        <f t="shared" si="1"/>
        <v>#DIV/0!</v>
      </c>
      <c r="J43" s="76" t="e">
        <f t="shared" si="2"/>
        <v>#DIV/0!</v>
      </c>
      <c r="K43" s="71">
        <v>0</v>
      </c>
      <c r="L43" s="73">
        <v>0</v>
      </c>
      <c r="M43" s="73">
        <v>0</v>
      </c>
      <c r="N43" s="78">
        <v>0</v>
      </c>
      <c r="O43" s="79" t="e">
        <f t="shared" si="14"/>
        <v>#DIV/0!</v>
      </c>
      <c r="P43" s="80" t="e">
        <f t="shared" si="4"/>
        <v>#DIV/0!</v>
      </c>
      <c r="Q43" s="79" t="e">
        <f t="shared" si="5"/>
        <v>#DIV/0!</v>
      </c>
      <c r="R43" s="81" t="e">
        <f t="shared" si="6"/>
        <v>#DIV/0!</v>
      </c>
      <c r="S43" s="82">
        <f t="shared" si="13"/>
        <v>0</v>
      </c>
      <c r="T43" s="83" t="e">
        <f t="shared" si="8"/>
        <v>#DIV/0!</v>
      </c>
      <c r="U43" s="113"/>
      <c r="V43" s="113"/>
      <c r="W43" s="113"/>
      <c r="X43" s="114"/>
      <c r="Y43" s="115"/>
      <c r="Z43" s="68"/>
      <c r="AA43" s="68"/>
    </row>
    <row r="44" spans="1:27" ht="12.75" hidden="1" outlineLevel="1" x14ac:dyDescent="0.2">
      <c r="A44" s="68"/>
      <c r="B44" s="86"/>
      <c r="C44" s="70" t="s">
        <v>46</v>
      </c>
      <c r="D44" s="116">
        <v>1218.3900000000001</v>
      </c>
      <c r="E44" s="72"/>
      <c r="F44" s="73">
        <v>31</v>
      </c>
      <c r="G44" s="73">
        <v>31</v>
      </c>
      <c r="H44" s="74">
        <f t="shared" si="0"/>
        <v>1</v>
      </c>
      <c r="I44" s="75">
        <f t="shared" si="1"/>
        <v>39.302903225806453</v>
      </c>
      <c r="J44" s="76">
        <f t="shared" si="2"/>
        <v>39.302903225806453</v>
      </c>
      <c r="K44" s="116">
        <v>258.05</v>
      </c>
      <c r="L44" s="73">
        <v>66414</v>
      </c>
      <c r="M44" s="73">
        <v>25</v>
      </c>
      <c r="N44" s="117">
        <v>985.26</v>
      </c>
      <c r="O44" s="79">
        <f t="shared" si="14"/>
        <v>0.26191056167915072</v>
      </c>
      <c r="P44" s="80">
        <f t="shared" si="4"/>
        <v>3.8180972679713232</v>
      </c>
      <c r="Q44" s="79">
        <f t="shared" si="5"/>
        <v>0.21179589458219453</v>
      </c>
      <c r="R44" s="81">
        <f t="shared" si="6"/>
        <v>0.80865732647181932</v>
      </c>
      <c r="S44" s="82">
        <f t="shared" si="13"/>
        <v>233.13000000000011</v>
      </c>
      <c r="T44" s="83">
        <f t="shared" si="8"/>
        <v>10.322000000000001</v>
      </c>
      <c r="U44" s="84"/>
      <c r="V44" s="84"/>
      <c r="W44" s="84"/>
      <c r="X44" s="84"/>
      <c r="Y44" s="85"/>
      <c r="Z44" s="68"/>
      <c r="AA44" s="68"/>
    </row>
    <row r="45" spans="1:27" ht="12.75" hidden="1" outlineLevel="1" x14ac:dyDescent="0.2">
      <c r="A45" s="68"/>
      <c r="B45" s="86"/>
      <c r="C45" s="70" t="s">
        <v>47</v>
      </c>
      <c r="D45" s="87">
        <v>59.9</v>
      </c>
      <c r="E45" s="72"/>
      <c r="F45" s="73">
        <v>2</v>
      </c>
      <c r="G45" s="73">
        <v>2</v>
      </c>
      <c r="H45" s="74">
        <f t="shared" si="0"/>
        <v>1</v>
      </c>
      <c r="I45" s="75">
        <f t="shared" si="1"/>
        <v>29.95</v>
      </c>
      <c r="J45" s="76">
        <f t="shared" si="2"/>
        <v>29.95</v>
      </c>
      <c r="K45" s="87">
        <v>0</v>
      </c>
      <c r="L45" s="73">
        <v>0</v>
      </c>
      <c r="M45" s="73">
        <v>0</v>
      </c>
      <c r="N45" s="88">
        <v>0</v>
      </c>
      <c r="O45" s="79" t="e">
        <f t="shared" si="14"/>
        <v>#DIV/0!</v>
      </c>
      <c r="P45" s="80" t="e">
        <f t="shared" si="4"/>
        <v>#DIV/0!</v>
      </c>
      <c r="Q45" s="79">
        <f t="shared" si="5"/>
        <v>0</v>
      </c>
      <c r="R45" s="81">
        <f t="shared" si="6"/>
        <v>0</v>
      </c>
      <c r="S45" s="82">
        <f t="shared" si="13"/>
        <v>59.9</v>
      </c>
      <c r="T45" s="83" t="e">
        <f t="shared" si="8"/>
        <v>#DIV/0!</v>
      </c>
      <c r="U45" s="84"/>
      <c r="V45" s="84"/>
      <c r="W45" s="84"/>
      <c r="X45" s="84"/>
      <c r="Y45" s="85"/>
      <c r="Z45" s="68"/>
      <c r="AA45" s="68"/>
    </row>
    <row r="46" spans="1:27" ht="12.75" hidden="1" outlineLevel="1" x14ac:dyDescent="0.2">
      <c r="A46" s="68"/>
      <c r="B46" s="86"/>
      <c r="C46" s="70" t="s">
        <v>48</v>
      </c>
      <c r="D46" s="102">
        <v>6535.42</v>
      </c>
      <c r="E46" s="72"/>
      <c r="F46" s="73">
        <v>31</v>
      </c>
      <c r="G46" s="73">
        <v>31</v>
      </c>
      <c r="H46" s="74">
        <f t="shared" si="0"/>
        <v>1</v>
      </c>
      <c r="I46" s="75">
        <f t="shared" si="1"/>
        <v>210.82</v>
      </c>
      <c r="J46" s="76">
        <f t="shared" si="2"/>
        <v>210.82</v>
      </c>
      <c r="K46" s="102">
        <v>807.83</v>
      </c>
      <c r="L46" s="73">
        <v>55281</v>
      </c>
      <c r="M46" s="73">
        <v>15</v>
      </c>
      <c r="N46" s="103">
        <v>2922.51</v>
      </c>
      <c r="O46" s="79">
        <f t="shared" si="14"/>
        <v>0.27641650499057319</v>
      </c>
      <c r="P46" s="80">
        <f t="shared" si="4"/>
        <v>3.6177289776314323</v>
      </c>
      <c r="Q46" s="79">
        <f t="shared" si="5"/>
        <v>0.12360797010750649</v>
      </c>
      <c r="R46" s="81">
        <f t="shared" si="6"/>
        <v>0.44718013532412609</v>
      </c>
      <c r="S46" s="82">
        <f t="shared" si="13"/>
        <v>3612.91</v>
      </c>
      <c r="T46" s="83">
        <f t="shared" si="8"/>
        <v>53.855333333333334</v>
      </c>
      <c r="U46" s="84"/>
      <c r="V46" s="84"/>
      <c r="W46" s="84"/>
      <c r="X46" s="84"/>
      <c r="Y46" s="85"/>
      <c r="Z46" s="68"/>
      <c r="AA46" s="68"/>
    </row>
    <row r="47" spans="1:27" ht="12.75" hidden="1" outlineLevel="1" x14ac:dyDescent="0.2">
      <c r="A47" s="118" t="str">
        <f t="shared" ref="A47:A48" si="15">IFERROR(IF(B47&gt;0,MONTH(B47)&amp;"-"&amp;YEAR(B47),B47),)</f>
        <v>1-2026</v>
      </c>
      <c r="B47" s="69">
        <v>46025</v>
      </c>
      <c r="C47" s="70" t="s">
        <v>49</v>
      </c>
      <c r="D47" s="116">
        <v>-27</v>
      </c>
      <c r="E47" s="72"/>
      <c r="F47" s="73">
        <v>-1</v>
      </c>
      <c r="G47" s="73">
        <v>0</v>
      </c>
      <c r="H47" s="74" t="e">
        <f t="shared" si="0"/>
        <v>#DIV/0!</v>
      </c>
      <c r="I47" s="75">
        <f t="shared" si="1"/>
        <v>27</v>
      </c>
      <c r="J47" s="76" t="e">
        <f t="shared" si="2"/>
        <v>#DIV/0!</v>
      </c>
      <c r="K47" s="116">
        <v>10.46</v>
      </c>
      <c r="L47" s="73">
        <v>14576</v>
      </c>
      <c r="M47" s="73">
        <v>0</v>
      </c>
      <c r="N47" s="117">
        <v>0</v>
      </c>
      <c r="O47" s="79" t="e">
        <f t="shared" si="14"/>
        <v>#DIV/0!</v>
      </c>
      <c r="P47" s="80">
        <f t="shared" si="4"/>
        <v>0</v>
      </c>
      <c r="Q47" s="79">
        <f t="shared" si="5"/>
        <v>-0.38740740740740742</v>
      </c>
      <c r="R47" s="81">
        <f t="shared" si="6"/>
        <v>0</v>
      </c>
      <c r="S47" s="82">
        <f t="shared" si="13"/>
        <v>-27</v>
      </c>
      <c r="T47" s="83" t="e">
        <f t="shared" si="8"/>
        <v>#DIV/0!</v>
      </c>
      <c r="U47" s="84"/>
      <c r="V47" s="84"/>
      <c r="W47" s="84"/>
      <c r="X47" s="84"/>
      <c r="Y47" s="85"/>
      <c r="Z47" s="68"/>
      <c r="AA47" s="68"/>
    </row>
    <row r="48" spans="1:27" ht="12.75" collapsed="1" x14ac:dyDescent="0.2">
      <c r="A48" s="68">
        <f t="shared" si="15"/>
        <v>0</v>
      </c>
      <c r="B48" s="119" t="s">
        <v>51</v>
      </c>
      <c r="C48" s="120"/>
      <c r="D48" s="121">
        <f>SUM(D31:D47)</f>
        <v>45850.880000000005</v>
      </c>
      <c r="E48" s="122"/>
      <c r="F48" s="123">
        <f t="shared" ref="F48:G48" si="16">SUM(F31:F47)</f>
        <v>342</v>
      </c>
      <c r="G48" s="123">
        <f t="shared" si="16"/>
        <v>362</v>
      </c>
      <c r="H48" s="124">
        <f t="shared" si="0"/>
        <v>0.94475138121546964</v>
      </c>
      <c r="I48" s="125">
        <f t="shared" si="1"/>
        <v>134.06690058479535</v>
      </c>
      <c r="J48" s="126">
        <f t="shared" si="2"/>
        <v>141.90707020963717</v>
      </c>
      <c r="K48" s="121">
        <f t="shared" ref="K48:N48" si="17">SUM(K31:K47)</f>
        <v>5806.71</v>
      </c>
      <c r="L48" s="123">
        <f t="shared" si="17"/>
        <v>1375750</v>
      </c>
      <c r="M48" s="123">
        <f t="shared" si="17"/>
        <v>122</v>
      </c>
      <c r="N48" s="127">
        <f t="shared" si="17"/>
        <v>14363.4</v>
      </c>
      <c r="O48" s="128">
        <f t="shared" si="14"/>
        <v>0.40427127281841346</v>
      </c>
      <c r="P48" s="129">
        <f t="shared" si="4"/>
        <v>2.4735865920633198</v>
      </c>
      <c r="Q48" s="128">
        <f t="shared" si="5"/>
        <v>0.12664337085787666</v>
      </c>
      <c r="R48" s="130">
        <f t="shared" si="6"/>
        <v>0.31326334412774626</v>
      </c>
      <c r="S48" s="131">
        <f>SUM(S31:S47)</f>
        <v>31487.480000000007</v>
      </c>
      <c r="T48" s="132">
        <f t="shared" si="8"/>
        <v>47.595983606557375</v>
      </c>
      <c r="U48" s="134">
        <f>IFERROR((D48-#REF!)/D48,)</f>
        <v>0</v>
      </c>
      <c r="V48" s="134">
        <f>IFERROR((F48-#REF!)/F48,)</f>
        <v>0</v>
      </c>
      <c r="W48" s="134">
        <f>IFERROR((D48-#REF!)/D48, )</f>
        <v>0</v>
      </c>
      <c r="X48" s="134">
        <f>IFERROR((F48-#REF!)/F48, )</f>
        <v>0</v>
      </c>
      <c r="Y48" s="68"/>
      <c r="Z48" s="68"/>
      <c r="AA48" s="68"/>
    </row>
    <row r="49" spans="1:27" ht="12.75" hidden="1" outlineLevel="1" x14ac:dyDescent="0.2">
      <c r="A49" s="68"/>
      <c r="B49" s="69">
        <v>46026</v>
      </c>
      <c r="C49" s="70" t="s">
        <v>32</v>
      </c>
      <c r="D49" s="71">
        <v>4193.34</v>
      </c>
      <c r="E49" s="72"/>
      <c r="F49" s="73">
        <v>31</v>
      </c>
      <c r="G49" s="73">
        <v>31</v>
      </c>
      <c r="H49" s="74">
        <f t="shared" si="0"/>
        <v>1</v>
      </c>
      <c r="I49" s="75">
        <f t="shared" si="1"/>
        <v>135.26903225806453</v>
      </c>
      <c r="J49" s="76">
        <f t="shared" si="2"/>
        <v>135.26903225806453</v>
      </c>
      <c r="K49" s="77">
        <v>1013.35</v>
      </c>
      <c r="L49" s="73">
        <v>165235</v>
      </c>
      <c r="M49" s="73">
        <v>6</v>
      </c>
      <c r="N49" s="78">
        <v>925.9</v>
      </c>
      <c r="O49" s="79">
        <f t="shared" si="14"/>
        <v>1.0944486445620478</v>
      </c>
      <c r="P49" s="80">
        <f t="shared" si="4"/>
        <v>0.91370207726846597</v>
      </c>
      <c r="Q49" s="79">
        <f t="shared" si="5"/>
        <v>0.24165700849442209</v>
      </c>
      <c r="R49" s="81">
        <f t="shared" si="6"/>
        <v>0.22080251064783679</v>
      </c>
      <c r="S49" s="82">
        <f t="shared" ref="S49:S65" si="18">D49-N49</f>
        <v>3267.44</v>
      </c>
      <c r="T49" s="83">
        <f t="shared" si="8"/>
        <v>168.89166666666668</v>
      </c>
      <c r="U49" s="84"/>
      <c r="V49" s="84"/>
      <c r="W49" s="84"/>
      <c r="X49" s="84"/>
      <c r="Y49" s="85"/>
      <c r="Z49" s="68"/>
      <c r="AA49" s="68"/>
    </row>
    <row r="50" spans="1:27" ht="12.75" hidden="1" outlineLevel="1" x14ac:dyDescent="0.2">
      <c r="A50" s="68"/>
      <c r="B50" s="86"/>
      <c r="C50" s="70" t="s">
        <v>33</v>
      </c>
      <c r="D50" s="87">
        <v>7722.36</v>
      </c>
      <c r="E50" s="72"/>
      <c r="F50" s="73">
        <v>94</v>
      </c>
      <c r="G50" s="73">
        <v>105</v>
      </c>
      <c r="H50" s="74">
        <f t="shared" si="0"/>
        <v>0.89523809523809528</v>
      </c>
      <c r="I50" s="75">
        <f t="shared" si="1"/>
        <v>82.152765957446803</v>
      </c>
      <c r="J50" s="76">
        <f t="shared" si="2"/>
        <v>91.766387505658656</v>
      </c>
      <c r="K50" s="87">
        <v>759.35</v>
      </c>
      <c r="L50" s="73">
        <v>402437</v>
      </c>
      <c r="M50" s="73">
        <v>21</v>
      </c>
      <c r="N50" s="88">
        <v>2698.5</v>
      </c>
      <c r="O50" s="79">
        <f t="shared" si="14"/>
        <v>0.2813970724476561</v>
      </c>
      <c r="P50" s="80">
        <f t="shared" si="4"/>
        <v>3.553697241061434</v>
      </c>
      <c r="Q50" s="79">
        <f t="shared" si="5"/>
        <v>9.833133912430915E-2</v>
      </c>
      <c r="R50" s="81">
        <f t="shared" si="6"/>
        <v>0.34943980855593371</v>
      </c>
      <c r="S50" s="89">
        <f t="shared" si="18"/>
        <v>5023.8599999999997</v>
      </c>
      <c r="T50" s="83">
        <f t="shared" si="8"/>
        <v>36.159523809523812</v>
      </c>
      <c r="U50" s="84"/>
      <c r="V50" s="84"/>
      <c r="W50" s="84"/>
      <c r="X50" s="84"/>
      <c r="Y50" s="85"/>
      <c r="Z50" s="68"/>
      <c r="AA50" s="68"/>
    </row>
    <row r="51" spans="1:27" ht="12.75" hidden="1" outlineLevel="1" x14ac:dyDescent="0.2">
      <c r="A51" s="68"/>
      <c r="B51" s="86"/>
      <c r="C51" s="70" t="s">
        <v>34</v>
      </c>
      <c r="D51" s="90">
        <v>279.8</v>
      </c>
      <c r="E51" s="72"/>
      <c r="F51" s="73">
        <v>4</v>
      </c>
      <c r="G51" s="73">
        <v>2</v>
      </c>
      <c r="H51" s="74">
        <f t="shared" si="0"/>
        <v>2</v>
      </c>
      <c r="I51" s="75">
        <f t="shared" si="1"/>
        <v>69.95</v>
      </c>
      <c r="J51" s="76">
        <f t="shared" si="2"/>
        <v>34.975000000000001</v>
      </c>
      <c r="K51" s="90">
        <v>7.22</v>
      </c>
      <c r="L51" s="73">
        <v>413</v>
      </c>
      <c r="M51" s="73">
        <v>0</v>
      </c>
      <c r="N51" s="91">
        <v>0</v>
      </c>
      <c r="O51" s="79" t="e">
        <f>(K51/N51)</f>
        <v>#DIV/0!</v>
      </c>
      <c r="P51" s="80">
        <f t="shared" si="4"/>
        <v>0</v>
      </c>
      <c r="Q51" s="79">
        <f t="shared" si="5"/>
        <v>2.5804145818441742E-2</v>
      </c>
      <c r="R51" s="81">
        <f t="shared" si="6"/>
        <v>0</v>
      </c>
      <c r="S51" s="92">
        <f t="shared" si="18"/>
        <v>279.8</v>
      </c>
      <c r="T51" s="83" t="e">
        <f t="shared" si="8"/>
        <v>#DIV/0!</v>
      </c>
      <c r="U51" s="84"/>
      <c r="V51" s="84"/>
      <c r="W51" s="84"/>
      <c r="X51" s="84"/>
      <c r="Y51" s="85"/>
      <c r="Z51" s="68"/>
      <c r="AA51" s="68"/>
    </row>
    <row r="52" spans="1:27" ht="12.75" hidden="1" outlineLevel="1" x14ac:dyDescent="0.2">
      <c r="A52" s="68"/>
      <c r="B52" s="86"/>
      <c r="C52" s="70" t="s">
        <v>35</v>
      </c>
      <c r="D52" s="90">
        <v>1085.1099999999999</v>
      </c>
      <c r="E52" s="72"/>
      <c r="F52" s="73">
        <v>18</v>
      </c>
      <c r="G52" s="73">
        <v>22</v>
      </c>
      <c r="H52" s="74">
        <f t="shared" si="0"/>
        <v>0.81818181818181823</v>
      </c>
      <c r="I52" s="75">
        <f t="shared" si="1"/>
        <v>60.283888888888882</v>
      </c>
      <c r="J52" s="76">
        <f t="shared" si="2"/>
        <v>73.680308641975301</v>
      </c>
      <c r="K52" s="90">
        <v>317.55</v>
      </c>
      <c r="L52" s="73">
        <v>27416</v>
      </c>
      <c r="M52" s="73">
        <v>12</v>
      </c>
      <c r="N52" s="91">
        <v>659.45</v>
      </c>
      <c r="O52" s="79">
        <f t="shared" ref="O52:O68" si="19">K52/N52</f>
        <v>0.48153764500720297</v>
      </c>
      <c r="P52" s="80">
        <f t="shared" si="4"/>
        <v>2.0766808376633601</v>
      </c>
      <c r="Q52" s="79">
        <f t="shared" si="5"/>
        <v>0.29264314216991827</v>
      </c>
      <c r="R52" s="81">
        <f t="shared" si="6"/>
        <v>0.60772640561786373</v>
      </c>
      <c r="S52" s="92">
        <f t="shared" si="18"/>
        <v>425.65999999999985</v>
      </c>
      <c r="T52" s="83">
        <f t="shared" si="8"/>
        <v>26.462500000000002</v>
      </c>
      <c r="U52" s="84"/>
      <c r="V52" s="84"/>
      <c r="W52" s="84"/>
      <c r="X52" s="84"/>
      <c r="Y52" s="85"/>
      <c r="Z52" s="68"/>
      <c r="AA52" s="68"/>
    </row>
    <row r="53" spans="1:27" ht="12.75" hidden="1" outlineLevel="1" x14ac:dyDescent="0.2">
      <c r="A53" s="68"/>
      <c r="B53" s="86"/>
      <c r="C53" s="70" t="s">
        <v>36</v>
      </c>
      <c r="D53" s="90">
        <v>974.25</v>
      </c>
      <c r="E53" s="72"/>
      <c r="F53" s="73">
        <v>15</v>
      </c>
      <c r="G53" s="73">
        <v>16</v>
      </c>
      <c r="H53" s="74">
        <f t="shared" si="0"/>
        <v>0.9375</v>
      </c>
      <c r="I53" s="75">
        <f t="shared" si="1"/>
        <v>64.95</v>
      </c>
      <c r="J53" s="76">
        <f t="shared" si="2"/>
        <v>69.28</v>
      </c>
      <c r="K53" s="90">
        <v>78.8</v>
      </c>
      <c r="L53" s="73">
        <v>26820</v>
      </c>
      <c r="M53" s="73">
        <v>1</v>
      </c>
      <c r="N53" s="91">
        <v>69.95</v>
      </c>
      <c r="O53" s="79">
        <f t="shared" si="19"/>
        <v>1.1265189421015009</v>
      </c>
      <c r="P53" s="80">
        <f t="shared" si="4"/>
        <v>0.88769035532994933</v>
      </c>
      <c r="Q53" s="79">
        <f t="shared" si="5"/>
        <v>8.0882730305363096E-2</v>
      </c>
      <c r="R53" s="81">
        <f t="shared" si="6"/>
        <v>7.1798819604824232E-2</v>
      </c>
      <c r="S53" s="92">
        <f t="shared" si="18"/>
        <v>904.3</v>
      </c>
      <c r="T53" s="83">
        <f t="shared" si="8"/>
        <v>78.8</v>
      </c>
      <c r="U53" s="84"/>
      <c r="V53" s="84"/>
      <c r="W53" s="84"/>
      <c r="X53" s="84"/>
      <c r="Y53" s="85"/>
      <c r="Z53" s="68"/>
      <c r="AA53" s="68"/>
    </row>
    <row r="54" spans="1:27" ht="12.75" hidden="1" outlineLevel="1" x14ac:dyDescent="0.2">
      <c r="A54" s="68"/>
      <c r="B54" s="69" t="s">
        <v>37</v>
      </c>
      <c r="C54" s="70" t="s">
        <v>38</v>
      </c>
      <c r="D54" s="93">
        <v>114.85</v>
      </c>
      <c r="E54" s="72"/>
      <c r="F54" s="73">
        <v>3</v>
      </c>
      <c r="G54" s="73">
        <v>3</v>
      </c>
      <c r="H54" s="74">
        <f t="shared" si="0"/>
        <v>1</v>
      </c>
      <c r="I54" s="75">
        <f t="shared" si="1"/>
        <v>38.283333333333331</v>
      </c>
      <c r="J54" s="76">
        <f t="shared" si="2"/>
        <v>38.283333333333331</v>
      </c>
      <c r="K54" s="93">
        <v>40.770000000000003</v>
      </c>
      <c r="L54" s="73">
        <v>241677</v>
      </c>
      <c r="M54" s="73">
        <v>0</v>
      </c>
      <c r="N54" s="94">
        <v>0</v>
      </c>
      <c r="O54" s="79" t="e">
        <f t="shared" si="19"/>
        <v>#DIV/0!</v>
      </c>
      <c r="P54" s="80">
        <f t="shared" si="4"/>
        <v>0</v>
      </c>
      <c r="Q54" s="79">
        <f t="shared" si="5"/>
        <v>0.35498476273400092</v>
      </c>
      <c r="R54" s="81">
        <f t="shared" si="6"/>
        <v>0</v>
      </c>
      <c r="S54" s="95">
        <f t="shared" si="18"/>
        <v>114.85</v>
      </c>
      <c r="T54" s="83" t="e">
        <f t="shared" si="8"/>
        <v>#DIV/0!</v>
      </c>
      <c r="U54" s="84"/>
      <c r="V54" s="84"/>
      <c r="W54" s="84"/>
      <c r="X54" s="84"/>
      <c r="Y54" s="85"/>
      <c r="Z54" s="68"/>
      <c r="AA54" s="68"/>
    </row>
    <row r="55" spans="1:27" ht="12.75" hidden="1" outlineLevel="1" x14ac:dyDescent="0.2">
      <c r="A55" s="68"/>
      <c r="B55" s="86"/>
      <c r="C55" s="70" t="s">
        <v>39</v>
      </c>
      <c r="D55" s="96">
        <v>0</v>
      </c>
      <c r="E55" s="72"/>
      <c r="F55" s="73">
        <v>0</v>
      </c>
      <c r="G55" s="73">
        <v>0</v>
      </c>
      <c r="H55" s="74" t="e">
        <f t="shared" si="0"/>
        <v>#DIV/0!</v>
      </c>
      <c r="I55" s="75" t="e">
        <f t="shared" si="1"/>
        <v>#DIV/0!</v>
      </c>
      <c r="J55" s="76" t="e">
        <f t="shared" si="2"/>
        <v>#DIV/0!</v>
      </c>
      <c r="K55" s="96">
        <v>0</v>
      </c>
      <c r="L55" s="73">
        <v>0</v>
      </c>
      <c r="M55" s="73">
        <v>0</v>
      </c>
      <c r="N55" s="97">
        <v>0</v>
      </c>
      <c r="O55" s="79" t="e">
        <f t="shared" si="19"/>
        <v>#DIV/0!</v>
      </c>
      <c r="P55" s="80" t="e">
        <f t="shared" si="4"/>
        <v>#DIV/0!</v>
      </c>
      <c r="Q55" s="79" t="e">
        <f t="shared" si="5"/>
        <v>#DIV/0!</v>
      </c>
      <c r="R55" s="81" t="e">
        <f t="shared" si="6"/>
        <v>#DIV/0!</v>
      </c>
      <c r="S55" s="98">
        <f t="shared" si="18"/>
        <v>0</v>
      </c>
      <c r="T55" s="83" t="e">
        <f t="shared" si="8"/>
        <v>#DIV/0!</v>
      </c>
      <c r="U55" s="84"/>
      <c r="V55" s="84"/>
      <c r="W55" s="84"/>
      <c r="X55" s="84"/>
      <c r="Y55" s="85"/>
      <c r="Z55" s="68"/>
      <c r="AA55" s="68"/>
    </row>
    <row r="56" spans="1:27" ht="12.75" hidden="1" outlineLevel="1" x14ac:dyDescent="0.2">
      <c r="A56" s="68"/>
      <c r="B56" s="86"/>
      <c r="C56" s="70" t="s">
        <v>40</v>
      </c>
      <c r="D56" s="99">
        <v>0</v>
      </c>
      <c r="E56" s="72"/>
      <c r="F56" s="73">
        <v>0</v>
      </c>
      <c r="G56" s="73">
        <v>0</v>
      </c>
      <c r="H56" s="74" t="e">
        <f t="shared" si="0"/>
        <v>#DIV/0!</v>
      </c>
      <c r="I56" s="75" t="e">
        <f t="shared" si="1"/>
        <v>#DIV/0!</v>
      </c>
      <c r="J56" s="76" t="e">
        <f t="shared" si="2"/>
        <v>#DIV/0!</v>
      </c>
      <c r="K56" s="99">
        <v>0</v>
      </c>
      <c r="L56" s="73">
        <v>0</v>
      </c>
      <c r="M56" s="73">
        <v>0</v>
      </c>
      <c r="N56" s="100">
        <v>0</v>
      </c>
      <c r="O56" s="79" t="e">
        <f t="shared" si="19"/>
        <v>#DIV/0!</v>
      </c>
      <c r="P56" s="80" t="e">
        <f t="shared" si="4"/>
        <v>#DIV/0!</v>
      </c>
      <c r="Q56" s="79" t="e">
        <f t="shared" si="5"/>
        <v>#DIV/0!</v>
      </c>
      <c r="R56" s="81" t="e">
        <f t="shared" si="6"/>
        <v>#DIV/0!</v>
      </c>
      <c r="S56" s="101">
        <f t="shared" si="18"/>
        <v>0</v>
      </c>
      <c r="T56" s="83" t="e">
        <f t="shared" si="8"/>
        <v>#DIV/0!</v>
      </c>
      <c r="U56" s="84"/>
      <c r="V56" s="84"/>
      <c r="W56" s="84"/>
      <c r="X56" s="84"/>
      <c r="Y56" s="85"/>
      <c r="Z56" s="68"/>
      <c r="AA56" s="68"/>
    </row>
    <row r="57" spans="1:27" ht="12.75" hidden="1" outlineLevel="1" x14ac:dyDescent="0.2">
      <c r="A57" s="68"/>
      <c r="B57" s="86"/>
      <c r="C57" s="70" t="s">
        <v>41</v>
      </c>
      <c r="D57" s="102">
        <v>2607.66</v>
      </c>
      <c r="E57" s="72"/>
      <c r="F57" s="73">
        <v>38</v>
      </c>
      <c r="G57" s="73">
        <v>37</v>
      </c>
      <c r="H57" s="74">
        <f t="shared" si="0"/>
        <v>1.027027027027027</v>
      </c>
      <c r="I57" s="75">
        <f t="shared" si="1"/>
        <v>68.622631578947363</v>
      </c>
      <c r="J57" s="76">
        <f t="shared" si="2"/>
        <v>66.816772853185597</v>
      </c>
      <c r="K57" s="102">
        <v>582.07000000000005</v>
      </c>
      <c r="L57" s="73">
        <v>53074</v>
      </c>
      <c r="M57" s="73">
        <v>14</v>
      </c>
      <c r="N57" s="103">
        <v>1068.9000000000001</v>
      </c>
      <c r="O57" s="79">
        <f t="shared" si="19"/>
        <v>0.54455047244831134</v>
      </c>
      <c r="P57" s="80">
        <f t="shared" si="4"/>
        <v>1.8363770680502345</v>
      </c>
      <c r="Q57" s="79">
        <f t="shared" si="5"/>
        <v>0.22321544986693054</v>
      </c>
      <c r="R57" s="81">
        <f t="shared" si="6"/>
        <v>0.40990773337014802</v>
      </c>
      <c r="S57" s="104">
        <f t="shared" si="18"/>
        <v>1538.7599999999998</v>
      </c>
      <c r="T57" s="83">
        <f t="shared" si="8"/>
        <v>41.576428571428572</v>
      </c>
      <c r="U57" s="84"/>
      <c r="V57" s="84"/>
      <c r="W57" s="84"/>
      <c r="X57" s="84"/>
      <c r="Y57" s="85"/>
      <c r="Z57" s="68"/>
      <c r="AA57" s="68"/>
    </row>
    <row r="58" spans="1:27" ht="12.75" hidden="1" outlineLevel="1" x14ac:dyDescent="0.2">
      <c r="A58" s="68"/>
      <c r="B58" s="86"/>
      <c r="C58" s="70" t="s">
        <v>42</v>
      </c>
      <c r="D58" s="90">
        <v>39.979999999999997</v>
      </c>
      <c r="E58" s="72"/>
      <c r="F58" s="73">
        <v>2</v>
      </c>
      <c r="G58" s="73">
        <v>5</v>
      </c>
      <c r="H58" s="74">
        <f t="shared" si="0"/>
        <v>0.4</v>
      </c>
      <c r="I58" s="75">
        <f t="shared" si="1"/>
        <v>19.989999999999998</v>
      </c>
      <c r="J58" s="76">
        <f t="shared" si="2"/>
        <v>49.974999999999994</v>
      </c>
      <c r="K58" s="90">
        <v>390.2</v>
      </c>
      <c r="L58" s="73">
        <v>90636</v>
      </c>
      <c r="M58" s="73">
        <v>5</v>
      </c>
      <c r="N58" s="91">
        <v>99.95</v>
      </c>
      <c r="O58" s="79">
        <f t="shared" si="19"/>
        <v>3.9039519759879937</v>
      </c>
      <c r="P58" s="80">
        <f t="shared" si="4"/>
        <v>0.25615069195284473</v>
      </c>
      <c r="Q58" s="79">
        <f t="shared" si="5"/>
        <v>9.759879939969986</v>
      </c>
      <c r="R58" s="81">
        <f t="shared" si="6"/>
        <v>2.5000000000000004</v>
      </c>
      <c r="S58" s="92">
        <f t="shared" si="18"/>
        <v>-59.970000000000006</v>
      </c>
      <c r="T58" s="83">
        <f t="shared" si="8"/>
        <v>78.039999999999992</v>
      </c>
      <c r="U58" s="84"/>
      <c r="V58" s="84"/>
      <c r="W58" s="84"/>
      <c r="X58" s="84"/>
      <c r="Y58" s="85"/>
      <c r="Z58" s="68"/>
      <c r="AA58" s="68"/>
    </row>
    <row r="59" spans="1:27" ht="12.75" hidden="1" outlineLevel="1" x14ac:dyDescent="0.2">
      <c r="A59" s="68"/>
      <c r="B59" s="86"/>
      <c r="C59" s="70" t="s">
        <v>43</v>
      </c>
      <c r="D59" s="105">
        <v>1285.5899999999999</v>
      </c>
      <c r="E59" s="72"/>
      <c r="F59" s="73">
        <v>10</v>
      </c>
      <c r="G59" s="73">
        <v>10</v>
      </c>
      <c r="H59" s="74">
        <f t="shared" si="0"/>
        <v>1</v>
      </c>
      <c r="I59" s="75">
        <f t="shared" si="1"/>
        <v>128.559</v>
      </c>
      <c r="J59" s="76">
        <f t="shared" si="2"/>
        <v>128.559</v>
      </c>
      <c r="K59" s="105">
        <v>70.099999999999994</v>
      </c>
      <c r="L59" s="73">
        <v>8798</v>
      </c>
      <c r="M59" s="73">
        <v>1</v>
      </c>
      <c r="N59" s="106">
        <v>0</v>
      </c>
      <c r="O59" s="79" t="e">
        <f t="shared" si="19"/>
        <v>#DIV/0!</v>
      </c>
      <c r="P59" s="80">
        <f t="shared" si="4"/>
        <v>0</v>
      </c>
      <c r="Q59" s="79">
        <f t="shared" si="5"/>
        <v>5.452749321323283E-2</v>
      </c>
      <c r="R59" s="81">
        <f t="shared" si="6"/>
        <v>0</v>
      </c>
      <c r="S59" s="107">
        <f t="shared" si="18"/>
        <v>1285.5899999999999</v>
      </c>
      <c r="T59" s="83">
        <f t="shared" si="8"/>
        <v>70.099999999999994</v>
      </c>
      <c r="U59" s="84"/>
      <c r="V59" s="84"/>
      <c r="W59" s="84"/>
      <c r="X59" s="84"/>
      <c r="Y59" s="85"/>
      <c r="Z59" s="68"/>
      <c r="AA59" s="68"/>
    </row>
    <row r="60" spans="1:27" ht="12.75" hidden="1" outlineLevel="1" x14ac:dyDescent="0.2">
      <c r="A60" s="68"/>
      <c r="B60" s="86"/>
      <c r="C60" s="70" t="s">
        <v>44</v>
      </c>
      <c r="D60" s="108">
        <v>134.9</v>
      </c>
      <c r="E60" s="72"/>
      <c r="F60" s="73">
        <v>2</v>
      </c>
      <c r="G60" s="73">
        <v>3</v>
      </c>
      <c r="H60" s="74">
        <f t="shared" si="0"/>
        <v>0.66666666666666663</v>
      </c>
      <c r="I60" s="75">
        <f t="shared" si="1"/>
        <v>67.45</v>
      </c>
      <c r="J60" s="76">
        <f t="shared" si="2"/>
        <v>101.17500000000001</v>
      </c>
      <c r="K60" s="108">
        <v>79.11</v>
      </c>
      <c r="L60" s="73">
        <v>52026</v>
      </c>
      <c r="M60" s="73">
        <v>2</v>
      </c>
      <c r="N60" s="109">
        <v>119.9</v>
      </c>
      <c r="O60" s="79">
        <f t="shared" si="19"/>
        <v>0.65979983319432856</v>
      </c>
      <c r="P60" s="80">
        <f t="shared" si="4"/>
        <v>1.515611174314246</v>
      </c>
      <c r="Q60" s="79">
        <f t="shared" si="5"/>
        <v>0.58643439584877688</v>
      </c>
      <c r="R60" s="81">
        <f t="shared" si="6"/>
        <v>0.88880652335063015</v>
      </c>
      <c r="S60" s="110">
        <f t="shared" si="18"/>
        <v>15</v>
      </c>
      <c r="T60" s="83">
        <f t="shared" si="8"/>
        <v>39.555</v>
      </c>
      <c r="U60" s="84"/>
      <c r="V60" s="84"/>
      <c r="W60" s="84"/>
      <c r="X60" s="84"/>
      <c r="Y60" s="85"/>
      <c r="Z60" s="68"/>
      <c r="AA60" s="68"/>
    </row>
    <row r="61" spans="1:27" ht="12.75" hidden="1" outlineLevel="1" x14ac:dyDescent="0.2">
      <c r="A61" s="111"/>
      <c r="B61" s="86"/>
      <c r="C61" s="112" t="s">
        <v>45</v>
      </c>
      <c r="D61" s="71">
        <v>49.9</v>
      </c>
      <c r="E61" s="72"/>
      <c r="F61" s="73">
        <v>2</v>
      </c>
      <c r="G61" s="73">
        <v>3</v>
      </c>
      <c r="H61" s="74">
        <f t="shared" si="0"/>
        <v>0.66666666666666663</v>
      </c>
      <c r="I61" s="75">
        <f t="shared" si="1"/>
        <v>24.95</v>
      </c>
      <c r="J61" s="76">
        <f t="shared" si="2"/>
        <v>37.425000000000004</v>
      </c>
      <c r="K61" s="71">
        <v>0</v>
      </c>
      <c r="L61" s="73">
        <v>0</v>
      </c>
      <c r="M61" s="73">
        <v>0</v>
      </c>
      <c r="N61" s="78">
        <v>0</v>
      </c>
      <c r="O61" s="79" t="e">
        <f t="shared" si="19"/>
        <v>#DIV/0!</v>
      </c>
      <c r="P61" s="80" t="e">
        <f t="shared" si="4"/>
        <v>#DIV/0!</v>
      </c>
      <c r="Q61" s="79">
        <f t="shared" si="5"/>
        <v>0</v>
      </c>
      <c r="R61" s="81">
        <f t="shared" si="6"/>
        <v>0</v>
      </c>
      <c r="S61" s="82">
        <f t="shared" si="18"/>
        <v>49.9</v>
      </c>
      <c r="T61" s="83" t="e">
        <f t="shared" si="8"/>
        <v>#DIV/0!</v>
      </c>
      <c r="U61" s="113"/>
      <c r="V61" s="113"/>
      <c r="W61" s="113"/>
      <c r="X61" s="114"/>
      <c r="Y61" s="115"/>
      <c r="Z61" s="68"/>
      <c r="AA61" s="68"/>
    </row>
    <row r="62" spans="1:27" ht="12.75" hidden="1" outlineLevel="1" x14ac:dyDescent="0.2">
      <c r="A62" s="68"/>
      <c r="B62" s="86"/>
      <c r="C62" s="70" t="s">
        <v>46</v>
      </c>
      <c r="D62" s="116">
        <v>922.7</v>
      </c>
      <c r="E62" s="72"/>
      <c r="F62" s="73">
        <v>21</v>
      </c>
      <c r="G62" s="73">
        <v>25</v>
      </c>
      <c r="H62" s="74">
        <f t="shared" si="0"/>
        <v>0.84</v>
      </c>
      <c r="I62" s="75">
        <f t="shared" si="1"/>
        <v>43.938095238095244</v>
      </c>
      <c r="J62" s="76">
        <f t="shared" si="2"/>
        <v>52.307256235827673</v>
      </c>
      <c r="K62" s="116">
        <v>240.22</v>
      </c>
      <c r="L62" s="73">
        <v>70753</v>
      </c>
      <c r="M62" s="73">
        <v>9</v>
      </c>
      <c r="N62" s="117">
        <v>306.64999999999998</v>
      </c>
      <c r="O62" s="79">
        <f t="shared" si="19"/>
        <v>0.78336866134029026</v>
      </c>
      <c r="P62" s="80">
        <f t="shared" si="4"/>
        <v>1.2765381733411039</v>
      </c>
      <c r="Q62" s="79">
        <f t="shared" si="5"/>
        <v>0.26034464072829738</v>
      </c>
      <c r="R62" s="81">
        <f t="shared" si="6"/>
        <v>0.33233987211444671</v>
      </c>
      <c r="S62" s="82">
        <f t="shared" si="18"/>
        <v>616.05000000000007</v>
      </c>
      <c r="T62" s="83">
        <f t="shared" si="8"/>
        <v>26.691111111111113</v>
      </c>
      <c r="U62" s="84"/>
      <c r="V62" s="84"/>
      <c r="W62" s="84"/>
      <c r="X62" s="84"/>
      <c r="Y62" s="85"/>
      <c r="Z62" s="68"/>
      <c r="AA62" s="68"/>
    </row>
    <row r="63" spans="1:27" ht="12.75" hidden="1" outlineLevel="1" x14ac:dyDescent="0.2">
      <c r="A63" s="68"/>
      <c r="B63" s="86"/>
      <c r="C63" s="70" t="s">
        <v>47</v>
      </c>
      <c r="D63" s="87">
        <v>99.25</v>
      </c>
      <c r="E63" s="72"/>
      <c r="F63" s="73">
        <v>5</v>
      </c>
      <c r="G63" s="73">
        <v>3</v>
      </c>
      <c r="H63" s="74">
        <f t="shared" si="0"/>
        <v>1.6666666666666667</v>
      </c>
      <c r="I63" s="75">
        <f t="shared" si="1"/>
        <v>19.850000000000001</v>
      </c>
      <c r="J63" s="76">
        <f t="shared" si="2"/>
        <v>11.91</v>
      </c>
      <c r="K63" s="87">
        <v>0</v>
      </c>
      <c r="L63" s="73">
        <v>0</v>
      </c>
      <c r="M63" s="73">
        <v>0</v>
      </c>
      <c r="N63" s="88">
        <v>0</v>
      </c>
      <c r="O63" s="79" t="e">
        <f t="shared" si="19"/>
        <v>#DIV/0!</v>
      </c>
      <c r="P63" s="80" t="e">
        <f t="shared" si="4"/>
        <v>#DIV/0!</v>
      </c>
      <c r="Q63" s="79">
        <f t="shared" si="5"/>
        <v>0</v>
      </c>
      <c r="R63" s="81">
        <f t="shared" si="6"/>
        <v>0</v>
      </c>
      <c r="S63" s="82">
        <f t="shared" si="18"/>
        <v>99.25</v>
      </c>
      <c r="T63" s="83" t="e">
        <f t="shared" si="8"/>
        <v>#DIV/0!</v>
      </c>
      <c r="U63" s="84"/>
      <c r="V63" s="84"/>
      <c r="W63" s="84"/>
      <c r="X63" s="84"/>
      <c r="Y63" s="85"/>
      <c r="Z63" s="68"/>
      <c r="AA63" s="68"/>
    </row>
    <row r="64" spans="1:27" ht="12.75" hidden="1" outlineLevel="1" x14ac:dyDescent="0.2">
      <c r="A64" s="68"/>
      <c r="B64" s="86"/>
      <c r="C64" s="70" t="s">
        <v>48</v>
      </c>
      <c r="D64" s="102">
        <v>4039.1</v>
      </c>
      <c r="E64" s="72"/>
      <c r="F64" s="73">
        <v>18</v>
      </c>
      <c r="G64" s="73">
        <v>18</v>
      </c>
      <c r="H64" s="74">
        <f t="shared" si="0"/>
        <v>1</v>
      </c>
      <c r="I64" s="75">
        <f t="shared" si="1"/>
        <v>224.39444444444445</v>
      </c>
      <c r="J64" s="76">
        <f t="shared" si="2"/>
        <v>224.39444444444445</v>
      </c>
      <c r="K64" s="102">
        <v>573.49</v>
      </c>
      <c r="L64" s="73">
        <v>48071</v>
      </c>
      <c r="M64" s="73">
        <v>8</v>
      </c>
      <c r="N64" s="103">
        <v>1459.65</v>
      </c>
      <c r="O64" s="79">
        <f t="shared" si="19"/>
        <v>0.39289555715411228</v>
      </c>
      <c r="P64" s="80">
        <f t="shared" si="4"/>
        <v>2.5452056705435142</v>
      </c>
      <c r="Q64" s="79">
        <f t="shared" si="5"/>
        <v>0.14198460052982101</v>
      </c>
      <c r="R64" s="81">
        <f t="shared" si="6"/>
        <v>0.3613800103983561</v>
      </c>
      <c r="S64" s="82">
        <f t="shared" si="18"/>
        <v>2579.4499999999998</v>
      </c>
      <c r="T64" s="83">
        <f t="shared" si="8"/>
        <v>71.686250000000001</v>
      </c>
      <c r="U64" s="84"/>
      <c r="V64" s="84"/>
      <c r="W64" s="84"/>
      <c r="X64" s="84"/>
      <c r="Y64" s="85"/>
      <c r="Z64" s="68"/>
      <c r="AA64" s="68"/>
    </row>
    <row r="65" spans="1:27" ht="12.75" hidden="1" outlineLevel="1" x14ac:dyDescent="0.2">
      <c r="A65" s="118" t="str">
        <f t="shared" ref="A65:A66" si="20">IFERROR(IF(B65&gt;0,MONTH(B65)&amp;"-"&amp;YEAR(B65),B65),)</f>
        <v>1-2026</v>
      </c>
      <c r="B65" s="69">
        <v>46032</v>
      </c>
      <c r="C65" s="70" t="s">
        <v>49</v>
      </c>
      <c r="D65" s="116">
        <v>0</v>
      </c>
      <c r="E65" s="72"/>
      <c r="F65" s="73">
        <v>0</v>
      </c>
      <c r="G65" s="73">
        <v>0</v>
      </c>
      <c r="H65" s="74" t="e">
        <f t="shared" si="0"/>
        <v>#DIV/0!</v>
      </c>
      <c r="I65" s="75" t="e">
        <f t="shared" si="1"/>
        <v>#DIV/0!</v>
      </c>
      <c r="J65" s="76" t="e">
        <f t="shared" si="2"/>
        <v>#DIV/0!</v>
      </c>
      <c r="K65" s="116">
        <v>16.260000000000002</v>
      </c>
      <c r="L65" s="73">
        <v>10972</v>
      </c>
      <c r="M65" s="73">
        <v>0</v>
      </c>
      <c r="N65" s="117">
        <v>0</v>
      </c>
      <c r="O65" s="79" t="e">
        <f t="shared" si="19"/>
        <v>#DIV/0!</v>
      </c>
      <c r="P65" s="80">
        <f t="shared" si="4"/>
        <v>0</v>
      </c>
      <c r="Q65" s="79" t="e">
        <f t="shared" si="5"/>
        <v>#DIV/0!</v>
      </c>
      <c r="R65" s="81" t="e">
        <f t="shared" si="6"/>
        <v>#DIV/0!</v>
      </c>
      <c r="S65" s="82">
        <f t="shared" si="18"/>
        <v>0</v>
      </c>
      <c r="T65" s="83" t="e">
        <f t="shared" si="8"/>
        <v>#DIV/0!</v>
      </c>
      <c r="U65" s="84"/>
      <c r="V65" s="84"/>
      <c r="W65" s="84"/>
      <c r="X65" s="84"/>
      <c r="Y65" s="85"/>
      <c r="Z65" s="68"/>
      <c r="AA65" s="68"/>
    </row>
    <row r="66" spans="1:27" ht="12.75" collapsed="1" x14ac:dyDescent="0.2">
      <c r="A66" s="68">
        <f t="shared" si="20"/>
        <v>0</v>
      </c>
      <c r="B66" s="119" t="s">
        <v>52</v>
      </c>
      <c r="C66" s="120"/>
      <c r="D66" s="121">
        <f>SUM(D49:D65)</f>
        <v>23548.790000000005</v>
      </c>
      <c r="E66" s="122"/>
      <c r="F66" s="123">
        <f t="shared" ref="F66:G66" si="21">SUM(F49:F65)</f>
        <v>263</v>
      </c>
      <c r="G66" s="123">
        <f t="shared" si="21"/>
        <v>283</v>
      </c>
      <c r="H66" s="124">
        <f t="shared" si="0"/>
        <v>0.92932862190812726</v>
      </c>
      <c r="I66" s="125">
        <f t="shared" si="1"/>
        <v>89.539125475285189</v>
      </c>
      <c r="J66" s="126">
        <f t="shared" si="2"/>
        <v>96.348184446789759</v>
      </c>
      <c r="K66" s="121">
        <f t="shared" ref="K66:N66" si="22">SUM(K49:K65)</f>
        <v>4168.4900000000007</v>
      </c>
      <c r="L66" s="123">
        <f t="shared" si="22"/>
        <v>1198328</v>
      </c>
      <c r="M66" s="123">
        <f t="shared" si="22"/>
        <v>79</v>
      </c>
      <c r="N66" s="127">
        <f t="shared" si="22"/>
        <v>7408.85</v>
      </c>
      <c r="O66" s="128">
        <f t="shared" si="19"/>
        <v>0.5626365765267215</v>
      </c>
      <c r="P66" s="129">
        <f t="shared" si="4"/>
        <v>1.7773462332883128</v>
      </c>
      <c r="Q66" s="128">
        <f t="shared" si="5"/>
        <v>0.17701503983856495</v>
      </c>
      <c r="R66" s="130">
        <f t="shared" si="6"/>
        <v>0.31461701429245403</v>
      </c>
      <c r="S66" s="131">
        <f>SUM(S49:S65)</f>
        <v>16139.939999999999</v>
      </c>
      <c r="T66" s="132">
        <f t="shared" si="8"/>
        <v>52.765696202531657</v>
      </c>
      <c r="U66" s="134">
        <f>IFERROR((D66-#REF!)/D66,)</f>
        <v>0</v>
      </c>
      <c r="V66" s="134">
        <f>IFERROR((F66-#REF!)/F66,)</f>
        <v>0</v>
      </c>
      <c r="W66" s="134">
        <f>IFERROR((D66-#REF!)/D66, )</f>
        <v>0</v>
      </c>
      <c r="X66" s="134">
        <f>IFERROR((F66-#REF!)/F66, )</f>
        <v>0</v>
      </c>
      <c r="Y66" s="68"/>
      <c r="Z66" s="68"/>
      <c r="AA66" s="68"/>
    </row>
    <row r="67" spans="1:27" ht="12.75" hidden="1" outlineLevel="1" x14ac:dyDescent="0.2">
      <c r="A67" s="68"/>
      <c r="B67" s="69">
        <v>46033</v>
      </c>
      <c r="C67" s="70" t="s">
        <v>32</v>
      </c>
      <c r="D67" s="71">
        <v>2300.92</v>
      </c>
      <c r="E67" s="72"/>
      <c r="F67" s="73">
        <v>23</v>
      </c>
      <c r="G67" s="73">
        <v>28</v>
      </c>
      <c r="H67" s="74">
        <f t="shared" si="0"/>
        <v>0.8214285714285714</v>
      </c>
      <c r="I67" s="75">
        <f t="shared" si="1"/>
        <v>100.04</v>
      </c>
      <c r="J67" s="76">
        <f t="shared" si="2"/>
        <v>121.78782608695653</v>
      </c>
      <c r="K67" s="77">
        <v>623.32000000000005</v>
      </c>
      <c r="L67" s="73">
        <v>111636</v>
      </c>
      <c r="M67" s="73">
        <v>6</v>
      </c>
      <c r="N67" s="78">
        <v>204.9</v>
      </c>
      <c r="O67" s="79">
        <f t="shared" si="19"/>
        <v>3.0420693020985849</v>
      </c>
      <c r="P67" s="80">
        <f t="shared" si="4"/>
        <v>0.32872360906115639</v>
      </c>
      <c r="Q67" s="79">
        <f t="shared" si="5"/>
        <v>0.27090033551796672</v>
      </c>
      <c r="R67" s="81">
        <f t="shared" si="6"/>
        <v>8.9051335987344188E-2</v>
      </c>
      <c r="S67" s="82">
        <f t="shared" ref="S67:S83" si="23">D67-N67</f>
        <v>2096.02</v>
      </c>
      <c r="T67" s="83">
        <f t="shared" si="8"/>
        <v>103.88666666666667</v>
      </c>
      <c r="U67" s="84"/>
      <c r="V67" s="84"/>
      <c r="W67" s="84"/>
      <c r="X67" s="84"/>
      <c r="Y67" s="85"/>
      <c r="Z67" s="68"/>
      <c r="AA67" s="68"/>
    </row>
    <row r="68" spans="1:27" ht="12.75" hidden="1" outlineLevel="1" x14ac:dyDescent="0.2">
      <c r="A68" s="68"/>
      <c r="B68" s="86"/>
      <c r="C68" s="70" t="s">
        <v>33</v>
      </c>
      <c r="D68" s="87">
        <v>4373.42</v>
      </c>
      <c r="E68" s="72"/>
      <c r="F68" s="73">
        <v>63</v>
      </c>
      <c r="G68" s="73">
        <v>82</v>
      </c>
      <c r="H68" s="74">
        <f t="shared" si="0"/>
        <v>0.76829268292682928</v>
      </c>
      <c r="I68" s="75">
        <f t="shared" si="1"/>
        <v>69.419365079365079</v>
      </c>
      <c r="J68" s="76">
        <f t="shared" si="2"/>
        <v>90.355364071554547</v>
      </c>
      <c r="K68" s="87">
        <v>822.42</v>
      </c>
      <c r="L68" s="73">
        <v>169878</v>
      </c>
      <c r="M68" s="73">
        <v>29</v>
      </c>
      <c r="N68" s="88">
        <v>2624.25</v>
      </c>
      <c r="O68" s="79">
        <f t="shared" si="19"/>
        <v>0.31339239782795081</v>
      </c>
      <c r="P68" s="80">
        <f t="shared" si="4"/>
        <v>3.1908878675129499</v>
      </c>
      <c r="Q68" s="79">
        <f t="shared" si="5"/>
        <v>0.1880496270653173</v>
      </c>
      <c r="R68" s="81">
        <f t="shared" si="6"/>
        <v>0.60004527349305581</v>
      </c>
      <c r="S68" s="89">
        <f t="shared" si="23"/>
        <v>1749.17</v>
      </c>
      <c r="T68" s="83">
        <f t="shared" si="8"/>
        <v>28.359310344827584</v>
      </c>
      <c r="U68" s="84"/>
      <c r="V68" s="84"/>
      <c r="W68" s="84"/>
      <c r="X68" s="84"/>
      <c r="Y68" s="85"/>
      <c r="Z68" s="68"/>
      <c r="AA68" s="68"/>
    </row>
    <row r="69" spans="1:27" ht="12.75" hidden="1" outlineLevel="1" x14ac:dyDescent="0.2">
      <c r="A69" s="68"/>
      <c r="B69" s="86"/>
      <c r="C69" s="70" t="s">
        <v>34</v>
      </c>
      <c r="D69" s="90">
        <v>419.7</v>
      </c>
      <c r="E69" s="72"/>
      <c r="F69" s="73">
        <v>6</v>
      </c>
      <c r="G69" s="73">
        <v>3</v>
      </c>
      <c r="H69" s="74">
        <f t="shared" si="0"/>
        <v>2</v>
      </c>
      <c r="I69" s="75">
        <f t="shared" si="1"/>
        <v>69.95</v>
      </c>
      <c r="J69" s="76">
        <f t="shared" si="2"/>
        <v>34.975000000000001</v>
      </c>
      <c r="K69" s="90">
        <v>7.22</v>
      </c>
      <c r="L69" s="73">
        <v>318</v>
      </c>
      <c r="M69" s="73">
        <v>0</v>
      </c>
      <c r="N69" s="91">
        <v>0</v>
      </c>
      <c r="O69" s="79" t="e">
        <f>(K69/N69)</f>
        <v>#DIV/0!</v>
      </c>
      <c r="P69" s="80">
        <f t="shared" si="4"/>
        <v>0</v>
      </c>
      <c r="Q69" s="79">
        <f t="shared" si="5"/>
        <v>1.7202763878961164E-2</v>
      </c>
      <c r="R69" s="81">
        <f t="shared" si="6"/>
        <v>0</v>
      </c>
      <c r="S69" s="92">
        <f t="shared" si="23"/>
        <v>419.7</v>
      </c>
      <c r="T69" s="83" t="e">
        <f t="shared" si="8"/>
        <v>#DIV/0!</v>
      </c>
      <c r="U69" s="84"/>
      <c r="V69" s="84"/>
      <c r="W69" s="84"/>
      <c r="X69" s="84"/>
      <c r="Y69" s="85"/>
      <c r="Z69" s="68"/>
      <c r="AA69" s="68"/>
    </row>
    <row r="70" spans="1:27" ht="12.75" hidden="1" outlineLevel="1" x14ac:dyDescent="0.2">
      <c r="A70" s="68"/>
      <c r="B70" s="86"/>
      <c r="C70" s="70" t="s">
        <v>35</v>
      </c>
      <c r="D70" s="90">
        <v>188.85</v>
      </c>
      <c r="E70" s="72"/>
      <c r="F70" s="73">
        <v>3</v>
      </c>
      <c r="G70" s="73">
        <v>3</v>
      </c>
      <c r="H70" s="74">
        <f t="shared" si="0"/>
        <v>1</v>
      </c>
      <c r="I70" s="75">
        <f t="shared" si="1"/>
        <v>62.949999999999996</v>
      </c>
      <c r="J70" s="76">
        <f t="shared" si="2"/>
        <v>62.949999999999996</v>
      </c>
      <c r="K70" s="90">
        <v>313.22000000000003</v>
      </c>
      <c r="L70" s="73">
        <v>27042</v>
      </c>
      <c r="M70" s="73">
        <v>7</v>
      </c>
      <c r="N70" s="91">
        <v>419.65</v>
      </c>
      <c r="O70" s="79">
        <f t="shared" ref="O70:O86" si="24">K70/N70</f>
        <v>0.74638389133801986</v>
      </c>
      <c r="P70" s="80">
        <f t="shared" si="4"/>
        <v>1.339793116659217</v>
      </c>
      <c r="Q70" s="79">
        <f t="shared" si="5"/>
        <v>1.6585649986761983</v>
      </c>
      <c r="R70" s="81">
        <f t="shared" si="6"/>
        <v>2.2221339687582735</v>
      </c>
      <c r="S70" s="92">
        <f t="shared" si="23"/>
        <v>-230.79999999999998</v>
      </c>
      <c r="T70" s="83">
        <f t="shared" si="8"/>
        <v>44.745714285714293</v>
      </c>
      <c r="U70" s="84"/>
      <c r="V70" s="84"/>
      <c r="W70" s="84"/>
      <c r="X70" s="84"/>
      <c r="Y70" s="85"/>
      <c r="Z70" s="68"/>
      <c r="AA70" s="68"/>
    </row>
    <row r="71" spans="1:27" ht="12.75" hidden="1" outlineLevel="1" x14ac:dyDescent="0.2">
      <c r="A71" s="68"/>
      <c r="B71" s="86"/>
      <c r="C71" s="70" t="s">
        <v>36</v>
      </c>
      <c r="D71" s="90">
        <v>1139.0999999999999</v>
      </c>
      <c r="E71" s="72"/>
      <c r="F71" s="73">
        <v>18</v>
      </c>
      <c r="G71" s="73">
        <v>17</v>
      </c>
      <c r="H71" s="74">
        <f t="shared" si="0"/>
        <v>1.0588235294117647</v>
      </c>
      <c r="I71" s="75">
        <f t="shared" si="1"/>
        <v>63.283333333333331</v>
      </c>
      <c r="J71" s="76">
        <f t="shared" si="2"/>
        <v>59.767592592592592</v>
      </c>
      <c r="K71" s="90">
        <v>73.930000000000007</v>
      </c>
      <c r="L71" s="73">
        <v>23474</v>
      </c>
      <c r="M71" s="73">
        <v>6</v>
      </c>
      <c r="N71" s="91">
        <v>389.7</v>
      </c>
      <c r="O71" s="79">
        <f t="shared" si="24"/>
        <v>0.18971003335899411</v>
      </c>
      <c r="P71" s="80">
        <f t="shared" si="4"/>
        <v>5.2712024888407951</v>
      </c>
      <c r="Q71" s="79">
        <f t="shared" si="5"/>
        <v>6.4902115705381458E-2</v>
      </c>
      <c r="R71" s="81">
        <f t="shared" si="6"/>
        <v>0.34211219383723995</v>
      </c>
      <c r="S71" s="92">
        <f t="shared" si="23"/>
        <v>749.39999999999986</v>
      </c>
      <c r="T71" s="83">
        <f t="shared" si="8"/>
        <v>12.321666666666667</v>
      </c>
      <c r="U71" s="84"/>
      <c r="V71" s="84"/>
      <c r="W71" s="84"/>
      <c r="X71" s="84"/>
      <c r="Y71" s="85"/>
      <c r="Z71" s="68"/>
      <c r="AA71" s="68"/>
    </row>
    <row r="72" spans="1:27" ht="12.75" hidden="1" outlineLevel="1" x14ac:dyDescent="0.2">
      <c r="A72" s="68"/>
      <c r="B72" s="69" t="s">
        <v>37</v>
      </c>
      <c r="C72" s="70" t="s">
        <v>38</v>
      </c>
      <c r="D72" s="93">
        <v>0</v>
      </c>
      <c r="E72" s="72"/>
      <c r="F72" s="73">
        <v>0</v>
      </c>
      <c r="G72" s="73">
        <v>0</v>
      </c>
      <c r="H72" s="74" t="e">
        <f t="shared" si="0"/>
        <v>#DIV/0!</v>
      </c>
      <c r="I72" s="75" t="e">
        <f t="shared" si="1"/>
        <v>#DIV/0!</v>
      </c>
      <c r="J72" s="76" t="e">
        <f t="shared" si="2"/>
        <v>#DIV/0!</v>
      </c>
      <c r="K72" s="93">
        <v>24.92</v>
      </c>
      <c r="L72" s="73">
        <v>189436</v>
      </c>
      <c r="M72" s="73">
        <v>0</v>
      </c>
      <c r="N72" s="94">
        <v>0</v>
      </c>
      <c r="O72" s="79" t="e">
        <f t="shared" si="24"/>
        <v>#DIV/0!</v>
      </c>
      <c r="P72" s="80">
        <f t="shared" si="4"/>
        <v>0</v>
      </c>
      <c r="Q72" s="79" t="e">
        <f t="shared" si="5"/>
        <v>#DIV/0!</v>
      </c>
      <c r="R72" s="81" t="e">
        <f t="shared" si="6"/>
        <v>#DIV/0!</v>
      </c>
      <c r="S72" s="95">
        <f t="shared" si="23"/>
        <v>0</v>
      </c>
      <c r="T72" s="83" t="e">
        <f t="shared" si="8"/>
        <v>#DIV/0!</v>
      </c>
      <c r="U72" s="84"/>
      <c r="V72" s="84"/>
      <c r="W72" s="84"/>
      <c r="X72" s="84"/>
      <c r="Y72" s="85"/>
      <c r="Z72" s="68"/>
      <c r="AA72" s="68"/>
    </row>
    <row r="73" spans="1:27" ht="12.75" hidden="1" outlineLevel="1" x14ac:dyDescent="0.2">
      <c r="A73" s="68"/>
      <c r="B73" s="86"/>
      <c r="C73" s="70" t="s">
        <v>39</v>
      </c>
      <c r="D73" s="96">
        <v>0</v>
      </c>
      <c r="E73" s="72"/>
      <c r="F73" s="73">
        <v>0</v>
      </c>
      <c r="G73" s="73">
        <v>0</v>
      </c>
      <c r="H73" s="74" t="e">
        <f t="shared" si="0"/>
        <v>#DIV/0!</v>
      </c>
      <c r="I73" s="75" t="e">
        <f t="shared" si="1"/>
        <v>#DIV/0!</v>
      </c>
      <c r="J73" s="76" t="e">
        <f t="shared" si="2"/>
        <v>#DIV/0!</v>
      </c>
      <c r="K73" s="96">
        <v>0</v>
      </c>
      <c r="L73" s="73">
        <v>0</v>
      </c>
      <c r="M73" s="73">
        <v>0</v>
      </c>
      <c r="N73" s="97">
        <v>0</v>
      </c>
      <c r="O73" s="79" t="e">
        <f t="shared" si="24"/>
        <v>#DIV/0!</v>
      </c>
      <c r="P73" s="80" t="e">
        <f t="shared" si="4"/>
        <v>#DIV/0!</v>
      </c>
      <c r="Q73" s="79" t="e">
        <f t="shared" si="5"/>
        <v>#DIV/0!</v>
      </c>
      <c r="R73" s="81" t="e">
        <f t="shared" si="6"/>
        <v>#DIV/0!</v>
      </c>
      <c r="S73" s="98">
        <f t="shared" si="23"/>
        <v>0</v>
      </c>
      <c r="T73" s="83" t="e">
        <f t="shared" si="8"/>
        <v>#DIV/0!</v>
      </c>
      <c r="U73" s="84"/>
      <c r="V73" s="84"/>
      <c r="W73" s="84"/>
      <c r="X73" s="84"/>
      <c r="Y73" s="85"/>
      <c r="Z73" s="68"/>
      <c r="AA73" s="68"/>
    </row>
    <row r="74" spans="1:27" ht="12.75" hidden="1" outlineLevel="1" x14ac:dyDescent="0.2">
      <c r="A74" s="68"/>
      <c r="B74" s="86"/>
      <c r="C74" s="70" t="s">
        <v>40</v>
      </c>
      <c r="D74" s="99">
        <v>0</v>
      </c>
      <c r="E74" s="72"/>
      <c r="F74" s="73">
        <v>0</v>
      </c>
      <c r="G74" s="73">
        <v>0</v>
      </c>
      <c r="H74" s="74" t="e">
        <f t="shared" si="0"/>
        <v>#DIV/0!</v>
      </c>
      <c r="I74" s="75" t="e">
        <f t="shared" si="1"/>
        <v>#DIV/0!</v>
      </c>
      <c r="J74" s="76" t="e">
        <f t="shared" si="2"/>
        <v>#DIV/0!</v>
      </c>
      <c r="K74" s="99">
        <v>0</v>
      </c>
      <c r="L74" s="73">
        <v>0</v>
      </c>
      <c r="M74" s="73">
        <v>0</v>
      </c>
      <c r="N74" s="100">
        <v>0</v>
      </c>
      <c r="O74" s="79" t="e">
        <f t="shared" si="24"/>
        <v>#DIV/0!</v>
      </c>
      <c r="P74" s="80" t="e">
        <f t="shared" si="4"/>
        <v>#DIV/0!</v>
      </c>
      <c r="Q74" s="79" t="e">
        <f t="shared" si="5"/>
        <v>#DIV/0!</v>
      </c>
      <c r="R74" s="81" t="e">
        <f t="shared" si="6"/>
        <v>#DIV/0!</v>
      </c>
      <c r="S74" s="101">
        <f t="shared" si="23"/>
        <v>0</v>
      </c>
      <c r="T74" s="83" t="e">
        <f t="shared" si="8"/>
        <v>#DIV/0!</v>
      </c>
      <c r="U74" s="84"/>
      <c r="V74" s="84"/>
      <c r="W74" s="84"/>
      <c r="X74" s="84"/>
      <c r="Y74" s="85"/>
      <c r="Z74" s="68"/>
      <c r="AA74" s="68"/>
    </row>
    <row r="75" spans="1:27" ht="12.75" hidden="1" outlineLevel="1" x14ac:dyDescent="0.2">
      <c r="A75" s="68"/>
      <c r="B75" s="86"/>
      <c r="C75" s="70" t="s">
        <v>41</v>
      </c>
      <c r="D75" s="102">
        <v>2585.66</v>
      </c>
      <c r="E75" s="72"/>
      <c r="F75" s="73">
        <v>38</v>
      </c>
      <c r="G75" s="73">
        <v>37</v>
      </c>
      <c r="H75" s="74">
        <f t="shared" si="0"/>
        <v>1.027027027027027</v>
      </c>
      <c r="I75" s="75">
        <f t="shared" si="1"/>
        <v>68.043684210526308</v>
      </c>
      <c r="J75" s="76">
        <f t="shared" si="2"/>
        <v>66.253060941828252</v>
      </c>
      <c r="K75" s="102">
        <v>439.15</v>
      </c>
      <c r="L75" s="73">
        <v>48219</v>
      </c>
      <c r="M75" s="73">
        <v>11</v>
      </c>
      <c r="N75" s="103">
        <v>718.93</v>
      </c>
      <c r="O75" s="79">
        <f t="shared" si="24"/>
        <v>0.61083832918364789</v>
      </c>
      <c r="P75" s="80">
        <f t="shared" si="4"/>
        <v>1.6370943868837526</v>
      </c>
      <c r="Q75" s="79">
        <f t="shared" si="5"/>
        <v>0.16984058228846793</v>
      </c>
      <c r="R75" s="81">
        <f t="shared" si="6"/>
        <v>0.27804506392951894</v>
      </c>
      <c r="S75" s="104">
        <f t="shared" si="23"/>
        <v>1866.73</v>
      </c>
      <c r="T75" s="83">
        <f t="shared" si="8"/>
        <v>39.922727272727272</v>
      </c>
      <c r="U75" s="84"/>
      <c r="V75" s="84"/>
      <c r="W75" s="84"/>
      <c r="X75" s="84"/>
      <c r="Y75" s="85"/>
      <c r="Z75" s="68"/>
      <c r="AA75" s="68"/>
    </row>
    <row r="76" spans="1:27" ht="12.75" hidden="1" outlineLevel="1" x14ac:dyDescent="0.2">
      <c r="A76" s="68"/>
      <c r="B76" s="86"/>
      <c r="C76" s="70" t="s">
        <v>42</v>
      </c>
      <c r="D76" s="90">
        <v>39.979999999999997</v>
      </c>
      <c r="E76" s="72"/>
      <c r="F76" s="73">
        <v>2</v>
      </c>
      <c r="G76" s="73">
        <v>3</v>
      </c>
      <c r="H76" s="74">
        <f t="shared" si="0"/>
        <v>0.66666666666666663</v>
      </c>
      <c r="I76" s="75">
        <f t="shared" si="1"/>
        <v>19.989999999999998</v>
      </c>
      <c r="J76" s="76">
        <f t="shared" si="2"/>
        <v>29.984999999999999</v>
      </c>
      <c r="K76" s="90">
        <v>315.74</v>
      </c>
      <c r="L76" s="73">
        <v>83987</v>
      </c>
      <c r="M76" s="73">
        <v>1</v>
      </c>
      <c r="N76" s="91">
        <v>19.989999999999998</v>
      </c>
      <c r="O76" s="79">
        <f t="shared" si="24"/>
        <v>15.794897448724363</v>
      </c>
      <c r="P76" s="80">
        <f t="shared" si="4"/>
        <v>6.3311585481725469E-2</v>
      </c>
      <c r="Q76" s="79">
        <f t="shared" si="5"/>
        <v>7.8974487243621816</v>
      </c>
      <c r="R76" s="81">
        <f t="shared" si="6"/>
        <v>0.5</v>
      </c>
      <c r="S76" s="92">
        <f t="shared" si="23"/>
        <v>19.989999999999998</v>
      </c>
      <c r="T76" s="83">
        <f t="shared" si="8"/>
        <v>315.74</v>
      </c>
      <c r="U76" s="84"/>
      <c r="V76" s="84"/>
      <c r="W76" s="84"/>
      <c r="X76" s="84"/>
      <c r="Y76" s="85"/>
      <c r="Z76" s="68"/>
      <c r="AA76" s="68"/>
    </row>
    <row r="77" spans="1:27" ht="12.75" hidden="1" outlineLevel="1" x14ac:dyDescent="0.2">
      <c r="A77" s="68"/>
      <c r="B77" s="86"/>
      <c r="C77" s="70" t="s">
        <v>43</v>
      </c>
      <c r="D77" s="105">
        <v>599.79999999999995</v>
      </c>
      <c r="E77" s="72"/>
      <c r="F77" s="73">
        <v>5</v>
      </c>
      <c r="G77" s="73">
        <v>6</v>
      </c>
      <c r="H77" s="74">
        <f t="shared" si="0"/>
        <v>0.83333333333333337</v>
      </c>
      <c r="I77" s="75">
        <f t="shared" si="1"/>
        <v>119.96</v>
      </c>
      <c r="J77" s="76">
        <f t="shared" si="2"/>
        <v>143.952</v>
      </c>
      <c r="K77" s="105">
        <v>78.62</v>
      </c>
      <c r="L77" s="73">
        <v>6710</v>
      </c>
      <c r="M77" s="73">
        <v>1</v>
      </c>
      <c r="N77" s="106">
        <v>0</v>
      </c>
      <c r="O77" s="79" t="e">
        <f t="shared" si="24"/>
        <v>#DIV/0!</v>
      </c>
      <c r="P77" s="80">
        <f t="shared" si="4"/>
        <v>0</v>
      </c>
      <c r="Q77" s="79">
        <f t="shared" si="5"/>
        <v>0.13107702567522508</v>
      </c>
      <c r="R77" s="81">
        <f t="shared" si="6"/>
        <v>0</v>
      </c>
      <c r="S77" s="107">
        <f t="shared" si="23"/>
        <v>599.79999999999995</v>
      </c>
      <c r="T77" s="83">
        <f t="shared" si="8"/>
        <v>78.62</v>
      </c>
      <c r="U77" s="84"/>
      <c r="V77" s="84"/>
      <c r="W77" s="84"/>
      <c r="X77" s="84"/>
      <c r="Y77" s="85"/>
      <c r="Z77" s="68"/>
      <c r="AA77" s="68"/>
    </row>
    <row r="78" spans="1:27" ht="12.75" hidden="1" outlineLevel="1" x14ac:dyDescent="0.2">
      <c r="A78" s="68"/>
      <c r="B78" s="86"/>
      <c r="C78" s="70" t="s">
        <v>44</v>
      </c>
      <c r="D78" s="108">
        <v>183.85</v>
      </c>
      <c r="E78" s="72"/>
      <c r="F78" s="73">
        <v>3</v>
      </c>
      <c r="G78" s="73">
        <v>5</v>
      </c>
      <c r="H78" s="74">
        <f t="shared" si="0"/>
        <v>0.6</v>
      </c>
      <c r="I78" s="75">
        <f t="shared" si="1"/>
        <v>61.283333333333331</v>
      </c>
      <c r="J78" s="76">
        <f t="shared" si="2"/>
        <v>102.13888888888889</v>
      </c>
      <c r="K78" s="108">
        <v>97.43</v>
      </c>
      <c r="L78" s="73">
        <v>54420</v>
      </c>
      <c r="M78" s="73">
        <v>4</v>
      </c>
      <c r="N78" s="109">
        <v>239.8</v>
      </c>
      <c r="O78" s="79">
        <f t="shared" si="24"/>
        <v>0.40629691409507923</v>
      </c>
      <c r="P78" s="80">
        <f t="shared" si="4"/>
        <v>2.4612542338088885</v>
      </c>
      <c r="Q78" s="79">
        <f t="shared" si="5"/>
        <v>0.52994288822409574</v>
      </c>
      <c r="R78" s="81">
        <f t="shared" si="6"/>
        <v>1.3043241773184662</v>
      </c>
      <c r="S78" s="110">
        <f t="shared" si="23"/>
        <v>-55.950000000000017</v>
      </c>
      <c r="T78" s="83">
        <f t="shared" si="8"/>
        <v>24.357500000000002</v>
      </c>
      <c r="U78" s="84"/>
      <c r="V78" s="84"/>
      <c r="W78" s="84"/>
      <c r="X78" s="84"/>
      <c r="Y78" s="85"/>
      <c r="Z78" s="68"/>
      <c r="AA78" s="68"/>
    </row>
    <row r="79" spans="1:27" ht="12.75" hidden="1" outlineLevel="1" x14ac:dyDescent="0.2">
      <c r="A79" s="111"/>
      <c r="B79" s="86"/>
      <c r="C79" s="112" t="s">
        <v>45</v>
      </c>
      <c r="D79" s="71">
        <v>29.95</v>
      </c>
      <c r="E79" s="72"/>
      <c r="F79" s="73">
        <v>1</v>
      </c>
      <c r="G79" s="73">
        <v>1</v>
      </c>
      <c r="H79" s="74">
        <f t="shared" si="0"/>
        <v>1</v>
      </c>
      <c r="I79" s="75">
        <f t="shared" si="1"/>
        <v>29.95</v>
      </c>
      <c r="J79" s="76">
        <f t="shared" si="2"/>
        <v>29.95</v>
      </c>
      <c r="K79" s="71">
        <v>0</v>
      </c>
      <c r="L79" s="73">
        <v>0</v>
      </c>
      <c r="M79" s="73">
        <v>0</v>
      </c>
      <c r="N79" s="78">
        <v>0</v>
      </c>
      <c r="O79" s="79" t="e">
        <f t="shared" si="24"/>
        <v>#DIV/0!</v>
      </c>
      <c r="P79" s="80" t="e">
        <f t="shared" si="4"/>
        <v>#DIV/0!</v>
      </c>
      <c r="Q79" s="79">
        <f t="shared" si="5"/>
        <v>0</v>
      </c>
      <c r="R79" s="81">
        <f t="shared" si="6"/>
        <v>0</v>
      </c>
      <c r="S79" s="82">
        <f t="shared" si="23"/>
        <v>29.95</v>
      </c>
      <c r="T79" s="83" t="e">
        <f t="shared" si="8"/>
        <v>#DIV/0!</v>
      </c>
      <c r="U79" s="113"/>
      <c r="V79" s="113"/>
      <c r="W79" s="113"/>
      <c r="X79" s="114"/>
      <c r="Y79" s="115"/>
      <c r="Z79" s="68"/>
      <c r="AA79" s="68"/>
    </row>
    <row r="80" spans="1:27" ht="12.75" hidden="1" outlineLevel="1" x14ac:dyDescent="0.2">
      <c r="A80" s="68"/>
      <c r="B80" s="86"/>
      <c r="C80" s="70" t="s">
        <v>46</v>
      </c>
      <c r="D80" s="116">
        <v>873</v>
      </c>
      <c r="E80" s="72"/>
      <c r="F80" s="73">
        <v>20</v>
      </c>
      <c r="G80" s="73">
        <v>23</v>
      </c>
      <c r="H80" s="74">
        <f t="shared" si="0"/>
        <v>0.86956521739130432</v>
      </c>
      <c r="I80" s="75">
        <f t="shared" si="1"/>
        <v>43.65</v>
      </c>
      <c r="J80" s="76">
        <f t="shared" si="2"/>
        <v>50.197499999999998</v>
      </c>
      <c r="K80" s="116">
        <v>223.97</v>
      </c>
      <c r="L80" s="73">
        <v>52080</v>
      </c>
      <c r="M80" s="73">
        <v>7</v>
      </c>
      <c r="N80" s="117">
        <v>216.75</v>
      </c>
      <c r="O80" s="79">
        <f t="shared" si="24"/>
        <v>1.0333102652825836</v>
      </c>
      <c r="P80" s="80">
        <f t="shared" si="4"/>
        <v>0.96776353975978924</v>
      </c>
      <c r="Q80" s="79">
        <f t="shared" si="5"/>
        <v>0.2565521191294387</v>
      </c>
      <c r="R80" s="81">
        <f t="shared" si="6"/>
        <v>0.24828178694158076</v>
      </c>
      <c r="S80" s="82">
        <f t="shared" si="23"/>
        <v>656.25</v>
      </c>
      <c r="T80" s="83">
        <f t="shared" si="8"/>
        <v>31.995714285714286</v>
      </c>
      <c r="U80" s="84"/>
      <c r="V80" s="84"/>
      <c r="W80" s="84"/>
      <c r="X80" s="84"/>
      <c r="Y80" s="85"/>
      <c r="Z80" s="68"/>
      <c r="AA80" s="68"/>
    </row>
    <row r="81" spans="1:27" ht="12.75" hidden="1" outlineLevel="1" x14ac:dyDescent="0.2">
      <c r="A81" s="68"/>
      <c r="B81" s="86"/>
      <c r="C81" s="70" t="s">
        <v>47</v>
      </c>
      <c r="D81" s="87">
        <v>0</v>
      </c>
      <c r="E81" s="72"/>
      <c r="F81" s="73">
        <v>0</v>
      </c>
      <c r="G81" s="73">
        <v>0</v>
      </c>
      <c r="H81" s="74" t="e">
        <f t="shared" si="0"/>
        <v>#DIV/0!</v>
      </c>
      <c r="I81" s="75" t="e">
        <f t="shared" si="1"/>
        <v>#DIV/0!</v>
      </c>
      <c r="J81" s="76" t="e">
        <f t="shared" si="2"/>
        <v>#DIV/0!</v>
      </c>
      <c r="K81" s="87">
        <v>0</v>
      </c>
      <c r="L81" s="73">
        <v>0</v>
      </c>
      <c r="M81" s="73">
        <v>0</v>
      </c>
      <c r="N81" s="88">
        <v>0</v>
      </c>
      <c r="O81" s="79" t="e">
        <f t="shared" si="24"/>
        <v>#DIV/0!</v>
      </c>
      <c r="P81" s="80" t="e">
        <f t="shared" si="4"/>
        <v>#DIV/0!</v>
      </c>
      <c r="Q81" s="79" t="e">
        <f t="shared" si="5"/>
        <v>#DIV/0!</v>
      </c>
      <c r="R81" s="81" t="e">
        <f t="shared" si="6"/>
        <v>#DIV/0!</v>
      </c>
      <c r="S81" s="82">
        <f t="shared" si="23"/>
        <v>0</v>
      </c>
      <c r="T81" s="83" t="e">
        <f t="shared" si="8"/>
        <v>#DIV/0!</v>
      </c>
      <c r="U81" s="84"/>
      <c r="V81" s="84"/>
      <c r="W81" s="84"/>
      <c r="X81" s="84"/>
      <c r="Y81" s="85"/>
      <c r="Z81" s="68"/>
      <c r="AA81" s="68"/>
    </row>
    <row r="82" spans="1:27" ht="12.75" hidden="1" outlineLevel="1" x14ac:dyDescent="0.2">
      <c r="A82" s="68"/>
      <c r="B82" s="86"/>
      <c r="C82" s="70" t="s">
        <v>48</v>
      </c>
      <c r="D82" s="102">
        <v>3625.99</v>
      </c>
      <c r="E82" s="72"/>
      <c r="F82" s="73">
        <v>16</v>
      </c>
      <c r="G82" s="73">
        <v>19</v>
      </c>
      <c r="H82" s="74">
        <f t="shared" si="0"/>
        <v>0.84210526315789469</v>
      </c>
      <c r="I82" s="75">
        <f t="shared" si="1"/>
        <v>226.62437499999999</v>
      </c>
      <c r="J82" s="76">
        <f t="shared" si="2"/>
        <v>269.11644531249999</v>
      </c>
      <c r="K82" s="102">
        <v>562.12</v>
      </c>
      <c r="L82" s="73">
        <v>46453</v>
      </c>
      <c r="M82" s="73">
        <v>9</v>
      </c>
      <c r="N82" s="103">
        <v>1839.6</v>
      </c>
      <c r="O82" s="79">
        <f t="shared" si="24"/>
        <v>0.30556642748423574</v>
      </c>
      <c r="P82" s="80">
        <f t="shared" si="4"/>
        <v>3.2726108304276664</v>
      </c>
      <c r="Q82" s="79">
        <f t="shared" si="5"/>
        <v>0.1550252482770223</v>
      </c>
      <c r="R82" s="81">
        <f t="shared" si="6"/>
        <v>0.50733730650112108</v>
      </c>
      <c r="S82" s="82">
        <f t="shared" si="23"/>
        <v>1786.3899999999999</v>
      </c>
      <c r="T82" s="83">
        <f t="shared" si="8"/>
        <v>62.457777777777778</v>
      </c>
      <c r="U82" s="84"/>
      <c r="V82" s="84"/>
      <c r="W82" s="84"/>
      <c r="X82" s="84"/>
      <c r="Y82" s="85"/>
      <c r="Z82" s="68"/>
      <c r="AA82" s="68"/>
    </row>
    <row r="83" spans="1:27" ht="12.75" hidden="1" outlineLevel="1" x14ac:dyDescent="0.2">
      <c r="A83" s="118" t="str">
        <f t="shared" ref="A83:A84" si="25">IFERROR(IF(B83&gt;0,MONTH(B83)&amp;"-"&amp;YEAR(B83),B83),)</f>
        <v>1-2026</v>
      </c>
      <c r="B83" s="69">
        <v>46039</v>
      </c>
      <c r="C83" s="70" t="s">
        <v>49</v>
      </c>
      <c r="D83" s="116">
        <v>156</v>
      </c>
      <c r="E83" s="72"/>
      <c r="F83" s="73">
        <v>3</v>
      </c>
      <c r="G83" s="73">
        <v>3</v>
      </c>
      <c r="H83" s="74">
        <f t="shared" si="0"/>
        <v>1</v>
      </c>
      <c r="I83" s="75">
        <f t="shared" si="1"/>
        <v>52</v>
      </c>
      <c r="J83" s="76">
        <f t="shared" si="2"/>
        <v>52</v>
      </c>
      <c r="K83" s="116">
        <v>9.36</v>
      </c>
      <c r="L83" s="73">
        <v>9962</v>
      </c>
      <c r="M83" s="73">
        <v>2</v>
      </c>
      <c r="N83" s="117">
        <v>0</v>
      </c>
      <c r="O83" s="79" t="e">
        <f t="shared" si="24"/>
        <v>#DIV/0!</v>
      </c>
      <c r="P83" s="80">
        <f t="shared" si="4"/>
        <v>0</v>
      </c>
      <c r="Q83" s="79">
        <f t="shared" si="5"/>
        <v>0.06</v>
      </c>
      <c r="R83" s="81">
        <f t="shared" si="6"/>
        <v>0</v>
      </c>
      <c r="S83" s="82">
        <f t="shared" si="23"/>
        <v>156</v>
      </c>
      <c r="T83" s="83">
        <f t="shared" si="8"/>
        <v>4.68</v>
      </c>
      <c r="U83" s="84"/>
      <c r="V83" s="84"/>
      <c r="W83" s="84"/>
      <c r="X83" s="84"/>
      <c r="Y83" s="85"/>
      <c r="Z83" s="68"/>
      <c r="AA83" s="68"/>
    </row>
    <row r="84" spans="1:27" ht="12.75" collapsed="1" x14ac:dyDescent="0.2">
      <c r="A84" s="68">
        <f t="shared" si="25"/>
        <v>0</v>
      </c>
      <c r="B84" s="119" t="s">
        <v>53</v>
      </c>
      <c r="C84" s="120"/>
      <c r="D84" s="121">
        <f>SUM(D67:D83)</f>
        <v>16516.22</v>
      </c>
      <c r="E84" s="122"/>
      <c r="F84" s="123">
        <f t="shared" ref="F84:G84" si="26">SUM(F67:F83)</f>
        <v>201</v>
      </c>
      <c r="G84" s="123">
        <f t="shared" si="26"/>
        <v>230</v>
      </c>
      <c r="H84" s="124">
        <f t="shared" si="0"/>
        <v>0.87391304347826082</v>
      </c>
      <c r="I84" s="125">
        <f t="shared" si="1"/>
        <v>82.170248756218911</v>
      </c>
      <c r="J84" s="126">
        <f t="shared" si="2"/>
        <v>94.025657780748006</v>
      </c>
      <c r="K84" s="121">
        <f t="shared" ref="K84:N84" si="27">SUM(K67:K83)</f>
        <v>3591.4199999999996</v>
      </c>
      <c r="L84" s="123">
        <f t="shared" si="27"/>
        <v>823615</v>
      </c>
      <c r="M84" s="123">
        <f t="shared" si="27"/>
        <v>83</v>
      </c>
      <c r="N84" s="127">
        <f t="shared" si="27"/>
        <v>6673.57</v>
      </c>
      <c r="O84" s="128">
        <f t="shared" si="24"/>
        <v>0.53815573973150799</v>
      </c>
      <c r="P84" s="129">
        <f t="shared" si="4"/>
        <v>1.8581981500353622</v>
      </c>
      <c r="Q84" s="128">
        <f t="shared" si="5"/>
        <v>0.21744806014935616</v>
      </c>
      <c r="R84" s="130">
        <f t="shared" si="6"/>
        <v>0.40406158309831181</v>
      </c>
      <c r="S84" s="131">
        <f>SUM(S67:S83)</f>
        <v>9842.65</v>
      </c>
      <c r="T84" s="132">
        <f t="shared" si="8"/>
        <v>43.270120481927705</v>
      </c>
      <c r="U84" s="134">
        <f>IFERROR((D84-#REF!)/D84,)</f>
        <v>0</v>
      </c>
      <c r="V84" s="134">
        <f>IFERROR((F84-#REF!)/F84,)</f>
        <v>0</v>
      </c>
      <c r="W84" s="134">
        <f>IFERROR((D84-#REF!)/D84, )</f>
        <v>0</v>
      </c>
      <c r="X84" s="134">
        <f>IFERROR((F84-#REF!)/F84, )</f>
        <v>0</v>
      </c>
      <c r="Y84" s="68"/>
      <c r="Z84" s="68"/>
      <c r="AA84" s="68"/>
    </row>
    <row r="85" spans="1:27" ht="12.75" hidden="1" outlineLevel="1" x14ac:dyDescent="0.2">
      <c r="A85" s="68"/>
      <c r="B85" s="69">
        <v>46040</v>
      </c>
      <c r="C85" s="70" t="s">
        <v>32</v>
      </c>
      <c r="D85" s="71">
        <v>4732.63</v>
      </c>
      <c r="E85" s="72"/>
      <c r="F85" s="73">
        <v>44</v>
      </c>
      <c r="G85" s="73">
        <v>36</v>
      </c>
      <c r="H85" s="74">
        <f t="shared" si="0"/>
        <v>1.2222222222222223</v>
      </c>
      <c r="I85" s="75">
        <f t="shared" si="1"/>
        <v>107.55977272727273</v>
      </c>
      <c r="J85" s="76">
        <f t="shared" si="2"/>
        <v>88.003450413223135</v>
      </c>
      <c r="K85" s="77">
        <v>718.79</v>
      </c>
      <c r="L85" s="73">
        <v>125856</v>
      </c>
      <c r="M85" s="73">
        <v>12</v>
      </c>
      <c r="N85" s="78">
        <v>1088.8399999999999</v>
      </c>
      <c r="O85" s="79">
        <f t="shared" si="24"/>
        <v>0.66014290437529854</v>
      </c>
      <c r="P85" s="80">
        <f t="shared" si="4"/>
        <v>1.5148235228648144</v>
      </c>
      <c r="Q85" s="79">
        <f t="shared" si="5"/>
        <v>0.15187961028011907</v>
      </c>
      <c r="R85" s="81">
        <f t="shared" si="6"/>
        <v>0.23007080629586507</v>
      </c>
      <c r="S85" s="82">
        <f t="shared" ref="S85:S101" si="28">D85-N85</f>
        <v>3643.79</v>
      </c>
      <c r="T85" s="83">
        <f t="shared" si="8"/>
        <v>59.899166666666666</v>
      </c>
      <c r="U85" s="84"/>
      <c r="V85" s="84"/>
      <c r="W85" s="84"/>
      <c r="X85" s="84"/>
      <c r="Y85" s="85"/>
      <c r="Z85" s="68"/>
      <c r="AA85" s="68"/>
    </row>
    <row r="86" spans="1:27" ht="12.75" hidden="1" outlineLevel="1" x14ac:dyDescent="0.2">
      <c r="A86" s="68"/>
      <c r="B86" s="86"/>
      <c r="C86" s="70" t="s">
        <v>33</v>
      </c>
      <c r="D86" s="87">
        <v>6276.96</v>
      </c>
      <c r="E86" s="72"/>
      <c r="F86" s="73">
        <v>90</v>
      </c>
      <c r="G86" s="73">
        <v>109</v>
      </c>
      <c r="H86" s="74">
        <f t="shared" si="0"/>
        <v>0.82568807339449546</v>
      </c>
      <c r="I86" s="75">
        <f t="shared" si="1"/>
        <v>69.744</v>
      </c>
      <c r="J86" s="76">
        <f t="shared" si="2"/>
        <v>84.467733333333328</v>
      </c>
      <c r="K86" s="87">
        <v>752.9</v>
      </c>
      <c r="L86" s="73">
        <v>151124</v>
      </c>
      <c r="M86" s="73">
        <v>30</v>
      </c>
      <c r="N86" s="88">
        <v>2897.8</v>
      </c>
      <c r="O86" s="79">
        <f t="shared" si="24"/>
        <v>0.25981779280833733</v>
      </c>
      <c r="P86" s="80">
        <f t="shared" si="4"/>
        <v>3.8488511090450261</v>
      </c>
      <c r="Q86" s="79">
        <f t="shared" si="5"/>
        <v>0.11994659835334301</v>
      </c>
      <c r="R86" s="81">
        <f t="shared" si="6"/>
        <v>0.46165659809844256</v>
      </c>
      <c r="S86" s="89">
        <f t="shared" si="28"/>
        <v>3379.16</v>
      </c>
      <c r="T86" s="83">
        <f t="shared" si="8"/>
        <v>25.096666666666668</v>
      </c>
      <c r="U86" s="84"/>
      <c r="V86" s="84"/>
      <c r="W86" s="84"/>
      <c r="X86" s="84"/>
      <c r="Y86" s="85"/>
      <c r="Z86" s="68"/>
      <c r="AA86" s="68"/>
    </row>
    <row r="87" spans="1:27" ht="12.75" hidden="1" outlineLevel="1" x14ac:dyDescent="0.2">
      <c r="A87" s="68"/>
      <c r="B87" s="86"/>
      <c r="C87" s="70" t="s">
        <v>34</v>
      </c>
      <c r="D87" s="90">
        <v>209.85</v>
      </c>
      <c r="E87" s="72"/>
      <c r="F87" s="73">
        <v>3</v>
      </c>
      <c r="G87" s="73">
        <v>2</v>
      </c>
      <c r="H87" s="74">
        <f t="shared" si="0"/>
        <v>1.5</v>
      </c>
      <c r="I87" s="75">
        <f t="shared" si="1"/>
        <v>69.95</v>
      </c>
      <c r="J87" s="76">
        <f t="shared" si="2"/>
        <v>46.633333333333333</v>
      </c>
      <c r="K87" s="90">
        <v>0</v>
      </c>
      <c r="L87" s="73">
        <v>295</v>
      </c>
      <c r="M87" s="73">
        <v>0</v>
      </c>
      <c r="N87" s="91">
        <v>0</v>
      </c>
      <c r="O87" s="79" t="e">
        <f>(K87/N87)</f>
        <v>#DIV/0!</v>
      </c>
      <c r="P87" s="80" t="e">
        <f t="shared" si="4"/>
        <v>#DIV/0!</v>
      </c>
      <c r="Q87" s="79">
        <f t="shared" si="5"/>
        <v>0</v>
      </c>
      <c r="R87" s="81">
        <f t="shared" si="6"/>
        <v>0</v>
      </c>
      <c r="S87" s="92">
        <f t="shared" si="28"/>
        <v>209.85</v>
      </c>
      <c r="T87" s="83" t="e">
        <f t="shared" si="8"/>
        <v>#DIV/0!</v>
      </c>
      <c r="U87" s="84"/>
      <c r="V87" s="84"/>
      <c r="W87" s="84"/>
      <c r="X87" s="84"/>
      <c r="Y87" s="85"/>
      <c r="Z87" s="68"/>
      <c r="AA87" s="68"/>
    </row>
    <row r="88" spans="1:27" ht="12.75" hidden="1" outlineLevel="1" x14ac:dyDescent="0.2">
      <c r="A88" s="68"/>
      <c r="B88" s="86"/>
      <c r="C88" s="70" t="s">
        <v>35</v>
      </c>
      <c r="D88" s="90">
        <v>0</v>
      </c>
      <c r="E88" s="72"/>
      <c r="F88" s="73">
        <v>0</v>
      </c>
      <c r="G88" s="73">
        <v>1</v>
      </c>
      <c r="H88" s="74">
        <f t="shared" si="0"/>
        <v>0</v>
      </c>
      <c r="I88" s="75" t="e">
        <f t="shared" si="1"/>
        <v>#DIV/0!</v>
      </c>
      <c r="J88" s="76" t="e">
        <f t="shared" si="2"/>
        <v>#DIV/0!</v>
      </c>
      <c r="K88" s="90">
        <v>398.73</v>
      </c>
      <c r="L88" s="73">
        <v>26769</v>
      </c>
      <c r="M88" s="73">
        <v>2</v>
      </c>
      <c r="N88" s="91">
        <v>119.9</v>
      </c>
      <c r="O88" s="79">
        <f t="shared" ref="O88:O104" si="29">K88/N88</f>
        <v>3.3255212677231025</v>
      </c>
      <c r="P88" s="80">
        <f t="shared" si="4"/>
        <v>0.30070473754169486</v>
      </c>
      <c r="Q88" s="79" t="e">
        <f t="shared" si="5"/>
        <v>#DIV/0!</v>
      </c>
      <c r="R88" s="81" t="e">
        <f t="shared" si="6"/>
        <v>#DIV/0!</v>
      </c>
      <c r="S88" s="92">
        <f t="shared" si="28"/>
        <v>-119.9</v>
      </c>
      <c r="T88" s="83">
        <f t="shared" si="8"/>
        <v>199.36500000000001</v>
      </c>
      <c r="U88" s="84"/>
      <c r="V88" s="84"/>
      <c r="W88" s="84"/>
      <c r="X88" s="84"/>
      <c r="Y88" s="85"/>
      <c r="Z88" s="68"/>
      <c r="AA88" s="68"/>
    </row>
    <row r="89" spans="1:27" ht="12.75" hidden="1" outlineLevel="1" x14ac:dyDescent="0.2">
      <c r="A89" s="68"/>
      <c r="B89" s="86"/>
      <c r="C89" s="70" t="s">
        <v>36</v>
      </c>
      <c r="D89" s="90">
        <v>139.9</v>
      </c>
      <c r="E89" s="72"/>
      <c r="F89" s="73">
        <v>2</v>
      </c>
      <c r="G89" s="73">
        <v>2</v>
      </c>
      <c r="H89" s="74">
        <f t="shared" si="0"/>
        <v>1</v>
      </c>
      <c r="I89" s="75">
        <f t="shared" si="1"/>
        <v>69.95</v>
      </c>
      <c r="J89" s="76">
        <f t="shared" si="2"/>
        <v>69.95</v>
      </c>
      <c r="K89" s="90">
        <v>62.63</v>
      </c>
      <c r="L89" s="73">
        <v>21148</v>
      </c>
      <c r="M89" s="73">
        <v>3</v>
      </c>
      <c r="N89" s="91">
        <v>179.85</v>
      </c>
      <c r="O89" s="79">
        <f t="shared" si="29"/>
        <v>0.34823463997775927</v>
      </c>
      <c r="P89" s="80">
        <f t="shared" si="4"/>
        <v>2.8716270158071211</v>
      </c>
      <c r="Q89" s="79">
        <f t="shared" si="5"/>
        <v>0.44767691208005717</v>
      </c>
      <c r="R89" s="81">
        <f t="shared" si="6"/>
        <v>1.2855611150822015</v>
      </c>
      <c r="S89" s="92">
        <f t="shared" si="28"/>
        <v>-39.949999999999989</v>
      </c>
      <c r="T89" s="83">
        <f t="shared" si="8"/>
        <v>20.876666666666669</v>
      </c>
      <c r="U89" s="84"/>
      <c r="V89" s="84"/>
      <c r="W89" s="84"/>
      <c r="X89" s="84"/>
      <c r="Y89" s="85"/>
      <c r="Z89" s="68"/>
      <c r="AA89" s="68"/>
    </row>
    <row r="90" spans="1:27" ht="12.75" hidden="1" outlineLevel="1" x14ac:dyDescent="0.2">
      <c r="A90" s="68"/>
      <c r="B90" s="69" t="s">
        <v>37</v>
      </c>
      <c r="C90" s="70" t="s">
        <v>38</v>
      </c>
      <c r="D90" s="93">
        <v>0</v>
      </c>
      <c r="E90" s="72"/>
      <c r="F90" s="73">
        <v>0</v>
      </c>
      <c r="G90" s="73">
        <v>0</v>
      </c>
      <c r="H90" s="74" t="e">
        <f t="shared" si="0"/>
        <v>#DIV/0!</v>
      </c>
      <c r="I90" s="75" t="e">
        <f t="shared" si="1"/>
        <v>#DIV/0!</v>
      </c>
      <c r="J90" s="76" t="e">
        <f t="shared" si="2"/>
        <v>#DIV/0!</v>
      </c>
      <c r="K90" s="93">
        <v>21.15</v>
      </c>
      <c r="L90" s="73">
        <v>38434</v>
      </c>
      <c r="M90" s="73">
        <v>0</v>
      </c>
      <c r="N90" s="94">
        <v>0</v>
      </c>
      <c r="O90" s="79" t="e">
        <f t="shared" si="29"/>
        <v>#DIV/0!</v>
      </c>
      <c r="P90" s="80">
        <f t="shared" si="4"/>
        <v>0</v>
      </c>
      <c r="Q90" s="79" t="e">
        <f t="shared" si="5"/>
        <v>#DIV/0!</v>
      </c>
      <c r="R90" s="81" t="e">
        <f t="shared" si="6"/>
        <v>#DIV/0!</v>
      </c>
      <c r="S90" s="95">
        <f t="shared" si="28"/>
        <v>0</v>
      </c>
      <c r="T90" s="83" t="e">
        <f t="shared" si="8"/>
        <v>#DIV/0!</v>
      </c>
      <c r="U90" s="84"/>
      <c r="V90" s="84"/>
      <c r="W90" s="84"/>
      <c r="X90" s="84"/>
      <c r="Y90" s="85"/>
      <c r="Z90" s="68"/>
      <c r="AA90" s="68"/>
    </row>
    <row r="91" spans="1:27" ht="12.75" hidden="1" outlineLevel="1" x14ac:dyDescent="0.2">
      <c r="A91" s="68"/>
      <c r="B91" s="86"/>
      <c r="C91" s="70" t="s">
        <v>39</v>
      </c>
      <c r="D91" s="96">
        <v>0</v>
      </c>
      <c r="E91" s="72"/>
      <c r="F91" s="73">
        <v>0</v>
      </c>
      <c r="G91" s="73">
        <v>0</v>
      </c>
      <c r="H91" s="74" t="e">
        <f t="shared" si="0"/>
        <v>#DIV/0!</v>
      </c>
      <c r="I91" s="75" t="e">
        <f t="shared" si="1"/>
        <v>#DIV/0!</v>
      </c>
      <c r="J91" s="76" t="e">
        <f t="shared" si="2"/>
        <v>#DIV/0!</v>
      </c>
      <c r="K91" s="96">
        <v>0</v>
      </c>
      <c r="L91" s="73">
        <v>0</v>
      </c>
      <c r="M91" s="73">
        <v>0</v>
      </c>
      <c r="N91" s="97">
        <v>0</v>
      </c>
      <c r="O91" s="79" t="e">
        <f t="shared" si="29"/>
        <v>#DIV/0!</v>
      </c>
      <c r="P91" s="80" t="e">
        <f t="shared" si="4"/>
        <v>#DIV/0!</v>
      </c>
      <c r="Q91" s="79" t="e">
        <f t="shared" si="5"/>
        <v>#DIV/0!</v>
      </c>
      <c r="R91" s="81" t="e">
        <f t="shared" si="6"/>
        <v>#DIV/0!</v>
      </c>
      <c r="S91" s="98">
        <f t="shared" si="28"/>
        <v>0</v>
      </c>
      <c r="T91" s="83" t="e">
        <f t="shared" si="8"/>
        <v>#DIV/0!</v>
      </c>
      <c r="U91" s="84"/>
      <c r="V91" s="84"/>
      <c r="W91" s="84"/>
      <c r="X91" s="84"/>
      <c r="Y91" s="85"/>
      <c r="Z91" s="68"/>
      <c r="AA91" s="68"/>
    </row>
    <row r="92" spans="1:27" ht="12.75" hidden="1" outlineLevel="1" x14ac:dyDescent="0.2">
      <c r="A92" s="68"/>
      <c r="B92" s="86"/>
      <c r="C92" s="70" t="s">
        <v>40</v>
      </c>
      <c r="D92" s="99">
        <v>0</v>
      </c>
      <c r="E92" s="72"/>
      <c r="F92" s="73">
        <v>0</v>
      </c>
      <c r="G92" s="73">
        <v>0</v>
      </c>
      <c r="H92" s="74" t="e">
        <f t="shared" si="0"/>
        <v>#DIV/0!</v>
      </c>
      <c r="I92" s="75" t="e">
        <f t="shared" si="1"/>
        <v>#DIV/0!</v>
      </c>
      <c r="J92" s="76" t="e">
        <f t="shared" si="2"/>
        <v>#DIV/0!</v>
      </c>
      <c r="K92" s="99">
        <v>0</v>
      </c>
      <c r="L92" s="73">
        <v>0</v>
      </c>
      <c r="M92" s="73">
        <v>0</v>
      </c>
      <c r="N92" s="100">
        <v>0</v>
      </c>
      <c r="O92" s="79" t="e">
        <f t="shared" si="29"/>
        <v>#DIV/0!</v>
      </c>
      <c r="P92" s="80" t="e">
        <f t="shared" si="4"/>
        <v>#DIV/0!</v>
      </c>
      <c r="Q92" s="79" t="e">
        <f t="shared" si="5"/>
        <v>#DIV/0!</v>
      </c>
      <c r="R92" s="81" t="e">
        <f t="shared" si="6"/>
        <v>#DIV/0!</v>
      </c>
      <c r="S92" s="101">
        <f t="shared" si="28"/>
        <v>0</v>
      </c>
      <c r="T92" s="83" t="e">
        <f t="shared" si="8"/>
        <v>#DIV/0!</v>
      </c>
      <c r="U92" s="84"/>
      <c r="V92" s="84"/>
      <c r="W92" s="84"/>
      <c r="X92" s="84"/>
      <c r="Y92" s="85"/>
      <c r="Z92" s="68"/>
      <c r="AA92" s="68"/>
    </row>
    <row r="93" spans="1:27" ht="12.75" hidden="1" outlineLevel="1" x14ac:dyDescent="0.2">
      <c r="A93" s="68"/>
      <c r="B93" s="86"/>
      <c r="C93" s="70" t="s">
        <v>41</v>
      </c>
      <c r="D93" s="102">
        <v>2291.4</v>
      </c>
      <c r="E93" s="72"/>
      <c r="F93" s="73">
        <v>33</v>
      </c>
      <c r="G93" s="73">
        <v>33</v>
      </c>
      <c r="H93" s="74">
        <f t="shared" si="0"/>
        <v>1</v>
      </c>
      <c r="I93" s="75">
        <f t="shared" si="1"/>
        <v>69.436363636363637</v>
      </c>
      <c r="J93" s="76">
        <f t="shared" si="2"/>
        <v>69.436363636363637</v>
      </c>
      <c r="K93" s="102">
        <v>421.66</v>
      </c>
      <c r="L93" s="73">
        <v>40683</v>
      </c>
      <c r="M93" s="73">
        <v>14</v>
      </c>
      <c r="N93" s="103">
        <v>829.86</v>
      </c>
      <c r="O93" s="79">
        <f t="shared" si="29"/>
        <v>0.50810980165329089</v>
      </c>
      <c r="P93" s="80">
        <f t="shared" si="4"/>
        <v>1.9680785466963904</v>
      </c>
      <c r="Q93" s="79">
        <f t="shared" si="5"/>
        <v>0.18401850397137121</v>
      </c>
      <c r="R93" s="81">
        <f t="shared" si="6"/>
        <v>0.3621628698612202</v>
      </c>
      <c r="S93" s="104">
        <f t="shared" si="28"/>
        <v>1461.54</v>
      </c>
      <c r="T93" s="83">
        <f t="shared" si="8"/>
        <v>30.118571428571432</v>
      </c>
      <c r="U93" s="84"/>
      <c r="V93" s="84"/>
      <c r="W93" s="84"/>
      <c r="X93" s="84"/>
      <c r="Y93" s="85"/>
      <c r="Z93" s="68"/>
      <c r="AA93" s="68"/>
    </row>
    <row r="94" spans="1:27" ht="12.75" hidden="1" outlineLevel="1" x14ac:dyDescent="0.2">
      <c r="A94" s="68"/>
      <c r="B94" s="86"/>
      <c r="C94" s="70" t="s">
        <v>42</v>
      </c>
      <c r="D94" s="90">
        <v>159.91999999999999</v>
      </c>
      <c r="E94" s="72"/>
      <c r="F94" s="73">
        <v>8</v>
      </c>
      <c r="G94" s="73">
        <v>3</v>
      </c>
      <c r="H94" s="74">
        <f t="shared" si="0"/>
        <v>2.6666666666666665</v>
      </c>
      <c r="I94" s="75">
        <f t="shared" si="1"/>
        <v>19.989999999999998</v>
      </c>
      <c r="J94" s="76">
        <f t="shared" si="2"/>
        <v>7.4962499999999999</v>
      </c>
      <c r="K94" s="90">
        <v>367.68</v>
      </c>
      <c r="L94" s="73">
        <v>80649</v>
      </c>
      <c r="M94" s="73">
        <v>2</v>
      </c>
      <c r="N94" s="91">
        <v>39.979999999999997</v>
      </c>
      <c r="O94" s="79">
        <f t="shared" si="29"/>
        <v>9.1965982991495761</v>
      </c>
      <c r="P94" s="80">
        <f t="shared" si="4"/>
        <v>0.10873585726718885</v>
      </c>
      <c r="Q94" s="79">
        <f t="shared" si="5"/>
        <v>2.299149574787394</v>
      </c>
      <c r="R94" s="81">
        <f t="shared" si="6"/>
        <v>0.25</v>
      </c>
      <c r="S94" s="92">
        <f t="shared" si="28"/>
        <v>119.94</v>
      </c>
      <c r="T94" s="83">
        <f t="shared" si="8"/>
        <v>183.84</v>
      </c>
      <c r="U94" s="84"/>
      <c r="V94" s="84"/>
      <c r="W94" s="84"/>
      <c r="X94" s="84"/>
      <c r="Y94" s="85"/>
      <c r="Z94" s="68"/>
      <c r="AA94" s="68"/>
    </row>
    <row r="95" spans="1:27" ht="12.75" hidden="1" outlineLevel="1" x14ac:dyDescent="0.2">
      <c r="A95" s="68"/>
      <c r="B95" s="86"/>
      <c r="C95" s="70" t="s">
        <v>43</v>
      </c>
      <c r="D95" s="105">
        <v>1245.5999999999999</v>
      </c>
      <c r="E95" s="72"/>
      <c r="F95" s="73">
        <v>10</v>
      </c>
      <c r="G95" s="73">
        <v>11</v>
      </c>
      <c r="H95" s="74">
        <f t="shared" si="0"/>
        <v>0.90909090909090906</v>
      </c>
      <c r="I95" s="75">
        <f t="shared" si="1"/>
        <v>124.55999999999999</v>
      </c>
      <c r="J95" s="76">
        <f t="shared" si="2"/>
        <v>137.01599999999999</v>
      </c>
      <c r="K95" s="105">
        <v>46.96</v>
      </c>
      <c r="L95" s="73">
        <v>7099</v>
      </c>
      <c r="M95" s="73">
        <v>4</v>
      </c>
      <c r="N95" s="106">
        <v>205.95</v>
      </c>
      <c r="O95" s="79">
        <f t="shared" si="29"/>
        <v>0.22801650886137415</v>
      </c>
      <c r="P95" s="80">
        <f t="shared" si="4"/>
        <v>4.3856473594548548</v>
      </c>
      <c r="Q95" s="79">
        <f t="shared" si="5"/>
        <v>3.7700706486833657E-2</v>
      </c>
      <c r="R95" s="81">
        <f t="shared" si="6"/>
        <v>0.16534200385356454</v>
      </c>
      <c r="S95" s="107">
        <f t="shared" si="28"/>
        <v>1039.6499999999999</v>
      </c>
      <c r="T95" s="83">
        <f t="shared" si="8"/>
        <v>11.74</v>
      </c>
      <c r="U95" s="84"/>
      <c r="V95" s="84"/>
      <c r="W95" s="84"/>
      <c r="X95" s="84"/>
      <c r="Y95" s="85"/>
      <c r="Z95" s="68"/>
      <c r="AA95" s="68"/>
    </row>
    <row r="96" spans="1:27" ht="12.75" hidden="1" outlineLevel="1" x14ac:dyDescent="0.2">
      <c r="A96" s="68"/>
      <c r="B96" s="86"/>
      <c r="C96" s="70" t="s">
        <v>44</v>
      </c>
      <c r="D96" s="108">
        <v>179.85</v>
      </c>
      <c r="E96" s="72"/>
      <c r="F96" s="73">
        <v>3</v>
      </c>
      <c r="G96" s="73">
        <v>4</v>
      </c>
      <c r="H96" s="74">
        <f t="shared" si="0"/>
        <v>0.75</v>
      </c>
      <c r="I96" s="75">
        <f t="shared" si="1"/>
        <v>59.949999999999996</v>
      </c>
      <c r="J96" s="76">
        <f t="shared" si="2"/>
        <v>79.933333333333323</v>
      </c>
      <c r="K96" s="108">
        <v>66.069999999999993</v>
      </c>
      <c r="L96" s="73">
        <v>45813</v>
      </c>
      <c r="M96" s="73">
        <v>1</v>
      </c>
      <c r="N96" s="109">
        <v>59.95</v>
      </c>
      <c r="O96" s="79">
        <f t="shared" si="29"/>
        <v>1.1020850708924101</v>
      </c>
      <c r="P96" s="80">
        <f t="shared" si="4"/>
        <v>0.90737097018313928</v>
      </c>
      <c r="Q96" s="79">
        <f t="shared" si="5"/>
        <v>0.36736169029747007</v>
      </c>
      <c r="R96" s="81">
        <f t="shared" si="6"/>
        <v>0.33333333333333337</v>
      </c>
      <c r="S96" s="110">
        <f t="shared" si="28"/>
        <v>119.89999999999999</v>
      </c>
      <c r="T96" s="83">
        <f t="shared" si="8"/>
        <v>66.069999999999993</v>
      </c>
      <c r="U96" s="84"/>
      <c r="V96" s="84"/>
      <c r="W96" s="84"/>
      <c r="X96" s="84"/>
      <c r="Y96" s="85"/>
      <c r="Z96" s="68"/>
      <c r="AA96" s="68"/>
    </row>
    <row r="97" spans="1:27" ht="12.75" hidden="1" outlineLevel="1" x14ac:dyDescent="0.2">
      <c r="A97" s="111"/>
      <c r="B97" s="86"/>
      <c r="C97" s="112" t="s">
        <v>45</v>
      </c>
      <c r="D97" s="71">
        <v>0</v>
      </c>
      <c r="E97" s="72"/>
      <c r="F97" s="73">
        <v>0</v>
      </c>
      <c r="G97" s="73">
        <v>0</v>
      </c>
      <c r="H97" s="74" t="e">
        <f t="shared" si="0"/>
        <v>#DIV/0!</v>
      </c>
      <c r="I97" s="75" t="e">
        <f t="shared" si="1"/>
        <v>#DIV/0!</v>
      </c>
      <c r="J97" s="76" t="e">
        <f t="shared" si="2"/>
        <v>#DIV/0!</v>
      </c>
      <c r="K97" s="71">
        <v>0</v>
      </c>
      <c r="L97" s="73">
        <v>0</v>
      </c>
      <c r="M97" s="73">
        <v>0</v>
      </c>
      <c r="N97" s="78">
        <v>0</v>
      </c>
      <c r="O97" s="79" t="e">
        <f t="shared" si="29"/>
        <v>#DIV/0!</v>
      </c>
      <c r="P97" s="80" t="e">
        <f t="shared" si="4"/>
        <v>#DIV/0!</v>
      </c>
      <c r="Q97" s="79" t="e">
        <f t="shared" si="5"/>
        <v>#DIV/0!</v>
      </c>
      <c r="R97" s="81" t="e">
        <f t="shared" si="6"/>
        <v>#DIV/0!</v>
      </c>
      <c r="S97" s="82">
        <f t="shared" si="28"/>
        <v>0</v>
      </c>
      <c r="T97" s="83" t="e">
        <f t="shared" si="8"/>
        <v>#DIV/0!</v>
      </c>
      <c r="U97" s="113"/>
      <c r="V97" s="113"/>
      <c r="W97" s="113"/>
      <c r="X97" s="114"/>
      <c r="Y97" s="115"/>
      <c r="Z97" s="68"/>
      <c r="AA97" s="68"/>
    </row>
    <row r="98" spans="1:27" ht="12.75" hidden="1" outlineLevel="1" x14ac:dyDescent="0.2">
      <c r="A98" s="68"/>
      <c r="B98" s="86"/>
      <c r="C98" s="70" t="s">
        <v>46</v>
      </c>
      <c r="D98" s="116">
        <v>1186.24</v>
      </c>
      <c r="E98" s="72"/>
      <c r="F98" s="73">
        <v>27</v>
      </c>
      <c r="G98" s="73">
        <v>29</v>
      </c>
      <c r="H98" s="74">
        <f t="shared" si="0"/>
        <v>0.93103448275862066</v>
      </c>
      <c r="I98" s="75">
        <f t="shared" si="1"/>
        <v>43.934814814814814</v>
      </c>
      <c r="J98" s="76">
        <f t="shared" si="2"/>
        <v>47.189245541838133</v>
      </c>
      <c r="K98" s="116">
        <v>179.59</v>
      </c>
      <c r="L98" s="73">
        <v>48414</v>
      </c>
      <c r="M98" s="73">
        <v>8</v>
      </c>
      <c r="N98" s="117">
        <v>259.7</v>
      </c>
      <c r="O98" s="79">
        <f t="shared" si="29"/>
        <v>0.69152868694647673</v>
      </c>
      <c r="P98" s="80">
        <f t="shared" si="4"/>
        <v>1.4460716075505318</v>
      </c>
      <c r="Q98" s="79">
        <f t="shared" si="5"/>
        <v>0.1513943215538171</v>
      </c>
      <c r="R98" s="81">
        <f t="shared" si="6"/>
        <v>0.21892702994335039</v>
      </c>
      <c r="S98" s="82">
        <f t="shared" si="28"/>
        <v>926.54</v>
      </c>
      <c r="T98" s="83">
        <f t="shared" si="8"/>
        <v>22.44875</v>
      </c>
      <c r="U98" s="84"/>
      <c r="V98" s="84"/>
      <c r="W98" s="84"/>
      <c r="X98" s="84"/>
      <c r="Y98" s="85"/>
      <c r="Z98" s="68"/>
      <c r="AA98" s="68"/>
    </row>
    <row r="99" spans="1:27" ht="12.75" hidden="1" outlineLevel="1" x14ac:dyDescent="0.2">
      <c r="A99" s="68"/>
      <c r="B99" s="86"/>
      <c r="C99" s="70" t="s">
        <v>47</v>
      </c>
      <c r="D99" s="87">
        <v>-29.95</v>
      </c>
      <c r="E99" s="72"/>
      <c r="F99" s="73">
        <v>-1</v>
      </c>
      <c r="G99" s="73">
        <v>0</v>
      </c>
      <c r="H99" s="74" t="e">
        <f t="shared" si="0"/>
        <v>#DIV/0!</v>
      </c>
      <c r="I99" s="75">
        <f t="shared" si="1"/>
        <v>29.95</v>
      </c>
      <c r="J99" s="76" t="e">
        <f t="shared" si="2"/>
        <v>#DIV/0!</v>
      </c>
      <c r="K99" s="87">
        <v>0</v>
      </c>
      <c r="L99" s="73">
        <v>0</v>
      </c>
      <c r="M99" s="73">
        <v>0</v>
      </c>
      <c r="N99" s="88">
        <v>0</v>
      </c>
      <c r="O99" s="79" t="e">
        <f t="shared" si="29"/>
        <v>#DIV/0!</v>
      </c>
      <c r="P99" s="80" t="e">
        <f t="shared" si="4"/>
        <v>#DIV/0!</v>
      </c>
      <c r="Q99" s="79">
        <f t="shared" si="5"/>
        <v>0</v>
      </c>
      <c r="R99" s="81">
        <f t="shared" si="6"/>
        <v>0</v>
      </c>
      <c r="S99" s="82">
        <f t="shared" si="28"/>
        <v>-29.95</v>
      </c>
      <c r="T99" s="83" t="e">
        <f t="shared" si="8"/>
        <v>#DIV/0!</v>
      </c>
      <c r="U99" s="84"/>
      <c r="V99" s="84"/>
      <c r="W99" s="84"/>
      <c r="X99" s="84"/>
      <c r="Y99" s="85"/>
      <c r="Z99" s="68"/>
      <c r="AA99" s="68"/>
    </row>
    <row r="100" spans="1:27" ht="12.75" hidden="1" outlineLevel="1" x14ac:dyDescent="0.2">
      <c r="A100" s="68"/>
      <c r="B100" s="86"/>
      <c r="C100" s="70" t="s">
        <v>48</v>
      </c>
      <c r="D100" s="102">
        <v>3931.94</v>
      </c>
      <c r="E100" s="72"/>
      <c r="F100" s="73">
        <v>17</v>
      </c>
      <c r="G100" s="73">
        <v>20</v>
      </c>
      <c r="H100" s="74">
        <f t="shared" si="0"/>
        <v>0.85</v>
      </c>
      <c r="I100" s="75">
        <f t="shared" si="1"/>
        <v>231.29058823529411</v>
      </c>
      <c r="J100" s="76">
        <f t="shared" si="2"/>
        <v>272.10657439446368</v>
      </c>
      <c r="K100" s="102">
        <v>494</v>
      </c>
      <c r="L100" s="73">
        <v>42767</v>
      </c>
      <c r="M100" s="73">
        <v>7</v>
      </c>
      <c r="N100" s="103">
        <v>1659.65</v>
      </c>
      <c r="O100" s="79">
        <f t="shared" si="29"/>
        <v>0.2976531196336577</v>
      </c>
      <c r="P100" s="80">
        <f t="shared" si="4"/>
        <v>3.3596153846153847</v>
      </c>
      <c r="Q100" s="79">
        <f t="shared" si="5"/>
        <v>0.12563772590629563</v>
      </c>
      <c r="R100" s="81">
        <f t="shared" si="6"/>
        <v>0.42209443684288167</v>
      </c>
      <c r="S100" s="82">
        <f t="shared" si="28"/>
        <v>2272.29</v>
      </c>
      <c r="T100" s="83">
        <f t="shared" si="8"/>
        <v>70.571428571428569</v>
      </c>
      <c r="U100" s="84"/>
      <c r="V100" s="84"/>
      <c r="W100" s="84"/>
      <c r="X100" s="84"/>
      <c r="Y100" s="85"/>
      <c r="Z100" s="68"/>
      <c r="AA100" s="68"/>
    </row>
    <row r="101" spans="1:27" ht="12.75" hidden="1" outlineLevel="1" x14ac:dyDescent="0.2">
      <c r="A101" s="118" t="str">
        <f t="shared" ref="A101:A102" si="30">IFERROR(IF(B101&gt;0,MONTH(B101)&amp;"-"&amp;YEAR(B101),B101),)</f>
        <v>1-2026</v>
      </c>
      <c r="B101" s="69">
        <v>46046</v>
      </c>
      <c r="C101" s="70" t="s">
        <v>49</v>
      </c>
      <c r="D101" s="116">
        <v>0</v>
      </c>
      <c r="E101" s="72"/>
      <c r="F101" s="73">
        <v>0</v>
      </c>
      <c r="G101" s="73">
        <v>0</v>
      </c>
      <c r="H101" s="74" t="e">
        <f t="shared" si="0"/>
        <v>#DIV/0!</v>
      </c>
      <c r="I101" s="75" t="e">
        <f t="shared" si="1"/>
        <v>#DIV/0!</v>
      </c>
      <c r="J101" s="76" t="e">
        <f t="shared" si="2"/>
        <v>#DIV/0!</v>
      </c>
      <c r="K101" s="116">
        <v>7.9</v>
      </c>
      <c r="L101" s="73">
        <v>10033</v>
      </c>
      <c r="M101" s="73">
        <v>0</v>
      </c>
      <c r="N101" s="117">
        <v>0</v>
      </c>
      <c r="O101" s="79" t="e">
        <f t="shared" si="29"/>
        <v>#DIV/0!</v>
      </c>
      <c r="P101" s="80">
        <f t="shared" si="4"/>
        <v>0</v>
      </c>
      <c r="Q101" s="79" t="e">
        <f t="shared" si="5"/>
        <v>#DIV/0!</v>
      </c>
      <c r="R101" s="81" t="e">
        <f t="shared" si="6"/>
        <v>#DIV/0!</v>
      </c>
      <c r="S101" s="82">
        <f t="shared" si="28"/>
        <v>0</v>
      </c>
      <c r="T101" s="83" t="e">
        <f t="shared" si="8"/>
        <v>#DIV/0!</v>
      </c>
      <c r="U101" s="84"/>
      <c r="V101" s="84"/>
      <c r="W101" s="84"/>
      <c r="X101" s="84"/>
      <c r="Y101" s="85"/>
      <c r="Z101" s="68"/>
      <c r="AA101" s="68"/>
    </row>
    <row r="102" spans="1:27" ht="12.75" collapsed="1" x14ac:dyDescent="0.2">
      <c r="A102" s="68">
        <f t="shared" si="30"/>
        <v>0</v>
      </c>
      <c r="B102" s="119" t="s">
        <v>54</v>
      </c>
      <c r="C102" s="120"/>
      <c r="D102" s="121">
        <f>SUM(D85:D101)</f>
        <v>20324.34</v>
      </c>
      <c r="E102" s="122"/>
      <c r="F102" s="123">
        <f t="shared" ref="F102:G102" si="31">SUM(F85:F101)</f>
        <v>236</v>
      </c>
      <c r="G102" s="123">
        <f t="shared" si="31"/>
        <v>250</v>
      </c>
      <c r="H102" s="124">
        <f t="shared" si="0"/>
        <v>0.94399999999999995</v>
      </c>
      <c r="I102" s="125">
        <f t="shared" si="1"/>
        <v>86.120084745762711</v>
      </c>
      <c r="J102" s="126">
        <f t="shared" si="2"/>
        <v>91.228903332375751</v>
      </c>
      <c r="K102" s="121">
        <f t="shared" ref="K102:N102" si="32">SUM(K85:K101)</f>
        <v>3538.0600000000004</v>
      </c>
      <c r="L102" s="123">
        <f t="shared" si="32"/>
        <v>639084</v>
      </c>
      <c r="M102" s="123">
        <f t="shared" si="32"/>
        <v>83</v>
      </c>
      <c r="N102" s="127">
        <f t="shared" si="32"/>
        <v>7341.48</v>
      </c>
      <c r="O102" s="128">
        <f t="shared" si="29"/>
        <v>0.4819273497986783</v>
      </c>
      <c r="P102" s="129">
        <f t="shared" si="4"/>
        <v>2.0750015545242304</v>
      </c>
      <c r="Q102" s="128">
        <f t="shared" si="5"/>
        <v>0.1740799455234463</v>
      </c>
      <c r="R102" s="130">
        <f t="shared" si="6"/>
        <v>0.36121615757264441</v>
      </c>
      <c r="S102" s="131">
        <f>SUM(S85:S101)</f>
        <v>12982.86</v>
      </c>
      <c r="T102" s="132">
        <f t="shared" si="8"/>
        <v>42.627228915662656</v>
      </c>
      <c r="U102" s="134">
        <f>IFERROR((D102-#REF!)/D102,)</f>
        <v>0</v>
      </c>
      <c r="V102" s="134">
        <f>IFERROR((F102-#REF!)/F102,)</f>
        <v>0</v>
      </c>
      <c r="W102" s="134">
        <f>IFERROR((D102-#REF!)/D102, )</f>
        <v>0</v>
      </c>
      <c r="X102" s="134">
        <f>IFERROR((F102-#REF!)/F102, )</f>
        <v>0</v>
      </c>
      <c r="Y102" s="68"/>
      <c r="Z102" s="68"/>
      <c r="AA102" s="68"/>
    </row>
    <row r="103" spans="1:27" ht="12.75" hidden="1" outlineLevel="1" x14ac:dyDescent="0.2">
      <c r="A103" s="68"/>
      <c r="B103" s="69">
        <v>46047</v>
      </c>
      <c r="C103" s="70" t="s">
        <v>32</v>
      </c>
      <c r="D103" s="71">
        <v>4689.49</v>
      </c>
      <c r="E103" s="72"/>
      <c r="F103" s="73">
        <v>21</v>
      </c>
      <c r="G103" s="73">
        <v>28</v>
      </c>
      <c r="H103" s="74">
        <f t="shared" si="0"/>
        <v>0.75</v>
      </c>
      <c r="I103" s="75">
        <f t="shared" si="1"/>
        <v>223.30904761904762</v>
      </c>
      <c r="J103" s="76">
        <f t="shared" si="2"/>
        <v>297.74539682539682</v>
      </c>
      <c r="K103" s="77">
        <v>675.31</v>
      </c>
      <c r="L103" s="73">
        <v>128679</v>
      </c>
      <c r="M103" s="73">
        <v>8</v>
      </c>
      <c r="N103" s="78">
        <v>1984.89</v>
      </c>
      <c r="O103" s="79">
        <f t="shared" si="29"/>
        <v>0.3402254029190534</v>
      </c>
      <c r="P103" s="80">
        <f t="shared" si="4"/>
        <v>2.9392279101449708</v>
      </c>
      <c r="Q103" s="79">
        <f t="shared" si="5"/>
        <v>0.1440049984113411</v>
      </c>
      <c r="R103" s="81">
        <f t="shared" si="6"/>
        <v>0.42326351053099592</v>
      </c>
      <c r="S103" s="82">
        <f t="shared" ref="S103:S119" si="33">D103-N103</f>
        <v>2704.5999999999995</v>
      </c>
      <c r="T103" s="83">
        <f t="shared" si="8"/>
        <v>84.413749999999993</v>
      </c>
      <c r="U103" s="84"/>
      <c r="V103" s="84"/>
      <c r="W103" s="84"/>
      <c r="X103" s="84"/>
      <c r="Y103" s="85"/>
      <c r="Z103" s="68"/>
      <c r="AA103" s="68"/>
    </row>
    <row r="104" spans="1:27" ht="12.75" hidden="1" outlineLevel="1" x14ac:dyDescent="0.2">
      <c r="A104" s="68"/>
      <c r="B104" s="86"/>
      <c r="C104" s="70" t="s">
        <v>33</v>
      </c>
      <c r="D104" s="87">
        <v>5369.3</v>
      </c>
      <c r="E104" s="72"/>
      <c r="F104" s="73">
        <v>97</v>
      </c>
      <c r="G104" s="73">
        <v>108</v>
      </c>
      <c r="H104" s="74">
        <f t="shared" si="0"/>
        <v>0.89814814814814814</v>
      </c>
      <c r="I104" s="75">
        <f t="shared" si="1"/>
        <v>55.353608247422684</v>
      </c>
      <c r="J104" s="76">
        <f t="shared" si="2"/>
        <v>61.630821553831446</v>
      </c>
      <c r="K104" s="87">
        <v>598.97</v>
      </c>
      <c r="L104" s="73">
        <v>137191</v>
      </c>
      <c r="M104" s="73">
        <v>16</v>
      </c>
      <c r="N104" s="88">
        <v>1557.65</v>
      </c>
      <c r="O104" s="79">
        <f t="shared" si="29"/>
        <v>0.38453439476133922</v>
      </c>
      <c r="P104" s="80">
        <f t="shared" si="4"/>
        <v>2.6005476067248776</v>
      </c>
      <c r="Q104" s="79">
        <f t="shared" si="5"/>
        <v>0.11155457880915576</v>
      </c>
      <c r="R104" s="81">
        <f t="shared" si="6"/>
        <v>0.29010299294135178</v>
      </c>
      <c r="S104" s="89">
        <f t="shared" si="33"/>
        <v>3811.65</v>
      </c>
      <c r="T104" s="83">
        <f t="shared" si="8"/>
        <v>37.435625000000002</v>
      </c>
      <c r="U104" s="84"/>
      <c r="V104" s="84"/>
      <c r="W104" s="84"/>
      <c r="X104" s="84"/>
      <c r="Y104" s="85"/>
      <c r="Z104" s="68"/>
      <c r="AA104" s="68"/>
    </row>
    <row r="105" spans="1:27" ht="12.75" hidden="1" outlineLevel="1" x14ac:dyDescent="0.2">
      <c r="A105" s="68"/>
      <c r="B105" s="86"/>
      <c r="C105" s="70" t="s">
        <v>34</v>
      </c>
      <c r="D105" s="90">
        <v>-69.95</v>
      </c>
      <c r="E105" s="72"/>
      <c r="F105" s="73">
        <v>-1</v>
      </c>
      <c r="G105" s="73">
        <v>0</v>
      </c>
      <c r="H105" s="74" t="e">
        <f t="shared" si="0"/>
        <v>#DIV/0!</v>
      </c>
      <c r="I105" s="75">
        <f t="shared" si="1"/>
        <v>69.95</v>
      </c>
      <c r="J105" s="76" t="e">
        <f t="shared" si="2"/>
        <v>#DIV/0!</v>
      </c>
      <c r="K105" s="90">
        <v>6.9</v>
      </c>
      <c r="L105" s="73">
        <v>361</v>
      </c>
      <c r="M105" s="73">
        <v>0</v>
      </c>
      <c r="N105" s="91">
        <v>0</v>
      </c>
      <c r="O105" s="79" t="e">
        <f>(K105/N105)</f>
        <v>#DIV/0!</v>
      </c>
      <c r="P105" s="80">
        <f t="shared" si="4"/>
        <v>0</v>
      </c>
      <c r="Q105" s="79">
        <f t="shared" si="5"/>
        <v>-9.8641887062187281E-2</v>
      </c>
      <c r="R105" s="81">
        <f t="shared" si="6"/>
        <v>0</v>
      </c>
      <c r="S105" s="92">
        <f t="shared" si="33"/>
        <v>-69.95</v>
      </c>
      <c r="T105" s="83" t="e">
        <f t="shared" si="8"/>
        <v>#DIV/0!</v>
      </c>
      <c r="U105" s="84"/>
      <c r="V105" s="84"/>
      <c r="W105" s="84"/>
      <c r="X105" s="84"/>
      <c r="Y105" s="85"/>
      <c r="Z105" s="68"/>
      <c r="AA105" s="68"/>
    </row>
    <row r="106" spans="1:27" ht="12.75" hidden="1" outlineLevel="1" x14ac:dyDescent="0.2">
      <c r="A106" s="68"/>
      <c r="B106" s="86"/>
      <c r="C106" s="70" t="s">
        <v>35</v>
      </c>
      <c r="D106" s="90">
        <v>662.45</v>
      </c>
      <c r="E106" s="72"/>
      <c r="F106" s="73">
        <v>11</v>
      </c>
      <c r="G106" s="73">
        <v>10</v>
      </c>
      <c r="H106" s="74">
        <f t="shared" si="0"/>
        <v>1.1000000000000001</v>
      </c>
      <c r="I106" s="75">
        <f t="shared" si="1"/>
        <v>60.222727272727276</v>
      </c>
      <c r="J106" s="76">
        <f t="shared" si="2"/>
        <v>54.747933884297517</v>
      </c>
      <c r="K106" s="90">
        <v>384.6</v>
      </c>
      <c r="L106" s="73">
        <v>26434</v>
      </c>
      <c r="M106" s="73">
        <v>8</v>
      </c>
      <c r="N106" s="91">
        <v>479.6</v>
      </c>
      <c r="O106" s="79">
        <f t="shared" ref="O106:O122" si="34">K106/N106</f>
        <v>0.8019182652210175</v>
      </c>
      <c r="P106" s="80">
        <f t="shared" si="4"/>
        <v>1.2470098803952159</v>
      </c>
      <c r="Q106" s="79">
        <f t="shared" si="5"/>
        <v>0.58057211865046421</v>
      </c>
      <c r="R106" s="81">
        <f t="shared" si="6"/>
        <v>0.72397916823911235</v>
      </c>
      <c r="S106" s="92">
        <f t="shared" si="33"/>
        <v>182.85000000000002</v>
      </c>
      <c r="T106" s="83">
        <f t="shared" si="8"/>
        <v>48.075000000000003</v>
      </c>
      <c r="U106" s="84"/>
      <c r="V106" s="84"/>
      <c r="W106" s="84"/>
      <c r="X106" s="84"/>
      <c r="Y106" s="85"/>
      <c r="Z106" s="68"/>
      <c r="AA106" s="68"/>
    </row>
    <row r="107" spans="1:27" ht="12.75" hidden="1" outlineLevel="1" x14ac:dyDescent="0.2">
      <c r="A107" s="68"/>
      <c r="B107" s="86"/>
      <c r="C107" s="70" t="s">
        <v>36</v>
      </c>
      <c r="D107" s="90">
        <v>824.35</v>
      </c>
      <c r="E107" s="72"/>
      <c r="F107" s="73">
        <v>13</v>
      </c>
      <c r="G107" s="73">
        <v>12</v>
      </c>
      <c r="H107" s="74">
        <f t="shared" si="0"/>
        <v>1.0833333333333333</v>
      </c>
      <c r="I107" s="75">
        <f t="shared" si="1"/>
        <v>63.411538461538463</v>
      </c>
      <c r="J107" s="76">
        <f t="shared" si="2"/>
        <v>58.533727810650895</v>
      </c>
      <c r="K107" s="90">
        <v>32.979999999999997</v>
      </c>
      <c r="L107" s="73">
        <v>14982</v>
      </c>
      <c r="M107" s="73">
        <v>3</v>
      </c>
      <c r="N107" s="91">
        <v>179.85</v>
      </c>
      <c r="O107" s="79">
        <f t="shared" si="34"/>
        <v>0.18337503475118153</v>
      </c>
      <c r="P107" s="80">
        <f t="shared" si="4"/>
        <v>5.4533050333535478</v>
      </c>
      <c r="Q107" s="79">
        <f t="shared" si="5"/>
        <v>4.0007278461818396E-2</v>
      </c>
      <c r="R107" s="81">
        <f t="shared" si="6"/>
        <v>0.21817189300661124</v>
      </c>
      <c r="S107" s="92">
        <f t="shared" si="33"/>
        <v>644.5</v>
      </c>
      <c r="T107" s="83">
        <f t="shared" si="8"/>
        <v>10.993333333333332</v>
      </c>
      <c r="U107" s="84"/>
      <c r="V107" s="84"/>
      <c r="W107" s="84"/>
      <c r="X107" s="84"/>
      <c r="Y107" s="85"/>
      <c r="Z107" s="68"/>
      <c r="AA107" s="68"/>
    </row>
    <row r="108" spans="1:27" ht="12.75" hidden="1" outlineLevel="1" x14ac:dyDescent="0.2">
      <c r="A108" s="68"/>
      <c r="B108" s="69" t="s">
        <v>37</v>
      </c>
      <c r="C108" s="70" t="s">
        <v>38</v>
      </c>
      <c r="D108" s="93">
        <v>89.9</v>
      </c>
      <c r="E108" s="72"/>
      <c r="F108" s="73">
        <v>2</v>
      </c>
      <c r="G108" s="73">
        <v>2</v>
      </c>
      <c r="H108" s="74">
        <f t="shared" si="0"/>
        <v>1</v>
      </c>
      <c r="I108" s="75">
        <f t="shared" si="1"/>
        <v>44.95</v>
      </c>
      <c r="J108" s="76">
        <f t="shared" si="2"/>
        <v>44.95</v>
      </c>
      <c r="K108" s="93">
        <v>27.53</v>
      </c>
      <c r="L108" s="73">
        <v>94493</v>
      </c>
      <c r="M108" s="73">
        <v>2</v>
      </c>
      <c r="N108" s="94">
        <v>89.9</v>
      </c>
      <c r="O108" s="79">
        <f t="shared" si="34"/>
        <v>0.30622914349276975</v>
      </c>
      <c r="P108" s="80">
        <f t="shared" si="4"/>
        <v>3.265528514347984</v>
      </c>
      <c r="Q108" s="79">
        <f t="shared" si="5"/>
        <v>0.30622914349276975</v>
      </c>
      <c r="R108" s="81">
        <f t="shared" si="6"/>
        <v>1</v>
      </c>
      <c r="S108" s="95">
        <f t="shared" si="33"/>
        <v>0</v>
      </c>
      <c r="T108" s="83">
        <f t="shared" si="8"/>
        <v>13.765000000000001</v>
      </c>
      <c r="U108" s="84"/>
      <c r="V108" s="84"/>
      <c r="W108" s="84"/>
      <c r="X108" s="84"/>
      <c r="Y108" s="85"/>
      <c r="Z108" s="68"/>
      <c r="AA108" s="68"/>
    </row>
    <row r="109" spans="1:27" ht="12.75" hidden="1" outlineLevel="1" x14ac:dyDescent="0.2">
      <c r="A109" s="68"/>
      <c r="B109" s="86"/>
      <c r="C109" s="70" t="s">
        <v>39</v>
      </c>
      <c r="D109" s="96">
        <v>0</v>
      </c>
      <c r="E109" s="72"/>
      <c r="F109" s="73">
        <v>0</v>
      </c>
      <c r="G109" s="73">
        <v>0</v>
      </c>
      <c r="H109" s="74" t="e">
        <f t="shared" si="0"/>
        <v>#DIV/0!</v>
      </c>
      <c r="I109" s="75" t="e">
        <f t="shared" si="1"/>
        <v>#DIV/0!</v>
      </c>
      <c r="J109" s="76" t="e">
        <f t="shared" si="2"/>
        <v>#DIV/0!</v>
      </c>
      <c r="K109" s="96">
        <v>0</v>
      </c>
      <c r="L109" s="73">
        <v>0</v>
      </c>
      <c r="M109" s="73">
        <v>0</v>
      </c>
      <c r="N109" s="97">
        <v>0</v>
      </c>
      <c r="O109" s="79" t="e">
        <f t="shared" si="34"/>
        <v>#DIV/0!</v>
      </c>
      <c r="P109" s="80" t="e">
        <f t="shared" si="4"/>
        <v>#DIV/0!</v>
      </c>
      <c r="Q109" s="79" t="e">
        <f t="shared" si="5"/>
        <v>#DIV/0!</v>
      </c>
      <c r="R109" s="81" t="e">
        <f t="shared" si="6"/>
        <v>#DIV/0!</v>
      </c>
      <c r="S109" s="98">
        <f t="shared" si="33"/>
        <v>0</v>
      </c>
      <c r="T109" s="83" t="e">
        <f t="shared" si="8"/>
        <v>#DIV/0!</v>
      </c>
      <c r="U109" s="84"/>
      <c r="V109" s="84"/>
      <c r="W109" s="84"/>
      <c r="X109" s="84"/>
      <c r="Y109" s="85"/>
      <c r="Z109" s="68"/>
      <c r="AA109" s="68"/>
    </row>
    <row r="110" spans="1:27" ht="12.75" hidden="1" outlineLevel="1" x14ac:dyDescent="0.2">
      <c r="A110" s="68"/>
      <c r="B110" s="86"/>
      <c r="C110" s="70" t="s">
        <v>40</v>
      </c>
      <c r="D110" s="99">
        <v>0</v>
      </c>
      <c r="E110" s="72"/>
      <c r="F110" s="73">
        <v>0</v>
      </c>
      <c r="G110" s="73">
        <v>0</v>
      </c>
      <c r="H110" s="74" t="e">
        <f t="shared" si="0"/>
        <v>#DIV/0!</v>
      </c>
      <c r="I110" s="75" t="e">
        <f t="shared" si="1"/>
        <v>#DIV/0!</v>
      </c>
      <c r="J110" s="76" t="e">
        <f t="shared" si="2"/>
        <v>#DIV/0!</v>
      </c>
      <c r="K110" s="99">
        <v>0</v>
      </c>
      <c r="L110" s="73">
        <v>0</v>
      </c>
      <c r="M110" s="73">
        <v>0</v>
      </c>
      <c r="N110" s="100">
        <v>0</v>
      </c>
      <c r="O110" s="79" t="e">
        <f t="shared" si="34"/>
        <v>#DIV/0!</v>
      </c>
      <c r="P110" s="80" t="e">
        <f t="shared" si="4"/>
        <v>#DIV/0!</v>
      </c>
      <c r="Q110" s="79" t="e">
        <f t="shared" si="5"/>
        <v>#DIV/0!</v>
      </c>
      <c r="R110" s="81" t="e">
        <f t="shared" si="6"/>
        <v>#DIV/0!</v>
      </c>
      <c r="S110" s="101">
        <f t="shared" si="33"/>
        <v>0</v>
      </c>
      <c r="T110" s="83" t="e">
        <f t="shared" si="8"/>
        <v>#DIV/0!</v>
      </c>
      <c r="U110" s="84"/>
      <c r="V110" s="84"/>
      <c r="W110" s="84"/>
      <c r="X110" s="84"/>
      <c r="Y110" s="85"/>
      <c r="Z110" s="68"/>
      <c r="AA110" s="68"/>
    </row>
    <row r="111" spans="1:27" ht="12.75" hidden="1" outlineLevel="1" x14ac:dyDescent="0.2">
      <c r="A111" s="68"/>
      <c r="B111" s="86"/>
      <c r="C111" s="70" t="s">
        <v>41</v>
      </c>
      <c r="D111" s="102">
        <v>1951.25</v>
      </c>
      <c r="E111" s="72"/>
      <c r="F111" s="73">
        <v>24</v>
      </c>
      <c r="G111" s="73">
        <v>23</v>
      </c>
      <c r="H111" s="74">
        <f t="shared" si="0"/>
        <v>1.0434782608695652</v>
      </c>
      <c r="I111" s="75">
        <f t="shared" si="1"/>
        <v>81.302083333333329</v>
      </c>
      <c r="J111" s="76">
        <f t="shared" si="2"/>
        <v>77.914496527777771</v>
      </c>
      <c r="K111" s="102">
        <v>375.28</v>
      </c>
      <c r="L111" s="73">
        <v>37748</v>
      </c>
      <c r="M111" s="73">
        <v>12</v>
      </c>
      <c r="N111" s="103">
        <v>680.64</v>
      </c>
      <c r="O111" s="79">
        <f t="shared" si="34"/>
        <v>0.55136342266102489</v>
      </c>
      <c r="P111" s="80">
        <f t="shared" si="4"/>
        <v>1.8136857812833085</v>
      </c>
      <c r="Q111" s="79">
        <f t="shared" si="5"/>
        <v>0.19232799487508007</v>
      </c>
      <c r="R111" s="81">
        <f t="shared" si="6"/>
        <v>0.34882254964766174</v>
      </c>
      <c r="S111" s="104">
        <f t="shared" si="33"/>
        <v>1270.6100000000001</v>
      </c>
      <c r="T111" s="83">
        <f t="shared" si="8"/>
        <v>31.27333333333333</v>
      </c>
      <c r="U111" s="84"/>
      <c r="V111" s="84"/>
      <c r="W111" s="84"/>
      <c r="X111" s="84"/>
      <c r="Y111" s="85"/>
      <c r="Z111" s="68"/>
      <c r="AA111" s="68"/>
    </row>
    <row r="112" spans="1:27" ht="12.75" hidden="1" outlineLevel="1" x14ac:dyDescent="0.2">
      <c r="A112" s="68"/>
      <c r="B112" s="86"/>
      <c r="C112" s="70" t="s">
        <v>42</v>
      </c>
      <c r="D112" s="90">
        <v>119.94</v>
      </c>
      <c r="E112" s="72"/>
      <c r="F112" s="73">
        <v>6</v>
      </c>
      <c r="G112" s="73">
        <v>6</v>
      </c>
      <c r="H112" s="74">
        <f t="shared" si="0"/>
        <v>1</v>
      </c>
      <c r="I112" s="75">
        <f t="shared" si="1"/>
        <v>19.989999999999998</v>
      </c>
      <c r="J112" s="76">
        <f t="shared" si="2"/>
        <v>19.989999999999998</v>
      </c>
      <c r="K112" s="90">
        <v>323.8</v>
      </c>
      <c r="L112" s="73">
        <v>62858</v>
      </c>
      <c r="M112" s="73">
        <v>3</v>
      </c>
      <c r="N112" s="91">
        <v>59.97</v>
      </c>
      <c r="O112" s="79">
        <f t="shared" si="34"/>
        <v>5.3993663498415874</v>
      </c>
      <c r="P112" s="80">
        <f t="shared" si="4"/>
        <v>0.18520691785052501</v>
      </c>
      <c r="Q112" s="79">
        <f t="shared" si="5"/>
        <v>2.6996831749207937</v>
      </c>
      <c r="R112" s="81">
        <f t="shared" si="6"/>
        <v>0.5</v>
      </c>
      <c r="S112" s="92">
        <f t="shared" si="33"/>
        <v>59.97</v>
      </c>
      <c r="T112" s="83">
        <f t="shared" si="8"/>
        <v>107.93333333333334</v>
      </c>
      <c r="U112" s="84"/>
      <c r="V112" s="84"/>
      <c r="W112" s="84"/>
      <c r="X112" s="84"/>
      <c r="Y112" s="85"/>
      <c r="Z112" s="68"/>
      <c r="AA112" s="68"/>
    </row>
    <row r="113" spans="1:27" ht="12.75" hidden="1" outlineLevel="1" x14ac:dyDescent="0.2">
      <c r="A113" s="68"/>
      <c r="B113" s="86"/>
      <c r="C113" s="70" t="s">
        <v>43</v>
      </c>
      <c r="D113" s="105">
        <v>1325.54</v>
      </c>
      <c r="E113" s="72"/>
      <c r="F113" s="73">
        <v>11</v>
      </c>
      <c r="G113" s="73">
        <v>11</v>
      </c>
      <c r="H113" s="74">
        <f t="shared" si="0"/>
        <v>1</v>
      </c>
      <c r="I113" s="75">
        <f t="shared" si="1"/>
        <v>120.50363636363636</v>
      </c>
      <c r="J113" s="76">
        <f t="shared" si="2"/>
        <v>120.50363636363636</v>
      </c>
      <c r="K113" s="105">
        <v>56.8</v>
      </c>
      <c r="L113" s="73">
        <v>7269</v>
      </c>
      <c r="M113" s="73">
        <v>2</v>
      </c>
      <c r="N113" s="106">
        <v>205.95</v>
      </c>
      <c r="O113" s="79">
        <f t="shared" si="34"/>
        <v>0.27579509589706241</v>
      </c>
      <c r="P113" s="80">
        <f t="shared" si="4"/>
        <v>3.625880281690141</v>
      </c>
      <c r="Q113" s="79">
        <f t="shared" si="5"/>
        <v>4.285046094421896E-2</v>
      </c>
      <c r="R113" s="81">
        <f t="shared" si="6"/>
        <v>0.15537064139897702</v>
      </c>
      <c r="S113" s="107">
        <f t="shared" si="33"/>
        <v>1119.5899999999999</v>
      </c>
      <c r="T113" s="83">
        <f t="shared" si="8"/>
        <v>28.4</v>
      </c>
      <c r="U113" s="84"/>
      <c r="V113" s="84"/>
      <c r="W113" s="84"/>
      <c r="X113" s="84"/>
      <c r="Y113" s="85"/>
      <c r="Z113" s="68"/>
      <c r="AA113" s="68"/>
    </row>
    <row r="114" spans="1:27" ht="12.75" hidden="1" outlineLevel="1" x14ac:dyDescent="0.2">
      <c r="A114" s="68"/>
      <c r="B114" s="86"/>
      <c r="C114" s="70" t="s">
        <v>44</v>
      </c>
      <c r="D114" s="108">
        <v>479.6</v>
      </c>
      <c r="E114" s="72"/>
      <c r="F114" s="73">
        <v>8</v>
      </c>
      <c r="G114" s="73">
        <v>7</v>
      </c>
      <c r="H114" s="74">
        <f t="shared" si="0"/>
        <v>1.1428571428571428</v>
      </c>
      <c r="I114" s="75">
        <f t="shared" si="1"/>
        <v>59.95</v>
      </c>
      <c r="J114" s="76">
        <f t="shared" si="2"/>
        <v>52.456250000000004</v>
      </c>
      <c r="K114" s="108">
        <v>87.5</v>
      </c>
      <c r="L114" s="73">
        <v>43140</v>
      </c>
      <c r="M114" s="73">
        <v>3</v>
      </c>
      <c r="N114" s="109">
        <v>179.85</v>
      </c>
      <c r="O114" s="79">
        <f t="shared" si="34"/>
        <v>0.48651654156241314</v>
      </c>
      <c r="P114" s="80">
        <f t="shared" si="4"/>
        <v>2.0554285714285712</v>
      </c>
      <c r="Q114" s="79">
        <f t="shared" si="5"/>
        <v>0.18244370308590491</v>
      </c>
      <c r="R114" s="81">
        <f t="shared" si="6"/>
        <v>0.37499999999999994</v>
      </c>
      <c r="S114" s="110">
        <f t="shared" si="33"/>
        <v>299.75</v>
      </c>
      <c r="T114" s="83">
        <f t="shared" si="8"/>
        <v>29.166666666666668</v>
      </c>
      <c r="U114" s="84"/>
      <c r="V114" s="84"/>
      <c r="W114" s="84"/>
      <c r="X114" s="84"/>
      <c r="Y114" s="85"/>
      <c r="Z114" s="68"/>
      <c r="AA114" s="68"/>
    </row>
    <row r="115" spans="1:27" ht="12.75" hidden="1" outlineLevel="1" x14ac:dyDescent="0.2">
      <c r="A115" s="111"/>
      <c r="B115" s="86"/>
      <c r="C115" s="112" t="s">
        <v>45</v>
      </c>
      <c r="D115" s="71">
        <v>0</v>
      </c>
      <c r="E115" s="72"/>
      <c r="F115" s="73">
        <v>0</v>
      </c>
      <c r="G115" s="73">
        <v>0</v>
      </c>
      <c r="H115" s="74" t="e">
        <f t="shared" si="0"/>
        <v>#DIV/0!</v>
      </c>
      <c r="I115" s="75" t="e">
        <f t="shared" si="1"/>
        <v>#DIV/0!</v>
      </c>
      <c r="J115" s="76" t="e">
        <f t="shared" si="2"/>
        <v>#DIV/0!</v>
      </c>
      <c r="K115" s="71">
        <v>0</v>
      </c>
      <c r="L115" s="73">
        <v>0</v>
      </c>
      <c r="M115" s="73">
        <v>0</v>
      </c>
      <c r="N115" s="78">
        <v>0</v>
      </c>
      <c r="O115" s="79" t="e">
        <f t="shared" si="34"/>
        <v>#DIV/0!</v>
      </c>
      <c r="P115" s="80" t="e">
        <f t="shared" si="4"/>
        <v>#DIV/0!</v>
      </c>
      <c r="Q115" s="79" t="e">
        <f t="shared" si="5"/>
        <v>#DIV/0!</v>
      </c>
      <c r="R115" s="81" t="e">
        <f t="shared" si="6"/>
        <v>#DIV/0!</v>
      </c>
      <c r="S115" s="82">
        <f t="shared" si="33"/>
        <v>0</v>
      </c>
      <c r="T115" s="83" t="e">
        <f t="shared" si="8"/>
        <v>#DIV/0!</v>
      </c>
      <c r="U115" s="113"/>
      <c r="V115" s="113"/>
      <c r="W115" s="113"/>
      <c r="X115" s="114"/>
      <c r="Y115" s="115"/>
      <c r="Z115" s="68"/>
      <c r="AA115" s="68"/>
    </row>
    <row r="116" spans="1:27" ht="12.75" hidden="1" outlineLevel="1" x14ac:dyDescent="0.2">
      <c r="A116" s="68"/>
      <c r="B116" s="86"/>
      <c r="C116" s="70" t="s">
        <v>46</v>
      </c>
      <c r="D116" s="116">
        <v>1222.5999999999999</v>
      </c>
      <c r="E116" s="72"/>
      <c r="F116" s="73">
        <v>28</v>
      </c>
      <c r="G116" s="73">
        <v>29</v>
      </c>
      <c r="H116" s="74">
        <f t="shared" si="0"/>
        <v>0.96551724137931039</v>
      </c>
      <c r="I116" s="75">
        <f t="shared" si="1"/>
        <v>43.664285714285711</v>
      </c>
      <c r="J116" s="76">
        <f t="shared" si="2"/>
        <v>45.223724489795913</v>
      </c>
      <c r="K116" s="116">
        <v>178.14</v>
      </c>
      <c r="L116" s="73">
        <v>39564</v>
      </c>
      <c r="M116" s="73">
        <v>8</v>
      </c>
      <c r="N116" s="117">
        <v>304.64999999999998</v>
      </c>
      <c r="O116" s="79">
        <f t="shared" si="34"/>
        <v>0.58473658296405706</v>
      </c>
      <c r="P116" s="80">
        <f t="shared" si="4"/>
        <v>1.7101717750084204</v>
      </c>
      <c r="Q116" s="79">
        <f t="shared" si="5"/>
        <v>0.14570587273024702</v>
      </c>
      <c r="R116" s="81">
        <f t="shared" si="6"/>
        <v>0.24918207099623751</v>
      </c>
      <c r="S116" s="82">
        <f t="shared" si="33"/>
        <v>917.94999999999993</v>
      </c>
      <c r="T116" s="83">
        <f t="shared" si="8"/>
        <v>22.267499999999998</v>
      </c>
      <c r="U116" s="84"/>
      <c r="V116" s="84"/>
      <c r="W116" s="84"/>
      <c r="X116" s="84"/>
      <c r="Y116" s="85"/>
      <c r="Z116" s="68"/>
      <c r="AA116" s="68"/>
    </row>
    <row r="117" spans="1:27" ht="12.75" hidden="1" outlineLevel="1" x14ac:dyDescent="0.2">
      <c r="A117" s="68"/>
      <c r="B117" s="86"/>
      <c r="C117" s="70" t="s">
        <v>47</v>
      </c>
      <c r="D117" s="87">
        <v>119.4</v>
      </c>
      <c r="E117" s="72"/>
      <c r="F117" s="73">
        <v>4</v>
      </c>
      <c r="G117" s="73">
        <v>2</v>
      </c>
      <c r="H117" s="74">
        <f t="shared" si="0"/>
        <v>2</v>
      </c>
      <c r="I117" s="75">
        <f t="shared" si="1"/>
        <v>29.85</v>
      </c>
      <c r="J117" s="76">
        <f t="shared" si="2"/>
        <v>14.925000000000001</v>
      </c>
      <c r="K117" s="87">
        <v>0</v>
      </c>
      <c r="L117" s="73">
        <v>0</v>
      </c>
      <c r="M117" s="73">
        <v>0</v>
      </c>
      <c r="N117" s="88">
        <v>0</v>
      </c>
      <c r="O117" s="79" t="e">
        <f t="shared" si="34"/>
        <v>#DIV/0!</v>
      </c>
      <c r="P117" s="80" t="e">
        <f t="shared" si="4"/>
        <v>#DIV/0!</v>
      </c>
      <c r="Q117" s="79">
        <f t="shared" si="5"/>
        <v>0</v>
      </c>
      <c r="R117" s="81">
        <f t="shared" si="6"/>
        <v>0</v>
      </c>
      <c r="S117" s="82">
        <f t="shared" si="33"/>
        <v>119.4</v>
      </c>
      <c r="T117" s="83" t="e">
        <f t="shared" si="8"/>
        <v>#DIV/0!</v>
      </c>
      <c r="U117" s="84"/>
      <c r="V117" s="84"/>
      <c r="W117" s="84"/>
      <c r="X117" s="84"/>
      <c r="Y117" s="85"/>
      <c r="Z117" s="68"/>
      <c r="AA117" s="68"/>
    </row>
    <row r="118" spans="1:27" ht="12.75" hidden="1" outlineLevel="1" x14ac:dyDescent="0.2">
      <c r="A118" s="68"/>
      <c r="B118" s="86"/>
      <c r="C118" s="70" t="s">
        <v>48</v>
      </c>
      <c r="D118" s="102">
        <v>2099.5</v>
      </c>
      <c r="E118" s="72"/>
      <c r="F118" s="73">
        <v>10</v>
      </c>
      <c r="G118" s="73">
        <v>12</v>
      </c>
      <c r="H118" s="74">
        <f t="shared" si="0"/>
        <v>0.83333333333333337</v>
      </c>
      <c r="I118" s="75">
        <f t="shared" si="1"/>
        <v>209.95</v>
      </c>
      <c r="J118" s="76">
        <f t="shared" si="2"/>
        <v>251.93999999999997</v>
      </c>
      <c r="K118" s="102">
        <v>488.02</v>
      </c>
      <c r="L118" s="73">
        <v>41395</v>
      </c>
      <c r="M118" s="73">
        <v>8</v>
      </c>
      <c r="N118" s="103">
        <v>1179.7</v>
      </c>
      <c r="O118" s="79">
        <f t="shared" si="34"/>
        <v>0.4136814444350258</v>
      </c>
      <c r="P118" s="80">
        <f t="shared" si="4"/>
        <v>2.4173189623376095</v>
      </c>
      <c r="Q118" s="79">
        <f t="shared" si="5"/>
        <v>0.23244582043343653</v>
      </c>
      <c r="R118" s="81">
        <f t="shared" si="6"/>
        <v>0.56189568944986901</v>
      </c>
      <c r="S118" s="82">
        <f t="shared" si="33"/>
        <v>919.8</v>
      </c>
      <c r="T118" s="83">
        <f t="shared" si="8"/>
        <v>61.002499999999998</v>
      </c>
      <c r="U118" s="84"/>
      <c r="V118" s="84"/>
      <c r="W118" s="84"/>
      <c r="X118" s="84"/>
      <c r="Y118" s="85"/>
      <c r="Z118" s="68"/>
      <c r="AA118" s="68"/>
    </row>
    <row r="119" spans="1:27" ht="12.75" hidden="1" outlineLevel="1" x14ac:dyDescent="0.2">
      <c r="A119" s="118" t="str">
        <f t="shared" ref="A119:A120" si="35">IFERROR(IF(B119&gt;0,MONTH(B119)&amp;"-"&amp;YEAR(B119),B119),)</f>
        <v>1-2026</v>
      </c>
      <c r="B119" s="69">
        <v>46053</v>
      </c>
      <c r="C119" s="70" t="s">
        <v>49</v>
      </c>
      <c r="D119" s="116">
        <v>30</v>
      </c>
      <c r="E119" s="72"/>
      <c r="F119" s="73">
        <v>1</v>
      </c>
      <c r="G119" s="73">
        <v>1</v>
      </c>
      <c r="H119" s="74">
        <f t="shared" si="0"/>
        <v>1</v>
      </c>
      <c r="I119" s="75">
        <f t="shared" si="1"/>
        <v>30</v>
      </c>
      <c r="J119" s="76">
        <f t="shared" si="2"/>
        <v>30</v>
      </c>
      <c r="K119" s="116">
        <v>7</v>
      </c>
      <c r="L119" s="73">
        <v>7982</v>
      </c>
      <c r="M119" s="73">
        <v>1</v>
      </c>
      <c r="N119" s="117">
        <v>30</v>
      </c>
      <c r="O119" s="79">
        <f t="shared" si="34"/>
        <v>0.23333333333333334</v>
      </c>
      <c r="P119" s="80">
        <f t="shared" si="4"/>
        <v>4.2857142857142856</v>
      </c>
      <c r="Q119" s="79">
        <f t="shared" si="5"/>
        <v>0.23333333333333334</v>
      </c>
      <c r="R119" s="81">
        <f t="shared" si="6"/>
        <v>1</v>
      </c>
      <c r="S119" s="82">
        <f t="shared" si="33"/>
        <v>0</v>
      </c>
      <c r="T119" s="83">
        <f t="shared" si="8"/>
        <v>7</v>
      </c>
      <c r="U119" s="84"/>
      <c r="V119" s="84"/>
      <c r="W119" s="84"/>
      <c r="X119" s="84"/>
      <c r="Y119" s="85"/>
      <c r="Z119" s="68"/>
      <c r="AA119" s="68"/>
    </row>
    <row r="120" spans="1:27" ht="12.75" collapsed="1" x14ac:dyDescent="0.2">
      <c r="A120" s="68">
        <f t="shared" si="35"/>
        <v>0</v>
      </c>
      <c r="B120" s="119" t="s">
        <v>55</v>
      </c>
      <c r="C120" s="120"/>
      <c r="D120" s="121">
        <f>SUM(D103:D119)</f>
        <v>18913.370000000003</v>
      </c>
      <c r="E120" s="122"/>
      <c r="F120" s="123">
        <f t="shared" ref="F120:G120" si="36">SUM(F103:F119)</f>
        <v>235</v>
      </c>
      <c r="G120" s="123">
        <f t="shared" si="36"/>
        <v>251</v>
      </c>
      <c r="H120" s="124">
        <f t="shared" si="0"/>
        <v>0.93625498007968122</v>
      </c>
      <c r="I120" s="125">
        <f t="shared" si="1"/>
        <v>80.482425531914899</v>
      </c>
      <c r="J120" s="126">
        <f t="shared" si="2"/>
        <v>85.962080036215497</v>
      </c>
      <c r="K120" s="121">
        <f t="shared" ref="K120:N120" si="37">SUM(K103:K119)</f>
        <v>3242.8300000000004</v>
      </c>
      <c r="L120" s="123">
        <f t="shared" si="37"/>
        <v>642096</v>
      </c>
      <c r="M120" s="123">
        <f t="shared" si="37"/>
        <v>74</v>
      </c>
      <c r="N120" s="127">
        <f t="shared" si="37"/>
        <v>6932.65</v>
      </c>
      <c r="O120" s="128">
        <f t="shared" si="34"/>
        <v>0.46776196692462485</v>
      </c>
      <c r="P120" s="129">
        <f t="shared" si="4"/>
        <v>2.1378394797137066</v>
      </c>
      <c r="Q120" s="128">
        <f t="shared" si="5"/>
        <v>0.17145701691448959</v>
      </c>
      <c r="R120" s="130">
        <f t="shared" si="6"/>
        <v>0.36654757983373659</v>
      </c>
      <c r="S120" s="131">
        <f>SUM(S103:S119)</f>
        <v>11980.72</v>
      </c>
      <c r="T120" s="132">
        <f t="shared" si="8"/>
        <v>43.822027027027033</v>
      </c>
      <c r="U120" s="134">
        <f>IFERROR((D120-#REF!)/D120,)</f>
        <v>0</v>
      </c>
      <c r="V120" s="134">
        <f>IFERROR((F120-#REF!)/F120,)</f>
        <v>0</v>
      </c>
      <c r="W120" s="134">
        <f>IFERROR((D120-#REF!)/D120, )</f>
        <v>0</v>
      </c>
      <c r="X120" s="134">
        <f>IFERROR((F120-#REF!)/F120, )</f>
        <v>0</v>
      </c>
      <c r="Y120" s="68"/>
      <c r="Z120" s="68"/>
      <c r="AA120" s="68"/>
    </row>
    <row r="121" spans="1:27" ht="12.75" hidden="1" outlineLevel="1" x14ac:dyDescent="0.2">
      <c r="A121" s="68"/>
      <c r="B121" s="69">
        <v>46054</v>
      </c>
      <c r="C121" s="70" t="s">
        <v>32</v>
      </c>
      <c r="D121" s="71">
        <v>2163.12</v>
      </c>
      <c r="E121" s="72"/>
      <c r="F121" s="73">
        <v>22</v>
      </c>
      <c r="G121" s="73">
        <v>27</v>
      </c>
      <c r="H121" s="74">
        <f t="shared" si="0"/>
        <v>0.81481481481481477</v>
      </c>
      <c r="I121" s="75">
        <f t="shared" si="1"/>
        <v>98.323636363636354</v>
      </c>
      <c r="J121" s="76">
        <f t="shared" si="2"/>
        <v>120.66991735537189</v>
      </c>
      <c r="K121" s="77">
        <v>485.61</v>
      </c>
      <c r="L121" s="73">
        <v>108973</v>
      </c>
      <c r="M121" s="73">
        <v>7</v>
      </c>
      <c r="N121" s="78">
        <v>2102.89</v>
      </c>
      <c r="O121" s="79">
        <f t="shared" si="34"/>
        <v>0.2309250602741941</v>
      </c>
      <c r="P121" s="80">
        <f t="shared" si="4"/>
        <v>4.330409176087807</v>
      </c>
      <c r="Q121" s="79">
        <f t="shared" si="5"/>
        <v>0.22449517363807836</v>
      </c>
      <c r="R121" s="81">
        <f t="shared" si="6"/>
        <v>0.97215595990976</v>
      </c>
      <c r="S121" s="82">
        <f t="shared" ref="S121:S137" si="38">D121-N121</f>
        <v>60.230000000000018</v>
      </c>
      <c r="T121" s="83">
        <f t="shared" si="8"/>
        <v>69.372857142857143</v>
      </c>
      <c r="U121" s="84"/>
      <c r="V121" s="84"/>
      <c r="W121" s="84"/>
      <c r="X121" s="84"/>
      <c r="Y121" s="85"/>
      <c r="Z121" s="68"/>
      <c r="AA121" s="68"/>
    </row>
    <row r="122" spans="1:27" ht="12.75" hidden="1" outlineLevel="1" x14ac:dyDescent="0.2">
      <c r="A122" s="68"/>
      <c r="B122" s="86"/>
      <c r="C122" s="70" t="s">
        <v>33</v>
      </c>
      <c r="D122" s="87">
        <v>5763.41</v>
      </c>
      <c r="E122" s="72"/>
      <c r="F122" s="73">
        <v>91</v>
      </c>
      <c r="G122" s="73">
        <v>100</v>
      </c>
      <c r="H122" s="74">
        <f t="shared" si="0"/>
        <v>0.91</v>
      </c>
      <c r="I122" s="75">
        <f t="shared" si="1"/>
        <v>63.334175824175823</v>
      </c>
      <c r="J122" s="76">
        <f t="shared" si="2"/>
        <v>69.597995411182225</v>
      </c>
      <c r="K122" s="87">
        <v>631.74</v>
      </c>
      <c r="L122" s="73">
        <v>142084</v>
      </c>
      <c r="M122" s="73">
        <v>23</v>
      </c>
      <c r="N122" s="88">
        <v>2126.5</v>
      </c>
      <c r="O122" s="79">
        <f t="shared" si="34"/>
        <v>0.29707970844110038</v>
      </c>
      <c r="P122" s="80">
        <f t="shared" si="4"/>
        <v>3.3660999778389842</v>
      </c>
      <c r="Q122" s="79">
        <f t="shared" si="5"/>
        <v>0.10961219139363676</v>
      </c>
      <c r="R122" s="81">
        <f t="shared" si="6"/>
        <v>0.36896559502100318</v>
      </c>
      <c r="S122" s="89">
        <f t="shared" si="38"/>
        <v>3636.91</v>
      </c>
      <c r="T122" s="83">
        <f t="shared" si="8"/>
        <v>27.466956521739132</v>
      </c>
      <c r="U122" s="84"/>
      <c r="V122" s="84"/>
      <c r="W122" s="84"/>
      <c r="X122" s="84"/>
      <c r="Y122" s="85"/>
      <c r="Z122" s="68"/>
      <c r="AA122" s="68"/>
    </row>
    <row r="123" spans="1:27" ht="12.75" hidden="1" outlineLevel="1" x14ac:dyDescent="0.2">
      <c r="A123" s="68"/>
      <c r="B123" s="86"/>
      <c r="C123" s="70" t="s">
        <v>34</v>
      </c>
      <c r="D123" s="90">
        <v>0</v>
      </c>
      <c r="E123" s="72"/>
      <c r="F123" s="73">
        <v>0</v>
      </c>
      <c r="G123" s="73">
        <v>0</v>
      </c>
      <c r="H123" s="74" t="e">
        <f t="shared" si="0"/>
        <v>#DIV/0!</v>
      </c>
      <c r="I123" s="75" t="e">
        <f t="shared" si="1"/>
        <v>#DIV/0!</v>
      </c>
      <c r="J123" s="76" t="e">
        <f t="shared" si="2"/>
        <v>#DIV/0!</v>
      </c>
      <c r="K123" s="90">
        <v>11.7</v>
      </c>
      <c r="L123" s="73">
        <v>287</v>
      </c>
      <c r="M123" s="73">
        <v>0</v>
      </c>
      <c r="N123" s="91">
        <v>0</v>
      </c>
      <c r="O123" s="79" t="e">
        <f>(K123/N123)</f>
        <v>#DIV/0!</v>
      </c>
      <c r="P123" s="80">
        <f t="shared" si="4"/>
        <v>0</v>
      </c>
      <c r="Q123" s="79" t="e">
        <f t="shared" si="5"/>
        <v>#DIV/0!</v>
      </c>
      <c r="R123" s="81" t="e">
        <f t="shared" si="6"/>
        <v>#DIV/0!</v>
      </c>
      <c r="S123" s="92">
        <f t="shared" si="38"/>
        <v>0</v>
      </c>
      <c r="T123" s="83" t="e">
        <f t="shared" si="8"/>
        <v>#DIV/0!</v>
      </c>
      <c r="U123" s="84"/>
      <c r="V123" s="84"/>
      <c r="W123" s="84"/>
      <c r="X123" s="84"/>
      <c r="Y123" s="85"/>
      <c r="Z123" s="68"/>
      <c r="AA123" s="68"/>
    </row>
    <row r="124" spans="1:27" ht="12.75" hidden="1" outlineLevel="1" x14ac:dyDescent="0.2">
      <c r="A124" s="68"/>
      <c r="B124" s="86"/>
      <c r="C124" s="70" t="s">
        <v>35</v>
      </c>
      <c r="D124" s="90">
        <v>1133.06</v>
      </c>
      <c r="E124" s="72"/>
      <c r="F124" s="73">
        <v>19</v>
      </c>
      <c r="G124" s="73">
        <v>16</v>
      </c>
      <c r="H124" s="74">
        <f t="shared" si="0"/>
        <v>1.1875</v>
      </c>
      <c r="I124" s="75">
        <f t="shared" si="1"/>
        <v>59.634736842105262</v>
      </c>
      <c r="J124" s="76">
        <f t="shared" si="2"/>
        <v>50.218725761772852</v>
      </c>
      <c r="K124" s="90">
        <v>365.77</v>
      </c>
      <c r="L124" s="73">
        <v>24887</v>
      </c>
      <c r="M124" s="73">
        <v>6</v>
      </c>
      <c r="N124" s="91">
        <v>359.7</v>
      </c>
      <c r="O124" s="79">
        <f t="shared" ref="O124:O140" si="39">K124/N124</f>
        <v>1.0168751737559076</v>
      </c>
      <c r="P124" s="80">
        <f t="shared" si="4"/>
        <v>0.98340487191404435</v>
      </c>
      <c r="Q124" s="79">
        <f t="shared" si="5"/>
        <v>0.32281609093957953</v>
      </c>
      <c r="R124" s="81">
        <f t="shared" si="6"/>
        <v>0.31745891656222974</v>
      </c>
      <c r="S124" s="92">
        <f t="shared" si="38"/>
        <v>773.3599999999999</v>
      </c>
      <c r="T124" s="83">
        <f t="shared" si="8"/>
        <v>60.961666666666666</v>
      </c>
      <c r="U124" s="84"/>
      <c r="V124" s="84"/>
      <c r="W124" s="84"/>
      <c r="X124" s="84"/>
      <c r="Y124" s="85"/>
      <c r="Z124" s="68"/>
      <c r="AA124" s="68"/>
    </row>
    <row r="125" spans="1:27" ht="12.75" hidden="1" outlineLevel="1" x14ac:dyDescent="0.2">
      <c r="A125" s="68"/>
      <c r="B125" s="86"/>
      <c r="C125" s="70" t="s">
        <v>36</v>
      </c>
      <c r="D125" s="90">
        <v>699.45</v>
      </c>
      <c r="E125" s="72"/>
      <c r="F125" s="73">
        <v>11</v>
      </c>
      <c r="G125" s="73">
        <v>11</v>
      </c>
      <c r="H125" s="74">
        <f t="shared" si="0"/>
        <v>1</v>
      </c>
      <c r="I125" s="75">
        <f t="shared" si="1"/>
        <v>63.586363636363643</v>
      </c>
      <c r="J125" s="76">
        <f t="shared" si="2"/>
        <v>63.586363636363643</v>
      </c>
      <c r="K125" s="90">
        <v>44.33</v>
      </c>
      <c r="L125" s="73">
        <v>13257</v>
      </c>
      <c r="M125" s="73">
        <v>4</v>
      </c>
      <c r="N125" s="91">
        <v>259.8</v>
      </c>
      <c r="O125" s="79">
        <f t="shared" si="39"/>
        <v>0.17063125481139338</v>
      </c>
      <c r="P125" s="80">
        <f t="shared" si="4"/>
        <v>5.8605910218813451</v>
      </c>
      <c r="Q125" s="79">
        <f t="shared" si="5"/>
        <v>6.3378368718278635E-2</v>
      </c>
      <c r="R125" s="81">
        <f t="shared" si="6"/>
        <v>0.37143469869182927</v>
      </c>
      <c r="S125" s="92">
        <f t="shared" si="38"/>
        <v>439.65000000000003</v>
      </c>
      <c r="T125" s="83">
        <f t="shared" si="8"/>
        <v>11.0825</v>
      </c>
      <c r="U125" s="84"/>
      <c r="V125" s="84"/>
      <c r="W125" s="84"/>
      <c r="X125" s="84"/>
      <c r="Y125" s="85"/>
      <c r="Z125" s="68"/>
      <c r="AA125" s="68"/>
    </row>
    <row r="126" spans="1:27" ht="12.75" hidden="1" outlineLevel="1" x14ac:dyDescent="0.2">
      <c r="A126" s="68"/>
      <c r="B126" s="69" t="s">
        <v>37</v>
      </c>
      <c r="C126" s="70" t="s">
        <v>38</v>
      </c>
      <c r="D126" s="93">
        <v>80.94</v>
      </c>
      <c r="E126" s="72"/>
      <c r="F126" s="73">
        <v>2</v>
      </c>
      <c r="G126" s="73">
        <v>2</v>
      </c>
      <c r="H126" s="74">
        <f t="shared" si="0"/>
        <v>1</v>
      </c>
      <c r="I126" s="75">
        <f t="shared" si="1"/>
        <v>40.47</v>
      </c>
      <c r="J126" s="76">
        <f t="shared" si="2"/>
        <v>40.47</v>
      </c>
      <c r="K126" s="93">
        <v>29.97</v>
      </c>
      <c r="L126" s="73">
        <v>196982</v>
      </c>
      <c r="M126" s="73">
        <v>2</v>
      </c>
      <c r="N126" s="94">
        <v>80.94</v>
      </c>
      <c r="O126" s="79">
        <f t="shared" si="39"/>
        <v>0.37027427724240175</v>
      </c>
      <c r="P126" s="80">
        <f t="shared" si="4"/>
        <v>2.7007007007007009</v>
      </c>
      <c r="Q126" s="79">
        <f t="shared" si="5"/>
        <v>0.37027427724240175</v>
      </c>
      <c r="R126" s="81">
        <f t="shared" si="6"/>
        <v>1</v>
      </c>
      <c r="S126" s="95">
        <f t="shared" si="38"/>
        <v>0</v>
      </c>
      <c r="T126" s="83">
        <f t="shared" si="8"/>
        <v>14.984999999999999</v>
      </c>
      <c r="U126" s="84"/>
      <c r="V126" s="84"/>
      <c r="W126" s="84"/>
      <c r="X126" s="84"/>
      <c r="Y126" s="85"/>
      <c r="Z126" s="68"/>
      <c r="AA126" s="68"/>
    </row>
    <row r="127" spans="1:27" ht="12.75" hidden="1" outlineLevel="1" x14ac:dyDescent="0.2">
      <c r="A127" s="68"/>
      <c r="B127" s="86"/>
      <c r="C127" s="70" t="s">
        <v>39</v>
      </c>
      <c r="D127" s="96">
        <v>0</v>
      </c>
      <c r="E127" s="72"/>
      <c r="F127" s="73">
        <v>0</v>
      </c>
      <c r="G127" s="73">
        <v>0</v>
      </c>
      <c r="H127" s="74" t="e">
        <f t="shared" si="0"/>
        <v>#DIV/0!</v>
      </c>
      <c r="I127" s="75" t="e">
        <f t="shared" si="1"/>
        <v>#DIV/0!</v>
      </c>
      <c r="J127" s="76" t="e">
        <f t="shared" si="2"/>
        <v>#DIV/0!</v>
      </c>
      <c r="K127" s="96">
        <v>0</v>
      </c>
      <c r="L127" s="73">
        <v>0</v>
      </c>
      <c r="M127" s="73">
        <v>0</v>
      </c>
      <c r="N127" s="97">
        <v>0</v>
      </c>
      <c r="O127" s="79" t="e">
        <f t="shared" si="39"/>
        <v>#DIV/0!</v>
      </c>
      <c r="P127" s="80" t="e">
        <f t="shared" si="4"/>
        <v>#DIV/0!</v>
      </c>
      <c r="Q127" s="79" t="e">
        <f t="shared" si="5"/>
        <v>#DIV/0!</v>
      </c>
      <c r="R127" s="81" t="e">
        <f t="shared" si="6"/>
        <v>#DIV/0!</v>
      </c>
      <c r="S127" s="98">
        <f t="shared" si="38"/>
        <v>0</v>
      </c>
      <c r="T127" s="83" t="e">
        <f t="shared" si="8"/>
        <v>#DIV/0!</v>
      </c>
      <c r="U127" s="84"/>
      <c r="V127" s="84"/>
      <c r="W127" s="84"/>
      <c r="X127" s="84"/>
      <c r="Y127" s="85"/>
      <c r="Z127" s="68"/>
      <c r="AA127" s="68"/>
    </row>
    <row r="128" spans="1:27" ht="12.75" hidden="1" outlineLevel="1" x14ac:dyDescent="0.2">
      <c r="A128" s="68"/>
      <c r="B128" s="86"/>
      <c r="C128" s="70" t="s">
        <v>40</v>
      </c>
      <c r="D128" s="99">
        <v>0</v>
      </c>
      <c r="E128" s="72"/>
      <c r="F128" s="73">
        <v>0</v>
      </c>
      <c r="G128" s="73">
        <v>0</v>
      </c>
      <c r="H128" s="74" t="e">
        <f t="shared" si="0"/>
        <v>#DIV/0!</v>
      </c>
      <c r="I128" s="75" t="e">
        <f t="shared" si="1"/>
        <v>#DIV/0!</v>
      </c>
      <c r="J128" s="76" t="e">
        <f t="shared" si="2"/>
        <v>#DIV/0!</v>
      </c>
      <c r="K128" s="99">
        <v>0</v>
      </c>
      <c r="L128" s="73">
        <v>0</v>
      </c>
      <c r="M128" s="73">
        <v>0</v>
      </c>
      <c r="N128" s="100">
        <v>0</v>
      </c>
      <c r="O128" s="79" t="e">
        <f t="shared" si="39"/>
        <v>#DIV/0!</v>
      </c>
      <c r="P128" s="80" t="e">
        <f t="shared" si="4"/>
        <v>#DIV/0!</v>
      </c>
      <c r="Q128" s="79" t="e">
        <f t="shared" si="5"/>
        <v>#DIV/0!</v>
      </c>
      <c r="R128" s="81" t="e">
        <f t="shared" si="6"/>
        <v>#DIV/0!</v>
      </c>
      <c r="S128" s="101">
        <f t="shared" si="38"/>
        <v>0</v>
      </c>
      <c r="T128" s="83" t="e">
        <f t="shared" si="8"/>
        <v>#DIV/0!</v>
      </c>
      <c r="U128" s="84"/>
      <c r="V128" s="84"/>
      <c r="W128" s="84"/>
      <c r="X128" s="84"/>
      <c r="Y128" s="85"/>
      <c r="Z128" s="68"/>
      <c r="AA128" s="68"/>
    </row>
    <row r="129" spans="1:27" ht="12.75" hidden="1" outlineLevel="1" x14ac:dyDescent="0.2">
      <c r="A129" s="68"/>
      <c r="B129" s="86"/>
      <c r="C129" s="70" t="s">
        <v>41</v>
      </c>
      <c r="D129" s="102">
        <v>2788.32</v>
      </c>
      <c r="E129" s="72"/>
      <c r="F129" s="73">
        <v>41</v>
      </c>
      <c r="G129" s="73">
        <v>40</v>
      </c>
      <c r="H129" s="74">
        <f t="shared" si="0"/>
        <v>1.0249999999999999</v>
      </c>
      <c r="I129" s="75">
        <f t="shared" si="1"/>
        <v>68.007804878048788</v>
      </c>
      <c r="J129" s="76">
        <f t="shared" si="2"/>
        <v>66.349077929803698</v>
      </c>
      <c r="K129" s="102">
        <v>556.11</v>
      </c>
      <c r="L129" s="73">
        <v>47970</v>
      </c>
      <c r="M129" s="73">
        <v>14</v>
      </c>
      <c r="N129" s="103">
        <v>875.87</v>
      </c>
      <c r="O129" s="79">
        <f t="shared" si="39"/>
        <v>0.63492299085480719</v>
      </c>
      <c r="P129" s="80">
        <f t="shared" si="4"/>
        <v>1.5749941558324791</v>
      </c>
      <c r="Q129" s="79">
        <f t="shared" si="5"/>
        <v>0.19944267515923567</v>
      </c>
      <c r="R129" s="81">
        <f t="shared" si="6"/>
        <v>0.31412104779939171</v>
      </c>
      <c r="S129" s="104">
        <f t="shared" si="38"/>
        <v>1912.4500000000003</v>
      </c>
      <c r="T129" s="83">
        <f t="shared" si="8"/>
        <v>39.722142857142856</v>
      </c>
      <c r="U129" s="84"/>
      <c r="V129" s="84"/>
      <c r="W129" s="84"/>
      <c r="X129" s="84"/>
      <c r="Y129" s="85"/>
      <c r="Z129" s="68"/>
      <c r="AA129" s="68"/>
    </row>
    <row r="130" spans="1:27" ht="12.75" hidden="1" outlineLevel="1" x14ac:dyDescent="0.2">
      <c r="A130" s="68"/>
      <c r="B130" s="86"/>
      <c r="C130" s="70" t="s">
        <v>42</v>
      </c>
      <c r="D130" s="90">
        <v>119.94</v>
      </c>
      <c r="E130" s="72"/>
      <c r="F130" s="73">
        <v>6</v>
      </c>
      <c r="G130" s="73">
        <v>6</v>
      </c>
      <c r="H130" s="74">
        <f t="shared" si="0"/>
        <v>1</v>
      </c>
      <c r="I130" s="75">
        <f t="shared" si="1"/>
        <v>19.989999999999998</v>
      </c>
      <c r="J130" s="76">
        <f t="shared" si="2"/>
        <v>19.989999999999998</v>
      </c>
      <c r="K130" s="90">
        <v>427.65</v>
      </c>
      <c r="L130" s="73">
        <v>71918</v>
      </c>
      <c r="M130" s="73">
        <v>4</v>
      </c>
      <c r="N130" s="91">
        <v>79.959999999999994</v>
      </c>
      <c r="O130" s="79">
        <f t="shared" si="39"/>
        <v>5.3482991495747871</v>
      </c>
      <c r="P130" s="80">
        <f t="shared" si="4"/>
        <v>0.18697533029346428</v>
      </c>
      <c r="Q130" s="79">
        <f t="shared" si="5"/>
        <v>3.5655327663831913</v>
      </c>
      <c r="R130" s="81">
        <f t="shared" si="6"/>
        <v>0.66666666666666663</v>
      </c>
      <c r="S130" s="92">
        <f t="shared" si="38"/>
        <v>39.980000000000004</v>
      </c>
      <c r="T130" s="83">
        <f t="shared" si="8"/>
        <v>106.91249999999999</v>
      </c>
      <c r="U130" s="84"/>
      <c r="V130" s="84"/>
      <c r="W130" s="84"/>
      <c r="X130" s="84"/>
      <c r="Y130" s="85"/>
      <c r="Z130" s="68"/>
      <c r="AA130" s="68"/>
    </row>
    <row r="131" spans="1:27" ht="12.75" hidden="1" outlineLevel="1" x14ac:dyDescent="0.2">
      <c r="A131" s="68"/>
      <c r="B131" s="86"/>
      <c r="C131" s="70" t="s">
        <v>43</v>
      </c>
      <c r="D131" s="105">
        <v>1645.47</v>
      </c>
      <c r="E131" s="72"/>
      <c r="F131" s="73">
        <v>13</v>
      </c>
      <c r="G131" s="73">
        <v>15</v>
      </c>
      <c r="H131" s="74">
        <f t="shared" si="0"/>
        <v>0.8666666666666667</v>
      </c>
      <c r="I131" s="75">
        <f t="shared" si="1"/>
        <v>126.57461538461538</v>
      </c>
      <c r="J131" s="76">
        <f t="shared" si="2"/>
        <v>146.04763313609467</v>
      </c>
      <c r="K131" s="105">
        <v>49.95</v>
      </c>
      <c r="L131" s="73">
        <v>8596</v>
      </c>
      <c r="M131" s="73">
        <v>2</v>
      </c>
      <c r="N131" s="106">
        <v>205.95</v>
      </c>
      <c r="O131" s="79">
        <f t="shared" si="39"/>
        <v>0.24253459577567374</v>
      </c>
      <c r="P131" s="80">
        <f t="shared" si="4"/>
        <v>4.1231231231231229</v>
      </c>
      <c r="Q131" s="79">
        <f t="shared" si="5"/>
        <v>3.0356068478914842E-2</v>
      </c>
      <c r="R131" s="81">
        <f t="shared" si="6"/>
        <v>0.12516180787252273</v>
      </c>
      <c r="S131" s="107">
        <f t="shared" si="38"/>
        <v>1439.52</v>
      </c>
      <c r="T131" s="83">
        <f t="shared" si="8"/>
        <v>24.975000000000001</v>
      </c>
      <c r="U131" s="84"/>
      <c r="V131" s="84"/>
      <c r="W131" s="84"/>
      <c r="X131" s="84"/>
      <c r="Y131" s="85"/>
      <c r="Z131" s="68"/>
      <c r="AA131" s="68"/>
    </row>
    <row r="132" spans="1:27" ht="12.75" hidden="1" outlineLevel="1" x14ac:dyDescent="0.2">
      <c r="A132" s="68"/>
      <c r="B132" s="86"/>
      <c r="C132" s="70" t="s">
        <v>44</v>
      </c>
      <c r="D132" s="108">
        <v>314.75</v>
      </c>
      <c r="E132" s="72"/>
      <c r="F132" s="73">
        <v>5</v>
      </c>
      <c r="G132" s="73">
        <v>6</v>
      </c>
      <c r="H132" s="74">
        <f t="shared" si="0"/>
        <v>0.83333333333333337</v>
      </c>
      <c r="I132" s="75">
        <f t="shared" si="1"/>
        <v>62.95</v>
      </c>
      <c r="J132" s="76">
        <f t="shared" si="2"/>
        <v>75.540000000000006</v>
      </c>
      <c r="K132" s="108">
        <v>76.14</v>
      </c>
      <c r="L132" s="73">
        <v>55639</v>
      </c>
      <c r="M132" s="73">
        <v>4</v>
      </c>
      <c r="N132" s="109">
        <v>239.8</v>
      </c>
      <c r="O132" s="79">
        <f t="shared" si="39"/>
        <v>0.31751459549624683</v>
      </c>
      <c r="P132" s="80">
        <f t="shared" si="4"/>
        <v>3.1494615182558445</v>
      </c>
      <c r="Q132" s="79">
        <f t="shared" si="5"/>
        <v>0.24190627482128674</v>
      </c>
      <c r="R132" s="81">
        <f t="shared" si="6"/>
        <v>0.76187450357426534</v>
      </c>
      <c r="S132" s="110">
        <f t="shared" si="38"/>
        <v>74.949999999999989</v>
      </c>
      <c r="T132" s="83">
        <f t="shared" si="8"/>
        <v>19.035</v>
      </c>
      <c r="U132" s="84"/>
      <c r="V132" s="84"/>
      <c r="W132" s="84"/>
      <c r="X132" s="84"/>
      <c r="Y132" s="85"/>
      <c r="Z132" s="68"/>
      <c r="AA132" s="68"/>
    </row>
    <row r="133" spans="1:27" ht="12.75" hidden="1" outlineLevel="1" x14ac:dyDescent="0.2">
      <c r="A133" s="111"/>
      <c r="B133" s="86"/>
      <c r="C133" s="112" t="s">
        <v>45</v>
      </c>
      <c r="D133" s="71">
        <v>19.95</v>
      </c>
      <c r="E133" s="72"/>
      <c r="F133" s="73">
        <v>1</v>
      </c>
      <c r="G133" s="73">
        <v>3</v>
      </c>
      <c r="H133" s="74">
        <f t="shared" si="0"/>
        <v>0.33333333333333331</v>
      </c>
      <c r="I133" s="75">
        <f t="shared" si="1"/>
        <v>19.95</v>
      </c>
      <c r="J133" s="76">
        <f t="shared" si="2"/>
        <v>59.85</v>
      </c>
      <c r="K133" s="71">
        <v>0</v>
      </c>
      <c r="L133" s="73">
        <v>0</v>
      </c>
      <c r="M133" s="73">
        <v>0</v>
      </c>
      <c r="N133" s="78">
        <v>0</v>
      </c>
      <c r="O133" s="79" t="e">
        <f t="shared" si="39"/>
        <v>#DIV/0!</v>
      </c>
      <c r="P133" s="80" t="e">
        <f t="shared" si="4"/>
        <v>#DIV/0!</v>
      </c>
      <c r="Q133" s="79">
        <f t="shared" si="5"/>
        <v>0</v>
      </c>
      <c r="R133" s="81">
        <f t="shared" si="6"/>
        <v>0</v>
      </c>
      <c r="S133" s="82">
        <f t="shared" si="38"/>
        <v>19.95</v>
      </c>
      <c r="T133" s="83" t="e">
        <f t="shared" si="8"/>
        <v>#DIV/0!</v>
      </c>
      <c r="U133" s="113"/>
      <c r="V133" s="113"/>
      <c r="W133" s="113"/>
      <c r="X133" s="114"/>
      <c r="Y133" s="115"/>
      <c r="Z133" s="68"/>
      <c r="AA133" s="68"/>
    </row>
    <row r="134" spans="1:27" ht="12.75" hidden="1" outlineLevel="1" x14ac:dyDescent="0.2">
      <c r="A134" s="68"/>
      <c r="B134" s="86"/>
      <c r="C134" s="70" t="s">
        <v>46</v>
      </c>
      <c r="D134" s="116">
        <v>1126.7</v>
      </c>
      <c r="E134" s="72"/>
      <c r="F134" s="73">
        <v>26</v>
      </c>
      <c r="G134" s="73">
        <v>25</v>
      </c>
      <c r="H134" s="74">
        <f t="shared" si="0"/>
        <v>1.04</v>
      </c>
      <c r="I134" s="75">
        <f t="shared" si="1"/>
        <v>43.33461538461539</v>
      </c>
      <c r="J134" s="76">
        <f t="shared" si="2"/>
        <v>41.667899408284029</v>
      </c>
      <c r="K134" s="116">
        <v>208.44</v>
      </c>
      <c r="L134" s="73">
        <v>54118</v>
      </c>
      <c r="M134" s="73">
        <v>5</v>
      </c>
      <c r="N134" s="117">
        <v>173.8</v>
      </c>
      <c r="O134" s="79">
        <f t="shared" si="39"/>
        <v>1.1993095512082852</v>
      </c>
      <c r="P134" s="80">
        <f t="shared" si="4"/>
        <v>0.83381308769909812</v>
      </c>
      <c r="Q134" s="79">
        <f t="shared" si="5"/>
        <v>0.18500044377385283</v>
      </c>
      <c r="R134" s="81">
        <f t="shared" si="6"/>
        <v>0.15425579124877964</v>
      </c>
      <c r="S134" s="82">
        <f t="shared" si="38"/>
        <v>952.90000000000009</v>
      </c>
      <c r="T134" s="83">
        <f t="shared" si="8"/>
        <v>41.688000000000002</v>
      </c>
      <c r="U134" s="84"/>
      <c r="V134" s="84"/>
      <c r="W134" s="84"/>
      <c r="X134" s="84"/>
      <c r="Y134" s="85"/>
      <c r="Z134" s="68"/>
      <c r="AA134" s="68"/>
    </row>
    <row r="135" spans="1:27" ht="12.75" hidden="1" outlineLevel="1" x14ac:dyDescent="0.2">
      <c r="A135" s="68"/>
      <c r="B135" s="86"/>
      <c r="C135" s="70" t="s">
        <v>47</v>
      </c>
      <c r="D135" s="87">
        <v>0</v>
      </c>
      <c r="E135" s="72"/>
      <c r="F135" s="73">
        <v>0</v>
      </c>
      <c r="G135" s="73">
        <v>0</v>
      </c>
      <c r="H135" s="74" t="e">
        <f t="shared" si="0"/>
        <v>#DIV/0!</v>
      </c>
      <c r="I135" s="75" t="e">
        <f t="shared" si="1"/>
        <v>#DIV/0!</v>
      </c>
      <c r="J135" s="76" t="e">
        <f t="shared" si="2"/>
        <v>#DIV/0!</v>
      </c>
      <c r="K135" s="87">
        <v>0</v>
      </c>
      <c r="L135" s="73">
        <v>0</v>
      </c>
      <c r="M135" s="73">
        <v>0</v>
      </c>
      <c r="N135" s="88">
        <v>0</v>
      </c>
      <c r="O135" s="79" t="e">
        <f t="shared" si="39"/>
        <v>#DIV/0!</v>
      </c>
      <c r="P135" s="80" t="e">
        <f t="shared" si="4"/>
        <v>#DIV/0!</v>
      </c>
      <c r="Q135" s="79" t="e">
        <f t="shared" si="5"/>
        <v>#DIV/0!</v>
      </c>
      <c r="R135" s="81" t="e">
        <f t="shared" si="6"/>
        <v>#DIV/0!</v>
      </c>
      <c r="S135" s="82">
        <f t="shared" si="38"/>
        <v>0</v>
      </c>
      <c r="T135" s="83" t="e">
        <f t="shared" si="8"/>
        <v>#DIV/0!</v>
      </c>
      <c r="U135" s="84"/>
      <c r="V135" s="84"/>
      <c r="W135" s="84"/>
      <c r="X135" s="84"/>
      <c r="Y135" s="85"/>
      <c r="Z135" s="68"/>
      <c r="AA135" s="68"/>
    </row>
    <row r="136" spans="1:27" ht="12.75" hidden="1" outlineLevel="1" x14ac:dyDescent="0.2">
      <c r="A136" s="68"/>
      <c r="B136" s="86"/>
      <c r="C136" s="70" t="s">
        <v>48</v>
      </c>
      <c r="D136" s="102">
        <v>3894.25</v>
      </c>
      <c r="E136" s="72"/>
      <c r="F136" s="73">
        <v>15</v>
      </c>
      <c r="G136" s="73">
        <v>18</v>
      </c>
      <c r="H136" s="74">
        <f t="shared" si="0"/>
        <v>0.83333333333333337</v>
      </c>
      <c r="I136" s="75">
        <f t="shared" si="1"/>
        <v>259.61666666666667</v>
      </c>
      <c r="J136" s="76">
        <f t="shared" si="2"/>
        <v>311.54000000000002</v>
      </c>
      <c r="K136" s="102">
        <v>547.53</v>
      </c>
      <c r="L136" s="73">
        <v>43136</v>
      </c>
      <c r="M136" s="73">
        <v>10</v>
      </c>
      <c r="N136" s="103">
        <v>2494.5</v>
      </c>
      <c r="O136" s="79">
        <f t="shared" si="39"/>
        <v>0.21949488875526157</v>
      </c>
      <c r="P136" s="80">
        <f t="shared" si="4"/>
        <v>4.5559147443975672</v>
      </c>
      <c r="Q136" s="79">
        <f t="shared" si="5"/>
        <v>0.14059960197727417</v>
      </c>
      <c r="R136" s="81">
        <f t="shared" si="6"/>
        <v>0.64055979970469279</v>
      </c>
      <c r="S136" s="82">
        <f t="shared" si="38"/>
        <v>1399.75</v>
      </c>
      <c r="T136" s="83">
        <f t="shared" si="8"/>
        <v>54.753</v>
      </c>
      <c r="U136" s="84"/>
      <c r="V136" s="84"/>
      <c r="W136" s="84"/>
      <c r="X136" s="84"/>
      <c r="Y136" s="85"/>
      <c r="Z136" s="68"/>
      <c r="AA136" s="68"/>
    </row>
    <row r="137" spans="1:27" ht="12.75" hidden="1" outlineLevel="1" x14ac:dyDescent="0.2">
      <c r="A137" s="118" t="str">
        <f t="shared" ref="A137:A138" si="40">IFERROR(IF(B137&gt;0,MONTH(B137)&amp;"-"&amp;YEAR(B137),B137),)</f>
        <v>2-2026</v>
      </c>
      <c r="B137" s="69">
        <v>46060</v>
      </c>
      <c r="C137" s="70" t="s">
        <v>49</v>
      </c>
      <c r="D137" s="116">
        <v>132</v>
      </c>
      <c r="E137" s="72"/>
      <c r="F137" s="73">
        <v>0</v>
      </c>
      <c r="G137" s="73">
        <v>3</v>
      </c>
      <c r="H137" s="74">
        <f t="shared" si="0"/>
        <v>0</v>
      </c>
      <c r="I137" s="75" t="e">
        <f t="shared" si="1"/>
        <v>#DIV/0!</v>
      </c>
      <c r="J137" s="76" t="e">
        <f t="shared" si="2"/>
        <v>#DIV/0!</v>
      </c>
      <c r="K137" s="116">
        <v>6.95</v>
      </c>
      <c r="L137" s="73">
        <v>9436</v>
      </c>
      <c r="M137" s="73">
        <v>1</v>
      </c>
      <c r="N137" s="117">
        <v>96</v>
      </c>
      <c r="O137" s="79">
        <f t="shared" si="39"/>
        <v>7.239583333333334E-2</v>
      </c>
      <c r="P137" s="80">
        <f t="shared" si="4"/>
        <v>13.812949640287769</v>
      </c>
      <c r="Q137" s="79">
        <f t="shared" si="5"/>
        <v>5.2651515151515151E-2</v>
      </c>
      <c r="R137" s="81">
        <f t="shared" si="6"/>
        <v>0.72727272727272729</v>
      </c>
      <c r="S137" s="82">
        <f t="shared" si="38"/>
        <v>36</v>
      </c>
      <c r="T137" s="83">
        <f t="shared" si="8"/>
        <v>6.95</v>
      </c>
      <c r="U137" s="84"/>
      <c r="V137" s="84"/>
      <c r="W137" s="84"/>
      <c r="X137" s="84"/>
      <c r="Y137" s="85"/>
      <c r="Z137" s="68"/>
      <c r="AA137" s="68"/>
    </row>
    <row r="138" spans="1:27" ht="12.75" collapsed="1" x14ac:dyDescent="0.2">
      <c r="A138" s="68">
        <f t="shared" si="40"/>
        <v>0</v>
      </c>
      <c r="B138" s="119" t="s">
        <v>56</v>
      </c>
      <c r="C138" s="120"/>
      <c r="D138" s="121">
        <f>SUM(D121:D137)</f>
        <v>19881.36</v>
      </c>
      <c r="E138" s="122"/>
      <c r="F138" s="123">
        <f t="shared" ref="F138:G138" si="41">SUM(F121:F137)</f>
        <v>252</v>
      </c>
      <c r="G138" s="123">
        <f t="shared" si="41"/>
        <v>272</v>
      </c>
      <c r="H138" s="124">
        <f t="shared" si="0"/>
        <v>0.92647058823529416</v>
      </c>
      <c r="I138" s="125">
        <f t="shared" si="1"/>
        <v>78.894285714285715</v>
      </c>
      <c r="J138" s="126">
        <f t="shared" si="2"/>
        <v>85.15573696145124</v>
      </c>
      <c r="K138" s="121">
        <f t="shared" ref="K138:N138" si="42">SUM(K121:K137)</f>
        <v>3441.8899999999994</v>
      </c>
      <c r="L138" s="123">
        <f t="shared" si="42"/>
        <v>777283</v>
      </c>
      <c r="M138" s="123">
        <f t="shared" si="42"/>
        <v>82</v>
      </c>
      <c r="N138" s="127">
        <f t="shared" si="42"/>
        <v>9095.7099999999991</v>
      </c>
      <c r="O138" s="128">
        <f t="shared" si="39"/>
        <v>0.37840806270208699</v>
      </c>
      <c r="P138" s="129">
        <f t="shared" si="4"/>
        <v>2.6426498232075986</v>
      </c>
      <c r="Q138" s="128">
        <f t="shared" si="5"/>
        <v>0.17312145647983837</v>
      </c>
      <c r="R138" s="130">
        <f t="shared" si="6"/>
        <v>0.45749938635988679</v>
      </c>
      <c r="S138" s="131">
        <f>SUM(S121:S137)</f>
        <v>10785.650000000001</v>
      </c>
      <c r="T138" s="132">
        <f t="shared" si="8"/>
        <v>41.974268292682922</v>
      </c>
      <c r="U138" s="134">
        <f>IFERROR((D138-#REF!)/D138,)</f>
        <v>0</v>
      </c>
      <c r="V138" s="134">
        <f>IFERROR((F138-#REF!)/F138,)</f>
        <v>0</v>
      </c>
      <c r="W138" s="134">
        <f>IFERROR((D138-#REF!)/D138, )</f>
        <v>0</v>
      </c>
      <c r="X138" s="134">
        <f>IFERROR((F138-#REF!)/F138, )</f>
        <v>0</v>
      </c>
      <c r="Y138" s="68"/>
      <c r="Z138" s="68"/>
      <c r="AA138" s="68"/>
    </row>
    <row r="139" spans="1:27" ht="12.75" hidden="1" outlineLevel="1" x14ac:dyDescent="0.2">
      <c r="A139" s="68"/>
      <c r="B139" s="69">
        <v>46061</v>
      </c>
      <c r="C139" s="70" t="s">
        <v>32</v>
      </c>
      <c r="D139" s="71">
        <v>4540.1000000000004</v>
      </c>
      <c r="E139" s="72"/>
      <c r="F139" s="73">
        <v>25</v>
      </c>
      <c r="G139" s="73">
        <v>27</v>
      </c>
      <c r="H139" s="74">
        <f t="shared" si="0"/>
        <v>0.92592592592592593</v>
      </c>
      <c r="I139" s="75">
        <f t="shared" si="1"/>
        <v>181.60400000000001</v>
      </c>
      <c r="J139" s="76">
        <f t="shared" si="2"/>
        <v>196.13232000000002</v>
      </c>
      <c r="K139" s="77">
        <v>587.79999999999995</v>
      </c>
      <c r="L139" s="73">
        <v>104053</v>
      </c>
      <c r="M139" s="73">
        <v>4</v>
      </c>
      <c r="N139" s="78">
        <v>1546.9</v>
      </c>
      <c r="O139" s="79">
        <f t="shared" si="39"/>
        <v>0.37998577800762812</v>
      </c>
      <c r="P139" s="80">
        <f t="shared" si="4"/>
        <v>2.6316774413065671</v>
      </c>
      <c r="Q139" s="79">
        <f t="shared" si="5"/>
        <v>0.12946851390938524</v>
      </c>
      <c r="R139" s="81">
        <f t="shared" si="6"/>
        <v>0.34071936741481462</v>
      </c>
      <c r="S139" s="82">
        <f t="shared" ref="S139:S155" si="43">D139-N139</f>
        <v>2993.2000000000003</v>
      </c>
      <c r="T139" s="83">
        <f t="shared" si="8"/>
        <v>146.94999999999999</v>
      </c>
      <c r="U139" s="84"/>
      <c r="V139" s="84"/>
      <c r="W139" s="84"/>
      <c r="X139" s="84"/>
      <c r="Y139" s="85"/>
      <c r="Z139" s="68"/>
      <c r="AA139" s="68"/>
    </row>
    <row r="140" spans="1:27" ht="12.75" hidden="1" outlineLevel="1" x14ac:dyDescent="0.2">
      <c r="A140" s="68"/>
      <c r="B140" s="86"/>
      <c r="C140" s="70" t="s">
        <v>33</v>
      </c>
      <c r="D140" s="87">
        <v>3414.65</v>
      </c>
      <c r="E140" s="72"/>
      <c r="F140" s="73">
        <v>35</v>
      </c>
      <c r="G140" s="73">
        <v>52</v>
      </c>
      <c r="H140" s="74">
        <f t="shared" si="0"/>
        <v>0.67307692307692313</v>
      </c>
      <c r="I140" s="75">
        <f t="shared" si="1"/>
        <v>97.561428571428578</v>
      </c>
      <c r="J140" s="76">
        <f t="shared" si="2"/>
        <v>144.9484081632653</v>
      </c>
      <c r="K140" s="87">
        <v>472.57</v>
      </c>
      <c r="L140" s="73">
        <v>131083</v>
      </c>
      <c r="M140" s="73">
        <v>13</v>
      </c>
      <c r="N140" s="88">
        <v>934.55</v>
      </c>
      <c r="O140" s="79">
        <f t="shared" si="39"/>
        <v>0.50566582847359698</v>
      </c>
      <c r="P140" s="80">
        <f t="shared" si="4"/>
        <v>1.9775906214952281</v>
      </c>
      <c r="Q140" s="79">
        <f t="shared" si="5"/>
        <v>0.13839485745244753</v>
      </c>
      <c r="R140" s="81">
        <f t="shared" si="6"/>
        <v>0.27368837216112923</v>
      </c>
      <c r="S140" s="89">
        <f t="shared" si="43"/>
        <v>2480.1000000000004</v>
      </c>
      <c r="T140" s="83">
        <f t="shared" si="8"/>
        <v>36.35153846153846</v>
      </c>
      <c r="U140" s="84"/>
      <c r="V140" s="84"/>
      <c r="W140" s="84"/>
      <c r="X140" s="84"/>
      <c r="Y140" s="85"/>
      <c r="Z140" s="68"/>
      <c r="AA140" s="68"/>
    </row>
    <row r="141" spans="1:27" ht="12.75" hidden="1" outlineLevel="1" x14ac:dyDescent="0.2">
      <c r="A141" s="68"/>
      <c r="B141" s="86"/>
      <c r="C141" s="70" t="s">
        <v>34</v>
      </c>
      <c r="D141" s="90">
        <v>0</v>
      </c>
      <c r="E141" s="72"/>
      <c r="F141" s="73">
        <v>0</v>
      </c>
      <c r="G141" s="73">
        <v>0</v>
      </c>
      <c r="H141" s="74" t="e">
        <f t="shared" si="0"/>
        <v>#DIV/0!</v>
      </c>
      <c r="I141" s="75" t="e">
        <f t="shared" si="1"/>
        <v>#DIV/0!</v>
      </c>
      <c r="J141" s="76" t="e">
        <f t="shared" si="2"/>
        <v>#DIV/0!</v>
      </c>
      <c r="K141" s="90">
        <v>0</v>
      </c>
      <c r="L141" s="73">
        <v>0</v>
      </c>
      <c r="M141" s="73">
        <v>0</v>
      </c>
      <c r="N141" s="91">
        <v>0</v>
      </c>
      <c r="O141" s="79" t="e">
        <f>(K141/N141)</f>
        <v>#DIV/0!</v>
      </c>
      <c r="P141" s="80" t="e">
        <f t="shared" si="4"/>
        <v>#DIV/0!</v>
      </c>
      <c r="Q141" s="79" t="e">
        <f t="shared" si="5"/>
        <v>#DIV/0!</v>
      </c>
      <c r="R141" s="81" t="e">
        <f t="shared" si="6"/>
        <v>#DIV/0!</v>
      </c>
      <c r="S141" s="92">
        <f t="shared" si="43"/>
        <v>0</v>
      </c>
      <c r="T141" s="83" t="e">
        <f t="shared" si="8"/>
        <v>#DIV/0!</v>
      </c>
      <c r="U141" s="84"/>
      <c r="V141" s="84"/>
      <c r="W141" s="84"/>
      <c r="X141" s="84"/>
      <c r="Y141" s="85"/>
      <c r="Z141" s="68"/>
      <c r="AA141" s="68"/>
    </row>
    <row r="142" spans="1:27" ht="12.75" hidden="1" outlineLevel="1" x14ac:dyDescent="0.2">
      <c r="A142" s="68"/>
      <c r="B142" s="86"/>
      <c r="C142" s="70" t="s">
        <v>35</v>
      </c>
      <c r="D142" s="90">
        <v>359.7</v>
      </c>
      <c r="E142" s="72"/>
      <c r="F142" s="73">
        <v>6</v>
      </c>
      <c r="G142" s="73">
        <v>7</v>
      </c>
      <c r="H142" s="74">
        <f t="shared" si="0"/>
        <v>0.8571428571428571</v>
      </c>
      <c r="I142" s="75">
        <f t="shared" si="1"/>
        <v>59.949999999999996</v>
      </c>
      <c r="J142" s="76">
        <f t="shared" si="2"/>
        <v>69.941666666666663</v>
      </c>
      <c r="K142" s="90">
        <v>207.61</v>
      </c>
      <c r="L142" s="73">
        <v>13060</v>
      </c>
      <c r="M142" s="73">
        <v>5</v>
      </c>
      <c r="N142" s="91">
        <v>299.75</v>
      </c>
      <c r="O142" s="79">
        <f t="shared" ref="O142:O158" si="44">K142/N142</f>
        <v>0.69261050875729779</v>
      </c>
      <c r="P142" s="80">
        <f t="shared" si="4"/>
        <v>1.4438129184528683</v>
      </c>
      <c r="Q142" s="79">
        <f t="shared" si="5"/>
        <v>0.57717542396441479</v>
      </c>
      <c r="R142" s="81">
        <f t="shared" si="6"/>
        <v>0.83333333333333337</v>
      </c>
      <c r="S142" s="92">
        <f t="shared" si="43"/>
        <v>59.949999999999989</v>
      </c>
      <c r="T142" s="83">
        <f t="shared" si="8"/>
        <v>41.522000000000006</v>
      </c>
      <c r="U142" s="84"/>
      <c r="V142" s="84"/>
      <c r="W142" s="84"/>
      <c r="X142" s="84"/>
      <c r="Y142" s="85"/>
      <c r="Z142" s="68"/>
      <c r="AA142" s="68"/>
    </row>
    <row r="143" spans="1:27" ht="12.75" hidden="1" outlineLevel="1" x14ac:dyDescent="0.2">
      <c r="A143" s="68"/>
      <c r="B143" s="86"/>
      <c r="C143" s="70" t="s">
        <v>36</v>
      </c>
      <c r="D143" s="90">
        <v>1019.2</v>
      </c>
      <c r="E143" s="72"/>
      <c r="F143" s="73">
        <v>16</v>
      </c>
      <c r="G143" s="73">
        <v>16</v>
      </c>
      <c r="H143" s="74">
        <f t="shared" si="0"/>
        <v>1</v>
      </c>
      <c r="I143" s="75">
        <f t="shared" si="1"/>
        <v>63.7</v>
      </c>
      <c r="J143" s="76">
        <f t="shared" si="2"/>
        <v>63.7</v>
      </c>
      <c r="K143" s="90">
        <v>22.35</v>
      </c>
      <c r="L143" s="73">
        <v>13189</v>
      </c>
      <c r="M143" s="73">
        <v>2</v>
      </c>
      <c r="N143" s="91">
        <v>119.9</v>
      </c>
      <c r="O143" s="79">
        <f t="shared" si="44"/>
        <v>0.18640533778148458</v>
      </c>
      <c r="P143" s="80">
        <f t="shared" si="4"/>
        <v>5.3646532438478749</v>
      </c>
      <c r="Q143" s="79">
        <f t="shared" si="5"/>
        <v>2.1928963893249609E-2</v>
      </c>
      <c r="R143" s="81">
        <f t="shared" si="6"/>
        <v>0.11764128728414443</v>
      </c>
      <c r="S143" s="92">
        <f t="shared" si="43"/>
        <v>899.30000000000007</v>
      </c>
      <c r="T143" s="83">
        <f t="shared" si="8"/>
        <v>11.175000000000001</v>
      </c>
      <c r="U143" s="84"/>
      <c r="V143" s="84"/>
      <c r="W143" s="84"/>
      <c r="X143" s="84"/>
      <c r="Y143" s="85"/>
      <c r="Z143" s="68"/>
      <c r="AA143" s="68"/>
    </row>
    <row r="144" spans="1:27" ht="12.75" hidden="1" outlineLevel="1" x14ac:dyDescent="0.2">
      <c r="A144" s="68"/>
      <c r="B144" s="69" t="s">
        <v>37</v>
      </c>
      <c r="C144" s="70" t="s">
        <v>38</v>
      </c>
      <c r="D144" s="93">
        <v>0</v>
      </c>
      <c r="E144" s="72"/>
      <c r="F144" s="73">
        <v>0</v>
      </c>
      <c r="G144" s="73">
        <v>0</v>
      </c>
      <c r="H144" s="74" t="e">
        <f t="shared" si="0"/>
        <v>#DIV/0!</v>
      </c>
      <c r="I144" s="75" t="e">
        <f t="shared" si="1"/>
        <v>#DIV/0!</v>
      </c>
      <c r="J144" s="76" t="e">
        <f t="shared" si="2"/>
        <v>#DIV/0!</v>
      </c>
      <c r="K144" s="93">
        <v>33.25</v>
      </c>
      <c r="L144" s="73">
        <v>263412</v>
      </c>
      <c r="M144" s="73">
        <v>0</v>
      </c>
      <c r="N144" s="94">
        <v>0</v>
      </c>
      <c r="O144" s="79" t="e">
        <f t="shared" si="44"/>
        <v>#DIV/0!</v>
      </c>
      <c r="P144" s="80">
        <f t="shared" si="4"/>
        <v>0</v>
      </c>
      <c r="Q144" s="79" t="e">
        <f t="shared" si="5"/>
        <v>#DIV/0!</v>
      </c>
      <c r="R144" s="81" t="e">
        <f t="shared" si="6"/>
        <v>#DIV/0!</v>
      </c>
      <c r="S144" s="95">
        <f t="shared" si="43"/>
        <v>0</v>
      </c>
      <c r="T144" s="83" t="e">
        <f t="shared" si="8"/>
        <v>#DIV/0!</v>
      </c>
      <c r="U144" s="84"/>
      <c r="V144" s="84"/>
      <c r="W144" s="84"/>
      <c r="X144" s="84"/>
      <c r="Y144" s="85"/>
      <c r="Z144" s="68"/>
      <c r="AA144" s="68"/>
    </row>
    <row r="145" spans="1:27" ht="12.75" hidden="1" outlineLevel="1" x14ac:dyDescent="0.2">
      <c r="A145" s="68"/>
      <c r="B145" s="86"/>
      <c r="C145" s="70" t="s">
        <v>39</v>
      </c>
      <c r="D145" s="96">
        <v>0</v>
      </c>
      <c r="E145" s="72"/>
      <c r="F145" s="73">
        <v>0</v>
      </c>
      <c r="G145" s="73">
        <v>0</v>
      </c>
      <c r="H145" s="74" t="e">
        <f t="shared" si="0"/>
        <v>#DIV/0!</v>
      </c>
      <c r="I145" s="75" t="e">
        <f t="shared" si="1"/>
        <v>#DIV/0!</v>
      </c>
      <c r="J145" s="76" t="e">
        <f t="shared" si="2"/>
        <v>#DIV/0!</v>
      </c>
      <c r="K145" s="96">
        <v>0</v>
      </c>
      <c r="L145" s="73">
        <v>0</v>
      </c>
      <c r="M145" s="73">
        <v>0</v>
      </c>
      <c r="N145" s="97">
        <v>0</v>
      </c>
      <c r="O145" s="79" t="e">
        <f t="shared" si="44"/>
        <v>#DIV/0!</v>
      </c>
      <c r="P145" s="80" t="e">
        <f t="shared" si="4"/>
        <v>#DIV/0!</v>
      </c>
      <c r="Q145" s="79" t="e">
        <f t="shared" si="5"/>
        <v>#DIV/0!</v>
      </c>
      <c r="R145" s="81" t="e">
        <f t="shared" si="6"/>
        <v>#DIV/0!</v>
      </c>
      <c r="S145" s="98">
        <f t="shared" si="43"/>
        <v>0</v>
      </c>
      <c r="T145" s="83" t="e">
        <f t="shared" si="8"/>
        <v>#DIV/0!</v>
      </c>
      <c r="U145" s="84"/>
      <c r="V145" s="84"/>
      <c r="W145" s="84"/>
      <c r="X145" s="84"/>
      <c r="Y145" s="85"/>
      <c r="Z145" s="68"/>
      <c r="AA145" s="68"/>
    </row>
    <row r="146" spans="1:27" ht="12.75" hidden="1" outlineLevel="1" x14ac:dyDescent="0.2">
      <c r="A146" s="68"/>
      <c r="B146" s="86"/>
      <c r="C146" s="70" t="s">
        <v>40</v>
      </c>
      <c r="D146" s="99">
        <v>0</v>
      </c>
      <c r="E146" s="72"/>
      <c r="F146" s="73">
        <v>0</v>
      </c>
      <c r="G146" s="73">
        <v>0</v>
      </c>
      <c r="H146" s="74" t="e">
        <f t="shared" si="0"/>
        <v>#DIV/0!</v>
      </c>
      <c r="I146" s="75" t="e">
        <f t="shared" si="1"/>
        <v>#DIV/0!</v>
      </c>
      <c r="J146" s="76" t="e">
        <f t="shared" si="2"/>
        <v>#DIV/0!</v>
      </c>
      <c r="K146" s="99">
        <v>0</v>
      </c>
      <c r="L146" s="73">
        <v>0</v>
      </c>
      <c r="M146" s="73">
        <v>0</v>
      </c>
      <c r="N146" s="100">
        <v>0</v>
      </c>
      <c r="O146" s="79" t="e">
        <f t="shared" si="44"/>
        <v>#DIV/0!</v>
      </c>
      <c r="P146" s="80" t="e">
        <f t="shared" si="4"/>
        <v>#DIV/0!</v>
      </c>
      <c r="Q146" s="79" t="e">
        <f t="shared" si="5"/>
        <v>#DIV/0!</v>
      </c>
      <c r="R146" s="81" t="e">
        <f t="shared" si="6"/>
        <v>#DIV/0!</v>
      </c>
      <c r="S146" s="101">
        <f t="shared" si="43"/>
        <v>0</v>
      </c>
      <c r="T146" s="83" t="e">
        <f t="shared" si="8"/>
        <v>#DIV/0!</v>
      </c>
      <c r="U146" s="84"/>
      <c r="V146" s="84"/>
      <c r="W146" s="84"/>
      <c r="X146" s="84"/>
      <c r="Y146" s="85"/>
      <c r="Z146" s="68"/>
      <c r="AA146" s="68"/>
    </row>
    <row r="147" spans="1:27" ht="12.75" hidden="1" outlineLevel="1" x14ac:dyDescent="0.2">
      <c r="A147" s="68"/>
      <c r="B147" s="86"/>
      <c r="C147" s="70" t="s">
        <v>41</v>
      </c>
      <c r="D147" s="102">
        <v>2454.6999999999998</v>
      </c>
      <c r="E147" s="72"/>
      <c r="F147" s="73">
        <v>35</v>
      </c>
      <c r="G147" s="73">
        <v>34</v>
      </c>
      <c r="H147" s="74">
        <f t="shared" si="0"/>
        <v>1.0294117647058822</v>
      </c>
      <c r="I147" s="75">
        <f t="shared" si="1"/>
        <v>70.13428571428571</v>
      </c>
      <c r="J147" s="76">
        <f t="shared" si="2"/>
        <v>68.130448979591833</v>
      </c>
      <c r="K147" s="102">
        <v>505.35</v>
      </c>
      <c r="L147" s="73">
        <v>41325</v>
      </c>
      <c r="M147" s="73">
        <v>7</v>
      </c>
      <c r="N147" s="103">
        <v>608.95000000000005</v>
      </c>
      <c r="O147" s="79">
        <f t="shared" si="44"/>
        <v>0.82987108958042533</v>
      </c>
      <c r="P147" s="80">
        <f t="shared" si="4"/>
        <v>1.2050064311863065</v>
      </c>
      <c r="Q147" s="79">
        <f t="shared" si="5"/>
        <v>0.20587037112478104</v>
      </c>
      <c r="R147" s="81">
        <f t="shared" si="6"/>
        <v>0.24807512119607289</v>
      </c>
      <c r="S147" s="104">
        <f t="shared" si="43"/>
        <v>1845.7499999999998</v>
      </c>
      <c r="T147" s="83">
        <f t="shared" si="8"/>
        <v>72.19285714285715</v>
      </c>
      <c r="U147" s="84"/>
      <c r="V147" s="84"/>
      <c r="W147" s="84"/>
      <c r="X147" s="84"/>
      <c r="Y147" s="85"/>
      <c r="Z147" s="68"/>
      <c r="AA147" s="68"/>
    </row>
    <row r="148" spans="1:27" ht="12.75" hidden="1" outlineLevel="1" x14ac:dyDescent="0.2">
      <c r="A148" s="68"/>
      <c r="B148" s="86"/>
      <c r="C148" s="70" t="s">
        <v>42</v>
      </c>
      <c r="D148" s="90">
        <v>79.959999999999994</v>
      </c>
      <c r="E148" s="72"/>
      <c r="F148" s="73">
        <v>4</v>
      </c>
      <c r="G148" s="73">
        <v>4</v>
      </c>
      <c r="H148" s="74">
        <f t="shared" si="0"/>
        <v>1</v>
      </c>
      <c r="I148" s="75">
        <f t="shared" si="1"/>
        <v>19.989999999999998</v>
      </c>
      <c r="J148" s="76">
        <f t="shared" si="2"/>
        <v>19.989999999999998</v>
      </c>
      <c r="K148" s="90">
        <v>402.14</v>
      </c>
      <c r="L148" s="73">
        <v>67598</v>
      </c>
      <c r="M148" s="73">
        <v>2</v>
      </c>
      <c r="N148" s="91">
        <v>39.979999999999997</v>
      </c>
      <c r="O148" s="79">
        <f t="shared" si="44"/>
        <v>10.058529264632316</v>
      </c>
      <c r="P148" s="80">
        <f t="shared" si="4"/>
        <v>9.9418113094942057E-2</v>
      </c>
      <c r="Q148" s="79">
        <f t="shared" si="5"/>
        <v>5.0292646323161581</v>
      </c>
      <c r="R148" s="81">
        <f t="shared" si="6"/>
        <v>0.5</v>
      </c>
      <c r="S148" s="92">
        <f t="shared" si="43"/>
        <v>39.979999999999997</v>
      </c>
      <c r="T148" s="83">
        <f t="shared" si="8"/>
        <v>201.07</v>
      </c>
      <c r="U148" s="84"/>
      <c r="V148" s="84"/>
      <c r="W148" s="84"/>
      <c r="X148" s="84"/>
      <c r="Y148" s="85"/>
      <c r="Z148" s="68"/>
      <c r="AA148" s="68"/>
    </row>
    <row r="149" spans="1:27" ht="12.75" hidden="1" outlineLevel="1" x14ac:dyDescent="0.2">
      <c r="A149" s="68"/>
      <c r="B149" s="86"/>
      <c r="C149" s="70" t="s">
        <v>43</v>
      </c>
      <c r="D149" s="105">
        <v>753.73</v>
      </c>
      <c r="E149" s="72"/>
      <c r="F149" s="73">
        <v>7</v>
      </c>
      <c r="G149" s="73">
        <v>9</v>
      </c>
      <c r="H149" s="74">
        <f t="shared" si="0"/>
        <v>0.77777777777777779</v>
      </c>
      <c r="I149" s="75">
        <f t="shared" si="1"/>
        <v>107.67571428571429</v>
      </c>
      <c r="J149" s="76">
        <f t="shared" si="2"/>
        <v>138.44020408163266</v>
      </c>
      <c r="K149" s="105">
        <v>28.85</v>
      </c>
      <c r="L149" s="73">
        <v>9129</v>
      </c>
      <c r="M149" s="73">
        <v>2</v>
      </c>
      <c r="N149" s="106">
        <v>205.95</v>
      </c>
      <c r="O149" s="79">
        <f t="shared" si="44"/>
        <v>0.14008254430687062</v>
      </c>
      <c r="P149" s="80">
        <f t="shared" si="4"/>
        <v>7.1386481802426331</v>
      </c>
      <c r="Q149" s="79">
        <f t="shared" si="5"/>
        <v>3.8276305838960904E-2</v>
      </c>
      <c r="R149" s="81">
        <f t="shared" si="6"/>
        <v>0.27324108102370875</v>
      </c>
      <c r="S149" s="107">
        <f t="shared" si="43"/>
        <v>547.78</v>
      </c>
      <c r="T149" s="83">
        <f t="shared" si="8"/>
        <v>14.425000000000001</v>
      </c>
      <c r="U149" s="84"/>
      <c r="V149" s="84"/>
      <c r="W149" s="84"/>
      <c r="X149" s="84"/>
      <c r="Y149" s="85"/>
      <c r="Z149" s="68"/>
      <c r="AA149" s="68"/>
    </row>
    <row r="150" spans="1:27" ht="12.75" hidden="1" outlineLevel="1" x14ac:dyDescent="0.2">
      <c r="A150" s="68"/>
      <c r="B150" s="86"/>
      <c r="C150" s="70" t="s">
        <v>44</v>
      </c>
      <c r="D150" s="108">
        <v>179.85</v>
      </c>
      <c r="E150" s="72"/>
      <c r="F150" s="73">
        <v>3</v>
      </c>
      <c r="G150" s="73">
        <v>4</v>
      </c>
      <c r="H150" s="74">
        <f t="shared" si="0"/>
        <v>0.75</v>
      </c>
      <c r="I150" s="75">
        <f t="shared" si="1"/>
        <v>59.949999999999996</v>
      </c>
      <c r="J150" s="76">
        <f t="shared" si="2"/>
        <v>79.933333333333323</v>
      </c>
      <c r="K150" s="108">
        <v>74.349999999999994</v>
      </c>
      <c r="L150" s="73">
        <v>62698</v>
      </c>
      <c r="M150" s="73">
        <v>0</v>
      </c>
      <c r="N150" s="109">
        <v>0</v>
      </c>
      <c r="O150" s="79" t="e">
        <f t="shared" si="44"/>
        <v>#DIV/0!</v>
      </c>
      <c r="P150" s="80">
        <f t="shared" si="4"/>
        <v>0</v>
      </c>
      <c r="Q150" s="79">
        <f t="shared" si="5"/>
        <v>0.41340005560189047</v>
      </c>
      <c r="R150" s="81">
        <f t="shared" si="6"/>
        <v>0</v>
      </c>
      <c r="S150" s="110">
        <f t="shared" si="43"/>
        <v>179.85</v>
      </c>
      <c r="T150" s="83" t="e">
        <f t="shared" si="8"/>
        <v>#DIV/0!</v>
      </c>
      <c r="U150" s="84"/>
      <c r="V150" s="84"/>
      <c r="W150" s="84"/>
      <c r="X150" s="84"/>
      <c r="Y150" s="85"/>
      <c r="Z150" s="68"/>
      <c r="AA150" s="68"/>
    </row>
    <row r="151" spans="1:27" ht="12.75" hidden="1" outlineLevel="1" x14ac:dyDescent="0.2">
      <c r="A151" s="111"/>
      <c r="B151" s="86"/>
      <c r="C151" s="112" t="s">
        <v>45</v>
      </c>
      <c r="D151" s="71">
        <v>0</v>
      </c>
      <c r="E151" s="72"/>
      <c r="F151" s="73">
        <v>0</v>
      </c>
      <c r="G151" s="73">
        <v>0</v>
      </c>
      <c r="H151" s="74" t="e">
        <f t="shared" si="0"/>
        <v>#DIV/0!</v>
      </c>
      <c r="I151" s="75" t="e">
        <f t="shared" si="1"/>
        <v>#DIV/0!</v>
      </c>
      <c r="J151" s="76" t="e">
        <f t="shared" si="2"/>
        <v>#DIV/0!</v>
      </c>
      <c r="K151" s="71">
        <v>0</v>
      </c>
      <c r="L151" s="73">
        <v>0</v>
      </c>
      <c r="M151" s="73">
        <v>0</v>
      </c>
      <c r="N151" s="78">
        <v>0</v>
      </c>
      <c r="O151" s="79" t="e">
        <f t="shared" si="44"/>
        <v>#DIV/0!</v>
      </c>
      <c r="P151" s="80" t="e">
        <f t="shared" si="4"/>
        <v>#DIV/0!</v>
      </c>
      <c r="Q151" s="79" t="e">
        <f t="shared" si="5"/>
        <v>#DIV/0!</v>
      </c>
      <c r="R151" s="81" t="e">
        <f t="shared" si="6"/>
        <v>#DIV/0!</v>
      </c>
      <c r="S151" s="82">
        <f t="shared" si="43"/>
        <v>0</v>
      </c>
      <c r="T151" s="83" t="e">
        <f t="shared" si="8"/>
        <v>#DIV/0!</v>
      </c>
      <c r="U151" s="113"/>
      <c r="V151" s="113"/>
      <c r="W151" s="113"/>
      <c r="X151" s="114"/>
      <c r="Y151" s="115"/>
      <c r="Z151" s="68"/>
      <c r="AA151" s="68"/>
    </row>
    <row r="152" spans="1:27" ht="12.75" hidden="1" outlineLevel="1" x14ac:dyDescent="0.2">
      <c r="A152" s="68"/>
      <c r="B152" s="86"/>
      <c r="C152" s="70" t="s">
        <v>46</v>
      </c>
      <c r="D152" s="116">
        <v>1888.85</v>
      </c>
      <c r="E152" s="72"/>
      <c r="F152" s="73">
        <v>43</v>
      </c>
      <c r="G152" s="73">
        <v>42</v>
      </c>
      <c r="H152" s="74">
        <f t="shared" si="0"/>
        <v>1.0238095238095237</v>
      </c>
      <c r="I152" s="75">
        <f t="shared" si="1"/>
        <v>43.926744186046513</v>
      </c>
      <c r="J152" s="76">
        <f t="shared" si="2"/>
        <v>42.905191995673341</v>
      </c>
      <c r="K152" s="116">
        <v>270.85000000000002</v>
      </c>
      <c r="L152" s="73">
        <v>57268</v>
      </c>
      <c r="M152" s="73">
        <v>12</v>
      </c>
      <c r="N152" s="117">
        <v>347.6</v>
      </c>
      <c r="O152" s="79">
        <f t="shared" si="44"/>
        <v>0.77920023014959727</v>
      </c>
      <c r="P152" s="80">
        <f t="shared" si="4"/>
        <v>1.2833671774044675</v>
      </c>
      <c r="Q152" s="79">
        <f t="shared" si="5"/>
        <v>0.14339412870264978</v>
      </c>
      <c r="R152" s="81">
        <f t="shared" si="6"/>
        <v>0.18402731820949256</v>
      </c>
      <c r="S152" s="82">
        <f t="shared" si="43"/>
        <v>1541.25</v>
      </c>
      <c r="T152" s="83">
        <f t="shared" si="8"/>
        <v>22.570833333333336</v>
      </c>
      <c r="U152" s="84"/>
      <c r="V152" s="84"/>
      <c r="W152" s="84"/>
      <c r="X152" s="84"/>
      <c r="Y152" s="85"/>
      <c r="Z152" s="68"/>
      <c r="AA152" s="68"/>
    </row>
    <row r="153" spans="1:27" ht="12.75" hidden="1" outlineLevel="1" x14ac:dyDescent="0.2">
      <c r="A153" s="68"/>
      <c r="B153" s="86"/>
      <c r="C153" s="70" t="s">
        <v>47</v>
      </c>
      <c r="D153" s="87">
        <v>29.85</v>
      </c>
      <c r="E153" s="72"/>
      <c r="F153" s="73">
        <v>1</v>
      </c>
      <c r="G153" s="73">
        <v>1</v>
      </c>
      <c r="H153" s="74">
        <f t="shared" si="0"/>
        <v>1</v>
      </c>
      <c r="I153" s="75">
        <f t="shared" si="1"/>
        <v>29.85</v>
      </c>
      <c r="J153" s="76">
        <f t="shared" si="2"/>
        <v>29.85</v>
      </c>
      <c r="K153" s="87">
        <v>0</v>
      </c>
      <c r="L153" s="73">
        <v>0</v>
      </c>
      <c r="M153" s="73">
        <v>0</v>
      </c>
      <c r="N153" s="88">
        <v>0</v>
      </c>
      <c r="O153" s="79" t="e">
        <f t="shared" si="44"/>
        <v>#DIV/0!</v>
      </c>
      <c r="P153" s="80" t="e">
        <f t="shared" si="4"/>
        <v>#DIV/0!</v>
      </c>
      <c r="Q153" s="79">
        <f t="shared" si="5"/>
        <v>0</v>
      </c>
      <c r="R153" s="81">
        <f t="shared" si="6"/>
        <v>0</v>
      </c>
      <c r="S153" s="82">
        <f t="shared" si="43"/>
        <v>29.85</v>
      </c>
      <c r="T153" s="83" t="e">
        <f t="shared" si="8"/>
        <v>#DIV/0!</v>
      </c>
      <c r="U153" s="84"/>
      <c r="V153" s="84"/>
      <c r="W153" s="84"/>
      <c r="X153" s="84"/>
      <c r="Y153" s="85"/>
      <c r="Z153" s="68"/>
      <c r="AA153" s="68"/>
    </row>
    <row r="154" spans="1:27" ht="12.75" hidden="1" outlineLevel="1" x14ac:dyDescent="0.2">
      <c r="A154" s="68"/>
      <c r="B154" s="86"/>
      <c r="C154" s="70" t="s">
        <v>48</v>
      </c>
      <c r="D154" s="102">
        <v>3999</v>
      </c>
      <c r="E154" s="72"/>
      <c r="F154" s="73">
        <v>20</v>
      </c>
      <c r="G154" s="73">
        <v>21</v>
      </c>
      <c r="H154" s="74">
        <f t="shared" si="0"/>
        <v>0.95238095238095233</v>
      </c>
      <c r="I154" s="75">
        <f t="shared" si="1"/>
        <v>199.95</v>
      </c>
      <c r="J154" s="76">
        <f t="shared" si="2"/>
        <v>209.94749999999999</v>
      </c>
      <c r="K154" s="102">
        <v>353.95</v>
      </c>
      <c r="L154" s="73">
        <v>38602</v>
      </c>
      <c r="M154" s="73">
        <v>13</v>
      </c>
      <c r="N154" s="103">
        <v>2639.35</v>
      </c>
      <c r="O154" s="79">
        <f t="shared" si="44"/>
        <v>0.13410498797052306</v>
      </c>
      <c r="P154" s="80">
        <f t="shared" si="4"/>
        <v>7.4568441870320665</v>
      </c>
      <c r="Q154" s="79">
        <f t="shared" si="5"/>
        <v>8.8509627406851712E-2</v>
      </c>
      <c r="R154" s="81">
        <f t="shared" si="6"/>
        <v>0.66000250062515631</v>
      </c>
      <c r="S154" s="82">
        <f t="shared" si="43"/>
        <v>1359.65</v>
      </c>
      <c r="T154" s="83">
        <f t="shared" si="8"/>
        <v>27.226923076923075</v>
      </c>
      <c r="U154" s="84"/>
      <c r="V154" s="84"/>
      <c r="W154" s="84"/>
      <c r="X154" s="84"/>
      <c r="Y154" s="85"/>
      <c r="Z154" s="68"/>
      <c r="AA154" s="68"/>
    </row>
    <row r="155" spans="1:27" ht="12.75" hidden="1" outlineLevel="1" x14ac:dyDescent="0.2">
      <c r="A155" s="118" t="str">
        <f t="shared" ref="A155:A156" si="45">IFERROR(IF(B155&gt;0,MONTH(B155)&amp;"-"&amp;YEAR(B155),B155),)</f>
        <v>2-2026</v>
      </c>
      <c r="B155" s="69">
        <v>46067</v>
      </c>
      <c r="C155" s="70" t="s">
        <v>49</v>
      </c>
      <c r="D155" s="116">
        <v>0</v>
      </c>
      <c r="E155" s="72"/>
      <c r="F155" s="73">
        <v>0</v>
      </c>
      <c r="G155" s="73">
        <v>0</v>
      </c>
      <c r="H155" s="74" t="e">
        <f t="shared" si="0"/>
        <v>#DIV/0!</v>
      </c>
      <c r="I155" s="75" t="e">
        <f t="shared" si="1"/>
        <v>#DIV/0!</v>
      </c>
      <c r="J155" s="76" t="e">
        <f t="shared" si="2"/>
        <v>#DIV/0!</v>
      </c>
      <c r="K155" s="116">
        <v>9.7799999999999994</v>
      </c>
      <c r="L155" s="73">
        <v>9062</v>
      </c>
      <c r="M155" s="73">
        <v>0</v>
      </c>
      <c r="N155" s="117">
        <v>0</v>
      </c>
      <c r="O155" s="79" t="e">
        <f t="shared" si="44"/>
        <v>#DIV/0!</v>
      </c>
      <c r="P155" s="80">
        <f t="shared" si="4"/>
        <v>0</v>
      </c>
      <c r="Q155" s="79" t="e">
        <f t="shared" si="5"/>
        <v>#DIV/0!</v>
      </c>
      <c r="R155" s="81" t="e">
        <f t="shared" si="6"/>
        <v>#DIV/0!</v>
      </c>
      <c r="S155" s="82">
        <f t="shared" si="43"/>
        <v>0</v>
      </c>
      <c r="T155" s="83" t="e">
        <f t="shared" si="8"/>
        <v>#DIV/0!</v>
      </c>
      <c r="U155" s="84"/>
      <c r="V155" s="84"/>
      <c r="W155" s="84"/>
      <c r="X155" s="84"/>
      <c r="Y155" s="85"/>
      <c r="Z155" s="68"/>
      <c r="AA155" s="68"/>
    </row>
    <row r="156" spans="1:27" ht="12.75" collapsed="1" x14ac:dyDescent="0.2">
      <c r="A156" s="68">
        <f t="shared" si="45"/>
        <v>0</v>
      </c>
      <c r="B156" s="119" t="s">
        <v>57</v>
      </c>
      <c r="C156" s="120"/>
      <c r="D156" s="121">
        <f>SUM(D139:D155)</f>
        <v>18719.590000000004</v>
      </c>
      <c r="E156" s="122"/>
      <c r="F156" s="123">
        <f t="shared" ref="F156:G156" si="46">SUM(F139:F155)</f>
        <v>195</v>
      </c>
      <c r="G156" s="123">
        <f t="shared" si="46"/>
        <v>217</v>
      </c>
      <c r="H156" s="124">
        <f t="shared" si="0"/>
        <v>0.89861751152073732</v>
      </c>
      <c r="I156" s="125">
        <f t="shared" si="1"/>
        <v>95.997897435897457</v>
      </c>
      <c r="J156" s="126">
        <f t="shared" si="2"/>
        <v>106.8284294543064</v>
      </c>
      <c r="K156" s="121">
        <f t="shared" ref="K156:N156" si="47">SUM(K139:K155)</f>
        <v>2968.8499999999995</v>
      </c>
      <c r="L156" s="123">
        <f t="shared" si="47"/>
        <v>810479</v>
      </c>
      <c r="M156" s="123">
        <f t="shared" si="47"/>
        <v>60</v>
      </c>
      <c r="N156" s="127">
        <f t="shared" si="47"/>
        <v>6742.93</v>
      </c>
      <c r="O156" s="128">
        <f t="shared" si="44"/>
        <v>0.44029079346812133</v>
      </c>
      <c r="P156" s="129">
        <f t="shared" si="4"/>
        <v>2.2712262323795414</v>
      </c>
      <c r="Q156" s="128">
        <f t="shared" si="5"/>
        <v>0.15859588805096686</v>
      </c>
      <c r="R156" s="130">
        <f t="shared" si="6"/>
        <v>0.36020714128888504</v>
      </c>
      <c r="S156" s="131">
        <f>SUM(S139:S155)</f>
        <v>11976.660000000002</v>
      </c>
      <c r="T156" s="132">
        <f t="shared" si="8"/>
        <v>49.480833333333322</v>
      </c>
      <c r="U156" s="134">
        <f>IFERROR((D156-#REF!)/D156,)</f>
        <v>0</v>
      </c>
      <c r="V156" s="134">
        <f>IFERROR((F156-#REF!)/F156,)</f>
        <v>0</v>
      </c>
      <c r="W156" s="134">
        <f>IFERROR((D156-#REF!)/D156, )</f>
        <v>0</v>
      </c>
      <c r="X156" s="134">
        <f>IFERROR((F156-#REF!)/F156, )</f>
        <v>0</v>
      </c>
      <c r="Y156" s="68"/>
      <c r="Z156" s="68"/>
      <c r="AA156" s="68"/>
    </row>
    <row r="157" spans="1:27" ht="12.75" outlineLevel="1" x14ac:dyDescent="0.2">
      <c r="A157" s="50"/>
      <c r="B157" s="69">
        <v>46068</v>
      </c>
      <c r="C157" s="70" t="s">
        <v>32</v>
      </c>
      <c r="D157" s="71">
        <v>3998.34</v>
      </c>
      <c r="E157" s="75"/>
      <c r="F157" s="73">
        <v>34</v>
      </c>
      <c r="G157" s="73">
        <v>35</v>
      </c>
      <c r="H157" s="74">
        <f t="shared" si="0"/>
        <v>0.97142857142857142</v>
      </c>
      <c r="I157" s="75">
        <f t="shared" si="1"/>
        <v>117.59823529411766</v>
      </c>
      <c r="J157" s="76">
        <f t="shared" si="2"/>
        <v>121.05700692041523</v>
      </c>
      <c r="K157" s="77">
        <v>658.34</v>
      </c>
      <c r="L157" s="73">
        <v>123278</v>
      </c>
      <c r="M157" s="73">
        <v>11</v>
      </c>
      <c r="N157" s="78">
        <v>1518.8</v>
      </c>
      <c r="O157" s="79">
        <f t="shared" si="44"/>
        <v>0.43346062681064002</v>
      </c>
      <c r="P157" s="80">
        <f t="shared" si="4"/>
        <v>2.3070146125102529</v>
      </c>
      <c r="Q157" s="79">
        <f t="shared" si="5"/>
        <v>0.16465333113241995</v>
      </c>
      <c r="R157" s="81">
        <f t="shared" si="6"/>
        <v>0.37985764092098218</v>
      </c>
      <c r="S157" s="82">
        <f t="shared" ref="S157:S173" si="48">D157-N157</f>
        <v>2479.54</v>
      </c>
      <c r="T157" s="83">
        <f t="shared" si="8"/>
        <v>59.849090909090911</v>
      </c>
      <c r="U157" s="135"/>
      <c r="V157" s="135"/>
      <c r="W157" s="135"/>
      <c r="X157" s="135"/>
      <c r="Y157" s="136"/>
      <c r="Z157" s="50"/>
      <c r="AA157" s="50"/>
    </row>
    <row r="158" spans="1:27" ht="12.75" outlineLevel="1" x14ac:dyDescent="0.2">
      <c r="A158" s="50"/>
      <c r="B158" s="137"/>
      <c r="C158" s="70" t="s">
        <v>33</v>
      </c>
      <c r="D158" s="87">
        <v>12681</v>
      </c>
      <c r="E158" s="75"/>
      <c r="F158" s="73">
        <v>87</v>
      </c>
      <c r="G158" s="73">
        <v>88</v>
      </c>
      <c r="H158" s="74">
        <f t="shared" si="0"/>
        <v>0.98863636363636365</v>
      </c>
      <c r="I158" s="75">
        <f t="shared" si="1"/>
        <v>145.75862068965517</v>
      </c>
      <c r="J158" s="76">
        <f t="shared" si="2"/>
        <v>147.43400713436387</v>
      </c>
      <c r="K158" s="87">
        <v>662.67</v>
      </c>
      <c r="L158" s="73">
        <v>162216</v>
      </c>
      <c r="M158" s="73">
        <v>24</v>
      </c>
      <c r="N158" s="88">
        <v>3428.05</v>
      </c>
      <c r="O158" s="79">
        <f t="shared" si="44"/>
        <v>0.19330814894765244</v>
      </c>
      <c r="P158" s="80">
        <f t="shared" si="4"/>
        <v>5.173087660524847</v>
      </c>
      <c r="Q158" s="79">
        <f t="shared" si="5"/>
        <v>5.2256919801277502E-2</v>
      </c>
      <c r="R158" s="81">
        <f t="shared" si="6"/>
        <v>0.2703296270010252</v>
      </c>
      <c r="S158" s="89">
        <f t="shared" si="48"/>
        <v>9252.9500000000007</v>
      </c>
      <c r="T158" s="83">
        <f t="shared" si="8"/>
        <v>27.611249999999998</v>
      </c>
      <c r="U158" s="135"/>
      <c r="V158" s="135"/>
      <c r="W158" s="135"/>
      <c r="X158" s="135"/>
      <c r="Y158" s="136"/>
      <c r="Z158" s="50"/>
      <c r="AA158" s="50"/>
    </row>
    <row r="159" spans="1:27" ht="12.75" outlineLevel="1" x14ac:dyDescent="0.2">
      <c r="A159" s="50"/>
      <c r="B159" s="137"/>
      <c r="C159" s="70" t="s">
        <v>34</v>
      </c>
      <c r="D159" s="90">
        <v>0</v>
      </c>
      <c r="E159" s="75"/>
      <c r="F159" s="73">
        <v>0</v>
      </c>
      <c r="G159" s="73">
        <v>0</v>
      </c>
      <c r="H159" s="74" t="e">
        <f t="shared" si="0"/>
        <v>#DIV/0!</v>
      </c>
      <c r="I159" s="75" t="e">
        <f t="shared" si="1"/>
        <v>#DIV/0!</v>
      </c>
      <c r="J159" s="76" t="e">
        <f t="shared" si="2"/>
        <v>#DIV/0!</v>
      </c>
      <c r="K159" s="90">
        <v>0</v>
      </c>
      <c r="L159" s="73">
        <v>0</v>
      </c>
      <c r="M159" s="73">
        <v>0</v>
      </c>
      <c r="N159" s="91">
        <v>0</v>
      </c>
      <c r="O159" s="79" t="e">
        <f>(K159/N159)</f>
        <v>#DIV/0!</v>
      </c>
      <c r="P159" s="80" t="e">
        <f t="shared" si="4"/>
        <v>#DIV/0!</v>
      </c>
      <c r="Q159" s="79" t="e">
        <f t="shared" si="5"/>
        <v>#DIV/0!</v>
      </c>
      <c r="R159" s="81" t="e">
        <f t="shared" si="6"/>
        <v>#DIV/0!</v>
      </c>
      <c r="S159" s="92">
        <f t="shared" si="48"/>
        <v>0</v>
      </c>
      <c r="T159" s="83" t="e">
        <f t="shared" si="8"/>
        <v>#DIV/0!</v>
      </c>
      <c r="U159" s="135"/>
      <c r="V159" s="135"/>
      <c r="W159" s="135"/>
      <c r="X159" s="135"/>
      <c r="Y159" s="136"/>
      <c r="Z159" s="50"/>
      <c r="AA159" s="50"/>
    </row>
    <row r="160" spans="1:27" ht="12.75" outlineLevel="1" x14ac:dyDescent="0.2">
      <c r="A160" s="50"/>
      <c r="B160" s="137"/>
      <c r="C160" s="70" t="s">
        <v>35</v>
      </c>
      <c r="D160" s="90">
        <v>0</v>
      </c>
      <c r="E160" s="75"/>
      <c r="F160" s="73">
        <v>0</v>
      </c>
      <c r="G160" s="73">
        <v>0</v>
      </c>
      <c r="H160" s="74" t="e">
        <f t="shared" si="0"/>
        <v>#DIV/0!</v>
      </c>
      <c r="I160" s="75" t="e">
        <f t="shared" si="1"/>
        <v>#DIV/0!</v>
      </c>
      <c r="J160" s="76" t="e">
        <f t="shared" si="2"/>
        <v>#DIV/0!</v>
      </c>
      <c r="K160" s="90">
        <v>531.87</v>
      </c>
      <c r="L160" s="73">
        <v>28333</v>
      </c>
      <c r="M160" s="73">
        <v>13</v>
      </c>
      <c r="N160" s="91">
        <v>770.36</v>
      </c>
      <c r="O160" s="79">
        <f t="shared" ref="O160:O176" si="49">K160/N160</f>
        <v>0.69041746715821173</v>
      </c>
      <c r="P160" s="80">
        <f t="shared" si="4"/>
        <v>1.4483990448793878</v>
      </c>
      <c r="Q160" s="79" t="e">
        <f t="shared" si="5"/>
        <v>#DIV/0!</v>
      </c>
      <c r="R160" s="81" t="e">
        <f t="shared" si="6"/>
        <v>#DIV/0!</v>
      </c>
      <c r="S160" s="92">
        <f t="shared" si="48"/>
        <v>-770.36</v>
      </c>
      <c r="T160" s="83">
        <f t="shared" si="8"/>
        <v>40.913076923076922</v>
      </c>
      <c r="U160" s="135"/>
      <c r="V160" s="135"/>
      <c r="W160" s="135"/>
      <c r="X160" s="135"/>
      <c r="Y160" s="136"/>
      <c r="Z160" s="50"/>
      <c r="AA160" s="50"/>
    </row>
    <row r="161" spans="1:27" ht="12.75" outlineLevel="1" x14ac:dyDescent="0.2">
      <c r="A161" s="50"/>
      <c r="B161" s="137"/>
      <c r="C161" s="70" t="s">
        <v>36</v>
      </c>
      <c r="D161" s="90">
        <v>774.4</v>
      </c>
      <c r="E161" s="75"/>
      <c r="F161" s="73">
        <v>12</v>
      </c>
      <c r="G161" s="73">
        <v>11</v>
      </c>
      <c r="H161" s="74">
        <f t="shared" si="0"/>
        <v>1.0909090909090908</v>
      </c>
      <c r="I161" s="75">
        <f t="shared" si="1"/>
        <v>64.533333333333331</v>
      </c>
      <c r="J161" s="76">
        <f t="shared" si="2"/>
        <v>59.155555555555559</v>
      </c>
      <c r="K161" s="90">
        <v>31.09</v>
      </c>
      <c r="L161" s="73">
        <v>11146</v>
      </c>
      <c r="M161" s="73">
        <v>5</v>
      </c>
      <c r="N161" s="91">
        <v>319.75</v>
      </c>
      <c r="O161" s="79">
        <f t="shared" si="49"/>
        <v>9.7232212666145429E-2</v>
      </c>
      <c r="P161" s="80">
        <f t="shared" si="4"/>
        <v>10.284657446124156</v>
      </c>
      <c r="Q161" s="79">
        <f t="shared" si="5"/>
        <v>4.0147210743801655E-2</v>
      </c>
      <c r="R161" s="81">
        <f t="shared" si="6"/>
        <v>0.41290030991735538</v>
      </c>
      <c r="S161" s="92">
        <f t="shared" si="48"/>
        <v>454.65</v>
      </c>
      <c r="T161" s="83">
        <f t="shared" si="8"/>
        <v>6.218</v>
      </c>
      <c r="U161" s="135"/>
      <c r="V161" s="135"/>
      <c r="W161" s="135"/>
      <c r="X161" s="135"/>
      <c r="Y161" s="136"/>
      <c r="Z161" s="50"/>
      <c r="AA161" s="50"/>
    </row>
    <row r="162" spans="1:27" ht="12.75" outlineLevel="1" x14ac:dyDescent="0.2">
      <c r="A162" s="50"/>
      <c r="B162" s="138" t="s">
        <v>37</v>
      </c>
      <c r="C162" s="70" t="s">
        <v>38</v>
      </c>
      <c r="D162" s="93">
        <v>31.47</v>
      </c>
      <c r="E162" s="75"/>
      <c r="F162" s="73">
        <v>1</v>
      </c>
      <c r="G162" s="73">
        <v>1</v>
      </c>
      <c r="H162" s="74">
        <f t="shared" si="0"/>
        <v>1</v>
      </c>
      <c r="I162" s="75">
        <f t="shared" si="1"/>
        <v>31.47</v>
      </c>
      <c r="J162" s="76">
        <f t="shared" si="2"/>
        <v>31.47</v>
      </c>
      <c r="K162" s="93">
        <v>30.85</v>
      </c>
      <c r="L162" s="73">
        <v>214339</v>
      </c>
      <c r="M162" s="73">
        <v>1</v>
      </c>
      <c r="N162" s="94">
        <v>31.47</v>
      </c>
      <c r="O162" s="79">
        <f t="shared" si="49"/>
        <v>0.98029869717190987</v>
      </c>
      <c r="P162" s="80">
        <f t="shared" si="4"/>
        <v>1.0200972447325769</v>
      </c>
      <c r="Q162" s="79">
        <f t="shared" si="5"/>
        <v>0.98029869717190987</v>
      </c>
      <c r="R162" s="81">
        <f t="shared" si="6"/>
        <v>1</v>
      </c>
      <c r="S162" s="95">
        <f t="shared" si="48"/>
        <v>0</v>
      </c>
      <c r="T162" s="83">
        <f t="shared" si="8"/>
        <v>30.85</v>
      </c>
      <c r="U162" s="135"/>
      <c r="V162" s="135"/>
      <c r="W162" s="135"/>
      <c r="X162" s="135"/>
      <c r="Y162" s="136"/>
      <c r="Z162" s="50"/>
      <c r="AA162" s="50"/>
    </row>
    <row r="163" spans="1:27" ht="12.75" outlineLevel="1" x14ac:dyDescent="0.2">
      <c r="A163" s="50"/>
      <c r="B163" s="137"/>
      <c r="C163" s="70" t="s">
        <v>39</v>
      </c>
      <c r="D163" s="96">
        <v>0</v>
      </c>
      <c r="E163" s="75"/>
      <c r="F163" s="73">
        <v>0</v>
      </c>
      <c r="G163" s="73">
        <v>0</v>
      </c>
      <c r="H163" s="74" t="e">
        <f t="shared" si="0"/>
        <v>#DIV/0!</v>
      </c>
      <c r="I163" s="75" t="e">
        <f t="shared" si="1"/>
        <v>#DIV/0!</v>
      </c>
      <c r="J163" s="76" t="e">
        <f t="shared" si="2"/>
        <v>#DIV/0!</v>
      </c>
      <c r="K163" s="96">
        <v>0</v>
      </c>
      <c r="L163" s="73">
        <v>0</v>
      </c>
      <c r="M163" s="73">
        <v>0</v>
      </c>
      <c r="N163" s="97">
        <v>0</v>
      </c>
      <c r="O163" s="79" t="e">
        <f t="shared" si="49"/>
        <v>#DIV/0!</v>
      </c>
      <c r="P163" s="80" t="e">
        <f t="shared" si="4"/>
        <v>#DIV/0!</v>
      </c>
      <c r="Q163" s="79" t="e">
        <f t="shared" si="5"/>
        <v>#DIV/0!</v>
      </c>
      <c r="R163" s="81" t="e">
        <f t="shared" si="6"/>
        <v>#DIV/0!</v>
      </c>
      <c r="S163" s="98">
        <f t="shared" si="48"/>
        <v>0</v>
      </c>
      <c r="T163" s="83" t="e">
        <f t="shared" si="8"/>
        <v>#DIV/0!</v>
      </c>
      <c r="U163" s="135"/>
      <c r="V163" s="135"/>
      <c r="W163" s="135"/>
      <c r="X163" s="135"/>
      <c r="Y163" s="136"/>
      <c r="Z163" s="50"/>
      <c r="AA163" s="50"/>
    </row>
    <row r="164" spans="1:27" ht="12.75" outlineLevel="1" x14ac:dyDescent="0.2">
      <c r="A164" s="50"/>
      <c r="B164" s="137"/>
      <c r="C164" s="70" t="s">
        <v>40</v>
      </c>
      <c r="D164" s="99">
        <v>0</v>
      </c>
      <c r="E164" s="75"/>
      <c r="F164" s="73">
        <v>0</v>
      </c>
      <c r="G164" s="73">
        <v>0</v>
      </c>
      <c r="H164" s="74" t="e">
        <f t="shared" si="0"/>
        <v>#DIV/0!</v>
      </c>
      <c r="I164" s="75" t="e">
        <f t="shared" si="1"/>
        <v>#DIV/0!</v>
      </c>
      <c r="J164" s="76" t="e">
        <f t="shared" si="2"/>
        <v>#DIV/0!</v>
      </c>
      <c r="K164" s="99">
        <v>0</v>
      </c>
      <c r="L164" s="73">
        <v>0</v>
      </c>
      <c r="M164" s="73">
        <v>0</v>
      </c>
      <c r="N164" s="100">
        <v>0</v>
      </c>
      <c r="O164" s="79" t="e">
        <f t="shared" si="49"/>
        <v>#DIV/0!</v>
      </c>
      <c r="P164" s="80" t="e">
        <f t="shared" si="4"/>
        <v>#DIV/0!</v>
      </c>
      <c r="Q164" s="79" t="e">
        <f t="shared" si="5"/>
        <v>#DIV/0!</v>
      </c>
      <c r="R164" s="81" t="e">
        <f t="shared" si="6"/>
        <v>#DIV/0!</v>
      </c>
      <c r="S164" s="101">
        <f t="shared" si="48"/>
        <v>0</v>
      </c>
      <c r="T164" s="83" t="e">
        <f t="shared" si="8"/>
        <v>#DIV/0!</v>
      </c>
      <c r="U164" s="135"/>
      <c r="V164" s="135"/>
      <c r="W164" s="135"/>
      <c r="X164" s="135"/>
      <c r="Y164" s="136"/>
      <c r="Z164" s="50"/>
      <c r="AA164" s="50"/>
    </row>
    <row r="165" spans="1:27" ht="12.75" outlineLevel="1" x14ac:dyDescent="0.2">
      <c r="A165" s="50"/>
      <c r="B165" s="137"/>
      <c r="C165" s="70" t="s">
        <v>41</v>
      </c>
      <c r="D165" s="102">
        <v>2455.63</v>
      </c>
      <c r="E165" s="75"/>
      <c r="F165" s="73">
        <v>39</v>
      </c>
      <c r="G165" s="73">
        <v>37</v>
      </c>
      <c r="H165" s="74">
        <f t="shared" si="0"/>
        <v>1.0540540540540539</v>
      </c>
      <c r="I165" s="75">
        <f t="shared" si="1"/>
        <v>62.964871794871797</v>
      </c>
      <c r="J165" s="76">
        <f t="shared" si="2"/>
        <v>59.735904010519405</v>
      </c>
      <c r="K165" s="102">
        <v>608.71</v>
      </c>
      <c r="L165" s="73">
        <v>49867</v>
      </c>
      <c r="M165" s="73">
        <v>13</v>
      </c>
      <c r="N165" s="103">
        <v>844.88</v>
      </c>
      <c r="O165" s="79">
        <f t="shared" si="49"/>
        <v>0.72046917905501373</v>
      </c>
      <c r="P165" s="80">
        <f t="shared" si="4"/>
        <v>1.3879844260813852</v>
      </c>
      <c r="Q165" s="79">
        <f t="shared" si="5"/>
        <v>0.24788343520807288</v>
      </c>
      <c r="R165" s="81">
        <f t="shared" si="6"/>
        <v>0.34405834755235926</v>
      </c>
      <c r="S165" s="104">
        <f t="shared" si="48"/>
        <v>1610.75</v>
      </c>
      <c r="T165" s="83">
        <f t="shared" si="8"/>
        <v>46.823846153846155</v>
      </c>
      <c r="U165" s="135"/>
      <c r="V165" s="135"/>
      <c r="W165" s="135"/>
      <c r="X165" s="135"/>
      <c r="Y165" s="136"/>
      <c r="Z165" s="50"/>
      <c r="AA165" s="50"/>
    </row>
    <row r="166" spans="1:27" ht="12.75" outlineLevel="1" x14ac:dyDescent="0.2">
      <c r="A166" s="50"/>
      <c r="B166" s="137"/>
      <c r="C166" s="70" t="s">
        <v>42</v>
      </c>
      <c r="D166" s="90">
        <v>209.85</v>
      </c>
      <c r="E166" s="75"/>
      <c r="F166" s="73">
        <v>11</v>
      </c>
      <c r="G166" s="73">
        <v>5</v>
      </c>
      <c r="H166" s="74">
        <f t="shared" si="0"/>
        <v>2.2000000000000002</v>
      </c>
      <c r="I166" s="75">
        <f t="shared" si="1"/>
        <v>19.077272727272728</v>
      </c>
      <c r="J166" s="76">
        <f t="shared" si="2"/>
        <v>8.6714876033057848</v>
      </c>
      <c r="K166" s="90">
        <v>429.11</v>
      </c>
      <c r="L166" s="73">
        <v>81326</v>
      </c>
      <c r="M166" s="73">
        <v>4</v>
      </c>
      <c r="N166" s="91">
        <v>79.959999999999994</v>
      </c>
      <c r="O166" s="79">
        <f t="shared" si="49"/>
        <v>5.3665582791395705</v>
      </c>
      <c r="P166" s="80">
        <f t="shared" si="4"/>
        <v>0.18633916711332757</v>
      </c>
      <c r="Q166" s="79">
        <f t="shared" si="5"/>
        <v>2.0448415534905888</v>
      </c>
      <c r="R166" s="81">
        <f t="shared" si="6"/>
        <v>0.38103407195615913</v>
      </c>
      <c r="S166" s="92">
        <f t="shared" si="48"/>
        <v>129.88999999999999</v>
      </c>
      <c r="T166" s="83">
        <f t="shared" si="8"/>
        <v>107.2775</v>
      </c>
      <c r="U166" s="135"/>
      <c r="V166" s="135"/>
      <c r="W166" s="135"/>
      <c r="X166" s="135"/>
      <c r="Y166" s="136"/>
      <c r="Z166" s="50"/>
      <c r="AA166" s="50"/>
    </row>
    <row r="167" spans="1:27" ht="12.75" outlineLevel="1" x14ac:dyDescent="0.2">
      <c r="A167" s="50"/>
      <c r="B167" s="137"/>
      <c r="C167" s="70" t="s">
        <v>43</v>
      </c>
      <c r="D167" s="105">
        <v>1746.22</v>
      </c>
      <c r="E167" s="75"/>
      <c r="F167" s="73">
        <v>14</v>
      </c>
      <c r="G167" s="73">
        <v>15</v>
      </c>
      <c r="H167" s="74">
        <f t="shared" si="0"/>
        <v>0.93333333333333335</v>
      </c>
      <c r="I167" s="75">
        <f t="shared" si="1"/>
        <v>124.73</v>
      </c>
      <c r="J167" s="76">
        <f t="shared" si="2"/>
        <v>133.63928571428571</v>
      </c>
      <c r="K167" s="105">
        <v>51.61</v>
      </c>
      <c r="L167" s="73">
        <v>17696</v>
      </c>
      <c r="M167" s="73">
        <v>2</v>
      </c>
      <c r="N167" s="106">
        <v>284.44</v>
      </c>
      <c r="O167" s="79">
        <f t="shared" si="49"/>
        <v>0.18144424131627057</v>
      </c>
      <c r="P167" s="80">
        <f t="shared" si="4"/>
        <v>5.5113350125944587</v>
      </c>
      <c r="Q167" s="79">
        <f t="shared" si="5"/>
        <v>2.9555267950201004E-2</v>
      </c>
      <c r="R167" s="81">
        <f t="shared" si="6"/>
        <v>0.16288898306055366</v>
      </c>
      <c r="S167" s="107">
        <f t="shared" si="48"/>
        <v>1461.78</v>
      </c>
      <c r="T167" s="83">
        <f t="shared" si="8"/>
        <v>25.805</v>
      </c>
      <c r="U167" s="135"/>
      <c r="V167" s="135"/>
      <c r="W167" s="135"/>
      <c r="X167" s="135"/>
      <c r="Y167" s="136"/>
      <c r="Z167" s="50"/>
      <c r="AA167" s="50"/>
    </row>
    <row r="168" spans="1:27" ht="12.75" outlineLevel="1" x14ac:dyDescent="0.2">
      <c r="A168" s="50"/>
      <c r="B168" s="137"/>
      <c r="C168" s="70" t="s">
        <v>44</v>
      </c>
      <c r="D168" s="108">
        <v>254.76</v>
      </c>
      <c r="E168" s="75"/>
      <c r="F168" s="73">
        <v>6</v>
      </c>
      <c r="G168" s="73">
        <v>7</v>
      </c>
      <c r="H168" s="74">
        <f t="shared" si="0"/>
        <v>0.8571428571428571</v>
      </c>
      <c r="I168" s="75">
        <f t="shared" si="1"/>
        <v>42.46</v>
      </c>
      <c r="J168" s="76">
        <f t="shared" si="2"/>
        <v>49.536666666666669</v>
      </c>
      <c r="K168" s="108">
        <v>100.74</v>
      </c>
      <c r="L168" s="73">
        <v>67853</v>
      </c>
      <c r="M168" s="73">
        <v>1</v>
      </c>
      <c r="N168" s="109">
        <v>44.96</v>
      </c>
      <c r="O168" s="79">
        <f t="shared" si="49"/>
        <v>2.2406583629893237</v>
      </c>
      <c r="P168" s="80">
        <f t="shared" si="4"/>
        <v>0.4462973992455827</v>
      </c>
      <c r="Q168" s="79">
        <f t="shared" si="5"/>
        <v>0.3954309938765897</v>
      </c>
      <c r="R168" s="81">
        <f t="shared" si="6"/>
        <v>0.17647982414821795</v>
      </c>
      <c r="S168" s="110">
        <f t="shared" si="48"/>
        <v>209.79999999999998</v>
      </c>
      <c r="T168" s="83">
        <f t="shared" si="8"/>
        <v>100.74</v>
      </c>
      <c r="U168" s="135"/>
      <c r="V168" s="135"/>
      <c r="W168" s="135"/>
      <c r="X168" s="135"/>
      <c r="Y168" s="136"/>
      <c r="Z168" s="50"/>
      <c r="AA168" s="50"/>
    </row>
    <row r="169" spans="1:27" ht="12.75" outlineLevel="1" x14ac:dyDescent="0.2">
      <c r="A169" s="139"/>
      <c r="B169" s="137"/>
      <c r="C169" s="112" t="s">
        <v>45</v>
      </c>
      <c r="D169" s="71">
        <v>0</v>
      </c>
      <c r="E169" s="75"/>
      <c r="F169" s="73">
        <v>0</v>
      </c>
      <c r="G169" s="73">
        <v>0</v>
      </c>
      <c r="H169" s="74" t="e">
        <f t="shared" si="0"/>
        <v>#DIV/0!</v>
      </c>
      <c r="I169" s="75" t="e">
        <f t="shared" si="1"/>
        <v>#DIV/0!</v>
      </c>
      <c r="J169" s="76" t="e">
        <f t="shared" si="2"/>
        <v>#DIV/0!</v>
      </c>
      <c r="K169" s="71">
        <v>0</v>
      </c>
      <c r="L169" s="73">
        <v>0</v>
      </c>
      <c r="M169" s="73">
        <v>0</v>
      </c>
      <c r="N169" s="78">
        <v>0</v>
      </c>
      <c r="O169" s="79" t="e">
        <f t="shared" si="49"/>
        <v>#DIV/0!</v>
      </c>
      <c r="P169" s="80" t="e">
        <f t="shared" si="4"/>
        <v>#DIV/0!</v>
      </c>
      <c r="Q169" s="79" t="e">
        <f t="shared" si="5"/>
        <v>#DIV/0!</v>
      </c>
      <c r="R169" s="81" t="e">
        <f t="shared" si="6"/>
        <v>#DIV/0!</v>
      </c>
      <c r="S169" s="82">
        <f t="shared" si="48"/>
        <v>0</v>
      </c>
      <c r="T169" s="83" t="e">
        <f t="shared" si="8"/>
        <v>#DIV/0!</v>
      </c>
      <c r="U169" s="140"/>
      <c r="V169" s="140"/>
      <c r="W169" s="140"/>
      <c r="X169" s="141"/>
      <c r="Y169" s="142"/>
      <c r="Z169" s="50"/>
      <c r="AA169" s="50"/>
    </row>
    <row r="170" spans="1:27" ht="12.75" outlineLevel="1" x14ac:dyDescent="0.2">
      <c r="A170" s="118"/>
      <c r="B170" s="69"/>
      <c r="C170" s="70" t="s">
        <v>46</v>
      </c>
      <c r="D170" s="116">
        <v>2848.75</v>
      </c>
      <c r="E170" s="75"/>
      <c r="F170" s="73">
        <v>77</v>
      </c>
      <c r="G170" s="73">
        <v>76</v>
      </c>
      <c r="H170" s="74">
        <f t="shared" si="0"/>
        <v>1.013157894736842</v>
      </c>
      <c r="I170" s="75">
        <f t="shared" si="1"/>
        <v>36.996753246753244</v>
      </c>
      <c r="J170" s="76">
        <f t="shared" si="2"/>
        <v>36.516275931860349</v>
      </c>
      <c r="K170" s="116">
        <v>269.75</v>
      </c>
      <c r="L170" s="73">
        <v>62334</v>
      </c>
      <c r="M170" s="73">
        <v>22</v>
      </c>
      <c r="N170" s="117">
        <v>573.34</v>
      </c>
      <c r="O170" s="79">
        <f t="shared" si="49"/>
        <v>0.47048871524749708</v>
      </c>
      <c r="P170" s="80">
        <f t="shared" si="4"/>
        <v>2.1254494902687675</v>
      </c>
      <c r="Q170" s="79">
        <f t="shared" si="5"/>
        <v>9.4690653795524354E-2</v>
      </c>
      <c r="R170" s="81">
        <f t="shared" si="6"/>
        <v>0.20126020184291357</v>
      </c>
      <c r="S170" s="82">
        <f t="shared" si="48"/>
        <v>2275.41</v>
      </c>
      <c r="T170" s="83">
        <f t="shared" si="8"/>
        <v>12.261363636363637</v>
      </c>
      <c r="U170" s="143"/>
      <c r="V170" s="143"/>
      <c r="W170" s="143"/>
      <c r="X170" s="143"/>
      <c r="Y170" s="144"/>
      <c r="Z170" s="118"/>
      <c r="AA170" s="118"/>
    </row>
    <row r="171" spans="1:27" ht="12.75" outlineLevel="1" x14ac:dyDescent="0.2">
      <c r="A171" s="50"/>
      <c r="B171" s="137"/>
      <c r="C171" s="70" t="s">
        <v>47</v>
      </c>
      <c r="D171" s="87">
        <v>119.4</v>
      </c>
      <c r="E171" s="75"/>
      <c r="F171" s="73">
        <v>4</v>
      </c>
      <c r="G171" s="73">
        <v>1</v>
      </c>
      <c r="H171" s="74">
        <f t="shared" si="0"/>
        <v>4</v>
      </c>
      <c r="I171" s="75">
        <f t="shared" si="1"/>
        <v>29.85</v>
      </c>
      <c r="J171" s="76">
        <f t="shared" si="2"/>
        <v>7.4625000000000004</v>
      </c>
      <c r="K171" s="87">
        <v>0</v>
      </c>
      <c r="L171" s="73">
        <v>0</v>
      </c>
      <c r="M171" s="73">
        <v>0</v>
      </c>
      <c r="N171" s="88">
        <v>0</v>
      </c>
      <c r="O171" s="79" t="e">
        <f t="shared" si="49"/>
        <v>#DIV/0!</v>
      </c>
      <c r="P171" s="80" t="e">
        <f t="shared" si="4"/>
        <v>#DIV/0!</v>
      </c>
      <c r="Q171" s="79">
        <f t="shared" si="5"/>
        <v>0</v>
      </c>
      <c r="R171" s="81">
        <f t="shared" si="6"/>
        <v>0</v>
      </c>
      <c r="S171" s="82">
        <f t="shared" si="48"/>
        <v>119.4</v>
      </c>
      <c r="T171" s="83" t="e">
        <f t="shared" si="8"/>
        <v>#DIV/0!</v>
      </c>
      <c r="U171" s="135"/>
      <c r="V171" s="135"/>
      <c r="W171" s="135"/>
      <c r="X171" s="135"/>
      <c r="Y171" s="136"/>
      <c r="Z171" s="50"/>
      <c r="AA171" s="50"/>
    </row>
    <row r="172" spans="1:27" ht="12.75" outlineLevel="1" x14ac:dyDescent="0.2">
      <c r="A172" s="50"/>
      <c r="B172" s="137"/>
      <c r="C172" s="70" t="s">
        <v>48</v>
      </c>
      <c r="D172" s="102">
        <v>1739.55</v>
      </c>
      <c r="E172" s="75"/>
      <c r="F172" s="73">
        <v>9</v>
      </c>
      <c r="G172" s="73">
        <v>10</v>
      </c>
      <c r="H172" s="74">
        <f t="shared" si="0"/>
        <v>0.9</v>
      </c>
      <c r="I172" s="75">
        <f t="shared" si="1"/>
        <v>193.28333333333333</v>
      </c>
      <c r="J172" s="76">
        <f t="shared" si="2"/>
        <v>214.75925925925924</v>
      </c>
      <c r="K172" s="102">
        <v>317.91000000000003</v>
      </c>
      <c r="L172" s="73">
        <v>33421</v>
      </c>
      <c r="M172" s="73">
        <v>9</v>
      </c>
      <c r="N172" s="103">
        <v>1719.55</v>
      </c>
      <c r="O172" s="79">
        <f t="shared" si="49"/>
        <v>0.18487976505481088</v>
      </c>
      <c r="P172" s="80">
        <f t="shared" si="4"/>
        <v>5.4089207637381644</v>
      </c>
      <c r="Q172" s="79">
        <f t="shared" si="5"/>
        <v>0.18275416055876523</v>
      </c>
      <c r="R172" s="81">
        <f t="shared" si="6"/>
        <v>0.9885027737058435</v>
      </c>
      <c r="S172" s="82">
        <f t="shared" si="48"/>
        <v>20</v>
      </c>
      <c r="T172" s="83">
        <f t="shared" si="8"/>
        <v>35.323333333333338</v>
      </c>
      <c r="U172" s="135"/>
      <c r="V172" s="135"/>
      <c r="W172" s="135"/>
      <c r="X172" s="135"/>
      <c r="Y172" s="136"/>
      <c r="Z172" s="50"/>
      <c r="AA172" s="50"/>
    </row>
    <row r="173" spans="1:27" ht="12.75" outlineLevel="1" x14ac:dyDescent="0.2">
      <c r="A173" s="118" t="str">
        <f t="shared" ref="A173:A174" si="50">IFERROR(IF(B173&gt;0,MONTH(B173)&amp;"-"&amp;YEAR(B173),B173),)</f>
        <v>2-2026</v>
      </c>
      <c r="B173" s="69">
        <v>46074</v>
      </c>
      <c r="C173" s="70" t="s">
        <v>49</v>
      </c>
      <c r="D173" s="116">
        <v>106.8</v>
      </c>
      <c r="E173" s="75"/>
      <c r="F173" s="73">
        <v>2</v>
      </c>
      <c r="G173" s="73">
        <v>2</v>
      </c>
      <c r="H173" s="74">
        <f t="shared" si="0"/>
        <v>1</v>
      </c>
      <c r="I173" s="75">
        <f t="shared" si="1"/>
        <v>53.4</v>
      </c>
      <c r="J173" s="76">
        <f t="shared" si="2"/>
        <v>53.4</v>
      </c>
      <c r="K173" s="116">
        <v>3.09</v>
      </c>
      <c r="L173" s="73">
        <v>7258</v>
      </c>
      <c r="M173" s="73">
        <v>0</v>
      </c>
      <c r="N173" s="117">
        <v>0</v>
      </c>
      <c r="O173" s="79" t="e">
        <f t="shared" si="49"/>
        <v>#DIV/0!</v>
      </c>
      <c r="P173" s="80">
        <f t="shared" si="4"/>
        <v>0</v>
      </c>
      <c r="Q173" s="79">
        <f t="shared" si="5"/>
        <v>2.8932584269662921E-2</v>
      </c>
      <c r="R173" s="81">
        <f t="shared" si="6"/>
        <v>0</v>
      </c>
      <c r="S173" s="82">
        <f t="shared" si="48"/>
        <v>106.8</v>
      </c>
      <c r="T173" s="83" t="e">
        <f t="shared" si="8"/>
        <v>#DIV/0!</v>
      </c>
      <c r="U173" s="135"/>
      <c r="V173" s="135"/>
      <c r="W173" s="135"/>
      <c r="X173" s="135"/>
      <c r="Y173" s="136"/>
      <c r="Z173" s="50"/>
      <c r="AA173" s="50"/>
    </row>
    <row r="174" spans="1:27" ht="16.5" customHeight="1" x14ac:dyDescent="0.2">
      <c r="A174" s="50">
        <f t="shared" si="50"/>
        <v>0</v>
      </c>
      <c r="B174" s="119" t="s">
        <v>58</v>
      </c>
      <c r="C174" s="145"/>
      <c r="D174" s="121">
        <f>SUM(D157:D173)</f>
        <v>26966.170000000002</v>
      </c>
      <c r="E174" s="125"/>
      <c r="F174" s="123">
        <f t="shared" ref="F174:G174" si="51">SUM(F157:F173)</f>
        <v>296</v>
      </c>
      <c r="G174" s="123">
        <f t="shared" si="51"/>
        <v>288</v>
      </c>
      <c r="H174" s="124">
        <f t="shared" si="0"/>
        <v>1.0277777777777777</v>
      </c>
      <c r="I174" s="125">
        <f t="shared" si="1"/>
        <v>91.101925675675687</v>
      </c>
      <c r="J174" s="126">
        <f t="shared" si="2"/>
        <v>88.639711468225002</v>
      </c>
      <c r="K174" s="121">
        <f t="shared" ref="K174:N174" si="52">SUM(K157:K173)</f>
        <v>3695.74</v>
      </c>
      <c r="L174" s="123">
        <f t="shared" si="52"/>
        <v>859067</v>
      </c>
      <c r="M174" s="123">
        <f t="shared" si="52"/>
        <v>105</v>
      </c>
      <c r="N174" s="127">
        <f t="shared" si="52"/>
        <v>9615.56</v>
      </c>
      <c r="O174" s="128">
        <f t="shared" si="49"/>
        <v>0.38434994945692191</v>
      </c>
      <c r="P174" s="129">
        <f t="shared" si="4"/>
        <v>2.6017955808579609</v>
      </c>
      <c r="Q174" s="128">
        <f t="shared" si="5"/>
        <v>0.13705097906005931</v>
      </c>
      <c r="R174" s="130">
        <f t="shared" si="6"/>
        <v>0.35657863167071924</v>
      </c>
      <c r="S174" s="131">
        <f>SUM(S157:S173)</f>
        <v>17350.61</v>
      </c>
      <c r="T174" s="132">
        <f t="shared" si="8"/>
        <v>35.197523809523808</v>
      </c>
      <c r="U174" s="133">
        <f>IFERROR((D174-#REF!)/D174,)</f>
        <v>0</v>
      </c>
      <c r="V174" s="133">
        <f>IFERROR((F174-#REF!)/F174,)</f>
        <v>0</v>
      </c>
      <c r="W174" s="133">
        <f>IFERROR((D174-#REF!)/D174, )</f>
        <v>0</v>
      </c>
      <c r="X174" s="133">
        <f>IFERROR((F174-#REF!)/F174, )</f>
        <v>0</v>
      </c>
      <c r="Y174" s="50"/>
      <c r="Z174" s="50"/>
      <c r="AA174" s="50"/>
    </row>
    <row r="175" spans="1:27" ht="12.75" outlineLevel="1" x14ac:dyDescent="0.2">
      <c r="A175" s="50"/>
      <c r="B175" s="69">
        <v>46075</v>
      </c>
      <c r="C175" s="70" t="s">
        <v>32</v>
      </c>
      <c r="D175" s="71">
        <v>4621.82</v>
      </c>
      <c r="E175" s="75"/>
      <c r="F175" s="73">
        <v>34</v>
      </c>
      <c r="G175" s="73">
        <v>29</v>
      </c>
      <c r="H175" s="74">
        <f t="shared" si="0"/>
        <v>1.1724137931034482</v>
      </c>
      <c r="I175" s="75">
        <f t="shared" si="1"/>
        <v>135.93588235294118</v>
      </c>
      <c r="J175" s="76">
        <f t="shared" si="2"/>
        <v>115.94531141868514</v>
      </c>
      <c r="K175" s="77">
        <v>577.74</v>
      </c>
      <c r="L175" s="73">
        <v>97214</v>
      </c>
      <c r="M175" s="73">
        <v>14</v>
      </c>
      <c r="N175" s="78">
        <v>656.95</v>
      </c>
      <c r="O175" s="79">
        <f t="shared" si="49"/>
        <v>0.87942765811705603</v>
      </c>
      <c r="P175" s="80">
        <f t="shared" si="4"/>
        <v>1.1371031952089177</v>
      </c>
      <c r="Q175" s="79">
        <f t="shared" si="5"/>
        <v>0.12500270456227203</v>
      </c>
      <c r="R175" s="81">
        <f t="shared" si="6"/>
        <v>0.14214097476751586</v>
      </c>
      <c r="S175" s="82">
        <f t="shared" ref="S175:S191" si="53">D175-N175</f>
        <v>3964.87</v>
      </c>
      <c r="T175" s="83">
        <f t="shared" si="8"/>
        <v>41.267142857142858</v>
      </c>
      <c r="U175" s="135"/>
      <c r="V175" s="135"/>
      <c r="W175" s="135"/>
      <c r="X175" s="135"/>
      <c r="Y175" s="136"/>
      <c r="Z175" s="50"/>
      <c r="AA175" s="50"/>
    </row>
    <row r="176" spans="1:27" ht="12.75" outlineLevel="1" x14ac:dyDescent="0.2">
      <c r="A176" s="50"/>
      <c r="B176" s="137"/>
      <c r="C176" s="70" t="s">
        <v>33</v>
      </c>
      <c r="D176" s="87">
        <v>6450.93</v>
      </c>
      <c r="E176" s="75"/>
      <c r="F176" s="73">
        <v>68</v>
      </c>
      <c r="G176" s="73">
        <v>75</v>
      </c>
      <c r="H176" s="74">
        <f t="shared" si="0"/>
        <v>0.90666666666666662</v>
      </c>
      <c r="I176" s="75">
        <f t="shared" si="1"/>
        <v>94.866617647058831</v>
      </c>
      <c r="J176" s="76">
        <f t="shared" si="2"/>
        <v>104.63229887543254</v>
      </c>
      <c r="K176" s="87">
        <v>638.91999999999996</v>
      </c>
      <c r="L176" s="73">
        <v>167762</v>
      </c>
      <c r="M176" s="73">
        <v>20</v>
      </c>
      <c r="N176" s="88">
        <v>1630.5</v>
      </c>
      <c r="O176" s="79">
        <f t="shared" si="49"/>
        <v>0.39185525912296837</v>
      </c>
      <c r="P176" s="80">
        <f t="shared" si="4"/>
        <v>2.5519626870343708</v>
      </c>
      <c r="Q176" s="79">
        <f t="shared" si="5"/>
        <v>9.9043083710410734E-2</v>
      </c>
      <c r="R176" s="81">
        <f t="shared" si="6"/>
        <v>0.25275425403778989</v>
      </c>
      <c r="S176" s="89">
        <f t="shared" si="53"/>
        <v>4820.43</v>
      </c>
      <c r="T176" s="83">
        <f t="shared" si="8"/>
        <v>31.945999999999998</v>
      </c>
      <c r="U176" s="135"/>
      <c r="V176" s="135"/>
      <c r="W176" s="135"/>
      <c r="X176" s="135"/>
      <c r="Y176" s="136"/>
      <c r="Z176" s="50"/>
      <c r="AA176" s="50"/>
    </row>
    <row r="177" spans="1:27" ht="12.75" outlineLevel="1" x14ac:dyDescent="0.2">
      <c r="A177" s="50"/>
      <c r="B177" s="137"/>
      <c r="C177" s="70" t="s">
        <v>34</v>
      </c>
      <c r="D177" s="90">
        <v>0</v>
      </c>
      <c r="E177" s="75"/>
      <c r="F177" s="73">
        <v>0</v>
      </c>
      <c r="G177" s="73">
        <v>0</v>
      </c>
      <c r="H177" s="74" t="e">
        <f t="shared" si="0"/>
        <v>#DIV/0!</v>
      </c>
      <c r="I177" s="75" t="e">
        <f t="shared" si="1"/>
        <v>#DIV/0!</v>
      </c>
      <c r="J177" s="76" t="e">
        <f t="shared" si="2"/>
        <v>#DIV/0!</v>
      </c>
      <c r="K177" s="90">
        <v>0</v>
      </c>
      <c r="L177" s="73">
        <v>0</v>
      </c>
      <c r="M177" s="73">
        <v>0</v>
      </c>
      <c r="N177" s="91">
        <v>0</v>
      </c>
      <c r="O177" s="79" t="e">
        <f>(K177/N177)</f>
        <v>#DIV/0!</v>
      </c>
      <c r="P177" s="80" t="e">
        <f t="shared" si="4"/>
        <v>#DIV/0!</v>
      </c>
      <c r="Q177" s="79" t="e">
        <f t="shared" si="5"/>
        <v>#DIV/0!</v>
      </c>
      <c r="R177" s="81" t="e">
        <f t="shared" si="6"/>
        <v>#DIV/0!</v>
      </c>
      <c r="S177" s="92">
        <f t="shared" si="53"/>
        <v>0</v>
      </c>
      <c r="T177" s="83" t="e">
        <f t="shared" si="8"/>
        <v>#DIV/0!</v>
      </c>
      <c r="U177" s="135"/>
      <c r="V177" s="135"/>
      <c r="W177" s="135"/>
      <c r="X177" s="135"/>
      <c r="Y177" s="136"/>
      <c r="Z177" s="50"/>
      <c r="AA177" s="50"/>
    </row>
    <row r="178" spans="1:27" ht="12.75" outlineLevel="1" x14ac:dyDescent="0.2">
      <c r="A178" s="50"/>
      <c r="B178" s="137"/>
      <c r="C178" s="70" t="s">
        <v>35</v>
      </c>
      <c r="D178" s="90">
        <v>839.3</v>
      </c>
      <c r="E178" s="75"/>
      <c r="F178" s="73">
        <v>14</v>
      </c>
      <c r="G178" s="73">
        <v>14</v>
      </c>
      <c r="H178" s="74">
        <f t="shared" si="0"/>
        <v>1</v>
      </c>
      <c r="I178" s="75">
        <f t="shared" si="1"/>
        <v>59.949999999999996</v>
      </c>
      <c r="J178" s="76">
        <f t="shared" si="2"/>
        <v>59.949999999999996</v>
      </c>
      <c r="K178" s="90">
        <v>379.57</v>
      </c>
      <c r="L178" s="73">
        <v>20723</v>
      </c>
      <c r="M178" s="73">
        <v>9</v>
      </c>
      <c r="N178" s="91">
        <v>539.54999999999995</v>
      </c>
      <c r="O178" s="79">
        <f t="shared" ref="O178:O192" si="54">K178/N178</f>
        <v>0.70349365211750536</v>
      </c>
      <c r="P178" s="80">
        <f t="shared" si="4"/>
        <v>1.4214769344257976</v>
      </c>
      <c r="Q178" s="79">
        <f t="shared" si="5"/>
        <v>0.4522459192183963</v>
      </c>
      <c r="R178" s="81">
        <f t="shared" si="6"/>
        <v>0.64285714285714279</v>
      </c>
      <c r="S178" s="92">
        <f t="shared" si="53"/>
        <v>299.75</v>
      </c>
      <c r="T178" s="83">
        <f t="shared" si="8"/>
        <v>42.174444444444447</v>
      </c>
      <c r="U178" s="135"/>
      <c r="V178" s="135"/>
      <c r="W178" s="135"/>
      <c r="X178" s="135"/>
      <c r="Y178" s="136"/>
      <c r="Z178" s="50"/>
      <c r="AA178" s="50"/>
    </row>
    <row r="179" spans="1:27" ht="12.75" outlineLevel="1" x14ac:dyDescent="0.2">
      <c r="A179" s="50"/>
      <c r="B179" s="137"/>
      <c r="C179" s="70" t="s">
        <v>36</v>
      </c>
      <c r="D179" s="90">
        <v>709.45</v>
      </c>
      <c r="E179" s="75"/>
      <c r="F179" s="73">
        <v>11</v>
      </c>
      <c r="G179" s="73">
        <v>11</v>
      </c>
      <c r="H179" s="74">
        <f t="shared" si="0"/>
        <v>1</v>
      </c>
      <c r="I179" s="75">
        <f t="shared" si="1"/>
        <v>64.49545454545455</v>
      </c>
      <c r="J179" s="76">
        <f t="shared" si="2"/>
        <v>64.49545454545455</v>
      </c>
      <c r="K179" s="90">
        <v>24.15</v>
      </c>
      <c r="L179" s="73">
        <v>7154</v>
      </c>
      <c r="M179" s="73">
        <v>3</v>
      </c>
      <c r="N179" s="91">
        <v>199.85</v>
      </c>
      <c r="O179" s="79">
        <f t="shared" si="54"/>
        <v>0.12084063047285463</v>
      </c>
      <c r="P179" s="80">
        <f t="shared" si="4"/>
        <v>8.27536231884058</v>
      </c>
      <c r="Q179" s="79">
        <f t="shared" si="5"/>
        <v>3.4040453872718299E-2</v>
      </c>
      <c r="R179" s="81">
        <f t="shared" si="6"/>
        <v>0.28169708929452392</v>
      </c>
      <c r="S179" s="92">
        <f t="shared" si="53"/>
        <v>509.6</v>
      </c>
      <c r="T179" s="83">
        <f t="shared" si="8"/>
        <v>8.0499999999999989</v>
      </c>
      <c r="U179" s="135"/>
      <c r="V179" s="135"/>
      <c r="W179" s="135"/>
      <c r="X179" s="135"/>
      <c r="Y179" s="136"/>
      <c r="Z179" s="50"/>
      <c r="AA179" s="50"/>
    </row>
    <row r="180" spans="1:27" ht="12.75" outlineLevel="1" x14ac:dyDescent="0.2">
      <c r="A180" s="50"/>
      <c r="B180" s="138" t="s">
        <v>37</v>
      </c>
      <c r="C180" s="70" t="s">
        <v>38</v>
      </c>
      <c r="D180" s="93">
        <v>82.9</v>
      </c>
      <c r="E180" s="75"/>
      <c r="F180" s="73">
        <v>3</v>
      </c>
      <c r="G180" s="73">
        <v>3</v>
      </c>
      <c r="H180" s="74">
        <f t="shared" si="0"/>
        <v>1</v>
      </c>
      <c r="I180" s="75">
        <f t="shared" si="1"/>
        <v>27.633333333333336</v>
      </c>
      <c r="J180" s="76">
        <f t="shared" si="2"/>
        <v>27.633333333333336</v>
      </c>
      <c r="K180" s="93">
        <v>33.5</v>
      </c>
      <c r="L180" s="73">
        <v>135734</v>
      </c>
      <c r="M180" s="73">
        <v>2</v>
      </c>
      <c r="N180" s="94">
        <v>51.43</v>
      </c>
      <c r="O180" s="79">
        <f t="shared" si="54"/>
        <v>0.65137079525568731</v>
      </c>
      <c r="P180" s="80">
        <f t="shared" si="4"/>
        <v>1.5352238805970149</v>
      </c>
      <c r="Q180" s="79">
        <f t="shared" si="5"/>
        <v>0.40410132689987932</v>
      </c>
      <c r="R180" s="81">
        <f t="shared" si="6"/>
        <v>0.62038600723763571</v>
      </c>
      <c r="S180" s="95">
        <f t="shared" si="53"/>
        <v>31.470000000000006</v>
      </c>
      <c r="T180" s="83">
        <f t="shared" si="8"/>
        <v>16.75</v>
      </c>
      <c r="U180" s="135"/>
      <c r="V180" s="135"/>
      <c r="W180" s="135"/>
      <c r="X180" s="135"/>
      <c r="Y180" s="136"/>
      <c r="Z180" s="50"/>
      <c r="AA180" s="50"/>
    </row>
    <row r="181" spans="1:27" ht="12.75" outlineLevel="1" x14ac:dyDescent="0.2">
      <c r="A181" s="50"/>
      <c r="B181" s="137"/>
      <c r="C181" s="70" t="s">
        <v>39</v>
      </c>
      <c r="D181" s="96">
        <v>0</v>
      </c>
      <c r="E181" s="75"/>
      <c r="F181" s="73">
        <v>0</v>
      </c>
      <c r="G181" s="73">
        <v>0</v>
      </c>
      <c r="H181" s="74" t="e">
        <f t="shared" si="0"/>
        <v>#DIV/0!</v>
      </c>
      <c r="I181" s="75" t="e">
        <f t="shared" si="1"/>
        <v>#DIV/0!</v>
      </c>
      <c r="J181" s="76" t="e">
        <f t="shared" si="2"/>
        <v>#DIV/0!</v>
      </c>
      <c r="K181" s="96">
        <v>0</v>
      </c>
      <c r="L181" s="73">
        <v>0</v>
      </c>
      <c r="M181" s="73">
        <v>0</v>
      </c>
      <c r="N181" s="97">
        <v>0</v>
      </c>
      <c r="O181" s="79" t="e">
        <f t="shared" si="54"/>
        <v>#DIV/0!</v>
      </c>
      <c r="P181" s="80" t="e">
        <f t="shared" si="4"/>
        <v>#DIV/0!</v>
      </c>
      <c r="Q181" s="79" t="e">
        <f t="shared" si="5"/>
        <v>#DIV/0!</v>
      </c>
      <c r="R181" s="81" t="e">
        <f t="shared" si="6"/>
        <v>#DIV/0!</v>
      </c>
      <c r="S181" s="98">
        <f t="shared" si="53"/>
        <v>0</v>
      </c>
      <c r="T181" s="83" t="e">
        <f t="shared" si="8"/>
        <v>#DIV/0!</v>
      </c>
      <c r="U181" s="135"/>
      <c r="V181" s="135"/>
      <c r="W181" s="135"/>
      <c r="X181" s="135"/>
      <c r="Y181" s="136"/>
      <c r="Z181" s="50"/>
      <c r="AA181" s="50"/>
    </row>
    <row r="182" spans="1:27" ht="12.75" outlineLevel="1" x14ac:dyDescent="0.2">
      <c r="A182" s="50"/>
      <c r="B182" s="137"/>
      <c r="C182" s="70" t="s">
        <v>40</v>
      </c>
      <c r="D182" s="99">
        <v>0</v>
      </c>
      <c r="E182" s="75"/>
      <c r="F182" s="73">
        <v>0</v>
      </c>
      <c r="G182" s="73">
        <v>0</v>
      </c>
      <c r="H182" s="74" t="e">
        <f t="shared" si="0"/>
        <v>#DIV/0!</v>
      </c>
      <c r="I182" s="75" t="e">
        <f t="shared" si="1"/>
        <v>#DIV/0!</v>
      </c>
      <c r="J182" s="76" t="e">
        <f t="shared" si="2"/>
        <v>#DIV/0!</v>
      </c>
      <c r="K182" s="99">
        <v>0</v>
      </c>
      <c r="L182" s="73">
        <v>0</v>
      </c>
      <c r="M182" s="73">
        <v>0</v>
      </c>
      <c r="N182" s="100">
        <v>0</v>
      </c>
      <c r="O182" s="79" t="e">
        <f t="shared" si="54"/>
        <v>#DIV/0!</v>
      </c>
      <c r="P182" s="80" t="e">
        <f t="shared" si="4"/>
        <v>#DIV/0!</v>
      </c>
      <c r="Q182" s="79" t="e">
        <f t="shared" si="5"/>
        <v>#DIV/0!</v>
      </c>
      <c r="R182" s="81" t="e">
        <f t="shared" si="6"/>
        <v>#DIV/0!</v>
      </c>
      <c r="S182" s="101">
        <f t="shared" si="53"/>
        <v>0</v>
      </c>
      <c r="T182" s="83" t="e">
        <f t="shared" si="8"/>
        <v>#DIV/0!</v>
      </c>
      <c r="U182" s="135"/>
      <c r="V182" s="135"/>
      <c r="W182" s="135"/>
      <c r="X182" s="135"/>
      <c r="Y182" s="136"/>
      <c r="Z182" s="50"/>
      <c r="AA182" s="50"/>
    </row>
    <row r="183" spans="1:27" ht="12.75" outlineLevel="1" x14ac:dyDescent="0.2">
      <c r="A183" s="50"/>
      <c r="B183" s="137"/>
      <c r="C183" s="70" t="s">
        <v>41</v>
      </c>
      <c r="D183" s="102">
        <v>2740.62</v>
      </c>
      <c r="E183" s="75"/>
      <c r="F183" s="73">
        <v>41</v>
      </c>
      <c r="G183" s="73">
        <v>37</v>
      </c>
      <c r="H183" s="74">
        <f t="shared" si="0"/>
        <v>1.1081081081081081</v>
      </c>
      <c r="I183" s="75">
        <f t="shared" si="1"/>
        <v>66.844390243902438</v>
      </c>
      <c r="J183" s="76">
        <f t="shared" si="2"/>
        <v>60.322986317668054</v>
      </c>
      <c r="K183" s="102">
        <v>586.82000000000005</v>
      </c>
      <c r="L183" s="73">
        <v>43866</v>
      </c>
      <c r="M183" s="73">
        <v>15</v>
      </c>
      <c r="N183" s="103">
        <v>1050.8599999999999</v>
      </c>
      <c r="O183" s="79">
        <f t="shared" si="54"/>
        <v>0.55841881887216194</v>
      </c>
      <c r="P183" s="80">
        <f t="shared" si="4"/>
        <v>1.7907705940492822</v>
      </c>
      <c r="Q183" s="79">
        <f t="shared" si="5"/>
        <v>0.2141194328290679</v>
      </c>
      <c r="R183" s="81">
        <f t="shared" si="6"/>
        <v>0.38343878392480529</v>
      </c>
      <c r="S183" s="104">
        <f t="shared" si="53"/>
        <v>1689.76</v>
      </c>
      <c r="T183" s="83">
        <f t="shared" si="8"/>
        <v>39.12133333333334</v>
      </c>
      <c r="U183" s="135"/>
      <c r="V183" s="135"/>
      <c r="W183" s="135"/>
      <c r="X183" s="135"/>
      <c r="Y183" s="136"/>
      <c r="Z183" s="50"/>
      <c r="AA183" s="50"/>
    </row>
    <row r="184" spans="1:27" ht="12.75" outlineLevel="1" x14ac:dyDescent="0.2">
      <c r="A184" s="50"/>
      <c r="B184" s="137"/>
      <c r="C184" s="70" t="s">
        <v>42</v>
      </c>
      <c r="D184" s="90">
        <v>39.979999999999997</v>
      </c>
      <c r="E184" s="75"/>
      <c r="F184" s="73">
        <v>2</v>
      </c>
      <c r="G184" s="73">
        <v>2</v>
      </c>
      <c r="H184" s="74">
        <f t="shared" si="0"/>
        <v>1</v>
      </c>
      <c r="I184" s="75">
        <f t="shared" si="1"/>
        <v>19.989999999999998</v>
      </c>
      <c r="J184" s="76">
        <f t="shared" si="2"/>
        <v>19.989999999999998</v>
      </c>
      <c r="K184" s="90">
        <v>432.11</v>
      </c>
      <c r="L184" s="73">
        <v>80819</v>
      </c>
      <c r="M184" s="73">
        <v>2</v>
      </c>
      <c r="N184" s="91">
        <v>39.979999999999997</v>
      </c>
      <c r="O184" s="79">
        <f t="shared" si="54"/>
        <v>10.80815407703852</v>
      </c>
      <c r="P184" s="80">
        <f t="shared" si="4"/>
        <v>9.2522737265973931E-2</v>
      </c>
      <c r="Q184" s="79">
        <f t="shared" si="5"/>
        <v>10.80815407703852</v>
      </c>
      <c r="R184" s="81">
        <f t="shared" si="6"/>
        <v>1</v>
      </c>
      <c r="S184" s="92">
        <f t="shared" si="53"/>
        <v>0</v>
      </c>
      <c r="T184" s="83">
        <f t="shared" si="8"/>
        <v>216.05500000000001</v>
      </c>
      <c r="U184" s="135"/>
      <c r="V184" s="135"/>
      <c r="W184" s="135"/>
      <c r="X184" s="135"/>
      <c r="Y184" s="136"/>
      <c r="Z184" s="50"/>
      <c r="AA184" s="50"/>
    </row>
    <row r="185" spans="1:27" ht="12.75" outlineLevel="1" x14ac:dyDescent="0.2">
      <c r="A185" s="50"/>
      <c r="B185" s="137"/>
      <c r="C185" s="70" t="s">
        <v>43</v>
      </c>
      <c r="D185" s="105">
        <v>1559.48</v>
      </c>
      <c r="E185" s="75"/>
      <c r="F185" s="73">
        <v>13</v>
      </c>
      <c r="G185" s="73">
        <v>14</v>
      </c>
      <c r="H185" s="74">
        <f t="shared" si="0"/>
        <v>0.9285714285714286</v>
      </c>
      <c r="I185" s="75">
        <f t="shared" si="1"/>
        <v>119.96000000000001</v>
      </c>
      <c r="J185" s="76">
        <f t="shared" si="2"/>
        <v>129.18769230769232</v>
      </c>
      <c r="K185" s="105">
        <v>64.97</v>
      </c>
      <c r="L185" s="73">
        <v>19433</v>
      </c>
      <c r="M185" s="73">
        <v>2</v>
      </c>
      <c r="N185" s="106">
        <v>119.96</v>
      </c>
      <c r="O185" s="79">
        <f t="shared" si="54"/>
        <v>0.54159719906635551</v>
      </c>
      <c r="P185" s="80">
        <f t="shared" si="4"/>
        <v>1.8463906418346929</v>
      </c>
      <c r="Q185" s="79">
        <f t="shared" si="5"/>
        <v>4.1661323005104264E-2</v>
      </c>
      <c r="R185" s="81">
        <f t="shared" si="6"/>
        <v>7.6923076923076913E-2</v>
      </c>
      <c r="S185" s="107">
        <f t="shared" si="53"/>
        <v>1439.52</v>
      </c>
      <c r="T185" s="83">
        <f t="shared" si="8"/>
        <v>32.484999999999999</v>
      </c>
      <c r="U185" s="135"/>
      <c r="V185" s="135"/>
      <c r="W185" s="135"/>
      <c r="X185" s="135"/>
      <c r="Y185" s="136"/>
      <c r="Z185" s="50"/>
      <c r="AA185" s="50"/>
    </row>
    <row r="186" spans="1:27" ht="12.75" outlineLevel="1" x14ac:dyDescent="0.2">
      <c r="A186" s="50"/>
      <c r="B186" s="137"/>
      <c r="C186" s="70" t="s">
        <v>44</v>
      </c>
      <c r="D186" s="108">
        <v>250.98</v>
      </c>
      <c r="E186" s="75"/>
      <c r="F186" s="73">
        <v>6</v>
      </c>
      <c r="G186" s="73">
        <v>6</v>
      </c>
      <c r="H186" s="74">
        <f t="shared" si="0"/>
        <v>1</v>
      </c>
      <c r="I186" s="75">
        <f t="shared" si="1"/>
        <v>41.83</v>
      </c>
      <c r="J186" s="76">
        <f t="shared" si="2"/>
        <v>41.83</v>
      </c>
      <c r="K186" s="108">
        <v>112.81</v>
      </c>
      <c r="L186" s="73">
        <v>59268</v>
      </c>
      <c r="M186" s="73">
        <v>1</v>
      </c>
      <c r="N186" s="109">
        <v>59.95</v>
      </c>
      <c r="O186" s="79">
        <f t="shared" si="54"/>
        <v>1.8817347789824854</v>
      </c>
      <c r="P186" s="80">
        <f t="shared" si="4"/>
        <v>0.53142451910291644</v>
      </c>
      <c r="Q186" s="79">
        <f t="shared" si="5"/>
        <v>0.44947804605944702</v>
      </c>
      <c r="R186" s="81">
        <f t="shared" si="6"/>
        <v>0.23886365447446015</v>
      </c>
      <c r="S186" s="110">
        <f t="shared" si="53"/>
        <v>191.02999999999997</v>
      </c>
      <c r="T186" s="83">
        <f t="shared" si="8"/>
        <v>112.81</v>
      </c>
      <c r="U186" s="135"/>
      <c r="V186" s="135"/>
      <c r="W186" s="135"/>
      <c r="X186" s="135"/>
      <c r="Y186" s="136"/>
      <c r="Z186" s="50"/>
      <c r="AA186" s="50"/>
    </row>
    <row r="187" spans="1:27" ht="12.75" outlineLevel="1" x14ac:dyDescent="0.2">
      <c r="A187" s="139"/>
      <c r="B187" s="137"/>
      <c r="C187" s="112" t="s">
        <v>45</v>
      </c>
      <c r="D187" s="71">
        <v>0</v>
      </c>
      <c r="E187" s="75"/>
      <c r="F187" s="73">
        <v>0</v>
      </c>
      <c r="G187" s="73">
        <v>0</v>
      </c>
      <c r="H187" s="74" t="e">
        <f t="shared" si="0"/>
        <v>#DIV/0!</v>
      </c>
      <c r="I187" s="75" t="e">
        <f t="shared" si="1"/>
        <v>#DIV/0!</v>
      </c>
      <c r="J187" s="76" t="e">
        <f t="shared" si="2"/>
        <v>#DIV/0!</v>
      </c>
      <c r="K187" s="71">
        <v>0</v>
      </c>
      <c r="L187" s="73">
        <v>0</v>
      </c>
      <c r="M187" s="73">
        <v>0</v>
      </c>
      <c r="N187" s="78">
        <v>0</v>
      </c>
      <c r="O187" s="79" t="e">
        <f t="shared" si="54"/>
        <v>#DIV/0!</v>
      </c>
      <c r="P187" s="80" t="e">
        <f t="shared" si="4"/>
        <v>#DIV/0!</v>
      </c>
      <c r="Q187" s="79" t="e">
        <f t="shared" si="5"/>
        <v>#DIV/0!</v>
      </c>
      <c r="R187" s="81" t="e">
        <f t="shared" si="6"/>
        <v>#DIV/0!</v>
      </c>
      <c r="S187" s="82">
        <f t="shared" si="53"/>
        <v>0</v>
      </c>
      <c r="T187" s="83" t="e">
        <f t="shared" si="8"/>
        <v>#DIV/0!</v>
      </c>
      <c r="U187" s="140"/>
      <c r="V187" s="140"/>
      <c r="W187" s="140"/>
      <c r="X187" s="141"/>
      <c r="Y187" s="142"/>
      <c r="Z187" s="50"/>
      <c r="AA187" s="50"/>
    </row>
    <row r="188" spans="1:27" ht="12.75" outlineLevel="1" x14ac:dyDescent="0.2">
      <c r="A188" s="118"/>
      <c r="B188" s="69"/>
      <c r="C188" s="70" t="s">
        <v>46</v>
      </c>
      <c r="D188" s="116">
        <v>1460.53</v>
      </c>
      <c r="E188" s="75"/>
      <c r="F188" s="73">
        <v>32</v>
      </c>
      <c r="G188" s="73">
        <v>41</v>
      </c>
      <c r="H188" s="74">
        <f t="shared" si="0"/>
        <v>0.78048780487804881</v>
      </c>
      <c r="I188" s="75">
        <f t="shared" si="1"/>
        <v>45.641562499999999</v>
      </c>
      <c r="J188" s="76">
        <f t="shared" si="2"/>
        <v>58.478251953124996</v>
      </c>
      <c r="K188" s="116">
        <v>274.85000000000002</v>
      </c>
      <c r="L188" s="73">
        <v>55897</v>
      </c>
      <c r="M188" s="73">
        <v>16</v>
      </c>
      <c r="N188" s="117">
        <v>611.29999999999995</v>
      </c>
      <c r="O188" s="79">
        <f t="shared" si="54"/>
        <v>0.44961557336823171</v>
      </c>
      <c r="P188" s="80">
        <f t="shared" si="4"/>
        <v>2.2241222484991812</v>
      </c>
      <c r="Q188" s="79">
        <f t="shared" si="5"/>
        <v>0.18818511088440498</v>
      </c>
      <c r="R188" s="81">
        <f t="shared" si="6"/>
        <v>0.41854669195429056</v>
      </c>
      <c r="S188" s="82">
        <f t="shared" si="53"/>
        <v>849.23</v>
      </c>
      <c r="T188" s="83">
        <f t="shared" si="8"/>
        <v>17.178125000000001</v>
      </c>
      <c r="U188" s="143"/>
      <c r="V188" s="143"/>
      <c r="W188" s="143"/>
      <c r="X188" s="143"/>
      <c r="Y188" s="144"/>
      <c r="Z188" s="118"/>
      <c r="AA188" s="118"/>
    </row>
    <row r="189" spans="1:27" ht="12.75" outlineLevel="1" x14ac:dyDescent="0.2">
      <c r="A189" s="50"/>
      <c r="B189" s="137"/>
      <c r="C189" s="70" t="s">
        <v>47</v>
      </c>
      <c r="D189" s="87">
        <v>29.85</v>
      </c>
      <c r="E189" s="75"/>
      <c r="F189" s="73">
        <v>1</v>
      </c>
      <c r="G189" s="73">
        <v>1</v>
      </c>
      <c r="H189" s="74">
        <f t="shared" si="0"/>
        <v>1</v>
      </c>
      <c r="I189" s="75">
        <f t="shared" si="1"/>
        <v>29.85</v>
      </c>
      <c r="J189" s="76">
        <f t="shared" si="2"/>
        <v>29.85</v>
      </c>
      <c r="K189" s="87">
        <v>0</v>
      </c>
      <c r="L189" s="73">
        <v>0</v>
      </c>
      <c r="M189" s="73">
        <v>0</v>
      </c>
      <c r="N189" s="88">
        <v>0</v>
      </c>
      <c r="O189" s="79" t="e">
        <f t="shared" si="54"/>
        <v>#DIV/0!</v>
      </c>
      <c r="P189" s="80" t="e">
        <f t="shared" si="4"/>
        <v>#DIV/0!</v>
      </c>
      <c r="Q189" s="79">
        <f t="shared" si="5"/>
        <v>0</v>
      </c>
      <c r="R189" s="81">
        <f t="shared" si="6"/>
        <v>0</v>
      </c>
      <c r="S189" s="82">
        <f t="shared" si="53"/>
        <v>29.85</v>
      </c>
      <c r="T189" s="83" t="e">
        <f t="shared" si="8"/>
        <v>#DIV/0!</v>
      </c>
      <c r="U189" s="135"/>
      <c r="V189" s="135"/>
      <c r="W189" s="135"/>
      <c r="X189" s="135"/>
      <c r="Y189" s="136"/>
      <c r="Z189" s="50"/>
      <c r="AA189" s="50"/>
    </row>
    <row r="190" spans="1:27" ht="12.75" outlineLevel="1" x14ac:dyDescent="0.2">
      <c r="A190" s="50"/>
      <c r="B190" s="137"/>
      <c r="C190" s="70" t="s">
        <v>48</v>
      </c>
      <c r="D190" s="102">
        <v>1199.74</v>
      </c>
      <c r="E190" s="75"/>
      <c r="F190" s="73">
        <v>6</v>
      </c>
      <c r="G190" s="73">
        <v>11</v>
      </c>
      <c r="H190" s="74">
        <f t="shared" si="0"/>
        <v>0.54545454545454541</v>
      </c>
      <c r="I190" s="75">
        <f t="shared" si="1"/>
        <v>199.95666666666668</v>
      </c>
      <c r="J190" s="76">
        <f t="shared" si="2"/>
        <v>366.58722222222229</v>
      </c>
      <c r="K190" s="102">
        <v>288.19</v>
      </c>
      <c r="L190" s="73">
        <v>35669</v>
      </c>
      <c r="M190" s="73">
        <v>5</v>
      </c>
      <c r="N190" s="103">
        <v>799.8</v>
      </c>
      <c r="O190" s="79">
        <f t="shared" si="54"/>
        <v>0.36032758189547387</v>
      </c>
      <c r="P190" s="80">
        <f t="shared" si="4"/>
        <v>2.7752524376279535</v>
      </c>
      <c r="Q190" s="79">
        <f t="shared" si="5"/>
        <v>0.24021037891543168</v>
      </c>
      <c r="R190" s="81">
        <f t="shared" si="6"/>
        <v>0.66664443962858611</v>
      </c>
      <c r="S190" s="82">
        <f t="shared" si="53"/>
        <v>399.94000000000005</v>
      </c>
      <c r="T190" s="83">
        <f t="shared" si="8"/>
        <v>57.637999999999998</v>
      </c>
      <c r="U190" s="135"/>
      <c r="V190" s="135"/>
      <c r="W190" s="135"/>
      <c r="X190" s="135"/>
      <c r="Y190" s="136"/>
      <c r="Z190" s="50"/>
      <c r="AA190" s="50"/>
    </row>
    <row r="191" spans="1:27" ht="12.75" outlineLevel="1" x14ac:dyDescent="0.2">
      <c r="A191" s="118" t="str">
        <f t="shared" ref="A191:A192" si="55">IFERROR(IF(B191&gt;0,MONTH(B191)&amp;"-"&amp;YEAR(B191),B191),)</f>
        <v>2-2026</v>
      </c>
      <c r="B191" s="69">
        <v>46081</v>
      </c>
      <c r="C191" s="70" t="s">
        <v>49</v>
      </c>
      <c r="D191" s="116">
        <v>-116.8</v>
      </c>
      <c r="E191" s="75"/>
      <c r="F191" s="73">
        <v>-2</v>
      </c>
      <c r="G191" s="73">
        <v>2</v>
      </c>
      <c r="H191" s="74">
        <f t="shared" si="0"/>
        <v>-1</v>
      </c>
      <c r="I191" s="75">
        <f t="shared" si="1"/>
        <v>58.4</v>
      </c>
      <c r="J191" s="76">
        <f t="shared" si="2"/>
        <v>-58.4</v>
      </c>
      <c r="K191" s="116">
        <v>4.88</v>
      </c>
      <c r="L191" s="73">
        <v>4547</v>
      </c>
      <c r="M191" s="73">
        <v>1</v>
      </c>
      <c r="N191" s="117">
        <v>86</v>
      </c>
      <c r="O191" s="79">
        <f t="shared" si="54"/>
        <v>5.674418604651163E-2</v>
      </c>
      <c r="P191" s="80">
        <f t="shared" si="4"/>
        <v>17.622950819672131</v>
      </c>
      <c r="Q191" s="79">
        <f t="shared" si="5"/>
        <v>-4.1780821917808221E-2</v>
      </c>
      <c r="R191" s="81">
        <f t="shared" si="6"/>
        <v>-0.73630136986301375</v>
      </c>
      <c r="S191" s="82">
        <f t="shared" si="53"/>
        <v>-202.8</v>
      </c>
      <c r="T191" s="83">
        <f t="shared" si="8"/>
        <v>4.88</v>
      </c>
      <c r="U191" s="135"/>
      <c r="V191" s="135"/>
      <c r="W191" s="135"/>
      <c r="X191" s="135"/>
      <c r="Y191" s="136"/>
      <c r="Z191" s="50"/>
      <c r="AA191" s="50"/>
    </row>
    <row r="192" spans="1:27" ht="12.75" x14ac:dyDescent="0.2">
      <c r="A192" s="50">
        <f t="shared" si="55"/>
        <v>0</v>
      </c>
      <c r="B192" s="119" t="s">
        <v>59</v>
      </c>
      <c r="C192" s="145"/>
      <c r="D192" s="121">
        <f>SUM(D175:D191)</f>
        <v>19868.78</v>
      </c>
      <c r="E192" s="125"/>
      <c r="F192" s="123">
        <f t="shared" ref="F192:G192" si="56">SUM(F175:F191)</f>
        <v>229</v>
      </c>
      <c r="G192" s="123">
        <f t="shared" si="56"/>
        <v>246</v>
      </c>
      <c r="H192" s="124">
        <f t="shared" si="0"/>
        <v>0.93089430894308944</v>
      </c>
      <c r="I192" s="125">
        <f t="shared" si="1"/>
        <v>86.763231441048035</v>
      </c>
      <c r="J192" s="126">
        <f t="shared" si="2"/>
        <v>93.204170019641126</v>
      </c>
      <c r="K192" s="121">
        <f t="shared" ref="K192:N192" si="57">SUM(K175:K191)</f>
        <v>3418.5099999999998</v>
      </c>
      <c r="L192" s="123">
        <f t="shared" si="57"/>
        <v>728086</v>
      </c>
      <c r="M192" s="123">
        <f t="shared" si="57"/>
        <v>90</v>
      </c>
      <c r="N192" s="127">
        <f t="shared" si="57"/>
        <v>5846.1299999999992</v>
      </c>
      <c r="O192" s="128">
        <f t="shared" si="54"/>
        <v>0.58474751673329195</v>
      </c>
      <c r="P192" s="129">
        <f t="shared" si="4"/>
        <v>1.7101397977481416</v>
      </c>
      <c r="Q192" s="128">
        <f t="shared" si="5"/>
        <v>0.17205434858104021</v>
      </c>
      <c r="R192" s="130">
        <f t="shared" si="6"/>
        <v>0.29423698888406835</v>
      </c>
      <c r="S192" s="131">
        <f>SUM(S175:S191)</f>
        <v>14022.650000000001</v>
      </c>
      <c r="T192" s="132">
        <f t="shared" si="8"/>
        <v>37.983444444444444</v>
      </c>
      <c r="U192" s="133">
        <f>IFERROR((D192-D174)/D192,)</f>
        <v>-0.35721317564540972</v>
      </c>
      <c r="V192" s="133">
        <f>IFERROR((F192-F174)/F192,)</f>
        <v>-0.29257641921397382</v>
      </c>
      <c r="W192" s="133">
        <f>IFERROR((D192-#REF!)/D192, )</f>
        <v>0</v>
      </c>
      <c r="X192" s="133">
        <f>IFERROR((F192-#REF!)/F192, )</f>
        <v>0</v>
      </c>
      <c r="Y192" s="50"/>
      <c r="Z192" s="50"/>
      <c r="AA192" s="50"/>
    </row>
    <row r="193" spans="1:27" ht="12.75" x14ac:dyDescent="0.2">
      <c r="A193" s="50"/>
      <c r="B193" s="50"/>
      <c r="C193" s="50"/>
      <c r="D193" s="50"/>
      <c r="E193" s="146"/>
      <c r="F193" s="50"/>
      <c r="G193" s="50"/>
      <c r="H193" s="50"/>
      <c r="I193" s="50"/>
      <c r="J193" s="50"/>
      <c r="K193" s="50"/>
      <c r="L193" s="50"/>
      <c r="M193" s="50"/>
      <c r="N193" s="50"/>
      <c r="O193" s="50"/>
      <c r="P193" s="50"/>
      <c r="Q193" s="50"/>
      <c r="R193" s="50"/>
      <c r="S193" s="50"/>
      <c r="T193" s="50"/>
      <c r="U193" s="50"/>
      <c r="V193" s="50"/>
      <c r="W193" s="50"/>
      <c r="X193" s="50"/>
      <c r="Y193" s="50"/>
      <c r="Z193" s="50"/>
      <c r="AA193" s="50"/>
    </row>
    <row r="194" spans="1:27" ht="12.75" x14ac:dyDescent="0.2">
      <c r="A194" s="50"/>
      <c r="B194" s="50"/>
      <c r="C194" s="50"/>
      <c r="D194" s="50"/>
      <c r="E194" s="146"/>
      <c r="F194" s="50"/>
      <c r="G194" s="50"/>
      <c r="H194" s="50"/>
      <c r="I194" s="50"/>
      <c r="J194" s="50"/>
      <c r="K194" s="50"/>
      <c r="L194" s="50"/>
      <c r="M194" s="50"/>
      <c r="N194" s="50"/>
      <c r="O194" s="50"/>
      <c r="P194" s="50"/>
      <c r="Q194" s="50"/>
      <c r="R194" s="50"/>
      <c r="S194" s="50"/>
      <c r="T194" s="50"/>
      <c r="U194" s="50"/>
      <c r="V194" s="50"/>
      <c r="W194" s="50"/>
      <c r="X194" s="50"/>
      <c r="Y194" s="50"/>
      <c r="Z194" s="50"/>
      <c r="AA194" s="50"/>
    </row>
    <row r="195" spans="1:27" ht="12.75" hidden="1" outlineLevel="1" x14ac:dyDescent="0.2">
      <c r="A195" s="34"/>
      <c r="B195" s="147"/>
      <c r="C195" s="148" t="s">
        <v>60</v>
      </c>
      <c r="D195" s="149"/>
      <c r="E195" s="150"/>
      <c r="F195" s="151"/>
      <c r="G195" s="151"/>
      <c r="H195" s="152" t="e">
        <f t="shared" ref="H195:H200" si="58">F195/G195</f>
        <v>#DIV/0!</v>
      </c>
      <c r="I195" s="150" t="e">
        <f t="shared" ref="I195:I200" si="59">D195/F195</f>
        <v>#DIV/0!</v>
      </c>
      <c r="J195" s="150" t="e">
        <f t="shared" ref="J195:J200" si="60">I195/H195</f>
        <v>#DIV/0!</v>
      </c>
      <c r="K195" s="153"/>
      <c r="L195" s="151"/>
      <c r="M195" s="151"/>
      <c r="N195" s="154"/>
      <c r="O195" s="155" t="e">
        <f t="shared" ref="O195:O201" si="61">K195/N195</f>
        <v>#DIV/0!</v>
      </c>
      <c r="P195" s="156" t="e">
        <f t="shared" ref="P195:P201" si="62">N195/K195</f>
        <v>#DIV/0!</v>
      </c>
      <c r="Q195" s="155" t="e">
        <f t="shared" ref="Q195:Q201" si="63">K195/D195</f>
        <v>#DIV/0!</v>
      </c>
      <c r="R195" s="157" t="e">
        <f t="shared" ref="R195:R201" si="64">N195/D195</f>
        <v>#DIV/0!</v>
      </c>
      <c r="S195" s="158"/>
      <c r="T195" s="159" t="e">
        <f t="shared" ref="T195:T201" si="65">K195/M195</f>
        <v>#DIV/0!</v>
      </c>
      <c r="U195" s="160"/>
      <c r="V195" s="160"/>
      <c r="W195" s="160"/>
      <c r="X195" s="160"/>
      <c r="Y195" s="1"/>
      <c r="Z195" s="50"/>
      <c r="AA195" s="50"/>
    </row>
    <row r="196" spans="1:27" ht="12.75" hidden="1" outlineLevel="1" x14ac:dyDescent="0.2">
      <c r="A196" s="161"/>
      <c r="B196" s="147"/>
      <c r="C196" s="148" t="s">
        <v>35</v>
      </c>
      <c r="D196" s="162"/>
      <c r="E196" s="150"/>
      <c r="F196" s="151"/>
      <c r="G196" s="151"/>
      <c r="H196" s="152" t="e">
        <f t="shared" si="58"/>
        <v>#DIV/0!</v>
      </c>
      <c r="I196" s="150" t="e">
        <f t="shared" si="59"/>
        <v>#DIV/0!</v>
      </c>
      <c r="J196" s="150" t="e">
        <f t="shared" si="60"/>
        <v>#DIV/0!</v>
      </c>
      <c r="K196" s="153"/>
      <c r="L196" s="151"/>
      <c r="M196" s="151"/>
      <c r="N196" s="154"/>
      <c r="O196" s="155" t="e">
        <f t="shared" si="61"/>
        <v>#DIV/0!</v>
      </c>
      <c r="P196" s="156" t="e">
        <f t="shared" si="62"/>
        <v>#DIV/0!</v>
      </c>
      <c r="Q196" s="155" t="e">
        <f t="shared" si="63"/>
        <v>#DIV/0!</v>
      </c>
      <c r="R196" s="157" t="e">
        <f t="shared" si="64"/>
        <v>#DIV/0!</v>
      </c>
      <c r="S196" s="158"/>
      <c r="T196" s="159" t="e">
        <f t="shared" si="65"/>
        <v>#DIV/0!</v>
      </c>
      <c r="U196" s="160"/>
      <c r="V196" s="160"/>
      <c r="W196" s="160"/>
      <c r="X196" s="160"/>
      <c r="Y196" s="1"/>
      <c r="Z196" s="50"/>
      <c r="AA196" s="50"/>
    </row>
    <row r="197" spans="1:27" ht="12.75" hidden="1" outlineLevel="1" x14ac:dyDescent="0.2">
      <c r="A197" s="161"/>
      <c r="B197" s="147"/>
      <c r="C197" s="148" t="s">
        <v>61</v>
      </c>
      <c r="D197" s="163"/>
      <c r="E197" s="150"/>
      <c r="F197" s="151"/>
      <c r="G197" s="151"/>
      <c r="H197" s="152" t="e">
        <f t="shared" si="58"/>
        <v>#DIV/0!</v>
      </c>
      <c r="I197" s="150" t="e">
        <f t="shared" si="59"/>
        <v>#DIV/0!</v>
      </c>
      <c r="J197" s="150" t="e">
        <f t="shared" si="60"/>
        <v>#DIV/0!</v>
      </c>
      <c r="K197" s="153"/>
      <c r="L197" s="151"/>
      <c r="M197" s="151"/>
      <c r="N197" s="164"/>
      <c r="O197" s="155" t="e">
        <f t="shared" si="61"/>
        <v>#DIV/0!</v>
      </c>
      <c r="P197" s="156" t="e">
        <f t="shared" si="62"/>
        <v>#DIV/0!</v>
      </c>
      <c r="Q197" s="155" t="e">
        <f t="shared" si="63"/>
        <v>#DIV/0!</v>
      </c>
      <c r="R197" s="157" t="e">
        <f t="shared" si="64"/>
        <v>#DIV/0!</v>
      </c>
      <c r="S197" s="158"/>
      <c r="T197" s="159" t="e">
        <f t="shared" si="65"/>
        <v>#DIV/0!</v>
      </c>
      <c r="U197" s="160"/>
      <c r="V197" s="160"/>
      <c r="W197" s="160"/>
      <c r="X197" s="160"/>
      <c r="Y197" s="1"/>
      <c r="Z197" s="50"/>
      <c r="AA197" s="50"/>
    </row>
    <row r="198" spans="1:27" ht="12.75" hidden="1" outlineLevel="1" x14ac:dyDescent="0.2">
      <c r="A198" s="161"/>
      <c r="B198" s="147"/>
      <c r="C198" s="148" t="s">
        <v>36</v>
      </c>
      <c r="D198" s="165"/>
      <c r="E198" s="150"/>
      <c r="F198" s="151"/>
      <c r="G198" s="151"/>
      <c r="H198" s="152" t="e">
        <f t="shared" si="58"/>
        <v>#DIV/0!</v>
      </c>
      <c r="I198" s="150" t="e">
        <f t="shared" si="59"/>
        <v>#DIV/0!</v>
      </c>
      <c r="J198" s="150" t="e">
        <f t="shared" si="60"/>
        <v>#DIV/0!</v>
      </c>
      <c r="K198" s="153"/>
      <c r="L198" s="151"/>
      <c r="M198" s="151"/>
      <c r="N198" s="166"/>
      <c r="O198" s="155" t="e">
        <f t="shared" si="61"/>
        <v>#DIV/0!</v>
      </c>
      <c r="P198" s="156" t="e">
        <f t="shared" si="62"/>
        <v>#DIV/0!</v>
      </c>
      <c r="Q198" s="155" t="e">
        <f t="shared" si="63"/>
        <v>#DIV/0!</v>
      </c>
      <c r="R198" s="157" t="e">
        <f t="shared" si="64"/>
        <v>#DIV/0!</v>
      </c>
      <c r="S198" s="158"/>
      <c r="T198" s="159" t="e">
        <f t="shared" si="65"/>
        <v>#DIV/0!</v>
      </c>
      <c r="U198" s="160"/>
      <c r="V198" s="160"/>
      <c r="W198" s="160"/>
      <c r="X198" s="160"/>
      <c r="Y198" s="1"/>
      <c r="Z198" s="50"/>
      <c r="AA198" s="50"/>
    </row>
    <row r="199" spans="1:27" ht="12.75" hidden="1" outlineLevel="1" x14ac:dyDescent="0.2">
      <c r="A199" s="161"/>
      <c r="B199" s="147"/>
      <c r="C199" s="148" t="s">
        <v>41</v>
      </c>
      <c r="D199" s="165"/>
      <c r="E199" s="150"/>
      <c r="F199" s="151"/>
      <c r="G199" s="151"/>
      <c r="H199" s="152" t="e">
        <f t="shared" si="58"/>
        <v>#DIV/0!</v>
      </c>
      <c r="I199" s="150" t="e">
        <f t="shared" si="59"/>
        <v>#DIV/0!</v>
      </c>
      <c r="J199" s="150" t="e">
        <f t="shared" si="60"/>
        <v>#DIV/0!</v>
      </c>
      <c r="K199" s="153"/>
      <c r="L199" s="151"/>
      <c r="M199" s="151"/>
      <c r="N199" s="166"/>
      <c r="O199" s="155" t="e">
        <f t="shared" si="61"/>
        <v>#DIV/0!</v>
      </c>
      <c r="P199" s="156" t="e">
        <f t="shared" si="62"/>
        <v>#DIV/0!</v>
      </c>
      <c r="Q199" s="155" t="e">
        <f t="shared" si="63"/>
        <v>#DIV/0!</v>
      </c>
      <c r="R199" s="157" t="e">
        <f t="shared" si="64"/>
        <v>#DIV/0!</v>
      </c>
      <c r="S199" s="158"/>
      <c r="T199" s="159" t="e">
        <f t="shared" si="65"/>
        <v>#DIV/0!</v>
      </c>
      <c r="U199" s="160"/>
      <c r="V199" s="160"/>
      <c r="W199" s="160"/>
      <c r="X199" s="160"/>
      <c r="Y199" s="1"/>
      <c r="Z199" s="50"/>
      <c r="AA199" s="50"/>
    </row>
    <row r="200" spans="1:27" ht="12.75" hidden="1" outlineLevel="1" x14ac:dyDescent="0.2">
      <c r="A200" s="161"/>
      <c r="B200" s="147"/>
      <c r="C200" s="148" t="s">
        <v>62</v>
      </c>
      <c r="D200" s="167"/>
      <c r="E200" s="150"/>
      <c r="F200" s="151"/>
      <c r="G200" s="151"/>
      <c r="H200" s="152" t="e">
        <f t="shared" si="58"/>
        <v>#DIV/0!</v>
      </c>
      <c r="I200" s="150" t="e">
        <f t="shared" si="59"/>
        <v>#DIV/0!</v>
      </c>
      <c r="J200" s="150" t="e">
        <f t="shared" si="60"/>
        <v>#DIV/0!</v>
      </c>
      <c r="K200" s="153"/>
      <c r="L200" s="151"/>
      <c r="M200" s="151"/>
      <c r="N200" s="168"/>
      <c r="O200" s="155" t="e">
        <f t="shared" si="61"/>
        <v>#DIV/0!</v>
      </c>
      <c r="P200" s="156" t="e">
        <f t="shared" si="62"/>
        <v>#DIV/0!</v>
      </c>
      <c r="Q200" s="155" t="e">
        <f t="shared" si="63"/>
        <v>#DIV/0!</v>
      </c>
      <c r="R200" s="157" t="e">
        <f t="shared" si="64"/>
        <v>#DIV/0!</v>
      </c>
      <c r="S200" s="158"/>
      <c r="T200" s="159" t="e">
        <f t="shared" si="65"/>
        <v>#DIV/0!</v>
      </c>
      <c r="U200" s="160"/>
      <c r="V200" s="160"/>
      <c r="W200" s="160"/>
      <c r="X200" s="160"/>
      <c r="Y200" s="1"/>
      <c r="Z200" s="50"/>
      <c r="AA200" s="50"/>
    </row>
    <row r="201" spans="1:27" ht="12.75" hidden="1" outlineLevel="1" x14ac:dyDescent="0.2">
      <c r="A201" s="34">
        <f>IFERROR(IF(B201&gt;0,MONTH(B201)&amp;"-"&amp;YEAR(B201),B201),)</f>
        <v>0</v>
      </c>
      <c r="B201" s="52"/>
      <c r="C201" s="53"/>
      <c r="D201" s="54">
        <f>SUM(D195:D200)</f>
        <v>0</v>
      </c>
      <c r="E201" s="169"/>
      <c r="F201" s="54">
        <f t="shared" ref="F201:N201" si="66">SUM(F195:F200)</f>
        <v>0</v>
      </c>
      <c r="G201" s="54">
        <f t="shared" si="66"/>
        <v>0</v>
      </c>
      <c r="H201" s="54" t="e">
        <f t="shared" si="66"/>
        <v>#DIV/0!</v>
      </c>
      <c r="I201" s="54" t="e">
        <f t="shared" si="66"/>
        <v>#DIV/0!</v>
      </c>
      <c r="J201" s="54" t="e">
        <f t="shared" si="66"/>
        <v>#DIV/0!</v>
      </c>
      <c r="K201" s="54">
        <f t="shared" si="66"/>
        <v>0</v>
      </c>
      <c r="L201" s="53">
        <f t="shared" si="66"/>
        <v>0</v>
      </c>
      <c r="M201" s="54">
        <f t="shared" si="66"/>
        <v>0</v>
      </c>
      <c r="N201" s="54">
        <f t="shared" si="66"/>
        <v>0</v>
      </c>
      <c r="O201" s="60" t="e">
        <f t="shared" si="61"/>
        <v>#DIV/0!</v>
      </c>
      <c r="P201" s="61" t="e">
        <f t="shared" si="62"/>
        <v>#DIV/0!</v>
      </c>
      <c r="Q201" s="60" t="e">
        <f t="shared" si="63"/>
        <v>#DIV/0!</v>
      </c>
      <c r="R201" s="170" t="e">
        <f t="shared" si="64"/>
        <v>#DIV/0!</v>
      </c>
      <c r="S201" s="171">
        <f>SUM(S195:S200)</f>
        <v>0</v>
      </c>
      <c r="T201" s="172" t="e">
        <f t="shared" si="65"/>
        <v>#DIV/0!</v>
      </c>
      <c r="U201" s="65">
        <f>IFERROR((D201-#REF!)/D201,)</f>
        <v>0</v>
      </c>
      <c r="V201" s="65">
        <f>IFERROR((F201-#REF!)/F201,)</f>
        <v>0</v>
      </c>
      <c r="W201" s="66">
        <f>IFERROR((D201-[1]monthly_reporting_2021!E9)/D201, )</f>
        <v>0</v>
      </c>
      <c r="X201" s="66">
        <f>IFERROR((F201-[1]monthly_reporting_2021!F9)/F201, )</f>
        <v>0</v>
      </c>
      <c r="Y201" s="67"/>
      <c r="Z201" s="50"/>
      <c r="AA201" s="50"/>
    </row>
    <row r="202" spans="1:27" ht="12.75" collapsed="1" x14ac:dyDescent="0.2">
      <c r="A202" s="34"/>
      <c r="B202" s="173"/>
      <c r="C202" s="173"/>
      <c r="D202" s="174"/>
      <c r="E202" s="175"/>
      <c r="F202" s="173"/>
      <c r="G202" s="173"/>
      <c r="H202" s="176"/>
      <c r="I202" s="174"/>
      <c r="J202" s="174"/>
      <c r="K202" s="174"/>
      <c r="L202" s="173"/>
      <c r="M202" s="173"/>
      <c r="N202" s="174"/>
      <c r="O202" s="177"/>
      <c r="P202" s="176"/>
      <c r="Q202" s="177"/>
      <c r="R202" s="178"/>
      <c r="S202" s="179"/>
      <c r="T202" s="177"/>
      <c r="U202" s="180"/>
      <c r="V202" s="180"/>
      <c r="W202" s="177"/>
      <c r="X202" s="177"/>
      <c r="Y202" s="67"/>
      <c r="Z202" s="50"/>
      <c r="AA202" s="50"/>
    </row>
    <row r="203" spans="1:27" ht="12.75" x14ac:dyDescent="0.2">
      <c r="A203" s="34"/>
      <c r="B203" s="173"/>
      <c r="C203" s="173"/>
      <c r="D203" s="174"/>
      <c r="E203" s="175"/>
      <c r="F203" s="173"/>
      <c r="G203" s="173"/>
      <c r="H203" s="176"/>
      <c r="I203" s="174"/>
      <c r="J203" s="174"/>
      <c r="K203" s="174"/>
      <c r="L203" s="173"/>
      <c r="M203" s="173"/>
      <c r="N203" s="174"/>
      <c r="O203" s="177"/>
      <c r="P203" s="176"/>
      <c r="Q203" s="177"/>
      <c r="R203" s="178"/>
      <c r="S203" s="179"/>
      <c r="T203" s="177"/>
      <c r="U203" s="180"/>
      <c r="V203" s="180"/>
      <c r="W203" s="177"/>
      <c r="X203" s="177"/>
      <c r="Y203" s="67"/>
      <c r="Z203" s="50"/>
      <c r="AA203" s="50"/>
    </row>
    <row r="204" spans="1:27" ht="12.75" x14ac:dyDescent="0.2">
      <c r="A204" s="34"/>
      <c r="B204" s="173"/>
      <c r="C204" s="173"/>
      <c r="D204" s="174"/>
      <c r="E204" s="175"/>
      <c r="F204" s="173"/>
      <c r="G204" s="173"/>
      <c r="H204" s="176"/>
      <c r="I204" s="174"/>
      <c r="J204" s="174"/>
      <c r="K204" s="174"/>
      <c r="L204" s="173"/>
      <c r="M204" s="173"/>
      <c r="N204" s="174"/>
      <c r="O204" s="177"/>
      <c r="P204" s="176"/>
      <c r="Q204" s="177"/>
      <c r="R204" s="178"/>
      <c r="S204" s="179"/>
      <c r="T204" s="177"/>
      <c r="U204" s="180"/>
      <c r="V204" s="180"/>
      <c r="W204" s="177"/>
      <c r="X204" s="177"/>
      <c r="Y204" s="67"/>
      <c r="Z204" s="50"/>
      <c r="AA204" s="50"/>
    </row>
    <row r="205" spans="1:27" ht="12.75" x14ac:dyDescent="0.2">
      <c r="A205" s="34"/>
      <c r="B205" s="173"/>
      <c r="C205" s="173"/>
      <c r="D205" s="174"/>
      <c r="E205" s="175"/>
      <c r="F205" s="173"/>
      <c r="G205" s="173"/>
      <c r="H205" s="176"/>
      <c r="I205" s="174"/>
      <c r="J205" s="174"/>
      <c r="K205" s="174"/>
      <c r="L205" s="173"/>
      <c r="M205" s="173"/>
      <c r="N205" s="174"/>
      <c r="O205" s="177"/>
      <c r="P205" s="176"/>
      <c r="Q205" s="177"/>
      <c r="R205" s="178"/>
      <c r="S205" s="179"/>
      <c r="T205" s="177"/>
      <c r="U205" s="180"/>
      <c r="V205" s="180"/>
      <c r="W205" s="177"/>
      <c r="X205" s="177"/>
      <c r="Y205" s="67"/>
      <c r="Z205" s="50"/>
      <c r="AA205" s="50"/>
    </row>
    <row r="206" spans="1:27" ht="12.75" x14ac:dyDescent="0.2">
      <c r="A206" s="34"/>
      <c r="B206" s="173"/>
      <c r="C206" s="173"/>
      <c r="D206" s="174"/>
      <c r="E206" s="175"/>
      <c r="F206" s="173"/>
      <c r="G206" s="173"/>
      <c r="H206" s="176"/>
      <c r="I206" s="174"/>
      <c r="J206" s="50"/>
      <c r="K206" s="174"/>
      <c r="L206" s="173"/>
      <c r="M206" s="173"/>
      <c r="N206" s="174"/>
      <c r="O206" s="177"/>
      <c r="P206" s="176"/>
      <c r="Q206" s="177"/>
      <c r="R206" s="178"/>
      <c r="S206" s="179"/>
      <c r="T206" s="177"/>
      <c r="U206" s="180"/>
      <c r="V206" s="180"/>
      <c r="W206" s="177"/>
      <c r="X206" s="177"/>
      <c r="Y206" s="67"/>
      <c r="Z206" s="50"/>
      <c r="AA206" s="50"/>
    </row>
  </sheetData>
  <mergeCells count="19">
    <mergeCell ref="W10:X10"/>
    <mergeCell ref="Y10:Z10"/>
    <mergeCell ref="G5:J5"/>
    <mergeCell ref="L5:O5"/>
    <mergeCell ref="G7:J7"/>
    <mergeCell ref="L7:O7"/>
    <mergeCell ref="G8:I8"/>
    <mergeCell ref="L8:N8"/>
    <mergeCell ref="L9:O9"/>
    <mergeCell ref="G4:I4"/>
    <mergeCell ref="L4:N4"/>
    <mergeCell ref="G9:J9"/>
    <mergeCell ref="D10:J10"/>
    <mergeCell ref="M10:T10"/>
    <mergeCell ref="A1:B1"/>
    <mergeCell ref="A2:B2"/>
    <mergeCell ref="C2:X2"/>
    <mergeCell ref="G3:J3"/>
    <mergeCell ref="L3:O3"/>
  </mergeCells>
  <conditionalFormatting sqref="C5 G5:J5 L5:O5 C9">
    <cfRule type="cellIs" dxfId="55" priority="1" operator="greaterThanOrEqual">
      <formula>0</formula>
    </cfRule>
    <cfRule type="cellIs" dxfId="54" priority="2" operator="lessThanOrEqual">
      <formula>0</formula>
    </cfRule>
  </conditionalFormatting>
  <conditionalFormatting sqref="G9:O9">
    <cfRule type="cellIs" dxfId="53" priority="3" operator="lessThanOrEqual">
      <formula>0</formula>
    </cfRule>
    <cfRule type="cellIs" dxfId="52" priority="4" operator="greaterThanOrEqual">
      <formula>0</formula>
    </cfRule>
  </conditionalFormatting>
  <conditionalFormatting sqref="U12:Z206">
    <cfRule type="cellIs" dxfId="51" priority="5" operator="greaterThanOrEqual">
      <formula>0</formula>
    </cfRule>
    <cfRule type="cellIs" dxfId="50" priority="6" operator="lessThan">
      <formula>0</formula>
    </cfRule>
  </conditionalFormatting>
  <conditionalFormatting sqref="W12:X206">
    <cfRule type="cellIs" dxfId="49" priority="7" operator="greaterThanOrEqual">
      <formula>0</formula>
    </cfRule>
    <cfRule type="cellIs" dxfId="48" priority="8" operator="lessThan">
      <formula>0</formula>
    </cfRule>
  </conditionalFormatting>
  <dataValidations count="1">
    <dataValidation type="list" allowBlank="1" sqref="B12 B30 B48 B66 B84 B102 B120 B138 B156 B174 B192 B201" xr:uid="{00000000-0002-0000-0000-000000000000}">
      <formula1>"Previous Week,Current Week"</formula1>
    </dataValidation>
  </dataValidations>
  <hyperlinks>
    <hyperlink ref="A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Right="0"/>
  </sheetPr>
  <dimension ref="A1:Z902"/>
  <sheetViews>
    <sheetView workbookViewId="0">
      <pane ySplit="11" topLeftCell="A12" activePane="bottomLeft" state="frozen"/>
      <selection pane="bottomLeft" activeCell="B13" sqref="B13"/>
    </sheetView>
  </sheetViews>
  <sheetFormatPr defaultColWidth="12.5703125" defaultRowHeight="15.75" customHeight="1" outlineLevelRow="1" x14ac:dyDescent="0.2"/>
  <cols>
    <col min="2" max="2" width="13.7109375" customWidth="1"/>
    <col min="3" max="3" width="17" customWidth="1"/>
  </cols>
  <sheetData>
    <row r="1" spans="1:26" ht="21" customHeight="1" x14ac:dyDescent="0.2">
      <c r="A1" s="315" t="s">
        <v>63</v>
      </c>
      <c r="B1" s="316"/>
      <c r="C1" s="1"/>
      <c r="D1" s="2"/>
      <c r="E1" s="2"/>
      <c r="F1" s="2"/>
      <c r="G1" s="2"/>
      <c r="H1" s="2"/>
      <c r="I1" s="2"/>
      <c r="J1" s="2"/>
      <c r="K1" s="2"/>
      <c r="L1" s="3"/>
      <c r="M1" s="2"/>
      <c r="N1" s="2"/>
      <c r="O1" s="2"/>
      <c r="P1" s="2"/>
      <c r="Q1" s="2"/>
      <c r="R1" s="2"/>
      <c r="S1" s="2"/>
      <c r="T1" s="4"/>
      <c r="U1" s="4"/>
      <c r="V1" s="2"/>
      <c r="W1" s="2"/>
      <c r="X1" s="2"/>
      <c r="Y1" s="2"/>
      <c r="Z1" s="2"/>
    </row>
    <row r="2" spans="1:26" ht="12.75" x14ac:dyDescent="0.2">
      <c r="A2" s="317"/>
      <c r="B2" s="318"/>
      <c r="C2" s="319" t="s">
        <v>1</v>
      </c>
      <c r="D2" s="320"/>
      <c r="E2" s="320"/>
      <c r="F2" s="320"/>
      <c r="G2" s="320"/>
      <c r="H2" s="320"/>
      <c r="I2" s="320"/>
      <c r="J2" s="320"/>
      <c r="K2" s="320"/>
      <c r="L2" s="320"/>
      <c r="M2" s="320"/>
      <c r="N2" s="320"/>
      <c r="O2" s="320"/>
      <c r="P2" s="320"/>
      <c r="Q2" s="320"/>
      <c r="R2" s="320"/>
      <c r="S2" s="320"/>
      <c r="T2" s="320"/>
      <c r="U2" s="320"/>
      <c r="V2" s="320"/>
      <c r="W2" s="318"/>
      <c r="X2" s="5" t="e">
        <f>(#REF!+#REF!+#REF!+#REF!)-([1]monthly_reporting_2021!D17+[1]monthly_reporting_2021!D23+[1]monthly_reporting_2021!D29+[1]monthly_reporting_2021!D35)</f>
        <v>#REF!</v>
      </c>
      <c r="Y2" s="6" t="e">
        <f>((#REF!+#REF!+#REF!+#REF!)-([1]monthly_reporting_2021!E17+[1]monthly_reporting_2021!E23+[1]monthly_reporting_2021!E29+[1]monthly_reporting_2021!E35))/(#REF!+#REF!+#REF!+#REF!)</f>
        <v>#REF!</v>
      </c>
      <c r="Z2" s="1"/>
    </row>
    <row r="3" spans="1:26" ht="21" customHeight="1" x14ac:dyDescent="0.3">
      <c r="A3" s="181"/>
      <c r="B3" s="8"/>
      <c r="C3" s="9" t="s">
        <v>2</v>
      </c>
      <c r="D3" s="12"/>
      <c r="E3" s="182"/>
      <c r="F3" s="336" t="s">
        <v>3</v>
      </c>
      <c r="G3" s="320"/>
      <c r="H3" s="320"/>
      <c r="I3" s="318"/>
      <c r="J3" s="182"/>
      <c r="K3" s="322" t="s">
        <v>4</v>
      </c>
      <c r="L3" s="320"/>
      <c r="M3" s="320"/>
      <c r="N3" s="318"/>
      <c r="O3" s="12"/>
      <c r="P3" s="12"/>
      <c r="Q3" s="12"/>
      <c r="R3" s="12"/>
      <c r="S3" s="12"/>
      <c r="T3" s="13"/>
      <c r="U3" s="13"/>
      <c r="V3" s="12"/>
      <c r="W3" s="12"/>
      <c r="X3" s="12"/>
      <c r="Y3" s="12"/>
      <c r="Z3" s="12"/>
    </row>
    <row r="4" spans="1:26" ht="21" customHeight="1" x14ac:dyDescent="0.3">
      <c r="A4" s="183"/>
      <c r="B4" s="15"/>
      <c r="C4" s="16">
        <f>VLOOKUP("Current Week",$B$11:$X$211,MATCH("SALES",$B$11:$X$11,0),FALSE)</f>
        <v>19868.78</v>
      </c>
      <c r="D4" s="184"/>
      <c r="E4" s="185"/>
      <c r="F4" s="337">
        <f>VLOOKUP("Current Week",$B$11:$X$211,MATCH("Units Sold",$B$11:$X$11,0),FALSE)</f>
        <v>229</v>
      </c>
      <c r="G4" s="338"/>
      <c r="H4" s="316"/>
      <c r="I4" s="185"/>
      <c r="J4" s="185"/>
      <c r="K4" s="323">
        <f>VLOOKUP("Current Week",$B$11:$X$211,MATCH("Ordered Items",$B$11:$X$11,0),FALSE)</f>
        <v>246</v>
      </c>
      <c r="L4" s="320"/>
      <c r="M4" s="318"/>
      <c r="N4" s="19"/>
      <c r="O4" s="19"/>
      <c r="P4" s="19"/>
      <c r="Q4" s="19"/>
      <c r="R4" s="19"/>
      <c r="S4" s="19"/>
      <c r="T4" s="20"/>
      <c r="U4" s="20"/>
      <c r="V4" s="19"/>
      <c r="W4" s="19"/>
      <c r="X4" s="19"/>
      <c r="Y4" s="19"/>
      <c r="Z4" s="19"/>
    </row>
    <row r="5" spans="1:26" ht="17.25" x14ac:dyDescent="0.3">
      <c r="A5" s="186"/>
      <c r="B5" s="22"/>
      <c r="C5" s="187">
        <f>(C4-(VLOOKUP("Previous Week",$B$11:$X$216,MATCH("SALES",$B$11:$X$11,0),FALSE)))/C4</f>
        <v>-0.35721317564540972</v>
      </c>
      <c r="D5" s="188"/>
      <c r="E5" s="189"/>
      <c r="F5" s="340">
        <f>(F4-(VLOOKUP("Previous Week",$B$11:$X$216,MATCH("Units Sold",$B$11:$X$11,0),FALSE)))/F4</f>
        <v>-0.29257641921397382</v>
      </c>
      <c r="G5" s="338"/>
      <c r="H5" s="338"/>
      <c r="I5" s="316"/>
      <c r="J5" s="189"/>
      <c r="K5" s="341">
        <f>(K4-(VLOOKUP("Previous Week",$B$11:$X$216,MATCH("Ordered Items",$B$11:$X$11,0),FALSE)))/K4</f>
        <v>-0.17073170731707318</v>
      </c>
      <c r="L5" s="320"/>
      <c r="M5" s="320"/>
      <c r="N5" s="318"/>
      <c r="O5" s="26"/>
      <c r="P5" s="26"/>
      <c r="Q5" s="26"/>
      <c r="R5" s="26"/>
      <c r="S5" s="26"/>
      <c r="T5" s="26"/>
      <c r="U5" s="26"/>
      <c r="V5" s="26"/>
      <c r="W5" s="26"/>
      <c r="X5" s="26"/>
      <c r="Y5" s="26"/>
      <c r="Z5" s="26"/>
    </row>
    <row r="6" spans="1:26" ht="17.25" x14ac:dyDescent="0.3">
      <c r="A6" s="183"/>
      <c r="B6" s="15"/>
      <c r="C6" s="27"/>
      <c r="D6" s="184"/>
      <c r="E6" s="185"/>
      <c r="F6" s="185"/>
      <c r="G6" s="185"/>
      <c r="H6" s="185"/>
      <c r="I6" s="185"/>
      <c r="J6" s="185"/>
      <c r="K6" s="19"/>
      <c r="L6" s="19"/>
      <c r="M6" s="19"/>
      <c r="N6" s="19"/>
      <c r="O6" s="19"/>
      <c r="P6" s="19"/>
      <c r="Q6" s="19"/>
      <c r="R6" s="19"/>
      <c r="S6" s="19"/>
      <c r="T6" s="20"/>
      <c r="U6" s="20"/>
      <c r="V6" s="19"/>
      <c r="W6" s="19"/>
      <c r="X6" s="19"/>
      <c r="Y6" s="19"/>
      <c r="Z6" s="19"/>
    </row>
    <row r="7" spans="1:26" ht="22.5" customHeight="1" x14ac:dyDescent="0.3">
      <c r="A7" s="190"/>
      <c r="B7" s="8"/>
      <c r="C7" s="9" t="s">
        <v>5</v>
      </c>
      <c r="D7" s="191"/>
      <c r="E7" s="192"/>
      <c r="F7" s="342" t="s">
        <v>6</v>
      </c>
      <c r="G7" s="338"/>
      <c r="H7" s="338"/>
      <c r="I7" s="316"/>
      <c r="J7" s="192"/>
      <c r="K7" s="322" t="s">
        <v>7</v>
      </c>
      <c r="L7" s="320"/>
      <c r="M7" s="320"/>
      <c r="N7" s="318"/>
      <c r="O7" s="12"/>
      <c r="P7" s="12"/>
      <c r="Q7" s="12"/>
      <c r="R7" s="12"/>
      <c r="S7" s="12"/>
      <c r="T7" s="13"/>
      <c r="U7" s="13"/>
      <c r="V7" s="12"/>
      <c r="W7" s="12"/>
      <c r="X7" s="12"/>
      <c r="Y7" s="12"/>
      <c r="Z7" s="12"/>
    </row>
    <row r="8" spans="1:26" ht="21" customHeight="1" x14ac:dyDescent="0.3">
      <c r="A8" s="183"/>
      <c r="B8" s="15"/>
      <c r="C8" s="16">
        <f>VLOOKUP("Current Week",$B$11:$X$211,MATCH("AD SALES",$B$11:$X$11,0),FALSE)</f>
        <v>5846.1299999999992</v>
      </c>
      <c r="D8" s="184"/>
      <c r="E8" s="185"/>
      <c r="F8" s="343">
        <f>VLOOKUP("Current Week",$B$11:$X$211,MATCH("SP AD SPEND",$B$11:$X$11,0),FALSE)</f>
        <v>3418.5099999999998</v>
      </c>
      <c r="G8" s="338"/>
      <c r="H8" s="316"/>
      <c r="I8" s="185"/>
      <c r="J8" s="185"/>
      <c r="K8" s="334">
        <f>F8/C8</f>
        <v>0.58474751673329195</v>
      </c>
      <c r="L8" s="320"/>
      <c r="M8" s="318"/>
      <c r="N8" s="19"/>
      <c r="O8" s="19"/>
      <c r="P8" s="19"/>
      <c r="Q8" s="19"/>
      <c r="R8" s="19"/>
      <c r="S8" s="19"/>
      <c r="T8" s="20"/>
      <c r="U8" s="20"/>
      <c r="V8" s="19"/>
      <c r="W8" s="19"/>
      <c r="X8" s="19"/>
      <c r="Y8" s="19"/>
      <c r="Z8" s="19"/>
    </row>
    <row r="9" spans="1:26" ht="17.25" x14ac:dyDescent="0.3">
      <c r="A9" s="193"/>
      <c r="B9" s="29"/>
      <c r="C9" s="194">
        <f>(C8-(VLOOKUP("Previous Week",$B$11:$X$216,MATCH("AD SALES",$B$11:$X$11,0),FALSE)))/C8</f>
        <v>-2.3939323963031955</v>
      </c>
      <c r="D9" s="195"/>
      <c r="E9" s="196"/>
      <c r="F9" s="339">
        <f>(F8-(VLOOKUP("Previous Week",$B$11:$X$216,MATCH("SP AD SPEND",$B$11:$X$11,0),FALSE)))/F8</f>
        <v>-1.9663303603031732</v>
      </c>
      <c r="G9" s="325"/>
      <c r="H9" s="325"/>
      <c r="I9" s="326"/>
      <c r="J9" s="31"/>
      <c r="K9" s="344">
        <f>(K8-(VLOOKUP("Previous Week",$B$11:$X$216,MATCH("ACOS",$B$11:$X$11,0),FALSE)))/K8</f>
        <v>0.12599014537407505</v>
      </c>
      <c r="L9" s="325"/>
      <c r="M9" s="325"/>
      <c r="N9" s="326"/>
      <c r="O9" s="31"/>
      <c r="P9" s="31"/>
      <c r="Q9" s="31"/>
      <c r="R9" s="31"/>
      <c r="S9" s="31"/>
      <c r="T9" s="32"/>
      <c r="U9" s="32"/>
      <c r="V9" s="31"/>
      <c r="W9" s="31"/>
      <c r="X9" s="31"/>
      <c r="Y9" s="31"/>
      <c r="Z9" s="33"/>
    </row>
    <row r="10" spans="1:26" ht="15" customHeight="1" x14ac:dyDescent="0.2">
      <c r="A10" s="197"/>
      <c r="B10" s="35"/>
      <c r="C10" s="36"/>
      <c r="D10" s="327" t="s">
        <v>8</v>
      </c>
      <c r="E10" s="328"/>
      <c r="F10" s="328"/>
      <c r="G10" s="328"/>
      <c r="H10" s="328"/>
      <c r="I10" s="329"/>
      <c r="J10" s="37"/>
      <c r="K10" s="38"/>
      <c r="L10" s="330" t="s">
        <v>9</v>
      </c>
      <c r="M10" s="328"/>
      <c r="N10" s="328"/>
      <c r="O10" s="328"/>
      <c r="P10" s="328"/>
      <c r="Q10" s="328"/>
      <c r="R10" s="328"/>
      <c r="S10" s="329"/>
      <c r="T10" s="39"/>
      <c r="U10" s="40"/>
      <c r="V10" s="331" t="s">
        <v>10</v>
      </c>
      <c r="W10" s="329"/>
      <c r="X10" s="327" t="s">
        <v>11</v>
      </c>
      <c r="Y10" s="329"/>
      <c r="Z10" s="1"/>
    </row>
    <row r="11" spans="1:26" ht="37.5" customHeight="1" x14ac:dyDescent="0.2">
      <c r="A11" s="41" t="s">
        <v>12</v>
      </c>
      <c r="B11" s="42" t="s">
        <v>13</v>
      </c>
      <c r="C11" s="43" t="s">
        <v>14</v>
      </c>
      <c r="D11" s="43" t="s">
        <v>15</v>
      </c>
      <c r="E11" s="45" t="s">
        <v>17</v>
      </c>
      <c r="F11" s="45" t="s">
        <v>18</v>
      </c>
      <c r="G11" s="45" t="s">
        <v>19</v>
      </c>
      <c r="H11" s="45" t="s">
        <v>20</v>
      </c>
      <c r="I11" s="41" t="s">
        <v>21</v>
      </c>
      <c r="J11" s="46" t="s">
        <v>22</v>
      </c>
      <c r="K11" s="45" t="s">
        <v>23</v>
      </c>
      <c r="L11" s="45" t="s">
        <v>24</v>
      </c>
      <c r="M11" s="45" t="s">
        <v>25</v>
      </c>
      <c r="N11" s="45" t="s">
        <v>7</v>
      </c>
      <c r="O11" s="45" t="s">
        <v>26</v>
      </c>
      <c r="P11" s="41" t="s">
        <v>27</v>
      </c>
      <c r="Q11" s="47" t="s">
        <v>28</v>
      </c>
      <c r="R11" s="48" t="s">
        <v>29</v>
      </c>
      <c r="S11" s="41" t="s">
        <v>30</v>
      </c>
      <c r="T11" s="49" t="s">
        <v>15</v>
      </c>
      <c r="U11" s="47" t="s">
        <v>31</v>
      </c>
      <c r="V11" s="49" t="s">
        <v>15</v>
      </c>
      <c r="W11" s="47" t="s">
        <v>31</v>
      </c>
      <c r="X11" s="45"/>
      <c r="Y11" s="50"/>
      <c r="Z11" s="50"/>
    </row>
    <row r="12" spans="1:26" ht="12.75" x14ac:dyDescent="0.2">
      <c r="A12" s="51"/>
      <c r="B12" s="52"/>
      <c r="C12" s="53"/>
      <c r="D12" s="54"/>
      <c r="E12" s="56"/>
      <c r="F12" s="56"/>
      <c r="G12" s="57"/>
      <c r="H12" s="55"/>
      <c r="I12" s="58"/>
      <c r="J12" s="54"/>
      <c r="K12" s="56"/>
      <c r="L12" s="56"/>
      <c r="M12" s="59"/>
      <c r="N12" s="60"/>
      <c r="O12" s="61"/>
      <c r="P12" s="60"/>
      <c r="Q12" s="62"/>
      <c r="R12" s="63"/>
      <c r="S12" s="64"/>
      <c r="T12" s="65"/>
      <c r="U12" s="65"/>
      <c r="V12" s="66"/>
      <c r="W12" s="66"/>
      <c r="X12" s="67"/>
      <c r="Y12" s="50"/>
      <c r="Z12" s="50"/>
    </row>
    <row r="13" spans="1:26" ht="12.75" hidden="1" outlineLevel="1" x14ac:dyDescent="0.2">
      <c r="A13" s="68"/>
      <c r="B13" s="69">
        <v>46012</v>
      </c>
      <c r="C13" s="70" t="s">
        <v>32</v>
      </c>
      <c r="D13" s="71">
        <v>7936.51</v>
      </c>
      <c r="E13" s="73">
        <v>30</v>
      </c>
      <c r="F13" s="73">
        <v>30</v>
      </c>
      <c r="G13" s="74">
        <f t="shared" ref="G13:G202" si="0">E13/F13</f>
        <v>1</v>
      </c>
      <c r="H13" s="75">
        <f t="shared" ref="H13:H202" si="1">D13/E13</f>
        <v>264.55033333333336</v>
      </c>
      <c r="I13" s="76">
        <f t="shared" ref="I13:I202" si="2">H13/G13</f>
        <v>264.55033333333336</v>
      </c>
      <c r="J13" s="77">
        <v>1654.24</v>
      </c>
      <c r="K13" s="73">
        <v>263207</v>
      </c>
      <c r="L13" s="73">
        <v>16</v>
      </c>
      <c r="M13" s="78">
        <v>4466.7299999999996</v>
      </c>
      <c r="N13" s="79">
        <f t="shared" ref="N13:N14" si="3">J13/M13</f>
        <v>0.37034698761733981</v>
      </c>
      <c r="O13" s="80">
        <f t="shared" ref="O13:O202" si="4">M13/J13</f>
        <v>2.7001704710320142</v>
      </c>
      <c r="P13" s="79">
        <f t="shared" ref="P13:P202" si="5">J13/D13</f>
        <v>0.20843418580711168</v>
      </c>
      <c r="Q13" s="81">
        <f t="shared" ref="Q13:Q202" si="6">M13/D13</f>
        <v>0.56280783366996312</v>
      </c>
      <c r="R13" s="82">
        <f t="shared" ref="R13:R30" si="7">D13-M13</f>
        <v>3469.7800000000007</v>
      </c>
      <c r="S13" s="83">
        <f t="shared" ref="S13:S202" si="8">J13/L13</f>
        <v>103.39</v>
      </c>
      <c r="T13" s="84"/>
      <c r="U13" s="84"/>
      <c r="V13" s="84"/>
      <c r="W13" s="84"/>
      <c r="X13" s="85"/>
      <c r="Y13" s="68"/>
      <c r="Z13" s="68"/>
    </row>
    <row r="14" spans="1:26" ht="12.75" hidden="1" outlineLevel="1" x14ac:dyDescent="0.2">
      <c r="A14" s="68"/>
      <c r="B14" s="86"/>
      <c r="C14" s="70" t="s">
        <v>33</v>
      </c>
      <c r="D14" s="87">
        <v>19206.39</v>
      </c>
      <c r="E14" s="73">
        <v>104</v>
      </c>
      <c r="F14" s="73">
        <v>119</v>
      </c>
      <c r="G14" s="74">
        <f t="shared" si="0"/>
        <v>0.87394957983193278</v>
      </c>
      <c r="H14" s="75">
        <f t="shared" si="1"/>
        <v>184.67682692307693</v>
      </c>
      <c r="I14" s="76">
        <f t="shared" si="2"/>
        <v>211.31290772928995</v>
      </c>
      <c r="J14" s="87">
        <v>1288.08</v>
      </c>
      <c r="K14" s="73">
        <v>442713</v>
      </c>
      <c r="L14" s="73">
        <v>37</v>
      </c>
      <c r="M14" s="88">
        <v>6713.65</v>
      </c>
      <c r="N14" s="79">
        <f t="shared" si="3"/>
        <v>0.19185986758320733</v>
      </c>
      <c r="O14" s="80">
        <f t="shared" si="4"/>
        <v>5.2121374448792004</v>
      </c>
      <c r="P14" s="79">
        <f t="shared" si="5"/>
        <v>6.7065179869824576E-2</v>
      </c>
      <c r="Q14" s="81">
        <f t="shared" si="6"/>
        <v>0.34955293524707143</v>
      </c>
      <c r="R14" s="89">
        <f t="shared" si="7"/>
        <v>12492.74</v>
      </c>
      <c r="S14" s="83">
        <f t="shared" si="8"/>
        <v>34.812972972972972</v>
      </c>
      <c r="T14" s="84"/>
      <c r="U14" s="84"/>
      <c r="V14" s="84"/>
      <c r="W14" s="84"/>
      <c r="X14" s="85"/>
      <c r="Y14" s="68"/>
      <c r="Z14" s="68"/>
    </row>
    <row r="15" spans="1:26" ht="12.75" hidden="1" outlineLevel="1" x14ac:dyDescent="0.2">
      <c r="A15" s="68"/>
      <c r="B15" s="86"/>
      <c r="C15" s="70" t="s">
        <v>34</v>
      </c>
      <c r="D15" s="90">
        <v>0</v>
      </c>
      <c r="E15" s="73">
        <v>0</v>
      </c>
      <c r="F15" s="73">
        <v>0</v>
      </c>
      <c r="G15" s="74" t="e">
        <f t="shared" si="0"/>
        <v>#DIV/0!</v>
      </c>
      <c r="H15" s="75" t="e">
        <f t="shared" si="1"/>
        <v>#DIV/0!</v>
      </c>
      <c r="I15" s="76" t="e">
        <f t="shared" si="2"/>
        <v>#DIV/0!</v>
      </c>
      <c r="J15" s="90">
        <v>7.5</v>
      </c>
      <c r="K15" s="73">
        <v>288</v>
      </c>
      <c r="L15" s="73">
        <v>0</v>
      </c>
      <c r="M15" s="91">
        <v>0</v>
      </c>
      <c r="N15" s="79" t="e">
        <f>(J15/M15)</f>
        <v>#DIV/0!</v>
      </c>
      <c r="O15" s="80">
        <f t="shared" si="4"/>
        <v>0</v>
      </c>
      <c r="P15" s="79" t="e">
        <f t="shared" si="5"/>
        <v>#DIV/0!</v>
      </c>
      <c r="Q15" s="81" t="e">
        <f t="shared" si="6"/>
        <v>#DIV/0!</v>
      </c>
      <c r="R15" s="92">
        <f t="shared" si="7"/>
        <v>0</v>
      </c>
      <c r="S15" s="83" t="e">
        <f t="shared" si="8"/>
        <v>#DIV/0!</v>
      </c>
      <c r="T15" s="84"/>
      <c r="U15" s="84"/>
      <c r="V15" s="84"/>
      <c r="W15" s="84"/>
      <c r="X15" s="85"/>
      <c r="Y15" s="68"/>
      <c r="Z15" s="68"/>
    </row>
    <row r="16" spans="1:26" ht="12.75" hidden="1" outlineLevel="1" x14ac:dyDescent="0.2">
      <c r="A16" s="68"/>
      <c r="B16" s="86"/>
      <c r="C16" s="70" t="s">
        <v>35</v>
      </c>
      <c r="D16" s="90">
        <v>545.54999999999995</v>
      </c>
      <c r="E16" s="73">
        <v>9</v>
      </c>
      <c r="F16" s="73">
        <v>10</v>
      </c>
      <c r="G16" s="74">
        <f t="shared" si="0"/>
        <v>0.9</v>
      </c>
      <c r="H16" s="75">
        <f t="shared" si="1"/>
        <v>60.61666666666666</v>
      </c>
      <c r="I16" s="76">
        <f t="shared" si="2"/>
        <v>67.351851851851848</v>
      </c>
      <c r="J16" s="90">
        <v>184.21</v>
      </c>
      <c r="K16" s="73">
        <v>16259</v>
      </c>
      <c r="L16" s="73">
        <v>1</v>
      </c>
      <c r="M16" s="91">
        <v>59.95</v>
      </c>
      <c r="N16" s="79">
        <f t="shared" ref="N16:N33" si="9">J16/M16</f>
        <v>3.0727272727272728</v>
      </c>
      <c r="O16" s="80">
        <f t="shared" si="4"/>
        <v>0.32544378698224852</v>
      </c>
      <c r="P16" s="79">
        <f t="shared" si="5"/>
        <v>0.33765924296581434</v>
      </c>
      <c r="Q16" s="81">
        <f t="shared" si="6"/>
        <v>0.10988910274035378</v>
      </c>
      <c r="R16" s="92">
        <f t="shared" si="7"/>
        <v>485.59999999999997</v>
      </c>
      <c r="S16" s="83">
        <f t="shared" si="8"/>
        <v>184.21</v>
      </c>
      <c r="T16" s="84"/>
      <c r="U16" s="84"/>
      <c r="V16" s="84"/>
      <c r="W16" s="84"/>
      <c r="X16" s="85"/>
      <c r="Y16" s="68"/>
      <c r="Z16" s="68"/>
    </row>
    <row r="17" spans="1:26" ht="12.75" hidden="1" outlineLevel="1" x14ac:dyDescent="0.2">
      <c r="A17" s="68"/>
      <c r="B17" s="86"/>
      <c r="C17" s="70" t="s">
        <v>36</v>
      </c>
      <c r="D17" s="90">
        <v>589.54999999999995</v>
      </c>
      <c r="E17" s="73">
        <v>9</v>
      </c>
      <c r="F17" s="73">
        <v>9</v>
      </c>
      <c r="G17" s="74">
        <f t="shared" si="0"/>
        <v>1</v>
      </c>
      <c r="H17" s="75">
        <f t="shared" si="1"/>
        <v>65.505555555555546</v>
      </c>
      <c r="I17" s="76">
        <f t="shared" si="2"/>
        <v>65.505555555555546</v>
      </c>
      <c r="J17" s="90">
        <v>52.21</v>
      </c>
      <c r="K17" s="73">
        <v>18056</v>
      </c>
      <c r="L17" s="73">
        <v>7</v>
      </c>
      <c r="M17" s="91">
        <v>479.65</v>
      </c>
      <c r="N17" s="79">
        <f t="shared" si="9"/>
        <v>0.10885020327322006</v>
      </c>
      <c r="O17" s="80">
        <f t="shared" si="4"/>
        <v>9.186937368320244</v>
      </c>
      <c r="P17" s="79">
        <f t="shared" si="5"/>
        <v>8.8559070477482835E-2</v>
      </c>
      <c r="Q17" s="81">
        <f t="shared" si="6"/>
        <v>0.81358663387329322</v>
      </c>
      <c r="R17" s="92">
        <f t="shared" si="7"/>
        <v>109.89999999999998</v>
      </c>
      <c r="S17" s="83">
        <f t="shared" si="8"/>
        <v>7.4585714285714291</v>
      </c>
      <c r="T17" s="84"/>
      <c r="U17" s="84"/>
      <c r="V17" s="84"/>
      <c r="W17" s="84"/>
      <c r="X17" s="85"/>
      <c r="Y17" s="68"/>
      <c r="Z17" s="68"/>
    </row>
    <row r="18" spans="1:26" ht="12.75" hidden="1" outlineLevel="1" x14ac:dyDescent="0.2">
      <c r="A18" s="68"/>
      <c r="B18" s="69" t="s">
        <v>37</v>
      </c>
      <c r="C18" s="70" t="s">
        <v>38</v>
      </c>
      <c r="D18" s="93">
        <v>-70.63</v>
      </c>
      <c r="E18" s="73">
        <v>-2</v>
      </c>
      <c r="F18" s="73">
        <v>1</v>
      </c>
      <c r="G18" s="74">
        <f t="shared" si="0"/>
        <v>-2</v>
      </c>
      <c r="H18" s="75">
        <f t="shared" si="1"/>
        <v>35.314999999999998</v>
      </c>
      <c r="I18" s="76">
        <f t="shared" si="2"/>
        <v>-17.657499999999999</v>
      </c>
      <c r="J18" s="93">
        <v>8.48</v>
      </c>
      <c r="K18" s="73">
        <v>697</v>
      </c>
      <c r="L18" s="73">
        <v>0</v>
      </c>
      <c r="M18" s="94">
        <v>0</v>
      </c>
      <c r="N18" s="79" t="e">
        <f t="shared" si="9"/>
        <v>#DIV/0!</v>
      </c>
      <c r="O18" s="80">
        <f t="shared" si="4"/>
        <v>0</v>
      </c>
      <c r="P18" s="79">
        <f t="shared" si="5"/>
        <v>-0.12006229647458588</v>
      </c>
      <c r="Q18" s="81">
        <f t="shared" si="6"/>
        <v>0</v>
      </c>
      <c r="R18" s="95">
        <f t="shared" si="7"/>
        <v>-70.63</v>
      </c>
      <c r="S18" s="83" t="e">
        <f t="shared" si="8"/>
        <v>#DIV/0!</v>
      </c>
      <c r="T18" s="84"/>
      <c r="U18" s="84"/>
      <c r="V18" s="84"/>
      <c r="W18" s="84"/>
      <c r="X18" s="85"/>
      <c r="Y18" s="68"/>
      <c r="Z18" s="68"/>
    </row>
    <row r="19" spans="1:26" ht="12.75" hidden="1" outlineLevel="1" x14ac:dyDescent="0.2">
      <c r="A19" s="68"/>
      <c r="B19" s="86"/>
      <c r="C19" s="70" t="s">
        <v>39</v>
      </c>
      <c r="D19" s="96">
        <v>0</v>
      </c>
      <c r="E19" s="73">
        <v>0</v>
      </c>
      <c r="F19" s="73">
        <v>0</v>
      </c>
      <c r="G19" s="74" t="e">
        <f t="shared" si="0"/>
        <v>#DIV/0!</v>
      </c>
      <c r="H19" s="75" t="e">
        <f t="shared" si="1"/>
        <v>#DIV/0!</v>
      </c>
      <c r="I19" s="76" t="e">
        <f t="shared" si="2"/>
        <v>#DIV/0!</v>
      </c>
      <c r="J19" s="96">
        <v>0</v>
      </c>
      <c r="K19" s="73">
        <v>0</v>
      </c>
      <c r="L19" s="73">
        <v>0</v>
      </c>
      <c r="M19" s="97">
        <v>0</v>
      </c>
      <c r="N19" s="79" t="e">
        <f t="shared" si="9"/>
        <v>#DIV/0!</v>
      </c>
      <c r="O19" s="80" t="e">
        <f t="shared" si="4"/>
        <v>#DIV/0!</v>
      </c>
      <c r="P19" s="79" t="e">
        <f t="shared" si="5"/>
        <v>#DIV/0!</v>
      </c>
      <c r="Q19" s="81" t="e">
        <f t="shared" si="6"/>
        <v>#DIV/0!</v>
      </c>
      <c r="R19" s="98">
        <f t="shared" si="7"/>
        <v>0</v>
      </c>
      <c r="S19" s="83" t="e">
        <f t="shared" si="8"/>
        <v>#DIV/0!</v>
      </c>
      <c r="T19" s="84"/>
      <c r="U19" s="84"/>
      <c r="V19" s="84"/>
      <c r="W19" s="84"/>
      <c r="X19" s="85"/>
      <c r="Y19" s="68"/>
      <c r="Z19" s="68"/>
    </row>
    <row r="20" spans="1:26" ht="12.75" hidden="1" outlineLevel="1" x14ac:dyDescent="0.2">
      <c r="A20" s="68"/>
      <c r="B20" s="86"/>
      <c r="C20" s="70" t="s">
        <v>40</v>
      </c>
      <c r="D20" s="99">
        <v>0</v>
      </c>
      <c r="E20" s="73">
        <v>0</v>
      </c>
      <c r="F20" s="73">
        <v>0</v>
      </c>
      <c r="G20" s="74" t="e">
        <f t="shared" si="0"/>
        <v>#DIV/0!</v>
      </c>
      <c r="H20" s="75" t="e">
        <f t="shared" si="1"/>
        <v>#DIV/0!</v>
      </c>
      <c r="I20" s="76" t="e">
        <f t="shared" si="2"/>
        <v>#DIV/0!</v>
      </c>
      <c r="J20" s="99">
        <v>0</v>
      </c>
      <c r="K20" s="73">
        <v>0</v>
      </c>
      <c r="L20" s="73">
        <v>0</v>
      </c>
      <c r="M20" s="100">
        <v>0</v>
      </c>
      <c r="N20" s="79" t="e">
        <f t="shared" si="9"/>
        <v>#DIV/0!</v>
      </c>
      <c r="O20" s="80" t="e">
        <f t="shared" si="4"/>
        <v>#DIV/0!</v>
      </c>
      <c r="P20" s="79" t="e">
        <f t="shared" si="5"/>
        <v>#DIV/0!</v>
      </c>
      <c r="Q20" s="81" t="e">
        <f t="shared" si="6"/>
        <v>#DIV/0!</v>
      </c>
      <c r="R20" s="101">
        <f t="shared" si="7"/>
        <v>0</v>
      </c>
      <c r="S20" s="83" t="e">
        <f t="shared" si="8"/>
        <v>#DIV/0!</v>
      </c>
      <c r="T20" s="84"/>
      <c r="U20" s="84"/>
      <c r="V20" s="84"/>
      <c r="W20" s="84"/>
      <c r="X20" s="85"/>
      <c r="Y20" s="68"/>
      <c r="Z20" s="68"/>
    </row>
    <row r="21" spans="1:26" ht="12.75" hidden="1" outlineLevel="1" x14ac:dyDescent="0.2">
      <c r="A21" s="68"/>
      <c r="B21" s="86"/>
      <c r="C21" s="70" t="s">
        <v>41</v>
      </c>
      <c r="D21" s="102">
        <v>2629.8</v>
      </c>
      <c r="E21" s="73">
        <v>29</v>
      </c>
      <c r="F21" s="73">
        <v>28</v>
      </c>
      <c r="G21" s="74">
        <f t="shared" si="0"/>
        <v>1.0357142857142858</v>
      </c>
      <c r="H21" s="75">
        <f t="shared" si="1"/>
        <v>90.682758620689668</v>
      </c>
      <c r="I21" s="76">
        <f t="shared" si="2"/>
        <v>87.555766944114154</v>
      </c>
      <c r="J21" s="102">
        <v>668.15</v>
      </c>
      <c r="K21" s="73">
        <v>36463</v>
      </c>
      <c r="L21" s="73">
        <v>17</v>
      </c>
      <c r="M21" s="103">
        <v>1466.87</v>
      </c>
      <c r="N21" s="79">
        <f t="shared" si="9"/>
        <v>0.4554936701957229</v>
      </c>
      <c r="O21" s="80">
        <f t="shared" si="4"/>
        <v>2.1954201900770784</v>
      </c>
      <c r="P21" s="79">
        <f t="shared" si="5"/>
        <v>0.25406875047532129</v>
      </c>
      <c r="Q21" s="81">
        <f t="shared" si="6"/>
        <v>0.55778766446117567</v>
      </c>
      <c r="R21" s="104">
        <f t="shared" si="7"/>
        <v>1162.9300000000003</v>
      </c>
      <c r="S21" s="83">
        <f t="shared" si="8"/>
        <v>39.30294117647059</v>
      </c>
      <c r="T21" s="84"/>
      <c r="U21" s="84"/>
      <c r="V21" s="84"/>
      <c r="W21" s="84"/>
      <c r="X21" s="85"/>
      <c r="Y21" s="68"/>
      <c r="Z21" s="68"/>
    </row>
    <row r="22" spans="1:26" ht="12.75" hidden="1" outlineLevel="1" x14ac:dyDescent="0.2">
      <c r="A22" s="68"/>
      <c r="B22" s="86"/>
      <c r="C22" s="70" t="s">
        <v>42</v>
      </c>
      <c r="D22" s="90">
        <v>59.97</v>
      </c>
      <c r="E22" s="73">
        <v>3</v>
      </c>
      <c r="F22" s="73">
        <v>4</v>
      </c>
      <c r="G22" s="74">
        <f t="shared" si="0"/>
        <v>0.75</v>
      </c>
      <c r="H22" s="75">
        <f t="shared" si="1"/>
        <v>19.989999999999998</v>
      </c>
      <c r="I22" s="76">
        <f t="shared" si="2"/>
        <v>26.653333333333332</v>
      </c>
      <c r="J22" s="90">
        <v>136.24</v>
      </c>
      <c r="K22" s="73">
        <v>47577</v>
      </c>
      <c r="L22" s="73">
        <v>2</v>
      </c>
      <c r="M22" s="91">
        <v>39.979999999999997</v>
      </c>
      <c r="N22" s="79">
        <f t="shared" si="9"/>
        <v>3.4077038519259633</v>
      </c>
      <c r="O22" s="80">
        <f t="shared" si="4"/>
        <v>0.2934527304756312</v>
      </c>
      <c r="P22" s="79">
        <f t="shared" si="5"/>
        <v>2.2718025679506422</v>
      </c>
      <c r="Q22" s="81">
        <f t="shared" si="6"/>
        <v>0.66666666666666663</v>
      </c>
      <c r="R22" s="92">
        <f t="shared" si="7"/>
        <v>19.990000000000002</v>
      </c>
      <c r="S22" s="83">
        <f t="shared" si="8"/>
        <v>68.12</v>
      </c>
      <c r="T22" s="84"/>
      <c r="U22" s="84"/>
      <c r="V22" s="84"/>
      <c r="W22" s="84"/>
      <c r="X22" s="85"/>
      <c r="Y22" s="68"/>
      <c r="Z22" s="68"/>
    </row>
    <row r="23" spans="1:26" ht="12.75" hidden="1" outlineLevel="1" x14ac:dyDescent="0.2">
      <c r="A23" s="68"/>
      <c r="B23" s="86"/>
      <c r="C23" s="70" t="s">
        <v>43</v>
      </c>
      <c r="D23" s="105">
        <v>78.59</v>
      </c>
      <c r="E23" s="73">
        <v>0</v>
      </c>
      <c r="F23" s="73">
        <v>2</v>
      </c>
      <c r="G23" s="74">
        <f t="shared" si="0"/>
        <v>0</v>
      </c>
      <c r="H23" s="75" t="e">
        <f t="shared" si="1"/>
        <v>#DIV/0!</v>
      </c>
      <c r="I23" s="76" t="e">
        <f t="shared" si="2"/>
        <v>#DIV/0!</v>
      </c>
      <c r="J23" s="105">
        <v>36.36</v>
      </c>
      <c r="K23" s="73">
        <v>10972</v>
      </c>
      <c r="L23" s="73">
        <v>1</v>
      </c>
      <c r="M23" s="106">
        <v>154.46</v>
      </c>
      <c r="N23" s="79">
        <f t="shared" si="9"/>
        <v>0.23540075100349603</v>
      </c>
      <c r="O23" s="80">
        <f t="shared" si="4"/>
        <v>4.2480748074807479</v>
      </c>
      <c r="P23" s="79">
        <f t="shared" si="5"/>
        <v>0.46265428171523093</v>
      </c>
      <c r="Q23" s="81">
        <f t="shared" si="6"/>
        <v>1.9653899987275736</v>
      </c>
      <c r="R23" s="107">
        <f t="shared" si="7"/>
        <v>-75.87</v>
      </c>
      <c r="S23" s="83">
        <f t="shared" si="8"/>
        <v>36.36</v>
      </c>
      <c r="T23" s="84"/>
      <c r="U23" s="84"/>
      <c r="V23" s="84"/>
      <c r="W23" s="84"/>
      <c r="X23" s="85"/>
      <c r="Y23" s="68"/>
      <c r="Z23" s="68"/>
    </row>
    <row r="24" spans="1:26" ht="12.75" hidden="1" outlineLevel="1" x14ac:dyDescent="0.2">
      <c r="A24" s="68"/>
      <c r="B24" s="86"/>
      <c r="C24" s="70" t="s">
        <v>44</v>
      </c>
      <c r="D24" s="108">
        <v>190.8</v>
      </c>
      <c r="E24" s="73">
        <v>4</v>
      </c>
      <c r="F24" s="73">
        <v>4</v>
      </c>
      <c r="G24" s="74">
        <f t="shared" si="0"/>
        <v>1</v>
      </c>
      <c r="H24" s="75">
        <f t="shared" si="1"/>
        <v>47.7</v>
      </c>
      <c r="I24" s="76">
        <f t="shared" si="2"/>
        <v>47.7</v>
      </c>
      <c r="J24" s="108">
        <v>80.52</v>
      </c>
      <c r="K24" s="73">
        <v>40401</v>
      </c>
      <c r="L24" s="73">
        <v>3</v>
      </c>
      <c r="M24" s="109">
        <v>134.85</v>
      </c>
      <c r="N24" s="79">
        <f t="shared" si="9"/>
        <v>0.59710789766407124</v>
      </c>
      <c r="O24" s="80">
        <f t="shared" si="4"/>
        <v>1.6747391952309985</v>
      </c>
      <c r="P24" s="79">
        <f t="shared" si="5"/>
        <v>0.42201257861635216</v>
      </c>
      <c r="Q24" s="81">
        <f t="shared" si="6"/>
        <v>0.70676100628930816</v>
      </c>
      <c r="R24" s="110">
        <f t="shared" si="7"/>
        <v>55.950000000000017</v>
      </c>
      <c r="S24" s="83">
        <f t="shared" si="8"/>
        <v>26.84</v>
      </c>
      <c r="T24" s="84"/>
      <c r="U24" s="84"/>
      <c r="V24" s="84"/>
      <c r="W24" s="84"/>
      <c r="X24" s="85"/>
      <c r="Y24" s="68"/>
      <c r="Z24" s="68"/>
    </row>
    <row r="25" spans="1:26" ht="12.75" hidden="1" outlineLevel="1" x14ac:dyDescent="0.2">
      <c r="A25" s="111"/>
      <c r="B25" s="86"/>
      <c r="C25" s="112" t="s">
        <v>45</v>
      </c>
      <c r="D25" s="71">
        <v>0</v>
      </c>
      <c r="E25" s="73">
        <v>0</v>
      </c>
      <c r="F25" s="73">
        <v>0</v>
      </c>
      <c r="G25" s="74" t="e">
        <f t="shared" si="0"/>
        <v>#DIV/0!</v>
      </c>
      <c r="H25" s="75" t="e">
        <f t="shared" si="1"/>
        <v>#DIV/0!</v>
      </c>
      <c r="I25" s="76" t="e">
        <f t="shared" si="2"/>
        <v>#DIV/0!</v>
      </c>
      <c r="J25" s="71">
        <v>0</v>
      </c>
      <c r="K25" s="73">
        <v>0</v>
      </c>
      <c r="L25" s="73">
        <v>0</v>
      </c>
      <c r="M25" s="78">
        <v>0</v>
      </c>
      <c r="N25" s="79" t="e">
        <f t="shared" si="9"/>
        <v>#DIV/0!</v>
      </c>
      <c r="O25" s="80" t="e">
        <f t="shared" si="4"/>
        <v>#DIV/0!</v>
      </c>
      <c r="P25" s="79" t="e">
        <f t="shared" si="5"/>
        <v>#DIV/0!</v>
      </c>
      <c r="Q25" s="81" t="e">
        <f t="shared" si="6"/>
        <v>#DIV/0!</v>
      </c>
      <c r="R25" s="82">
        <f t="shared" si="7"/>
        <v>0</v>
      </c>
      <c r="S25" s="83" t="e">
        <f t="shared" si="8"/>
        <v>#DIV/0!</v>
      </c>
      <c r="T25" s="113"/>
      <c r="U25" s="113"/>
      <c r="V25" s="113"/>
      <c r="W25" s="114"/>
      <c r="X25" s="115"/>
      <c r="Y25" s="68"/>
      <c r="Z25" s="68"/>
    </row>
    <row r="26" spans="1:26" ht="12.75" hidden="1" outlineLevel="1" x14ac:dyDescent="0.2">
      <c r="A26" s="68"/>
      <c r="B26" s="86"/>
      <c r="C26" s="70" t="s">
        <v>46</v>
      </c>
      <c r="D26" s="116">
        <v>1312.67</v>
      </c>
      <c r="E26" s="73">
        <v>34</v>
      </c>
      <c r="F26" s="73">
        <v>31</v>
      </c>
      <c r="G26" s="74">
        <f t="shared" si="0"/>
        <v>1.096774193548387</v>
      </c>
      <c r="H26" s="75">
        <f t="shared" si="1"/>
        <v>38.60794117647059</v>
      </c>
      <c r="I26" s="76">
        <f t="shared" si="2"/>
        <v>35.201358131487893</v>
      </c>
      <c r="J26" s="116">
        <v>269.35000000000002</v>
      </c>
      <c r="K26" s="73">
        <v>50705</v>
      </c>
      <c r="L26" s="73">
        <v>13</v>
      </c>
      <c r="M26" s="117">
        <v>403.73</v>
      </c>
      <c r="N26" s="79">
        <f t="shared" si="9"/>
        <v>0.66715379089985882</v>
      </c>
      <c r="O26" s="80">
        <f t="shared" si="4"/>
        <v>1.4989047707443846</v>
      </c>
      <c r="P26" s="79">
        <f t="shared" si="5"/>
        <v>0.20519247030860766</v>
      </c>
      <c r="Q26" s="81">
        <f t="shared" si="6"/>
        <v>0.30756397266639751</v>
      </c>
      <c r="R26" s="82">
        <f t="shared" si="7"/>
        <v>908.94</v>
      </c>
      <c r="S26" s="83">
        <f t="shared" si="8"/>
        <v>20.719230769230769</v>
      </c>
      <c r="T26" s="84"/>
      <c r="U26" s="84"/>
      <c r="V26" s="84"/>
      <c r="W26" s="84"/>
      <c r="X26" s="85"/>
      <c r="Y26" s="68"/>
      <c r="Z26" s="68"/>
    </row>
    <row r="27" spans="1:26" ht="12.75" hidden="1" outlineLevel="1" x14ac:dyDescent="0.2">
      <c r="A27" s="68"/>
      <c r="B27" s="86"/>
      <c r="C27" s="70" t="s">
        <v>47</v>
      </c>
      <c r="D27" s="87">
        <v>-29.95</v>
      </c>
      <c r="E27" s="73">
        <v>-1</v>
      </c>
      <c r="F27" s="73">
        <v>0</v>
      </c>
      <c r="G27" s="74" t="e">
        <f t="shared" si="0"/>
        <v>#DIV/0!</v>
      </c>
      <c r="H27" s="75">
        <f t="shared" si="1"/>
        <v>29.95</v>
      </c>
      <c r="I27" s="76" t="e">
        <f t="shared" si="2"/>
        <v>#DIV/0!</v>
      </c>
      <c r="J27" s="87">
        <v>0</v>
      </c>
      <c r="K27" s="73">
        <v>0</v>
      </c>
      <c r="L27" s="73">
        <v>0</v>
      </c>
      <c r="M27" s="88">
        <v>0</v>
      </c>
      <c r="N27" s="79" t="e">
        <f t="shared" si="9"/>
        <v>#DIV/0!</v>
      </c>
      <c r="O27" s="80" t="e">
        <f t="shared" si="4"/>
        <v>#DIV/0!</v>
      </c>
      <c r="P27" s="79">
        <f t="shared" si="5"/>
        <v>0</v>
      </c>
      <c r="Q27" s="81">
        <f t="shared" si="6"/>
        <v>0</v>
      </c>
      <c r="R27" s="82">
        <f t="shared" si="7"/>
        <v>-29.95</v>
      </c>
      <c r="S27" s="83" t="e">
        <f t="shared" si="8"/>
        <v>#DIV/0!</v>
      </c>
      <c r="T27" s="84"/>
      <c r="U27" s="84"/>
      <c r="V27" s="84"/>
      <c r="W27" s="84"/>
      <c r="X27" s="85"/>
      <c r="Y27" s="68"/>
      <c r="Z27" s="68"/>
    </row>
    <row r="28" spans="1:26" ht="12.75" hidden="1" outlineLevel="1" x14ac:dyDescent="0.2">
      <c r="A28" s="68"/>
      <c r="B28" s="86"/>
      <c r="C28" s="70" t="s">
        <v>48</v>
      </c>
      <c r="D28" s="102">
        <v>4625.0600000000004</v>
      </c>
      <c r="E28" s="73">
        <v>26</v>
      </c>
      <c r="F28" s="73">
        <v>28</v>
      </c>
      <c r="G28" s="74">
        <f t="shared" si="0"/>
        <v>0.9285714285714286</v>
      </c>
      <c r="H28" s="75">
        <f t="shared" si="1"/>
        <v>177.8869230769231</v>
      </c>
      <c r="I28" s="76">
        <f t="shared" si="2"/>
        <v>191.57053254437872</v>
      </c>
      <c r="J28" s="102">
        <v>692.49</v>
      </c>
      <c r="K28" s="73">
        <v>44157</v>
      </c>
      <c r="L28" s="73">
        <v>11</v>
      </c>
      <c r="M28" s="103">
        <v>1670.89</v>
      </c>
      <c r="N28" s="79">
        <f t="shared" si="9"/>
        <v>0.41444379941228926</v>
      </c>
      <c r="O28" s="80">
        <f t="shared" si="4"/>
        <v>2.4128723880489251</v>
      </c>
      <c r="P28" s="79">
        <f t="shared" si="5"/>
        <v>0.14972562518107871</v>
      </c>
      <c r="Q28" s="81">
        <f t="shared" si="6"/>
        <v>0.36126882678278766</v>
      </c>
      <c r="R28" s="82">
        <f t="shared" si="7"/>
        <v>2954.17</v>
      </c>
      <c r="S28" s="83">
        <f t="shared" si="8"/>
        <v>62.953636363636363</v>
      </c>
      <c r="T28" s="84"/>
      <c r="U28" s="84"/>
      <c r="V28" s="84"/>
      <c r="W28" s="84"/>
      <c r="X28" s="85"/>
      <c r="Y28" s="68"/>
      <c r="Z28" s="68"/>
    </row>
    <row r="29" spans="1:26" ht="12.75" hidden="1" outlineLevel="1" x14ac:dyDescent="0.2">
      <c r="A29" s="68"/>
      <c r="B29" s="86"/>
      <c r="C29" s="70" t="s">
        <v>49</v>
      </c>
      <c r="D29" s="116">
        <v>0</v>
      </c>
      <c r="E29" s="73">
        <v>0</v>
      </c>
      <c r="F29" s="73">
        <v>0</v>
      </c>
      <c r="G29" s="74" t="e">
        <f t="shared" si="0"/>
        <v>#DIV/0!</v>
      </c>
      <c r="H29" s="75" t="e">
        <f t="shared" si="1"/>
        <v>#DIV/0!</v>
      </c>
      <c r="I29" s="76" t="e">
        <f t="shared" si="2"/>
        <v>#DIV/0!</v>
      </c>
      <c r="J29" s="116">
        <v>16.97</v>
      </c>
      <c r="K29" s="73">
        <v>17393</v>
      </c>
      <c r="L29" s="73">
        <v>0</v>
      </c>
      <c r="M29" s="117">
        <v>0</v>
      </c>
      <c r="N29" s="79" t="e">
        <f t="shared" si="9"/>
        <v>#DIV/0!</v>
      </c>
      <c r="O29" s="80">
        <f t="shared" si="4"/>
        <v>0</v>
      </c>
      <c r="P29" s="79" t="e">
        <f t="shared" si="5"/>
        <v>#DIV/0!</v>
      </c>
      <c r="Q29" s="81" t="e">
        <f t="shared" si="6"/>
        <v>#DIV/0!</v>
      </c>
      <c r="R29" s="82">
        <f t="shared" si="7"/>
        <v>0</v>
      </c>
      <c r="S29" s="83" t="e">
        <f t="shared" si="8"/>
        <v>#DIV/0!</v>
      </c>
      <c r="T29" s="84"/>
      <c r="U29" s="84"/>
      <c r="V29" s="84"/>
      <c r="W29" s="84"/>
      <c r="X29" s="85"/>
      <c r="Y29" s="68"/>
      <c r="Z29" s="68"/>
    </row>
    <row r="30" spans="1:26" hidden="1" outlineLevel="1" x14ac:dyDescent="0.25">
      <c r="A30" s="118" t="str">
        <f t="shared" ref="A30:A31" si="10">IFERROR(IF(B30&gt;0,MONTH(B30)&amp;"-"&amp;YEAR(B30),B30),)</f>
        <v>12-2025</v>
      </c>
      <c r="B30" s="69">
        <v>46018</v>
      </c>
      <c r="C30" s="198" t="s">
        <v>64</v>
      </c>
      <c r="D30" s="116">
        <v>0</v>
      </c>
      <c r="E30" s="73">
        <v>0</v>
      </c>
      <c r="F30" s="73">
        <v>0</v>
      </c>
      <c r="G30" s="74" t="e">
        <f t="shared" si="0"/>
        <v>#DIV/0!</v>
      </c>
      <c r="H30" s="75" t="e">
        <f t="shared" si="1"/>
        <v>#DIV/0!</v>
      </c>
      <c r="I30" s="76" t="e">
        <f t="shared" si="2"/>
        <v>#DIV/0!</v>
      </c>
      <c r="J30" s="87">
        <v>6654.4400000000005</v>
      </c>
      <c r="K30" s="199">
        <v>465451</v>
      </c>
      <c r="L30" s="73">
        <v>0</v>
      </c>
      <c r="M30" s="88">
        <v>18889.62</v>
      </c>
      <c r="N30" s="79">
        <f t="shared" si="9"/>
        <v>0.35228024703514421</v>
      </c>
      <c r="O30" s="80">
        <f t="shared" si="4"/>
        <v>2.8386490824171529</v>
      </c>
      <c r="P30" s="79" t="e">
        <f t="shared" si="5"/>
        <v>#DIV/0!</v>
      </c>
      <c r="Q30" s="81" t="e">
        <f t="shared" si="6"/>
        <v>#DIV/0!</v>
      </c>
      <c r="R30" s="82">
        <f t="shared" si="7"/>
        <v>-18889.62</v>
      </c>
      <c r="S30" s="83" t="e">
        <f t="shared" si="8"/>
        <v>#DIV/0!</v>
      </c>
      <c r="T30" s="84"/>
      <c r="U30" s="84"/>
      <c r="V30" s="84"/>
      <c r="W30" s="84"/>
      <c r="X30" s="85"/>
      <c r="Y30" s="68"/>
      <c r="Z30" s="68"/>
    </row>
    <row r="31" spans="1:26" ht="12.75" collapsed="1" x14ac:dyDescent="0.2">
      <c r="A31" s="68">
        <f t="shared" si="10"/>
        <v>0</v>
      </c>
      <c r="B31" s="119" t="s">
        <v>50</v>
      </c>
      <c r="C31" s="120"/>
      <c r="D31" s="121">
        <f t="shared" ref="D31:F31" si="11">SUM(D13:D30)</f>
        <v>37074.31</v>
      </c>
      <c r="E31" s="123">
        <f t="shared" si="11"/>
        <v>245</v>
      </c>
      <c r="F31" s="123">
        <f t="shared" si="11"/>
        <v>266</v>
      </c>
      <c r="G31" s="124">
        <f t="shared" si="0"/>
        <v>0.92105263157894735</v>
      </c>
      <c r="H31" s="125">
        <f t="shared" si="1"/>
        <v>151.32371428571429</v>
      </c>
      <c r="I31" s="126">
        <f t="shared" si="2"/>
        <v>164.29431836734693</v>
      </c>
      <c r="J31" s="121">
        <f t="shared" ref="J31:M31" si="12">SUM(J13:J30)</f>
        <v>11749.240000000002</v>
      </c>
      <c r="K31" s="123">
        <f t="shared" si="12"/>
        <v>1454339</v>
      </c>
      <c r="L31" s="123">
        <f t="shared" si="12"/>
        <v>108</v>
      </c>
      <c r="M31" s="127">
        <f t="shared" si="12"/>
        <v>34480.379999999997</v>
      </c>
      <c r="N31" s="128">
        <f t="shared" si="9"/>
        <v>0.34075146503605824</v>
      </c>
      <c r="O31" s="129">
        <f t="shared" si="4"/>
        <v>2.9346902437944915</v>
      </c>
      <c r="P31" s="128">
        <f t="shared" si="5"/>
        <v>0.31691055072906288</v>
      </c>
      <c r="Q31" s="130">
        <f t="shared" si="6"/>
        <v>0.93003430138012011</v>
      </c>
      <c r="R31" s="131">
        <f>SUM(R13:R30)</f>
        <v>2593.9300000000039</v>
      </c>
      <c r="S31" s="132">
        <f t="shared" si="8"/>
        <v>108.78925925925927</v>
      </c>
      <c r="T31" s="134">
        <f t="shared" ref="T31:U31" si="13">IFERROR((D31-#REF!)/D31,)</f>
        <v>0</v>
      </c>
      <c r="U31" s="134">
        <f t="shared" si="13"/>
        <v>0</v>
      </c>
      <c r="V31" s="134">
        <f t="shared" ref="V31:W31" si="14">IFERROR((D31-#REF!)/D31, )</f>
        <v>0</v>
      </c>
      <c r="W31" s="134">
        <f t="shared" si="14"/>
        <v>0</v>
      </c>
      <c r="X31" s="68"/>
      <c r="Y31" s="68"/>
      <c r="Z31" s="68"/>
    </row>
    <row r="32" spans="1:26" ht="12.75" hidden="1" outlineLevel="1" x14ac:dyDescent="0.2">
      <c r="A32" s="68"/>
      <c r="B32" s="69">
        <v>46019</v>
      </c>
      <c r="C32" s="70" t="s">
        <v>32</v>
      </c>
      <c r="D32" s="71">
        <v>13519.5</v>
      </c>
      <c r="E32" s="73">
        <v>57</v>
      </c>
      <c r="F32" s="73">
        <v>57</v>
      </c>
      <c r="G32" s="74">
        <f t="shared" si="0"/>
        <v>1</v>
      </c>
      <c r="H32" s="75">
        <f t="shared" si="1"/>
        <v>237.18421052631578</v>
      </c>
      <c r="I32" s="76">
        <f t="shared" si="2"/>
        <v>237.18421052631578</v>
      </c>
      <c r="J32" s="77">
        <v>1867.63</v>
      </c>
      <c r="K32" s="73">
        <v>249548</v>
      </c>
      <c r="L32" s="73">
        <v>23</v>
      </c>
      <c r="M32" s="78">
        <v>5019.4399999999996</v>
      </c>
      <c r="N32" s="79">
        <f t="shared" si="9"/>
        <v>0.37207935546594845</v>
      </c>
      <c r="O32" s="80">
        <f t="shared" si="4"/>
        <v>2.6875987213741475</v>
      </c>
      <c r="P32" s="79">
        <f t="shared" si="5"/>
        <v>0.13814342246384853</v>
      </c>
      <c r="Q32" s="81">
        <f t="shared" si="6"/>
        <v>0.37127408558008801</v>
      </c>
      <c r="R32" s="82">
        <f t="shared" ref="R32:R49" si="15">D32-M32</f>
        <v>8500.0600000000013</v>
      </c>
      <c r="S32" s="83">
        <f t="shared" si="8"/>
        <v>81.201304347826095</v>
      </c>
      <c r="T32" s="84"/>
      <c r="U32" s="84"/>
      <c r="V32" s="84"/>
      <c r="W32" s="84"/>
      <c r="X32" s="85"/>
      <c r="Y32" s="68"/>
      <c r="Z32" s="68"/>
    </row>
    <row r="33" spans="1:26" ht="12.75" hidden="1" outlineLevel="1" x14ac:dyDescent="0.2">
      <c r="A33" s="68"/>
      <c r="B33" s="86"/>
      <c r="C33" s="70" t="s">
        <v>33</v>
      </c>
      <c r="D33" s="87">
        <v>18767.79</v>
      </c>
      <c r="E33" s="73">
        <v>145</v>
      </c>
      <c r="F33" s="73">
        <v>161</v>
      </c>
      <c r="G33" s="74">
        <f t="shared" si="0"/>
        <v>0.90062111801242239</v>
      </c>
      <c r="H33" s="75">
        <f t="shared" si="1"/>
        <v>129.43303448275861</v>
      </c>
      <c r="I33" s="76">
        <f t="shared" si="2"/>
        <v>143.71530035671819</v>
      </c>
      <c r="J33" s="87">
        <v>1072.07</v>
      </c>
      <c r="K33" s="73">
        <v>465644</v>
      </c>
      <c r="L33" s="73">
        <v>32</v>
      </c>
      <c r="M33" s="88">
        <v>3923.85</v>
      </c>
      <c r="N33" s="79">
        <f t="shared" si="9"/>
        <v>0.27321890490207323</v>
      </c>
      <c r="O33" s="80">
        <f t="shared" si="4"/>
        <v>3.6600688387885119</v>
      </c>
      <c r="P33" s="79">
        <f t="shared" si="5"/>
        <v>5.7122868489044257E-2</v>
      </c>
      <c r="Q33" s="81">
        <f t="shared" si="6"/>
        <v>0.20907363093896508</v>
      </c>
      <c r="R33" s="89">
        <f t="shared" si="15"/>
        <v>14843.94</v>
      </c>
      <c r="S33" s="83">
        <f t="shared" si="8"/>
        <v>33.502187499999998</v>
      </c>
      <c r="T33" s="84"/>
      <c r="U33" s="84"/>
      <c r="V33" s="84"/>
      <c r="W33" s="84"/>
      <c r="X33" s="85"/>
      <c r="Y33" s="68"/>
      <c r="Z33" s="68"/>
    </row>
    <row r="34" spans="1:26" ht="12.75" hidden="1" outlineLevel="1" x14ac:dyDescent="0.2">
      <c r="A34" s="68"/>
      <c r="B34" s="86"/>
      <c r="C34" s="70" t="s">
        <v>34</v>
      </c>
      <c r="D34" s="90">
        <v>0</v>
      </c>
      <c r="E34" s="73">
        <v>0</v>
      </c>
      <c r="F34" s="73">
        <v>0</v>
      </c>
      <c r="G34" s="74" t="e">
        <f t="shared" si="0"/>
        <v>#DIV/0!</v>
      </c>
      <c r="H34" s="75" t="e">
        <f t="shared" si="1"/>
        <v>#DIV/0!</v>
      </c>
      <c r="I34" s="76" t="e">
        <f t="shared" si="2"/>
        <v>#DIV/0!</v>
      </c>
      <c r="J34" s="90">
        <v>0</v>
      </c>
      <c r="K34" s="73">
        <v>376</v>
      </c>
      <c r="L34" s="73">
        <v>0</v>
      </c>
      <c r="M34" s="91">
        <v>0</v>
      </c>
      <c r="N34" s="79" t="e">
        <f>(J34/M34)</f>
        <v>#DIV/0!</v>
      </c>
      <c r="O34" s="80" t="e">
        <f t="shared" si="4"/>
        <v>#DIV/0!</v>
      </c>
      <c r="P34" s="79" t="e">
        <f t="shared" si="5"/>
        <v>#DIV/0!</v>
      </c>
      <c r="Q34" s="81" t="e">
        <f t="shared" si="6"/>
        <v>#DIV/0!</v>
      </c>
      <c r="R34" s="92">
        <f t="shared" si="15"/>
        <v>0</v>
      </c>
      <c r="S34" s="83" t="e">
        <f t="shared" si="8"/>
        <v>#DIV/0!</v>
      </c>
      <c r="T34" s="84"/>
      <c r="U34" s="84"/>
      <c r="V34" s="84"/>
      <c r="W34" s="84"/>
      <c r="X34" s="85"/>
      <c r="Y34" s="68"/>
      <c r="Z34" s="68"/>
    </row>
    <row r="35" spans="1:26" ht="12.75" hidden="1" outlineLevel="1" x14ac:dyDescent="0.2">
      <c r="A35" s="68"/>
      <c r="B35" s="86"/>
      <c r="C35" s="70" t="s">
        <v>35</v>
      </c>
      <c r="D35" s="90">
        <v>125.9</v>
      </c>
      <c r="E35" s="73">
        <v>2</v>
      </c>
      <c r="F35" s="73">
        <v>2</v>
      </c>
      <c r="G35" s="74">
        <f t="shared" si="0"/>
        <v>1</v>
      </c>
      <c r="H35" s="75">
        <f t="shared" si="1"/>
        <v>62.95</v>
      </c>
      <c r="I35" s="76">
        <f t="shared" si="2"/>
        <v>62.95</v>
      </c>
      <c r="J35" s="90">
        <v>298.8</v>
      </c>
      <c r="K35" s="73">
        <v>26455</v>
      </c>
      <c r="L35" s="73">
        <v>5</v>
      </c>
      <c r="M35" s="91">
        <v>299.75</v>
      </c>
      <c r="N35" s="79">
        <f t="shared" ref="N35:N52" si="16">J35/M35</f>
        <v>0.99683069224353626</v>
      </c>
      <c r="O35" s="80">
        <f t="shared" si="4"/>
        <v>1.0031793842034806</v>
      </c>
      <c r="P35" s="79">
        <f t="shared" si="5"/>
        <v>2.3733121525019856</v>
      </c>
      <c r="Q35" s="81">
        <f t="shared" si="6"/>
        <v>2.380857823669579</v>
      </c>
      <c r="R35" s="92">
        <f t="shared" si="15"/>
        <v>-173.85</v>
      </c>
      <c r="S35" s="83">
        <f t="shared" si="8"/>
        <v>59.760000000000005</v>
      </c>
      <c r="T35" s="84"/>
      <c r="U35" s="84"/>
      <c r="V35" s="84"/>
      <c r="W35" s="84"/>
      <c r="X35" s="85"/>
      <c r="Y35" s="68"/>
      <c r="Z35" s="68"/>
    </row>
    <row r="36" spans="1:26" ht="12.75" hidden="1" outlineLevel="1" x14ac:dyDescent="0.2">
      <c r="A36" s="68"/>
      <c r="B36" s="86"/>
      <c r="C36" s="70" t="s">
        <v>36</v>
      </c>
      <c r="D36" s="90">
        <v>359.7</v>
      </c>
      <c r="E36" s="73">
        <v>6</v>
      </c>
      <c r="F36" s="73">
        <v>6</v>
      </c>
      <c r="G36" s="74">
        <f t="shared" si="0"/>
        <v>1</v>
      </c>
      <c r="H36" s="75">
        <f t="shared" si="1"/>
        <v>59.949999999999996</v>
      </c>
      <c r="I36" s="76">
        <f t="shared" si="2"/>
        <v>59.949999999999996</v>
      </c>
      <c r="J36" s="90">
        <v>105.72</v>
      </c>
      <c r="K36" s="73">
        <v>27117</v>
      </c>
      <c r="L36" s="73">
        <v>2</v>
      </c>
      <c r="M36" s="91">
        <v>129.9</v>
      </c>
      <c r="N36" s="79">
        <f t="shared" si="16"/>
        <v>0.81385681293302536</v>
      </c>
      <c r="O36" s="80">
        <f t="shared" si="4"/>
        <v>1.2287173666288309</v>
      </c>
      <c r="P36" s="79">
        <f t="shared" si="5"/>
        <v>0.29391159299416181</v>
      </c>
      <c r="Q36" s="81">
        <f t="shared" si="6"/>
        <v>0.36113427856547126</v>
      </c>
      <c r="R36" s="92">
        <f t="shared" si="15"/>
        <v>229.79999999999998</v>
      </c>
      <c r="S36" s="83">
        <f t="shared" si="8"/>
        <v>52.86</v>
      </c>
      <c r="T36" s="84"/>
      <c r="U36" s="84"/>
      <c r="V36" s="84"/>
      <c r="W36" s="84"/>
      <c r="X36" s="85"/>
      <c r="Y36" s="68"/>
      <c r="Z36" s="68"/>
    </row>
    <row r="37" spans="1:26" ht="12.75" hidden="1" outlineLevel="1" x14ac:dyDescent="0.2">
      <c r="A37" s="68"/>
      <c r="B37" s="69" t="s">
        <v>37</v>
      </c>
      <c r="C37" s="70" t="s">
        <v>38</v>
      </c>
      <c r="D37" s="93">
        <v>-60.73</v>
      </c>
      <c r="E37" s="73">
        <v>0</v>
      </c>
      <c r="F37" s="73">
        <v>1</v>
      </c>
      <c r="G37" s="74">
        <f t="shared" si="0"/>
        <v>0</v>
      </c>
      <c r="H37" s="75" t="e">
        <f t="shared" si="1"/>
        <v>#DIV/0!</v>
      </c>
      <c r="I37" s="76" t="e">
        <f t="shared" si="2"/>
        <v>#DIV/0!</v>
      </c>
      <c r="J37" s="93">
        <v>83.88</v>
      </c>
      <c r="K37" s="73">
        <v>253679</v>
      </c>
      <c r="L37" s="73">
        <v>0</v>
      </c>
      <c r="M37" s="94">
        <v>0</v>
      </c>
      <c r="N37" s="79" t="e">
        <f t="shared" si="16"/>
        <v>#DIV/0!</v>
      </c>
      <c r="O37" s="80">
        <f t="shared" si="4"/>
        <v>0</v>
      </c>
      <c r="P37" s="79">
        <f t="shared" si="5"/>
        <v>-1.3811954552939238</v>
      </c>
      <c r="Q37" s="81">
        <f t="shared" si="6"/>
        <v>0</v>
      </c>
      <c r="R37" s="95">
        <f t="shared" si="15"/>
        <v>-60.73</v>
      </c>
      <c r="S37" s="83" t="e">
        <f t="shared" si="8"/>
        <v>#DIV/0!</v>
      </c>
      <c r="T37" s="84"/>
      <c r="U37" s="84"/>
      <c r="V37" s="84"/>
      <c r="W37" s="84"/>
      <c r="X37" s="85"/>
      <c r="Y37" s="68"/>
      <c r="Z37" s="68"/>
    </row>
    <row r="38" spans="1:26" ht="12.75" hidden="1" outlineLevel="1" x14ac:dyDescent="0.2">
      <c r="A38" s="68"/>
      <c r="B38" s="86"/>
      <c r="C38" s="70" t="s">
        <v>39</v>
      </c>
      <c r="D38" s="96">
        <v>0</v>
      </c>
      <c r="E38" s="73">
        <v>0</v>
      </c>
      <c r="F38" s="73">
        <v>0</v>
      </c>
      <c r="G38" s="74" t="e">
        <f t="shared" si="0"/>
        <v>#DIV/0!</v>
      </c>
      <c r="H38" s="75" t="e">
        <f t="shared" si="1"/>
        <v>#DIV/0!</v>
      </c>
      <c r="I38" s="76" t="e">
        <f t="shared" si="2"/>
        <v>#DIV/0!</v>
      </c>
      <c r="J38" s="96">
        <v>0</v>
      </c>
      <c r="K38" s="73">
        <v>0</v>
      </c>
      <c r="L38" s="73">
        <v>0</v>
      </c>
      <c r="M38" s="97">
        <v>0</v>
      </c>
      <c r="N38" s="79" t="e">
        <f t="shared" si="16"/>
        <v>#DIV/0!</v>
      </c>
      <c r="O38" s="80" t="e">
        <f t="shared" si="4"/>
        <v>#DIV/0!</v>
      </c>
      <c r="P38" s="79" t="e">
        <f t="shared" si="5"/>
        <v>#DIV/0!</v>
      </c>
      <c r="Q38" s="81" t="e">
        <f t="shared" si="6"/>
        <v>#DIV/0!</v>
      </c>
      <c r="R38" s="98">
        <f t="shared" si="15"/>
        <v>0</v>
      </c>
      <c r="S38" s="83" t="e">
        <f t="shared" si="8"/>
        <v>#DIV/0!</v>
      </c>
      <c r="T38" s="84"/>
      <c r="U38" s="84"/>
      <c r="V38" s="84"/>
      <c r="W38" s="84"/>
      <c r="X38" s="85"/>
      <c r="Y38" s="68"/>
      <c r="Z38" s="68"/>
    </row>
    <row r="39" spans="1:26" ht="12.75" hidden="1" outlineLevel="1" x14ac:dyDescent="0.2">
      <c r="A39" s="68"/>
      <c r="B39" s="86"/>
      <c r="C39" s="70" t="s">
        <v>40</v>
      </c>
      <c r="D39" s="99">
        <v>0</v>
      </c>
      <c r="E39" s="73">
        <v>0</v>
      </c>
      <c r="F39" s="73">
        <v>0</v>
      </c>
      <c r="G39" s="74" t="e">
        <f t="shared" si="0"/>
        <v>#DIV/0!</v>
      </c>
      <c r="H39" s="75" t="e">
        <f t="shared" si="1"/>
        <v>#DIV/0!</v>
      </c>
      <c r="I39" s="76" t="e">
        <f t="shared" si="2"/>
        <v>#DIV/0!</v>
      </c>
      <c r="J39" s="99">
        <v>0</v>
      </c>
      <c r="K39" s="73">
        <v>0</v>
      </c>
      <c r="L39" s="73">
        <v>0</v>
      </c>
      <c r="M39" s="100">
        <v>0</v>
      </c>
      <c r="N39" s="79" t="e">
        <f t="shared" si="16"/>
        <v>#DIV/0!</v>
      </c>
      <c r="O39" s="80" t="e">
        <f t="shared" si="4"/>
        <v>#DIV/0!</v>
      </c>
      <c r="P39" s="79" t="e">
        <f t="shared" si="5"/>
        <v>#DIV/0!</v>
      </c>
      <c r="Q39" s="81" t="e">
        <f t="shared" si="6"/>
        <v>#DIV/0!</v>
      </c>
      <c r="R39" s="101">
        <f t="shared" si="15"/>
        <v>0</v>
      </c>
      <c r="S39" s="83" t="e">
        <f t="shared" si="8"/>
        <v>#DIV/0!</v>
      </c>
      <c r="T39" s="84"/>
      <c r="U39" s="84"/>
      <c r="V39" s="84"/>
      <c r="W39" s="84"/>
      <c r="X39" s="85"/>
      <c r="Y39" s="68"/>
      <c r="Z39" s="68"/>
    </row>
    <row r="40" spans="1:26" ht="12.75" hidden="1" outlineLevel="1" x14ac:dyDescent="0.2">
      <c r="A40" s="68"/>
      <c r="B40" s="86"/>
      <c r="C40" s="70" t="s">
        <v>41</v>
      </c>
      <c r="D40" s="102">
        <v>3534.27</v>
      </c>
      <c r="E40" s="73">
        <v>49</v>
      </c>
      <c r="F40" s="73">
        <v>51</v>
      </c>
      <c r="G40" s="74">
        <f t="shared" si="0"/>
        <v>0.96078431372549022</v>
      </c>
      <c r="H40" s="75">
        <f t="shared" si="1"/>
        <v>72.127959183673468</v>
      </c>
      <c r="I40" s="76">
        <f t="shared" si="2"/>
        <v>75.071957517700952</v>
      </c>
      <c r="J40" s="102">
        <v>799.06</v>
      </c>
      <c r="K40" s="73">
        <v>59789</v>
      </c>
      <c r="L40" s="73">
        <v>14</v>
      </c>
      <c r="M40" s="103">
        <v>877.86</v>
      </c>
      <c r="N40" s="79">
        <f t="shared" si="16"/>
        <v>0.91023625635067085</v>
      </c>
      <c r="O40" s="80">
        <f t="shared" si="4"/>
        <v>1.0986158736515406</v>
      </c>
      <c r="P40" s="79">
        <f t="shared" si="5"/>
        <v>0.22608912165737194</v>
      </c>
      <c r="Q40" s="81">
        <f t="shared" si="6"/>
        <v>0.24838509791272315</v>
      </c>
      <c r="R40" s="104">
        <f t="shared" si="15"/>
        <v>2656.41</v>
      </c>
      <c r="S40" s="83">
        <f t="shared" si="8"/>
        <v>57.075714285714284</v>
      </c>
      <c r="T40" s="84"/>
      <c r="U40" s="84"/>
      <c r="V40" s="84"/>
      <c r="W40" s="84"/>
      <c r="X40" s="85"/>
      <c r="Y40" s="68"/>
      <c r="Z40" s="68"/>
    </row>
    <row r="41" spans="1:26" ht="12.75" hidden="1" outlineLevel="1" x14ac:dyDescent="0.2">
      <c r="A41" s="68"/>
      <c r="B41" s="86"/>
      <c r="C41" s="70" t="s">
        <v>42</v>
      </c>
      <c r="D41" s="90">
        <v>59.97</v>
      </c>
      <c r="E41" s="73">
        <v>3</v>
      </c>
      <c r="F41" s="73">
        <v>3</v>
      </c>
      <c r="G41" s="74">
        <f t="shared" si="0"/>
        <v>1</v>
      </c>
      <c r="H41" s="75">
        <f t="shared" si="1"/>
        <v>19.989999999999998</v>
      </c>
      <c r="I41" s="76">
        <f t="shared" si="2"/>
        <v>19.989999999999998</v>
      </c>
      <c r="J41" s="90">
        <v>356.37</v>
      </c>
      <c r="K41" s="73">
        <v>105893</v>
      </c>
      <c r="L41" s="73">
        <v>2</v>
      </c>
      <c r="M41" s="91">
        <v>39.979999999999997</v>
      </c>
      <c r="N41" s="79">
        <f t="shared" si="16"/>
        <v>8.9137068534267136</v>
      </c>
      <c r="O41" s="80">
        <f t="shared" si="4"/>
        <v>0.11218677217498665</v>
      </c>
      <c r="P41" s="79">
        <f t="shared" si="5"/>
        <v>5.9424712356178091</v>
      </c>
      <c r="Q41" s="81">
        <f t="shared" si="6"/>
        <v>0.66666666666666663</v>
      </c>
      <c r="R41" s="92">
        <f t="shared" si="15"/>
        <v>19.990000000000002</v>
      </c>
      <c r="S41" s="83">
        <f t="shared" si="8"/>
        <v>178.185</v>
      </c>
      <c r="T41" s="84"/>
      <c r="U41" s="84"/>
      <c r="V41" s="84"/>
      <c r="W41" s="84"/>
      <c r="X41" s="85"/>
      <c r="Y41" s="68"/>
      <c r="Z41" s="68"/>
    </row>
    <row r="42" spans="1:26" ht="12.75" hidden="1" outlineLevel="1" x14ac:dyDescent="0.2">
      <c r="A42" s="68"/>
      <c r="B42" s="86"/>
      <c r="C42" s="70" t="s">
        <v>43</v>
      </c>
      <c r="D42" s="105">
        <v>1547.97</v>
      </c>
      <c r="E42" s="73">
        <v>13</v>
      </c>
      <c r="F42" s="73">
        <v>13</v>
      </c>
      <c r="G42" s="74">
        <f t="shared" si="0"/>
        <v>1</v>
      </c>
      <c r="H42" s="75">
        <f t="shared" si="1"/>
        <v>119.07461538461538</v>
      </c>
      <c r="I42" s="76">
        <f t="shared" si="2"/>
        <v>119.07461538461538</v>
      </c>
      <c r="J42" s="105">
        <v>74.14</v>
      </c>
      <c r="K42" s="73">
        <v>10788</v>
      </c>
      <c r="L42" s="73">
        <v>1</v>
      </c>
      <c r="M42" s="106">
        <v>0</v>
      </c>
      <c r="N42" s="79" t="e">
        <f t="shared" si="16"/>
        <v>#DIV/0!</v>
      </c>
      <c r="O42" s="80">
        <f t="shared" si="4"/>
        <v>0</v>
      </c>
      <c r="P42" s="79">
        <f t="shared" si="5"/>
        <v>4.7894985044929811E-2</v>
      </c>
      <c r="Q42" s="81">
        <f t="shared" si="6"/>
        <v>0</v>
      </c>
      <c r="R42" s="107">
        <f t="shared" si="15"/>
        <v>1547.97</v>
      </c>
      <c r="S42" s="83">
        <f t="shared" si="8"/>
        <v>74.14</v>
      </c>
      <c r="T42" s="84"/>
      <c r="U42" s="84"/>
      <c r="V42" s="84"/>
      <c r="W42" s="84"/>
      <c r="X42" s="85"/>
      <c r="Y42" s="68"/>
      <c r="Z42" s="68"/>
    </row>
    <row r="43" spans="1:26" ht="12.75" hidden="1" outlineLevel="1" x14ac:dyDescent="0.2">
      <c r="A43" s="68"/>
      <c r="B43" s="86"/>
      <c r="C43" s="70" t="s">
        <v>44</v>
      </c>
      <c r="D43" s="108">
        <v>209.8</v>
      </c>
      <c r="E43" s="73">
        <v>4</v>
      </c>
      <c r="F43" s="73">
        <v>4</v>
      </c>
      <c r="G43" s="74">
        <f t="shared" si="0"/>
        <v>1</v>
      </c>
      <c r="H43" s="75">
        <f t="shared" si="1"/>
        <v>52.45</v>
      </c>
      <c r="I43" s="76">
        <f t="shared" si="2"/>
        <v>52.45</v>
      </c>
      <c r="J43" s="108">
        <v>72.7</v>
      </c>
      <c r="K43" s="73">
        <v>40190</v>
      </c>
      <c r="L43" s="73">
        <v>3</v>
      </c>
      <c r="M43" s="109">
        <v>164.85</v>
      </c>
      <c r="N43" s="79">
        <f t="shared" si="16"/>
        <v>0.44100697603882322</v>
      </c>
      <c r="O43" s="80">
        <f t="shared" si="4"/>
        <v>2.2675378266850066</v>
      </c>
      <c r="P43" s="79">
        <f t="shared" si="5"/>
        <v>0.34652049571020016</v>
      </c>
      <c r="Q43" s="81">
        <f t="shared" si="6"/>
        <v>0.78574833174451852</v>
      </c>
      <c r="R43" s="110">
        <f t="shared" si="15"/>
        <v>44.950000000000017</v>
      </c>
      <c r="S43" s="83">
        <f t="shared" si="8"/>
        <v>24.233333333333334</v>
      </c>
      <c r="T43" s="84"/>
      <c r="U43" s="84"/>
      <c r="V43" s="84"/>
      <c r="W43" s="84"/>
      <c r="X43" s="85"/>
      <c r="Y43" s="68"/>
      <c r="Z43" s="68"/>
    </row>
    <row r="44" spans="1:26" ht="12.75" hidden="1" outlineLevel="1" x14ac:dyDescent="0.2">
      <c r="A44" s="111"/>
      <c r="B44" s="86"/>
      <c r="C44" s="112" t="s">
        <v>45</v>
      </c>
      <c r="D44" s="71">
        <v>0</v>
      </c>
      <c r="E44" s="73">
        <v>0</v>
      </c>
      <c r="F44" s="73">
        <v>0</v>
      </c>
      <c r="G44" s="74" t="e">
        <f t="shared" si="0"/>
        <v>#DIV/0!</v>
      </c>
      <c r="H44" s="75" t="e">
        <f t="shared" si="1"/>
        <v>#DIV/0!</v>
      </c>
      <c r="I44" s="76" t="e">
        <f t="shared" si="2"/>
        <v>#DIV/0!</v>
      </c>
      <c r="J44" s="71">
        <v>0</v>
      </c>
      <c r="K44" s="73">
        <v>0</v>
      </c>
      <c r="L44" s="73">
        <v>0</v>
      </c>
      <c r="M44" s="78">
        <v>0</v>
      </c>
      <c r="N44" s="79" t="e">
        <f t="shared" si="16"/>
        <v>#DIV/0!</v>
      </c>
      <c r="O44" s="80" t="e">
        <f t="shared" si="4"/>
        <v>#DIV/0!</v>
      </c>
      <c r="P44" s="79" t="e">
        <f t="shared" si="5"/>
        <v>#DIV/0!</v>
      </c>
      <c r="Q44" s="81" t="e">
        <f t="shared" si="6"/>
        <v>#DIV/0!</v>
      </c>
      <c r="R44" s="82">
        <f t="shared" si="15"/>
        <v>0</v>
      </c>
      <c r="S44" s="83" t="e">
        <f t="shared" si="8"/>
        <v>#DIV/0!</v>
      </c>
      <c r="T44" s="113"/>
      <c r="U44" s="113"/>
      <c r="V44" s="113"/>
      <c r="W44" s="114"/>
      <c r="X44" s="115"/>
      <c r="Y44" s="68"/>
      <c r="Z44" s="68"/>
    </row>
    <row r="45" spans="1:26" ht="12.75" hidden="1" outlineLevel="1" x14ac:dyDescent="0.2">
      <c r="A45" s="68"/>
      <c r="B45" s="86"/>
      <c r="C45" s="70" t="s">
        <v>46</v>
      </c>
      <c r="D45" s="116">
        <v>1218.3900000000001</v>
      </c>
      <c r="E45" s="73">
        <v>31</v>
      </c>
      <c r="F45" s="73">
        <v>31</v>
      </c>
      <c r="G45" s="74">
        <f t="shared" si="0"/>
        <v>1</v>
      </c>
      <c r="H45" s="75">
        <f t="shared" si="1"/>
        <v>39.302903225806453</v>
      </c>
      <c r="I45" s="76">
        <f t="shared" si="2"/>
        <v>39.302903225806453</v>
      </c>
      <c r="J45" s="116">
        <v>258.05</v>
      </c>
      <c r="K45" s="73">
        <v>66414</v>
      </c>
      <c r="L45" s="73">
        <v>25</v>
      </c>
      <c r="M45" s="117">
        <v>985.26</v>
      </c>
      <c r="N45" s="79">
        <f t="shared" si="16"/>
        <v>0.26191056167915072</v>
      </c>
      <c r="O45" s="80">
        <f t="shared" si="4"/>
        <v>3.8180972679713232</v>
      </c>
      <c r="P45" s="79">
        <f t="shared" si="5"/>
        <v>0.21179589458219453</v>
      </c>
      <c r="Q45" s="81">
        <f t="shared" si="6"/>
        <v>0.80865732647181932</v>
      </c>
      <c r="R45" s="82">
        <f t="shared" si="15"/>
        <v>233.13000000000011</v>
      </c>
      <c r="S45" s="83">
        <f t="shared" si="8"/>
        <v>10.322000000000001</v>
      </c>
      <c r="T45" s="84"/>
      <c r="U45" s="84"/>
      <c r="V45" s="84"/>
      <c r="W45" s="84"/>
      <c r="X45" s="85"/>
      <c r="Y45" s="68"/>
      <c r="Z45" s="68"/>
    </row>
    <row r="46" spans="1:26" ht="12.75" hidden="1" outlineLevel="1" x14ac:dyDescent="0.2">
      <c r="A46" s="68"/>
      <c r="B46" s="86"/>
      <c r="C46" s="70" t="s">
        <v>47</v>
      </c>
      <c r="D46" s="87">
        <v>59.9</v>
      </c>
      <c r="E46" s="73">
        <v>2</v>
      </c>
      <c r="F46" s="73">
        <v>2</v>
      </c>
      <c r="G46" s="74">
        <f t="shared" si="0"/>
        <v>1</v>
      </c>
      <c r="H46" s="75">
        <f t="shared" si="1"/>
        <v>29.95</v>
      </c>
      <c r="I46" s="76">
        <f t="shared" si="2"/>
        <v>29.95</v>
      </c>
      <c r="J46" s="87">
        <v>0</v>
      </c>
      <c r="K46" s="73">
        <v>0</v>
      </c>
      <c r="L46" s="73">
        <v>0</v>
      </c>
      <c r="M46" s="88">
        <v>0</v>
      </c>
      <c r="N46" s="79" t="e">
        <f t="shared" si="16"/>
        <v>#DIV/0!</v>
      </c>
      <c r="O46" s="80" t="e">
        <f t="shared" si="4"/>
        <v>#DIV/0!</v>
      </c>
      <c r="P46" s="79">
        <f t="shared" si="5"/>
        <v>0</v>
      </c>
      <c r="Q46" s="81">
        <f t="shared" si="6"/>
        <v>0</v>
      </c>
      <c r="R46" s="82">
        <f t="shared" si="15"/>
        <v>59.9</v>
      </c>
      <c r="S46" s="83" t="e">
        <f t="shared" si="8"/>
        <v>#DIV/0!</v>
      </c>
      <c r="T46" s="84"/>
      <c r="U46" s="84"/>
      <c r="V46" s="84"/>
      <c r="W46" s="84"/>
      <c r="X46" s="85"/>
      <c r="Y46" s="68"/>
      <c r="Z46" s="68"/>
    </row>
    <row r="47" spans="1:26" ht="12.75" hidden="1" outlineLevel="1" x14ac:dyDescent="0.2">
      <c r="A47" s="68"/>
      <c r="B47" s="86"/>
      <c r="C47" s="70" t="s">
        <v>48</v>
      </c>
      <c r="D47" s="102">
        <v>6535.42</v>
      </c>
      <c r="E47" s="73">
        <v>31</v>
      </c>
      <c r="F47" s="73">
        <v>31</v>
      </c>
      <c r="G47" s="74">
        <f t="shared" si="0"/>
        <v>1</v>
      </c>
      <c r="H47" s="75">
        <f t="shared" si="1"/>
        <v>210.82</v>
      </c>
      <c r="I47" s="76">
        <f t="shared" si="2"/>
        <v>210.82</v>
      </c>
      <c r="J47" s="102">
        <v>807.83</v>
      </c>
      <c r="K47" s="73">
        <v>55281</v>
      </c>
      <c r="L47" s="73">
        <v>15</v>
      </c>
      <c r="M47" s="103">
        <v>2922.51</v>
      </c>
      <c r="N47" s="79">
        <f t="shared" si="16"/>
        <v>0.27641650499057319</v>
      </c>
      <c r="O47" s="80">
        <f t="shared" si="4"/>
        <v>3.6177289776314323</v>
      </c>
      <c r="P47" s="79">
        <f t="shared" si="5"/>
        <v>0.12360797010750649</v>
      </c>
      <c r="Q47" s="81">
        <f t="shared" si="6"/>
        <v>0.44718013532412609</v>
      </c>
      <c r="R47" s="82">
        <f t="shared" si="15"/>
        <v>3612.91</v>
      </c>
      <c r="S47" s="83">
        <f t="shared" si="8"/>
        <v>53.855333333333334</v>
      </c>
      <c r="T47" s="84"/>
      <c r="U47" s="84"/>
      <c r="V47" s="84"/>
      <c r="W47" s="84"/>
      <c r="X47" s="85"/>
      <c r="Y47" s="68"/>
      <c r="Z47" s="68"/>
    </row>
    <row r="48" spans="1:26" ht="12.75" hidden="1" outlineLevel="1" x14ac:dyDescent="0.2">
      <c r="A48" s="68"/>
      <c r="B48" s="86"/>
      <c r="C48" s="70" t="s">
        <v>49</v>
      </c>
      <c r="D48" s="116">
        <v>-27</v>
      </c>
      <c r="E48" s="73">
        <v>-1</v>
      </c>
      <c r="F48" s="73">
        <v>0</v>
      </c>
      <c r="G48" s="74" t="e">
        <f t="shared" si="0"/>
        <v>#DIV/0!</v>
      </c>
      <c r="H48" s="75">
        <f t="shared" si="1"/>
        <v>27</v>
      </c>
      <c r="I48" s="76" t="e">
        <f t="shared" si="2"/>
        <v>#DIV/0!</v>
      </c>
      <c r="J48" s="116">
        <v>10.46</v>
      </c>
      <c r="K48" s="73">
        <v>14576</v>
      </c>
      <c r="L48" s="73">
        <v>0</v>
      </c>
      <c r="M48" s="117">
        <v>0</v>
      </c>
      <c r="N48" s="79" t="e">
        <f t="shared" si="16"/>
        <v>#DIV/0!</v>
      </c>
      <c r="O48" s="80">
        <f t="shared" si="4"/>
        <v>0</v>
      </c>
      <c r="P48" s="79">
        <f t="shared" si="5"/>
        <v>-0.38740740740740742</v>
      </c>
      <c r="Q48" s="81">
        <f t="shared" si="6"/>
        <v>0</v>
      </c>
      <c r="R48" s="82">
        <f t="shared" si="15"/>
        <v>-27</v>
      </c>
      <c r="S48" s="83" t="e">
        <f t="shared" si="8"/>
        <v>#DIV/0!</v>
      </c>
      <c r="T48" s="84"/>
      <c r="U48" s="84"/>
      <c r="V48" s="84"/>
      <c r="W48" s="84"/>
      <c r="X48" s="85"/>
      <c r="Y48" s="68"/>
      <c r="Z48" s="68"/>
    </row>
    <row r="49" spans="1:26" hidden="1" outlineLevel="1" x14ac:dyDescent="0.25">
      <c r="A49" s="118" t="str">
        <f t="shared" ref="A49:A50" si="17">IFERROR(IF(B49&gt;0,MONTH(B49)&amp;"-"&amp;YEAR(B49),B49),)</f>
        <v>1-2026</v>
      </c>
      <c r="B49" s="69">
        <v>46025</v>
      </c>
      <c r="C49" s="198" t="s">
        <v>64</v>
      </c>
      <c r="D49" s="116">
        <v>0</v>
      </c>
      <c r="E49" s="73">
        <v>0</v>
      </c>
      <c r="F49" s="73">
        <v>0</v>
      </c>
      <c r="G49" s="74" t="e">
        <f t="shared" si="0"/>
        <v>#DIV/0!</v>
      </c>
      <c r="H49" s="75" t="e">
        <f t="shared" si="1"/>
        <v>#DIV/0!</v>
      </c>
      <c r="I49" s="76" t="e">
        <f t="shared" si="2"/>
        <v>#DIV/0!</v>
      </c>
      <c r="J49" s="87">
        <v>4879.8900000000003</v>
      </c>
      <c r="K49" s="199">
        <v>507182</v>
      </c>
      <c r="L49" s="73">
        <v>0</v>
      </c>
      <c r="M49" s="88">
        <v>18214</v>
      </c>
      <c r="N49" s="79">
        <f t="shared" si="16"/>
        <v>0.26791973207422864</v>
      </c>
      <c r="O49" s="80">
        <f t="shared" si="4"/>
        <v>3.7324611825266549</v>
      </c>
      <c r="P49" s="79" t="e">
        <f t="shared" si="5"/>
        <v>#DIV/0!</v>
      </c>
      <c r="Q49" s="81" t="e">
        <f t="shared" si="6"/>
        <v>#DIV/0!</v>
      </c>
      <c r="R49" s="82">
        <f t="shared" si="15"/>
        <v>-18214</v>
      </c>
      <c r="S49" s="83" t="e">
        <f t="shared" si="8"/>
        <v>#DIV/0!</v>
      </c>
      <c r="T49" s="84"/>
      <c r="U49" s="84"/>
      <c r="V49" s="84"/>
      <c r="W49" s="84"/>
      <c r="X49" s="85"/>
      <c r="Y49" s="68"/>
      <c r="Z49" s="68"/>
    </row>
    <row r="50" spans="1:26" ht="12.75" collapsed="1" x14ac:dyDescent="0.2">
      <c r="A50" s="68">
        <f t="shared" si="17"/>
        <v>0</v>
      </c>
      <c r="B50" s="119" t="s">
        <v>51</v>
      </c>
      <c r="C50" s="120"/>
      <c r="D50" s="121">
        <f t="shared" ref="D50:F50" si="18">SUM(D32:D49)</f>
        <v>45850.880000000005</v>
      </c>
      <c r="E50" s="123">
        <f t="shared" si="18"/>
        <v>342</v>
      </c>
      <c r="F50" s="123">
        <f t="shared" si="18"/>
        <v>362</v>
      </c>
      <c r="G50" s="124">
        <f t="shared" si="0"/>
        <v>0.94475138121546964</v>
      </c>
      <c r="H50" s="125">
        <f t="shared" si="1"/>
        <v>134.06690058479535</v>
      </c>
      <c r="I50" s="126">
        <f t="shared" si="2"/>
        <v>141.90707020963717</v>
      </c>
      <c r="J50" s="121">
        <f t="shared" ref="J50:M50" si="19">SUM(J32:J49)</f>
        <v>10686.6</v>
      </c>
      <c r="K50" s="123">
        <f t="shared" si="19"/>
        <v>1882932</v>
      </c>
      <c r="L50" s="123">
        <f t="shared" si="19"/>
        <v>122</v>
      </c>
      <c r="M50" s="127">
        <f t="shared" si="19"/>
        <v>32577.4</v>
      </c>
      <c r="N50" s="128">
        <f t="shared" si="16"/>
        <v>0.32803722826253784</v>
      </c>
      <c r="O50" s="129">
        <f t="shared" si="4"/>
        <v>3.0484344880504559</v>
      </c>
      <c r="P50" s="128">
        <f t="shared" si="5"/>
        <v>0.23307295301638703</v>
      </c>
      <c r="Q50" s="130">
        <f t="shared" si="6"/>
        <v>0.71050762820691771</v>
      </c>
      <c r="R50" s="131">
        <f>SUM(R32:R49)</f>
        <v>13273.480000000007</v>
      </c>
      <c r="S50" s="132">
        <f t="shared" si="8"/>
        <v>87.595081967213119</v>
      </c>
      <c r="T50" s="134">
        <f t="shared" ref="T50:U50" si="20">IFERROR((D50-#REF!)/D50,)</f>
        <v>0</v>
      </c>
      <c r="U50" s="134">
        <f t="shared" si="20"/>
        <v>0</v>
      </c>
      <c r="V50" s="134">
        <f t="shared" ref="V50:W50" si="21">IFERROR((D50-#REF!)/D50, )</f>
        <v>0</v>
      </c>
      <c r="W50" s="134">
        <f t="shared" si="21"/>
        <v>0</v>
      </c>
      <c r="X50" s="68"/>
      <c r="Y50" s="68"/>
      <c r="Z50" s="68"/>
    </row>
    <row r="51" spans="1:26" ht="12.75" hidden="1" outlineLevel="1" x14ac:dyDescent="0.2">
      <c r="A51" s="68"/>
      <c r="B51" s="69">
        <v>46026</v>
      </c>
      <c r="C51" s="70" t="s">
        <v>32</v>
      </c>
      <c r="D51" s="71">
        <v>4193.34</v>
      </c>
      <c r="E51" s="73">
        <v>31</v>
      </c>
      <c r="F51" s="73">
        <v>31</v>
      </c>
      <c r="G51" s="74">
        <f t="shared" si="0"/>
        <v>1</v>
      </c>
      <c r="H51" s="75">
        <f t="shared" si="1"/>
        <v>135.26903225806453</v>
      </c>
      <c r="I51" s="76">
        <f t="shared" si="2"/>
        <v>135.26903225806453</v>
      </c>
      <c r="J51" s="77">
        <v>1013.35</v>
      </c>
      <c r="K51" s="73">
        <v>165235</v>
      </c>
      <c r="L51" s="73">
        <v>6</v>
      </c>
      <c r="M51" s="78">
        <v>925.9</v>
      </c>
      <c r="N51" s="79">
        <f t="shared" si="16"/>
        <v>1.0944486445620478</v>
      </c>
      <c r="O51" s="80">
        <f t="shared" si="4"/>
        <v>0.91370207726846597</v>
      </c>
      <c r="P51" s="79">
        <f t="shared" si="5"/>
        <v>0.24165700849442209</v>
      </c>
      <c r="Q51" s="81">
        <f t="shared" si="6"/>
        <v>0.22080251064783679</v>
      </c>
      <c r="R51" s="82">
        <f t="shared" ref="R51:R68" si="22">D51-M51</f>
        <v>3267.44</v>
      </c>
      <c r="S51" s="83">
        <f t="shared" si="8"/>
        <v>168.89166666666668</v>
      </c>
      <c r="T51" s="84"/>
      <c r="U51" s="84"/>
      <c r="V51" s="84"/>
      <c r="W51" s="84"/>
      <c r="X51" s="85"/>
      <c r="Y51" s="68"/>
      <c r="Z51" s="68"/>
    </row>
    <row r="52" spans="1:26" ht="12.75" hidden="1" outlineLevel="1" x14ac:dyDescent="0.2">
      <c r="A52" s="68"/>
      <c r="B52" s="86"/>
      <c r="C52" s="70" t="s">
        <v>33</v>
      </c>
      <c r="D52" s="87">
        <v>7722.36</v>
      </c>
      <c r="E52" s="73">
        <v>94</v>
      </c>
      <c r="F52" s="73">
        <v>105</v>
      </c>
      <c r="G52" s="74">
        <f t="shared" si="0"/>
        <v>0.89523809523809528</v>
      </c>
      <c r="H52" s="75">
        <f t="shared" si="1"/>
        <v>82.152765957446803</v>
      </c>
      <c r="I52" s="76">
        <f t="shared" si="2"/>
        <v>91.766387505658656</v>
      </c>
      <c r="J52" s="87">
        <v>759.35</v>
      </c>
      <c r="K52" s="73">
        <v>402437</v>
      </c>
      <c r="L52" s="73">
        <v>21</v>
      </c>
      <c r="M52" s="88">
        <v>2698.5</v>
      </c>
      <c r="N52" s="79">
        <f t="shared" si="16"/>
        <v>0.2813970724476561</v>
      </c>
      <c r="O52" s="80">
        <f t="shared" si="4"/>
        <v>3.553697241061434</v>
      </c>
      <c r="P52" s="79">
        <f t="shared" si="5"/>
        <v>9.833133912430915E-2</v>
      </c>
      <c r="Q52" s="81">
        <f t="shared" si="6"/>
        <v>0.34943980855593371</v>
      </c>
      <c r="R52" s="89">
        <f t="shared" si="22"/>
        <v>5023.8599999999997</v>
      </c>
      <c r="S52" s="83">
        <f t="shared" si="8"/>
        <v>36.159523809523812</v>
      </c>
      <c r="T52" s="84"/>
      <c r="U52" s="84"/>
      <c r="V52" s="84"/>
      <c r="W52" s="84"/>
      <c r="X52" s="85"/>
      <c r="Y52" s="68"/>
      <c r="Z52" s="68"/>
    </row>
    <row r="53" spans="1:26" ht="12.75" hidden="1" outlineLevel="1" x14ac:dyDescent="0.2">
      <c r="A53" s="68"/>
      <c r="B53" s="86"/>
      <c r="C53" s="70" t="s">
        <v>34</v>
      </c>
      <c r="D53" s="90">
        <v>279.8</v>
      </c>
      <c r="E53" s="73">
        <v>4</v>
      </c>
      <c r="F53" s="73">
        <v>2</v>
      </c>
      <c r="G53" s="74">
        <f t="shared" si="0"/>
        <v>2</v>
      </c>
      <c r="H53" s="75">
        <f t="shared" si="1"/>
        <v>69.95</v>
      </c>
      <c r="I53" s="76">
        <f t="shared" si="2"/>
        <v>34.975000000000001</v>
      </c>
      <c r="J53" s="90">
        <v>7.22</v>
      </c>
      <c r="K53" s="73">
        <v>413</v>
      </c>
      <c r="L53" s="73">
        <v>0</v>
      </c>
      <c r="M53" s="91">
        <v>0</v>
      </c>
      <c r="N53" s="79" t="e">
        <f>(J53/M53)</f>
        <v>#DIV/0!</v>
      </c>
      <c r="O53" s="80">
        <f t="shared" si="4"/>
        <v>0</v>
      </c>
      <c r="P53" s="79">
        <f t="shared" si="5"/>
        <v>2.5804145818441742E-2</v>
      </c>
      <c r="Q53" s="81">
        <f t="shared" si="6"/>
        <v>0</v>
      </c>
      <c r="R53" s="92">
        <f t="shared" si="22"/>
        <v>279.8</v>
      </c>
      <c r="S53" s="83" t="e">
        <f t="shared" si="8"/>
        <v>#DIV/0!</v>
      </c>
      <c r="T53" s="84"/>
      <c r="U53" s="84"/>
      <c r="V53" s="84"/>
      <c r="W53" s="84"/>
      <c r="X53" s="85"/>
      <c r="Y53" s="68"/>
      <c r="Z53" s="68"/>
    </row>
    <row r="54" spans="1:26" ht="12.75" hidden="1" outlineLevel="1" x14ac:dyDescent="0.2">
      <c r="A54" s="68"/>
      <c r="B54" s="86"/>
      <c r="C54" s="70" t="s">
        <v>35</v>
      </c>
      <c r="D54" s="90">
        <v>1085.1099999999999</v>
      </c>
      <c r="E54" s="73">
        <v>18</v>
      </c>
      <c r="F54" s="73">
        <v>22</v>
      </c>
      <c r="G54" s="74">
        <f t="shared" si="0"/>
        <v>0.81818181818181823</v>
      </c>
      <c r="H54" s="75">
        <f t="shared" si="1"/>
        <v>60.283888888888882</v>
      </c>
      <c r="I54" s="76">
        <f t="shared" si="2"/>
        <v>73.680308641975301</v>
      </c>
      <c r="J54" s="90">
        <v>317.55</v>
      </c>
      <c r="K54" s="73">
        <v>27416</v>
      </c>
      <c r="L54" s="73">
        <v>12</v>
      </c>
      <c r="M54" s="91">
        <v>659.45</v>
      </c>
      <c r="N54" s="79">
        <f t="shared" ref="N54:N71" si="23">J54/M54</f>
        <v>0.48153764500720297</v>
      </c>
      <c r="O54" s="80">
        <f t="shared" si="4"/>
        <v>2.0766808376633601</v>
      </c>
      <c r="P54" s="79">
        <f t="shared" si="5"/>
        <v>0.29264314216991827</v>
      </c>
      <c r="Q54" s="81">
        <f t="shared" si="6"/>
        <v>0.60772640561786373</v>
      </c>
      <c r="R54" s="92">
        <f t="shared" si="22"/>
        <v>425.65999999999985</v>
      </c>
      <c r="S54" s="83">
        <f t="shared" si="8"/>
        <v>26.462500000000002</v>
      </c>
      <c r="T54" s="84"/>
      <c r="U54" s="84"/>
      <c r="V54" s="84"/>
      <c r="W54" s="84"/>
      <c r="X54" s="85"/>
      <c r="Y54" s="68"/>
      <c r="Z54" s="68"/>
    </row>
    <row r="55" spans="1:26" ht="12.75" hidden="1" outlineLevel="1" x14ac:dyDescent="0.2">
      <c r="A55" s="68"/>
      <c r="B55" s="86"/>
      <c r="C55" s="70" t="s">
        <v>36</v>
      </c>
      <c r="D55" s="90">
        <v>974.25</v>
      </c>
      <c r="E55" s="73">
        <v>15</v>
      </c>
      <c r="F55" s="73">
        <v>16</v>
      </c>
      <c r="G55" s="74">
        <f t="shared" si="0"/>
        <v>0.9375</v>
      </c>
      <c r="H55" s="75">
        <f t="shared" si="1"/>
        <v>64.95</v>
      </c>
      <c r="I55" s="76">
        <f t="shared" si="2"/>
        <v>69.28</v>
      </c>
      <c r="J55" s="90">
        <v>78.8</v>
      </c>
      <c r="K55" s="73">
        <v>26820</v>
      </c>
      <c r="L55" s="73">
        <v>1</v>
      </c>
      <c r="M55" s="91">
        <v>69.95</v>
      </c>
      <c r="N55" s="79">
        <f t="shared" si="23"/>
        <v>1.1265189421015009</v>
      </c>
      <c r="O55" s="80">
        <f t="shared" si="4"/>
        <v>0.88769035532994933</v>
      </c>
      <c r="P55" s="79">
        <f t="shared" si="5"/>
        <v>8.0882730305363096E-2</v>
      </c>
      <c r="Q55" s="81">
        <f t="shared" si="6"/>
        <v>7.1798819604824232E-2</v>
      </c>
      <c r="R55" s="92">
        <f t="shared" si="22"/>
        <v>904.3</v>
      </c>
      <c r="S55" s="83">
        <f t="shared" si="8"/>
        <v>78.8</v>
      </c>
      <c r="T55" s="84"/>
      <c r="U55" s="84"/>
      <c r="V55" s="84"/>
      <c r="W55" s="84"/>
      <c r="X55" s="85"/>
      <c r="Y55" s="68"/>
      <c r="Z55" s="68"/>
    </row>
    <row r="56" spans="1:26" ht="12.75" hidden="1" outlineLevel="1" x14ac:dyDescent="0.2">
      <c r="A56" s="68"/>
      <c r="B56" s="69" t="s">
        <v>37</v>
      </c>
      <c r="C56" s="70" t="s">
        <v>38</v>
      </c>
      <c r="D56" s="93">
        <v>114.85</v>
      </c>
      <c r="E56" s="73">
        <v>3</v>
      </c>
      <c r="F56" s="73">
        <v>3</v>
      </c>
      <c r="G56" s="74">
        <f t="shared" si="0"/>
        <v>1</v>
      </c>
      <c r="H56" s="75">
        <f t="shared" si="1"/>
        <v>38.283333333333331</v>
      </c>
      <c r="I56" s="76">
        <f t="shared" si="2"/>
        <v>38.283333333333331</v>
      </c>
      <c r="J56" s="93">
        <v>40.770000000000003</v>
      </c>
      <c r="K56" s="73">
        <v>241677</v>
      </c>
      <c r="L56" s="73">
        <v>0</v>
      </c>
      <c r="M56" s="94">
        <v>0</v>
      </c>
      <c r="N56" s="79" t="e">
        <f t="shared" si="23"/>
        <v>#DIV/0!</v>
      </c>
      <c r="O56" s="80">
        <f t="shared" si="4"/>
        <v>0</v>
      </c>
      <c r="P56" s="79">
        <f t="shared" si="5"/>
        <v>0.35498476273400092</v>
      </c>
      <c r="Q56" s="81">
        <f t="shared" si="6"/>
        <v>0</v>
      </c>
      <c r="R56" s="95">
        <f t="shared" si="22"/>
        <v>114.85</v>
      </c>
      <c r="S56" s="83" t="e">
        <f t="shared" si="8"/>
        <v>#DIV/0!</v>
      </c>
      <c r="T56" s="84"/>
      <c r="U56" s="84"/>
      <c r="V56" s="84"/>
      <c r="W56" s="84"/>
      <c r="X56" s="85"/>
      <c r="Y56" s="68"/>
      <c r="Z56" s="68"/>
    </row>
    <row r="57" spans="1:26" ht="12.75" hidden="1" outlineLevel="1" x14ac:dyDescent="0.2">
      <c r="A57" s="68"/>
      <c r="B57" s="86"/>
      <c r="C57" s="70" t="s">
        <v>39</v>
      </c>
      <c r="D57" s="96">
        <v>0</v>
      </c>
      <c r="E57" s="73">
        <v>0</v>
      </c>
      <c r="F57" s="73">
        <v>0</v>
      </c>
      <c r="G57" s="74" t="e">
        <f t="shared" si="0"/>
        <v>#DIV/0!</v>
      </c>
      <c r="H57" s="75" t="e">
        <f t="shared" si="1"/>
        <v>#DIV/0!</v>
      </c>
      <c r="I57" s="76" t="e">
        <f t="shared" si="2"/>
        <v>#DIV/0!</v>
      </c>
      <c r="J57" s="96">
        <v>0</v>
      </c>
      <c r="K57" s="73">
        <v>0</v>
      </c>
      <c r="L57" s="73">
        <v>0</v>
      </c>
      <c r="M57" s="97">
        <v>0</v>
      </c>
      <c r="N57" s="79" t="e">
        <f t="shared" si="23"/>
        <v>#DIV/0!</v>
      </c>
      <c r="O57" s="80" t="e">
        <f t="shared" si="4"/>
        <v>#DIV/0!</v>
      </c>
      <c r="P57" s="79" t="e">
        <f t="shared" si="5"/>
        <v>#DIV/0!</v>
      </c>
      <c r="Q57" s="81" t="e">
        <f t="shared" si="6"/>
        <v>#DIV/0!</v>
      </c>
      <c r="R57" s="98">
        <f t="shared" si="22"/>
        <v>0</v>
      </c>
      <c r="S57" s="83" t="e">
        <f t="shared" si="8"/>
        <v>#DIV/0!</v>
      </c>
      <c r="T57" s="84"/>
      <c r="U57" s="84"/>
      <c r="V57" s="84"/>
      <c r="W57" s="84"/>
      <c r="X57" s="85"/>
      <c r="Y57" s="68"/>
      <c r="Z57" s="68"/>
    </row>
    <row r="58" spans="1:26" ht="12.75" hidden="1" outlineLevel="1" x14ac:dyDescent="0.2">
      <c r="A58" s="68"/>
      <c r="B58" s="86"/>
      <c r="C58" s="70" t="s">
        <v>40</v>
      </c>
      <c r="D58" s="99">
        <v>0</v>
      </c>
      <c r="E58" s="73">
        <v>0</v>
      </c>
      <c r="F58" s="73">
        <v>0</v>
      </c>
      <c r="G58" s="74" t="e">
        <f t="shared" si="0"/>
        <v>#DIV/0!</v>
      </c>
      <c r="H58" s="75" t="e">
        <f t="shared" si="1"/>
        <v>#DIV/0!</v>
      </c>
      <c r="I58" s="76" t="e">
        <f t="shared" si="2"/>
        <v>#DIV/0!</v>
      </c>
      <c r="J58" s="99">
        <v>0</v>
      </c>
      <c r="K58" s="73">
        <v>0</v>
      </c>
      <c r="L58" s="73">
        <v>0</v>
      </c>
      <c r="M58" s="100">
        <v>0</v>
      </c>
      <c r="N58" s="79" t="e">
        <f t="shared" si="23"/>
        <v>#DIV/0!</v>
      </c>
      <c r="O58" s="80" t="e">
        <f t="shared" si="4"/>
        <v>#DIV/0!</v>
      </c>
      <c r="P58" s="79" t="e">
        <f t="shared" si="5"/>
        <v>#DIV/0!</v>
      </c>
      <c r="Q58" s="81" t="e">
        <f t="shared" si="6"/>
        <v>#DIV/0!</v>
      </c>
      <c r="R58" s="101">
        <f t="shared" si="22"/>
        <v>0</v>
      </c>
      <c r="S58" s="83" t="e">
        <f t="shared" si="8"/>
        <v>#DIV/0!</v>
      </c>
      <c r="T58" s="84"/>
      <c r="U58" s="84"/>
      <c r="V58" s="84"/>
      <c r="W58" s="84"/>
      <c r="X58" s="85"/>
      <c r="Y58" s="68"/>
      <c r="Z58" s="68"/>
    </row>
    <row r="59" spans="1:26" ht="12.75" hidden="1" outlineLevel="1" x14ac:dyDescent="0.2">
      <c r="A59" s="68"/>
      <c r="B59" s="86"/>
      <c r="C59" s="70" t="s">
        <v>41</v>
      </c>
      <c r="D59" s="102">
        <v>2607.66</v>
      </c>
      <c r="E59" s="73">
        <v>38</v>
      </c>
      <c r="F59" s="73">
        <v>37</v>
      </c>
      <c r="G59" s="74">
        <f t="shared" si="0"/>
        <v>1.027027027027027</v>
      </c>
      <c r="H59" s="75">
        <f t="shared" si="1"/>
        <v>68.622631578947363</v>
      </c>
      <c r="I59" s="76">
        <f t="shared" si="2"/>
        <v>66.816772853185597</v>
      </c>
      <c r="J59" s="102">
        <v>582.07000000000005</v>
      </c>
      <c r="K59" s="73">
        <v>53074</v>
      </c>
      <c r="L59" s="73">
        <v>14</v>
      </c>
      <c r="M59" s="103">
        <v>1068.9000000000001</v>
      </c>
      <c r="N59" s="79">
        <f t="shared" si="23"/>
        <v>0.54455047244831134</v>
      </c>
      <c r="O59" s="80">
        <f t="shared" si="4"/>
        <v>1.8363770680502345</v>
      </c>
      <c r="P59" s="79">
        <f t="shared" si="5"/>
        <v>0.22321544986693054</v>
      </c>
      <c r="Q59" s="81">
        <f t="shared" si="6"/>
        <v>0.40990773337014802</v>
      </c>
      <c r="R59" s="104">
        <f t="shared" si="22"/>
        <v>1538.7599999999998</v>
      </c>
      <c r="S59" s="83">
        <f t="shared" si="8"/>
        <v>41.576428571428572</v>
      </c>
      <c r="T59" s="84"/>
      <c r="U59" s="84"/>
      <c r="V59" s="84"/>
      <c r="W59" s="84"/>
      <c r="X59" s="85"/>
      <c r="Y59" s="68"/>
      <c r="Z59" s="68"/>
    </row>
    <row r="60" spans="1:26" ht="12.75" hidden="1" outlineLevel="1" x14ac:dyDescent="0.2">
      <c r="A60" s="68"/>
      <c r="B60" s="86"/>
      <c r="C60" s="70" t="s">
        <v>42</v>
      </c>
      <c r="D60" s="90">
        <v>39.979999999999997</v>
      </c>
      <c r="E60" s="73">
        <v>2</v>
      </c>
      <c r="F60" s="73">
        <v>5</v>
      </c>
      <c r="G60" s="74">
        <f t="shared" si="0"/>
        <v>0.4</v>
      </c>
      <c r="H60" s="75">
        <f t="shared" si="1"/>
        <v>19.989999999999998</v>
      </c>
      <c r="I60" s="76">
        <f t="shared" si="2"/>
        <v>49.974999999999994</v>
      </c>
      <c r="J60" s="90">
        <v>390.2</v>
      </c>
      <c r="K60" s="73">
        <v>90636</v>
      </c>
      <c r="L60" s="73">
        <v>5</v>
      </c>
      <c r="M60" s="91">
        <v>99.95</v>
      </c>
      <c r="N60" s="79">
        <f t="shared" si="23"/>
        <v>3.9039519759879937</v>
      </c>
      <c r="O60" s="80">
        <f t="shared" si="4"/>
        <v>0.25615069195284473</v>
      </c>
      <c r="P60" s="79">
        <f t="shared" si="5"/>
        <v>9.759879939969986</v>
      </c>
      <c r="Q60" s="81">
        <f t="shared" si="6"/>
        <v>2.5000000000000004</v>
      </c>
      <c r="R60" s="92">
        <f t="shared" si="22"/>
        <v>-59.970000000000006</v>
      </c>
      <c r="S60" s="83">
        <f t="shared" si="8"/>
        <v>78.039999999999992</v>
      </c>
      <c r="T60" s="84"/>
      <c r="U60" s="84"/>
      <c r="V60" s="84"/>
      <c r="W60" s="84"/>
      <c r="X60" s="85"/>
      <c r="Y60" s="68"/>
      <c r="Z60" s="68"/>
    </row>
    <row r="61" spans="1:26" ht="12.75" hidden="1" outlineLevel="1" x14ac:dyDescent="0.2">
      <c r="A61" s="68"/>
      <c r="B61" s="86"/>
      <c r="C61" s="70" t="s">
        <v>43</v>
      </c>
      <c r="D61" s="105">
        <v>1285.5899999999999</v>
      </c>
      <c r="E61" s="73">
        <v>10</v>
      </c>
      <c r="F61" s="73">
        <v>10</v>
      </c>
      <c r="G61" s="74">
        <f t="shared" si="0"/>
        <v>1</v>
      </c>
      <c r="H61" s="75">
        <f t="shared" si="1"/>
        <v>128.559</v>
      </c>
      <c r="I61" s="76">
        <f t="shared" si="2"/>
        <v>128.559</v>
      </c>
      <c r="J61" s="105">
        <v>70.099999999999994</v>
      </c>
      <c r="K61" s="73">
        <v>8798</v>
      </c>
      <c r="L61" s="73">
        <v>1</v>
      </c>
      <c r="M61" s="106">
        <v>0</v>
      </c>
      <c r="N61" s="79" t="e">
        <f t="shared" si="23"/>
        <v>#DIV/0!</v>
      </c>
      <c r="O61" s="80">
        <f t="shared" si="4"/>
        <v>0</v>
      </c>
      <c r="P61" s="79">
        <f t="shared" si="5"/>
        <v>5.452749321323283E-2</v>
      </c>
      <c r="Q61" s="81">
        <f t="shared" si="6"/>
        <v>0</v>
      </c>
      <c r="R61" s="107">
        <f t="shared" si="22"/>
        <v>1285.5899999999999</v>
      </c>
      <c r="S61" s="83">
        <f t="shared" si="8"/>
        <v>70.099999999999994</v>
      </c>
      <c r="T61" s="84"/>
      <c r="U61" s="84"/>
      <c r="V61" s="84"/>
      <c r="W61" s="84"/>
      <c r="X61" s="85"/>
      <c r="Y61" s="68"/>
      <c r="Z61" s="68"/>
    </row>
    <row r="62" spans="1:26" ht="12.75" hidden="1" outlineLevel="1" x14ac:dyDescent="0.2">
      <c r="A62" s="68"/>
      <c r="B62" s="86"/>
      <c r="C62" s="70" t="s">
        <v>44</v>
      </c>
      <c r="D62" s="108">
        <v>134.9</v>
      </c>
      <c r="E62" s="73">
        <v>2</v>
      </c>
      <c r="F62" s="73">
        <v>3</v>
      </c>
      <c r="G62" s="74">
        <f t="shared" si="0"/>
        <v>0.66666666666666663</v>
      </c>
      <c r="H62" s="75">
        <f t="shared" si="1"/>
        <v>67.45</v>
      </c>
      <c r="I62" s="76">
        <f t="shared" si="2"/>
        <v>101.17500000000001</v>
      </c>
      <c r="J62" s="108">
        <v>79.11</v>
      </c>
      <c r="K62" s="73">
        <v>52026</v>
      </c>
      <c r="L62" s="73">
        <v>2</v>
      </c>
      <c r="M62" s="109">
        <v>119.9</v>
      </c>
      <c r="N62" s="79">
        <f t="shared" si="23"/>
        <v>0.65979983319432856</v>
      </c>
      <c r="O62" s="80">
        <f t="shared" si="4"/>
        <v>1.515611174314246</v>
      </c>
      <c r="P62" s="79">
        <f t="shared" si="5"/>
        <v>0.58643439584877688</v>
      </c>
      <c r="Q62" s="81">
        <f t="shared" si="6"/>
        <v>0.88880652335063015</v>
      </c>
      <c r="R62" s="110">
        <f t="shared" si="22"/>
        <v>15</v>
      </c>
      <c r="S62" s="83">
        <f t="shared" si="8"/>
        <v>39.555</v>
      </c>
      <c r="T62" s="84"/>
      <c r="U62" s="84"/>
      <c r="V62" s="84"/>
      <c r="W62" s="84"/>
      <c r="X62" s="85"/>
      <c r="Y62" s="68"/>
      <c r="Z62" s="68"/>
    </row>
    <row r="63" spans="1:26" ht="12.75" hidden="1" outlineLevel="1" x14ac:dyDescent="0.2">
      <c r="A63" s="111"/>
      <c r="B63" s="86"/>
      <c r="C63" s="112" t="s">
        <v>45</v>
      </c>
      <c r="D63" s="71">
        <v>49.9</v>
      </c>
      <c r="E63" s="73">
        <v>2</v>
      </c>
      <c r="F63" s="73">
        <v>3</v>
      </c>
      <c r="G63" s="74">
        <f t="shared" si="0"/>
        <v>0.66666666666666663</v>
      </c>
      <c r="H63" s="75">
        <f t="shared" si="1"/>
        <v>24.95</v>
      </c>
      <c r="I63" s="76">
        <f t="shared" si="2"/>
        <v>37.425000000000004</v>
      </c>
      <c r="J63" s="71">
        <v>0</v>
      </c>
      <c r="K63" s="73">
        <v>0</v>
      </c>
      <c r="L63" s="73">
        <v>0</v>
      </c>
      <c r="M63" s="78">
        <v>0</v>
      </c>
      <c r="N63" s="79" t="e">
        <f t="shared" si="23"/>
        <v>#DIV/0!</v>
      </c>
      <c r="O63" s="80" t="e">
        <f t="shared" si="4"/>
        <v>#DIV/0!</v>
      </c>
      <c r="P63" s="79">
        <f t="shared" si="5"/>
        <v>0</v>
      </c>
      <c r="Q63" s="81">
        <f t="shared" si="6"/>
        <v>0</v>
      </c>
      <c r="R63" s="82">
        <f t="shared" si="22"/>
        <v>49.9</v>
      </c>
      <c r="S63" s="83" t="e">
        <f t="shared" si="8"/>
        <v>#DIV/0!</v>
      </c>
      <c r="T63" s="113"/>
      <c r="U63" s="113"/>
      <c r="V63" s="113"/>
      <c r="W63" s="114"/>
      <c r="X63" s="115"/>
      <c r="Y63" s="68"/>
      <c r="Z63" s="68"/>
    </row>
    <row r="64" spans="1:26" ht="12.75" hidden="1" outlineLevel="1" x14ac:dyDescent="0.2">
      <c r="A64" s="68"/>
      <c r="B64" s="86"/>
      <c r="C64" s="70" t="s">
        <v>46</v>
      </c>
      <c r="D64" s="116">
        <v>922.7</v>
      </c>
      <c r="E64" s="73">
        <v>21</v>
      </c>
      <c r="F64" s="73">
        <v>25</v>
      </c>
      <c r="G64" s="74">
        <f t="shared" si="0"/>
        <v>0.84</v>
      </c>
      <c r="H64" s="75">
        <f t="shared" si="1"/>
        <v>43.938095238095244</v>
      </c>
      <c r="I64" s="76">
        <f t="shared" si="2"/>
        <v>52.307256235827673</v>
      </c>
      <c r="J64" s="116">
        <v>240.22</v>
      </c>
      <c r="K64" s="73">
        <v>70753</v>
      </c>
      <c r="L64" s="73">
        <v>9</v>
      </c>
      <c r="M64" s="117">
        <v>306.64999999999998</v>
      </c>
      <c r="N64" s="79">
        <f t="shared" si="23"/>
        <v>0.78336866134029026</v>
      </c>
      <c r="O64" s="80">
        <f t="shared" si="4"/>
        <v>1.2765381733411039</v>
      </c>
      <c r="P64" s="79">
        <f t="shared" si="5"/>
        <v>0.26034464072829738</v>
      </c>
      <c r="Q64" s="81">
        <f t="shared" si="6"/>
        <v>0.33233987211444671</v>
      </c>
      <c r="R64" s="82">
        <f t="shared" si="22"/>
        <v>616.05000000000007</v>
      </c>
      <c r="S64" s="83">
        <f t="shared" si="8"/>
        <v>26.691111111111113</v>
      </c>
      <c r="T64" s="84"/>
      <c r="U64" s="84"/>
      <c r="V64" s="84"/>
      <c r="W64" s="84"/>
      <c r="X64" s="85"/>
      <c r="Y64" s="68"/>
      <c r="Z64" s="68"/>
    </row>
    <row r="65" spans="1:26" ht="12.75" hidden="1" outlineLevel="1" x14ac:dyDescent="0.2">
      <c r="A65" s="68"/>
      <c r="B65" s="86"/>
      <c r="C65" s="70" t="s">
        <v>47</v>
      </c>
      <c r="D65" s="87">
        <v>99.25</v>
      </c>
      <c r="E65" s="73">
        <v>5</v>
      </c>
      <c r="F65" s="73">
        <v>3</v>
      </c>
      <c r="G65" s="74">
        <f t="shared" si="0"/>
        <v>1.6666666666666667</v>
      </c>
      <c r="H65" s="75">
        <f t="shared" si="1"/>
        <v>19.850000000000001</v>
      </c>
      <c r="I65" s="76">
        <f t="shared" si="2"/>
        <v>11.91</v>
      </c>
      <c r="J65" s="87">
        <v>0</v>
      </c>
      <c r="K65" s="73">
        <v>0</v>
      </c>
      <c r="L65" s="73">
        <v>0</v>
      </c>
      <c r="M65" s="88">
        <v>0</v>
      </c>
      <c r="N65" s="79" t="e">
        <f t="shared" si="23"/>
        <v>#DIV/0!</v>
      </c>
      <c r="O65" s="80" t="e">
        <f t="shared" si="4"/>
        <v>#DIV/0!</v>
      </c>
      <c r="P65" s="79">
        <f t="shared" si="5"/>
        <v>0</v>
      </c>
      <c r="Q65" s="81">
        <f t="shared" si="6"/>
        <v>0</v>
      </c>
      <c r="R65" s="82">
        <f t="shared" si="22"/>
        <v>99.25</v>
      </c>
      <c r="S65" s="83" t="e">
        <f t="shared" si="8"/>
        <v>#DIV/0!</v>
      </c>
      <c r="T65" s="84"/>
      <c r="U65" s="84"/>
      <c r="V65" s="84"/>
      <c r="W65" s="84"/>
      <c r="X65" s="85"/>
      <c r="Y65" s="68"/>
      <c r="Z65" s="68"/>
    </row>
    <row r="66" spans="1:26" ht="12.75" hidden="1" outlineLevel="1" x14ac:dyDescent="0.2">
      <c r="A66" s="68"/>
      <c r="B66" s="86"/>
      <c r="C66" s="70" t="s">
        <v>48</v>
      </c>
      <c r="D66" s="102">
        <v>4039.1</v>
      </c>
      <c r="E66" s="73">
        <v>18</v>
      </c>
      <c r="F66" s="73">
        <v>18</v>
      </c>
      <c r="G66" s="74">
        <f t="shared" si="0"/>
        <v>1</v>
      </c>
      <c r="H66" s="75">
        <f t="shared" si="1"/>
        <v>224.39444444444445</v>
      </c>
      <c r="I66" s="76">
        <f t="shared" si="2"/>
        <v>224.39444444444445</v>
      </c>
      <c r="J66" s="102">
        <v>573.49</v>
      </c>
      <c r="K66" s="73">
        <v>48071</v>
      </c>
      <c r="L66" s="73">
        <v>8</v>
      </c>
      <c r="M66" s="103">
        <v>1459.65</v>
      </c>
      <c r="N66" s="79">
        <f t="shared" si="23"/>
        <v>0.39289555715411228</v>
      </c>
      <c r="O66" s="80">
        <f t="shared" si="4"/>
        <v>2.5452056705435142</v>
      </c>
      <c r="P66" s="79">
        <f t="shared" si="5"/>
        <v>0.14198460052982101</v>
      </c>
      <c r="Q66" s="81">
        <f t="shared" si="6"/>
        <v>0.3613800103983561</v>
      </c>
      <c r="R66" s="82">
        <f t="shared" si="22"/>
        <v>2579.4499999999998</v>
      </c>
      <c r="S66" s="83">
        <f t="shared" si="8"/>
        <v>71.686250000000001</v>
      </c>
      <c r="T66" s="84"/>
      <c r="U66" s="84"/>
      <c r="V66" s="84"/>
      <c r="W66" s="84"/>
      <c r="X66" s="85"/>
      <c r="Y66" s="68"/>
      <c r="Z66" s="68"/>
    </row>
    <row r="67" spans="1:26" ht="12.75" hidden="1" outlineLevel="1" x14ac:dyDescent="0.2">
      <c r="A67" s="68"/>
      <c r="B67" s="86"/>
      <c r="C67" s="70" t="s">
        <v>49</v>
      </c>
      <c r="D67" s="116">
        <v>0</v>
      </c>
      <c r="E67" s="73">
        <v>0</v>
      </c>
      <c r="F67" s="73">
        <v>0</v>
      </c>
      <c r="G67" s="74" t="e">
        <f t="shared" si="0"/>
        <v>#DIV/0!</v>
      </c>
      <c r="H67" s="75" t="e">
        <f t="shared" si="1"/>
        <v>#DIV/0!</v>
      </c>
      <c r="I67" s="76" t="e">
        <f t="shared" si="2"/>
        <v>#DIV/0!</v>
      </c>
      <c r="J67" s="116">
        <v>16.260000000000002</v>
      </c>
      <c r="K67" s="73">
        <v>10972</v>
      </c>
      <c r="L67" s="73">
        <v>0</v>
      </c>
      <c r="M67" s="117">
        <v>0</v>
      </c>
      <c r="N67" s="79" t="e">
        <f t="shared" si="23"/>
        <v>#DIV/0!</v>
      </c>
      <c r="O67" s="80">
        <f t="shared" si="4"/>
        <v>0</v>
      </c>
      <c r="P67" s="79" t="e">
        <f t="shared" si="5"/>
        <v>#DIV/0!</v>
      </c>
      <c r="Q67" s="81" t="e">
        <f t="shared" si="6"/>
        <v>#DIV/0!</v>
      </c>
      <c r="R67" s="82">
        <f t="shared" si="22"/>
        <v>0</v>
      </c>
      <c r="S67" s="83" t="e">
        <f t="shared" si="8"/>
        <v>#DIV/0!</v>
      </c>
      <c r="T67" s="84"/>
      <c r="U67" s="84"/>
      <c r="V67" s="84"/>
      <c r="W67" s="84"/>
      <c r="X67" s="85"/>
      <c r="Y67" s="68"/>
      <c r="Z67" s="68"/>
    </row>
    <row r="68" spans="1:26" hidden="1" outlineLevel="1" x14ac:dyDescent="0.25">
      <c r="A68" s="118" t="str">
        <f t="shared" ref="A68:A69" si="24">IFERROR(IF(B68&gt;0,MONTH(B68)&amp;"-"&amp;YEAR(B68),B68),)</f>
        <v>1-2026</v>
      </c>
      <c r="B68" s="69">
        <v>46032</v>
      </c>
      <c r="C68" s="198" t="s">
        <v>64</v>
      </c>
      <c r="D68" s="116">
        <v>0</v>
      </c>
      <c r="E68" s="73">
        <v>0</v>
      </c>
      <c r="F68" s="73">
        <v>0</v>
      </c>
      <c r="G68" s="74" t="e">
        <f t="shared" si="0"/>
        <v>#DIV/0!</v>
      </c>
      <c r="H68" s="75" t="e">
        <f t="shared" si="1"/>
        <v>#DIV/0!</v>
      </c>
      <c r="I68" s="76" t="e">
        <f t="shared" si="2"/>
        <v>#DIV/0!</v>
      </c>
      <c r="J68" s="87">
        <v>3928.2200000000003</v>
      </c>
      <c r="K68" s="199">
        <v>378860</v>
      </c>
      <c r="L68" s="73">
        <v>0</v>
      </c>
      <c r="M68" s="88">
        <v>9667.5</v>
      </c>
      <c r="N68" s="79">
        <f t="shared" si="23"/>
        <v>0.40633255753814329</v>
      </c>
      <c r="O68" s="80">
        <f t="shared" si="4"/>
        <v>2.4610383328835961</v>
      </c>
      <c r="P68" s="79" t="e">
        <f t="shared" si="5"/>
        <v>#DIV/0!</v>
      </c>
      <c r="Q68" s="81" t="e">
        <f t="shared" si="6"/>
        <v>#DIV/0!</v>
      </c>
      <c r="R68" s="82">
        <f t="shared" si="22"/>
        <v>-9667.5</v>
      </c>
      <c r="S68" s="83" t="e">
        <f t="shared" si="8"/>
        <v>#DIV/0!</v>
      </c>
      <c r="T68" s="84"/>
      <c r="U68" s="84"/>
      <c r="V68" s="84"/>
      <c r="W68" s="84"/>
      <c r="X68" s="85"/>
      <c r="Y68" s="68"/>
      <c r="Z68" s="68"/>
    </row>
    <row r="69" spans="1:26" ht="12.75" collapsed="1" x14ac:dyDescent="0.2">
      <c r="A69" s="68">
        <f t="shared" si="24"/>
        <v>0</v>
      </c>
      <c r="B69" s="119" t="s">
        <v>52</v>
      </c>
      <c r="C69" s="120"/>
      <c r="D69" s="121">
        <f t="shared" ref="D69:F69" si="25">SUM(D51:D68)</f>
        <v>23548.790000000005</v>
      </c>
      <c r="E69" s="123">
        <f t="shared" si="25"/>
        <v>263</v>
      </c>
      <c r="F69" s="123">
        <f t="shared" si="25"/>
        <v>283</v>
      </c>
      <c r="G69" s="124">
        <f t="shared" si="0"/>
        <v>0.92932862190812726</v>
      </c>
      <c r="H69" s="125">
        <f t="shared" si="1"/>
        <v>89.539125475285189</v>
      </c>
      <c r="I69" s="126">
        <f t="shared" si="2"/>
        <v>96.348184446789759</v>
      </c>
      <c r="J69" s="121">
        <f t="shared" ref="J69:M69" si="26">SUM(J51:J68)</f>
        <v>8096.7100000000009</v>
      </c>
      <c r="K69" s="123">
        <f t="shared" si="26"/>
        <v>1577188</v>
      </c>
      <c r="L69" s="123">
        <f t="shared" si="26"/>
        <v>79</v>
      </c>
      <c r="M69" s="127">
        <f t="shared" si="26"/>
        <v>17076.349999999999</v>
      </c>
      <c r="N69" s="128">
        <f t="shared" si="23"/>
        <v>0.47414757837594107</v>
      </c>
      <c r="O69" s="129">
        <f t="shared" si="4"/>
        <v>2.1090479960378965</v>
      </c>
      <c r="P69" s="128">
        <f t="shared" si="5"/>
        <v>0.3438270076721564</v>
      </c>
      <c r="Q69" s="130">
        <f t="shared" si="6"/>
        <v>0.72514766151466781</v>
      </c>
      <c r="R69" s="131">
        <f>SUM(R51:R68)</f>
        <v>6472.4399999999987</v>
      </c>
      <c r="S69" s="132">
        <f t="shared" si="8"/>
        <v>102.49000000000001</v>
      </c>
      <c r="T69" s="134">
        <f t="shared" ref="T69:U69" si="27">IFERROR((D69-#REF!)/D69,)</f>
        <v>0</v>
      </c>
      <c r="U69" s="134">
        <f t="shared" si="27"/>
        <v>0</v>
      </c>
      <c r="V69" s="134">
        <f t="shared" ref="V69:W69" si="28">IFERROR((D69-#REF!)/D69, )</f>
        <v>0</v>
      </c>
      <c r="W69" s="134">
        <f t="shared" si="28"/>
        <v>0</v>
      </c>
      <c r="X69" s="68"/>
      <c r="Y69" s="68"/>
      <c r="Z69" s="68"/>
    </row>
    <row r="70" spans="1:26" ht="12.75" hidden="1" outlineLevel="1" x14ac:dyDescent="0.2">
      <c r="A70" s="68"/>
      <c r="B70" s="69">
        <v>46033</v>
      </c>
      <c r="C70" s="70" t="s">
        <v>32</v>
      </c>
      <c r="D70" s="71">
        <v>2300.92</v>
      </c>
      <c r="E70" s="73">
        <v>23</v>
      </c>
      <c r="F70" s="73">
        <v>28</v>
      </c>
      <c r="G70" s="74">
        <f t="shared" si="0"/>
        <v>0.8214285714285714</v>
      </c>
      <c r="H70" s="75">
        <f t="shared" si="1"/>
        <v>100.04</v>
      </c>
      <c r="I70" s="76">
        <f t="shared" si="2"/>
        <v>121.78782608695653</v>
      </c>
      <c r="J70" s="77">
        <v>623.32000000000005</v>
      </c>
      <c r="K70" s="73">
        <v>111636</v>
      </c>
      <c r="L70" s="73">
        <v>6</v>
      </c>
      <c r="M70" s="78">
        <v>204.9</v>
      </c>
      <c r="N70" s="79">
        <f t="shared" si="23"/>
        <v>3.0420693020985849</v>
      </c>
      <c r="O70" s="80">
        <f t="shared" si="4"/>
        <v>0.32872360906115639</v>
      </c>
      <c r="P70" s="79">
        <f t="shared" si="5"/>
        <v>0.27090033551796672</v>
      </c>
      <c r="Q70" s="81">
        <f t="shared" si="6"/>
        <v>8.9051335987344188E-2</v>
      </c>
      <c r="R70" s="82">
        <f t="shared" ref="R70:R87" si="29">D70-M70</f>
        <v>2096.02</v>
      </c>
      <c r="S70" s="83">
        <f t="shared" si="8"/>
        <v>103.88666666666667</v>
      </c>
      <c r="T70" s="84"/>
      <c r="U70" s="84"/>
      <c r="V70" s="84"/>
      <c r="W70" s="84"/>
      <c r="X70" s="85"/>
      <c r="Y70" s="68"/>
      <c r="Z70" s="68"/>
    </row>
    <row r="71" spans="1:26" ht="12.75" hidden="1" outlineLevel="1" x14ac:dyDescent="0.2">
      <c r="A71" s="68"/>
      <c r="B71" s="86"/>
      <c r="C71" s="70" t="s">
        <v>33</v>
      </c>
      <c r="D71" s="87">
        <v>4373.42</v>
      </c>
      <c r="E71" s="73">
        <v>63</v>
      </c>
      <c r="F71" s="73">
        <v>82</v>
      </c>
      <c r="G71" s="74">
        <f t="shared" si="0"/>
        <v>0.76829268292682928</v>
      </c>
      <c r="H71" s="75">
        <f t="shared" si="1"/>
        <v>69.419365079365079</v>
      </c>
      <c r="I71" s="76">
        <f t="shared" si="2"/>
        <v>90.355364071554547</v>
      </c>
      <c r="J71" s="87">
        <v>822.42</v>
      </c>
      <c r="K71" s="73">
        <v>169878</v>
      </c>
      <c r="L71" s="73">
        <v>29</v>
      </c>
      <c r="M71" s="88">
        <v>2624.25</v>
      </c>
      <c r="N71" s="79">
        <f t="shared" si="23"/>
        <v>0.31339239782795081</v>
      </c>
      <c r="O71" s="80">
        <f t="shared" si="4"/>
        <v>3.1908878675129499</v>
      </c>
      <c r="P71" s="79">
        <f t="shared" si="5"/>
        <v>0.1880496270653173</v>
      </c>
      <c r="Q71" s="81">
        <f t="shared" si="6"/>
        <v>0.60004527349305581</v>
      </c>
      <c r="R71" s="89">
        <f t="shared" si="29"/>
        <v>1749.17</v>
      </c>
      <c r="S71" s="83">
        <f t="shared" si="8"/>
        <v>28.359310344827584</v>
      </c>
      <c r="T71" s="84"/>
      <c r="U71" s="84"/>
      <c r="V71" s="84"/>
      <c r="W71" s="84"/>
      <c r="X71" s="85"/>
      <c r="Y71" s="68"/>
      <c r="Z71" s="68"/>
    </row>
    <row r="72" spans="1:26" ht="12.75" hidden="1" outlineLevel="1" x14ac:dyDescent="0.2">
      <c r="A72" s="68"/>
      <c r="B72" s="86"/>
      <c r="C72" s="70" t="s">
        <v>34</v>
      </c>
      <c r="D72" s="90">
        <v>419.7</v>
      </c>
      <c r="E72" s="73">
        <v>6</v>
      </c>
      <c r="F72" s="73">
        <v>3</v>
      </c>
      <c r="G72" s="74">
        <f t="shared" si="0"/>
        <v>2</v>
      </c>
      <c r="H72" s="75">
        <f t="shared" si="1"/>
        <v>69.95</v>
      </c>
      <c r="I72" s="76">
        <f t="shared" si="2"/>
        <v>34.975000000000001</v>
      </c>
      <c r="J72" s="90">
        <v>7.22</v>
      </c>
      <c r="K72" s="73">
        <v>318</v>
      </c>
      <c r="L72" s="73">
        <v>0</v>
      </c>
      <c r="M72" s="91">
        <v>0</v>
      </c>
      <c r="N72" s="79" t="e">
        <f>(J72/M72)</f>
        <v>#DIV/0!</v>
      </c>
      <c r="O72" s="80">
        <f t="shared" si="4"/>
        <v>0</v>
      </c>
      <c r="P72" s="79">
        <f t="shared" si="5"/>
        <v>1.7202763878961164E-2</v>
      </c>
      <c r="Q72" s="81">
        <f t="shared" si="6"/>
        <v>0</v>
      </c>
      <c r="R72" s="92">
        <f t="shared" si="29"/>
        <v>419.7</v>
      </c>
      <c r="S72" s="83" t="e">
        <f t="shared" si="8"/>
        <v>#DIV/0!</v>
      </c>
      <c r="T72" s="84"/>
      <c r="U72" s="84"/>
      <c r="V72" s="84"/>
      <c r="W72" s="84"/>
      <c r="X72" s="85"/>
      <c r="Y72" s="68"/>
      <c r="Z72" s="68"/>
    </row>
    <row r="73" spans="1:26" ht="12.75" hidden="1" outlineLevel="1" x14ac:dyDescent="0.2">
      <c r="A73" s="68"/>
      <c r="B73" s="86"/>
      <c r="C73" s="70" t="s">
        <v>35</v>
      </c>
      <c r="D73" s="90">
        <v>188.85</v>
      </c>
      <c r="E73" s="73">
        <v>3</v>
      </c>
      <c r="F73" s="73">
        <v>3</v>
      </c>
      <c r="G73" s="74">
        <f t="shared" si="0"/>
        <v>1</v>
      </c>
      <c r="H73" s="75">
        <f t="shared" si="1"/>
        <v>62.949999999999996</v>
      </c>
      <c r="I73" s="76">
        <f t="shared" si="2"/>
        <v>62.949999999999996</v>
      </c>
      <c r="J73" s="90">
        <v>313.22000000000003</v>
      </c>
      <c r="K73" s="73">
        <v>27042</v>
      </c>
      <c r="L73" s="73">
        <v>7</v>
      </c>
      <c r="M73" s="91">
        <v>419.65</v>
      </c>
      <c r="N73" s="79">
        <f t="shared" ref="N73:N90" si="30">J73/M73</f>
        <v>0.74638389133801986</v>
      </c>
      <c r="O73" s="80">
        <f t="shared" si="4"/>
        <v>1.339793116659217</v>
      </c>
      <c r="P73" s="79">
        <f t="shared" si="5"/>
        <v>1.6585649986761983</v>
      </c>
      <c r="Q73" s="81">
        <f t="shared" si="6"/>
        <v>2.2221339687582735</v>
      </c>
      <c r="R73" s="92">
        <f t="shared" si="29"/>
        <v>-230.79999999999998</v>
      </c>
      <c r="S73" s="83">
        <f t="shared" si="8"/>
        <v>44.745714285714293</v>
      </c>
      <c r="T73" s="84"/>
      <c r="U73" s="84"/>
      <c r="V73" s="84"/>
      <c r="W73" s="84"/>
      <c r="X73" s="85"/>
      <c r="Y73" s="68"/>
      <c r="Z73" s="68"/>
    </row>
    <row r="74" spans="1:26" ht="12.75" hidden="1" outlineLevel="1" x14ac:dyDescent="0.2">
      <c r="A74" s="68"/>
      <c r="B74" s="86"/>
      <c r="C74" s="70" t="s">
        <v>36</v>
      </c>
      <c r="D74" s="90">
        <v>1139.0999999999999</v>
      </c>
      <c r="E74" s="73">
        <v>18</v>
      </c>
      <c r="F74" s="73">
        <v>17</v>
      </c>
      <c r="G74" s="74">
        <f t="shared" si="0"/>
        <v>1.0588235294117647</v>
      </c>
      <c r="H74" s="75">
        <f t="shared" si="1"/>
        <v>63.283333333333331</v>
      </c>
      <c r="I74" s="76">
        <f t="shared" si="2"/>
        <v>59.767592592592592</v>
      </c>
      <c r="J74" s="90">
        <v>73.930000000000007</v>
      </c>
      <c r="K74" s="73">
        <v>23474</v>
      </c>
      <c r="L74" s="73">
        <v>6</v>
      </c>
      <c r="M74" s="91">
        <v>389.7</v>
      </c>
      <c r="N74" s="79">
        <f t="shared" si="30"/>
        <v>0.18971003335899411</v>
      </c>
      <c r="O74" s="80">
        <f t="shared" si="4"/>
        <v>5.2712024888407951</v>
      </c>
      <c r="P74" s="79">
        <f t="shared" si="5"/>
        <v>6.4902115705381458E-2</v>
      </c>
      <c r="Q74" s="81">
        <f t="shared" si="6"/>
        <v>0.34211219383723995</v>
      </c>
      <c r="R74" s="92">
        <f t="shared" si="29"/>
        <v>749.39999999999986</v>
      </c>
      <c r="S74" s="83">
        <f t="shared" si="8"/>
        <v>12.321666666666667</v>
      </c>
      <c r="T74" s="84"/>
      <c r="U74" s="84"/>
      <c r="V74" s="84"/>
      <c r="W74" s="84"/>
      <c r="X74" s="85"/>
      <c r="Y74" s="68"/>
      <c r="Z74" s="68"/>
    </row>
    <row r="75" spans="1:26" ht="12.75" hidden="1" outlineLevel="1" x14ac:dyDescent="0.2">
      <c r="A75" s="68"/>
      <c r="B75" s="69" t="s">
        <v>37</v>
      </c>
      <c r="C75" s="70" t="s">
        <v>38</v>
      </c>
      <c r="D75" s="93">
        <v>0</v>
      </c>
      <c r="E75" s="73">
        <v>0</v>
      </c>
      <c r="F75" s="73">
        <v>0</v>
      </c>
      <c r="G75" s="74" t="e">
        <f t="shared" si="0"/>
        <v>#DIV/0!</v>
      </c>
      <c r="H75" s="75" t="e">
        <f t="shared" si="1"/>
        <v>#DIV/0!</v>
      </c>
      <c r="I75" s="76" t="e">
        <f t="shared" si="2"/>
        <v>#DIV/0!</v>
      </c>
      <c r="J75" s="93">
        <v>24.92</v>
      </c>
      <c r="K75" s="73">
        <v>189436</v>
      </c>
      <c r="L75" s="73">
        <v>0</v>
      </c>
      <c r="M75" s="94">
        <v>0</v>
      </c>
      <c r="N75" s="79" t="e">
        <f t="shared" si="30"/>
        <v>#DIV/0!</v>
      </c>
      <c r="O75" s="80">
        <f t="shared" si="4"/>
        <v>0</v>
      </c>
      <c r="P75" s="79" t="e">
        <f t="shared" si="5"/>
        <v>#DIV/0!</v>
      </c>
      <c r="Q75" s="81" t="e">
        <f t="shared" si="6"/>
        <v>#DIV/0!</v>
      </c>
      <c r="R75" s="95">
        <f t="shared" si="29"/>
        <v>0</v>
      </c>
      <c r="S75" s="83" t="e">
        <f t="shared" si="8"/>
        <v>#DIV/0!</v>
      </c>
      <c r="T75" s="84"/>
      <c r="U75" s="84"/>
      <c r="V75" s="84"/>
      <c r="W75" s="84"/>
      <c r="X75" s="85"/>
      <c r="Y75" s="68"/>
      <c r="Z75" s="68"/>
    </row>
    <row r="76" spans="1:26" ht="12.75" hidden="1" outlineLevel="1" x14ac:dyDescent="0.2">
      <c r="A76" s="68"/>
      <c r="B76" s="86"/>
      <c r="C76" s="70" t="s">
        <v>39</v>
      </c>
      <c r="D76" s="96">
        <v>0</v>
      </c>
      <c r="E76" s="73">
        <v>0</v>
      </c>
      <c r="F76" s="73">
        <v>0</v>
      </c>
      <c r="G76" s="74" t="e">
        <f t="shared" si="0"/>
        <v>#DIV/0!</v>
      </c>
      <c r="H76" s="75" t="e">
        <f t="shared" si="1"/>
        <v>#DIV/0!</v>
      </c>
      <c r="I76" s="76" t="e">
        <f t="shared" si="2"/>
        <v>#DIV/0!</v>
      </c>
      <c r="J76" s="96">
        <v>0</v>
      </c>
      <c r="K76" s="73">
        <v>0</v>
      </c>
      <c r="L76" s="73">
        <v>0</v>
      </c>
      <c r="M76" s="97">
        <v>0</v>
      </c>
      <c r="N76" s="79" t="e">
        <f t="shared" si="30"/>
        <v>#DIV/0!</v>
      </c>
      <c r="O76" s="80" t="e">
        <f t="shared" si="4"/>
        <v>#DIV/0!</v>
      </c>
      <c r="P76" s="79" t="e">
        <f t="shared" si="5"/>
        <v>#DIV/0!</v>
      </c>
      <c r="Q76" s="81" t="e">
        <f t="shared" si="6"/>
        <v>#DIV/0!</v>
      </c>
      <c r="R76" s="98">
        <f t="shared" si="29"/>
        <v>0</v>
      </c>
      <c r="S76" s="83" t="e">
        <f t="shared" si="8"/>
        <v>#DIV/0!</v>
      </c>
      <c r="T76" s="84"/>
      <c r="U76" s="84"/>
      <c r="V76" s="84"/>
      <c r="W76" s="84"/>
      <c r="X76" s="85"/>
      <c r="Y76" s="68"/>
      <c r="Z76" s="68"/>
    </row>
    <row r="77" spans="1:26" ht="12.75" hidden="1" outlineLevel="1" x14ac:dyDescent="0.2">
      <c r="A77" s="68"/>
      <c r="B77" s="86"/>
      <c r="C77" s="70" t="s">
        <v>40</v>
      </c>
      <c r="D77" s="99">
        <v>0</v>
      </c>
      <c r="E77" s="73">
        <v>0</v>
      </c>
      <c r="F77" s="73">
        <v>0</v>
      </c>
      <c r="G77" s="74" t="e">
        <f t="shared" si="0"/>
        <v>#DIV/0!</v>
      </c>
      <c r="H77" s="75" t="e">
        <f t="shared" si="1"/>
        <v>#DIV/0!</v>
      </c>
      <c r="I77" s="76" t="e">
        <f t="shared" si="2"/>
        <v>#DIV/0!</v>
      </c>
      <c r="J77" s="99">
        <v>0</v>
      </c>
      <c r="K77" s="73">
        <v>0</v>
      </c>
      <c r="L77" s="73">
        <v>0</v>
      </c>
      <c r="M77" s="100">
        <v>0</v>
      </c>
      <c r="N77" s="79" t="e">
        <f t="shared" si="30"/>
        <v>#DIV/0!</v>
      </c>
      <c r="O77" s="80" t="e">
        <f t="shared" si="4"/>
        <v>#DIV/0!</v>
      </c>
      <c r="P77" s="79" t="e">
        <f t="shared" si="5"/>
        <v>#DIV/0!</v>
      </c>
      <c r="Q77" s="81" t="e">
        <f t="shared" si="6"/>
        <v>#DIV/0!</v>
      </c>
      <c r="R77" s="101">
        <f t="shared" si="29"/>
        <v>0</v>
      </c>
      <c r="S77" s="83" t="e">
        <f t="shared" si="8"/>
        <v>#DIV/0!</v>
      </c>
      <c r="T77" s="84"/>
      <c r="U77" s="84"/>
      <c r="V77" s="84"/>
      <c r="W77" s="84"/>
      <c r="X77" s="85"/>
      <c r="Y77" s="68"/>
      <c r="Z77" s="68"/>
    </row>
    <row r="78" spans="1:26" ht="12.75" hidden="1" outlineLevel="1" x14ac:dyDescent="0.2">
      <c r="A78" s="68"/>
      <c r="B78" s="86"/>
      <c r="C78" s="70" t="s">
        <v>41</v>
      </c>
      <c r="D78" s="102">
        <v>2585.66</v>
      </c>
      <c r="E78" s="73">
        <v>38</v>
      </c>
      <c r="F78" s="73">
        <v>37</v>
      </c>
      <c r="G78" s="74">
        <f t="shared" si="0"/>
        <v>1.027027027027027</v>
      </c>
      <c r="H78" s="75">
        <f t="shared" si="1"/>
        <v>68.043684210526308</v>
      </c>
      <c r="I78" s="76">
        <f t="shared" si="2"/>
        <v>66.253060941828252</v>
      </c>
      <c r="J78" s="102">
        <v>439.15</v>
      </c>
      <c r="K78" s="73">
        <v>48219</v>
      </c>
      <c r="L78" s="73">
        <v>11</v>
      </c>
      <c r="M78" s="103">
        <v>718.93</v>
      </c>
      <c r="N78" s="79">
        <f t="shared" si="30"/>
        <v>0.61083832918364789</v>
      </c>
      <c r="O78" s="80">
        <f t="shared" si="4"/>
        <v>1.6370943868837526</v>
      </c>
      <c r="P78" s="79">
        <f t="shared" si="5"/>
        <v>0.16984058228846793</v>
      </c>
      <c r="Q78" s="81">
        <f t="shared" si="6"/>
        <v>0.27804506392951894</v>
      </c>
      <c r="R78" s="104">
        <f t="shared" si="29"/>
        <v>1866.73</v>
      </c>
      <c r="S78" s="83">
        <f t="shared" si="8"/>
        <v>39.922727272727272</v>
      </c>
      <c r="T78" s="84"/>
      <c r="U78" s="84"/>
      <c r="V78" s="84"/>
      <c r="W78" s="84"/>
      <c r="X78" s="85"/>
      <c r="Y78" s="68"/>
      <c r="Z78" s="68"/>
    </row>
    <row r="79" spans="1:26" ht="12.75" hidden="1" outlineLevel="1" x14ac:dyDescent="0.2">
      <c r="A79" s="68"/>
      <c r="B79" s="86"/>
      <c r="C79" s="70" t="s">
        <v>42</v>
      </c>
      <c r="D79" s="90">
        <v>39.979999999999997</v>
      </c>
      <c r="E79" s="73">
        <v>2</v>
      </c>
      <c r="F79" s="73">
        <v>3</v>
      </c>
      <c r="G79" s="74">
        <f t="shared" si="0"/>
        <v>0.66666666666666663</v>
      </c>
      <c r="H79" s="75">
        <f t="shared" si="1"/>
        <v>19.989999999999998</v>
      </c>
      <c r="I79" s="76">
        <f t="shared" si="2"/>
        <v>29.984999999999999</v>
      </c>
      <c r="J79" s="90">
        <v>315.74</v>
      </c>
      <c r="K79" s="73">
        <v>83987</v>
      </c>
      <c r="L79" s="73">
        <v>1</v>
      </c>
      <c r="M79" s="91">
        <v>19.989999999999998</v>
      </c>
      <c r="N79" s="79">
        <f t="shared" si="30"/>
        <v>15.794897448724363</v>
      </c>
      <c r="O79" s="80">
        <f t="shared" si="4"/>
        <v>6.3311585481725469E-2</v>
      </c>
      <c r="P79" s="79">
        <f t="shared" si="5"/>
        <v>7.8974487243621816</v>
      </c>
      <c r="Q79" s="81">
        <f t="shared" si="6"/>
        <v>0.5</v>
      </c>
      <c r="R79" s="92">
        <f t="shared" si="29"/>
        <v>19.989999999999998</v>
      </c>
      <c r="S79" s="83">
        <f t="shared" si="8"/>
        <v>315.74</v>
      </c>
      <c r="T79" s="84"/>
      <c r="U79" s="84"/>
      <c r="V79" s="84"/>
      <c r="W79" s="84"/>
      <c r="X79" s="85"/>
      <c r="Y79" s="68"/>
      <c r="Z79" s="68"/>
    </row>
    <row r="80" spans="1:26" ht="12.75" hidden="1" outlineLevel="1" x14ac:dyDescent="0.2">
      <c r="A80" s="68"/>
      <c r="B80" s="86"/>
      <c r="C80" s="70" t="s">
        <v>43</v>
      </c>
      <c r="D80" s="105">
        <v>599.79999999999995</v>
      </c>
      <c r="E80" s="73">
        <v>5</v>
      </c>
      <c r="F80" s="73">
        <v>6</v>
      </c>
      <c r="G80" s="74">
        <f t="shared" si="0"/>
        <v>0.83333333333333337</v>
      </c>
      <c r="H80" s="75">
        <f t="shared" si="1"/>
        <v>119.96</v>
      </c>
      <c r="I80" s="76">
        <f t="shared" si="2"/>
        <v>143.952</v>
      </c>
      <c r="J80" s="105">
        <v>78.62</v>
      </c>
      <c r="K80" s="73">
        <v>6710</v>
      </c>
      <c r="L80" s="73">
        <v>1</v>
      </c>
      <c r="M80" s="106">
        <v>0</v>
      </c>
      <c r="N80" s="79" t="e">
        <f t="shared" si="30"/>
        <v>#DIV/0!</v>
      </c>
      <c r="O80" s="80">
        <f t="shared" si="4"/>
        <v>0</v>
      </c>
      <c r="P80" s="79">
        <f t="shared" si="5"/>
        <v>0.13107702567522508</v>
      </c>
      <c r="Q80" s="81">
        <f t="shared" si="6"/>
        <v>0</v>
      </c>
      <c r="R80" s="107">
        <f t="shared" si="29"/>
        <v>599.79999999999995</v>
      </c>
      <c r="S80" s="83">
        <f t="shared" si="8"/>
        <v>78.62</v>
      </c>
      <c r="T80" s="84"/>
      <c r="U80" s="84"/>
      <c r="V80" s="84"/>
      <c r="W80" s="84"/>
      <c r="X80" s="85"/>
      <c r="Y80" s="68"/>
      <c r="Z80" s="68"/>
    </row>
    <row r="81" spans="1:26" ht="12.75" hidden="1" outlineLevel="1" x14ac:dyDescent="0.2">
      <c r="A81" s="68"/>
      <c r="B81" s="86"/>
      <c r="C81" s="70" t="s">
        <v>44</v>
      </c>
      <c r="D81" s="108">
        <v>183.85</v>
      </c>
      <c r="E81" s="73">
        <v>3</v>
      </c>
      <c r="F81" s="73">
        <v>5</v>
      </c>
      <c r="G81" s="74">
        <f t="shared" si="0"/>
        <v>0.6</v>
      </c>
      <c r="H81" s="75">
        <f t="shared" si="1"/>
        <v>61.283333333333331</v>
      </c>
      <c r="I81" s="76">
        <f t="shared" si="2"/>
        <v>102.13888888888889</v>
      </c>
      <c r="J81" s="108">
        <v>97.43</v>
      </c>
      <c r="K81" s="73">
        <v>54420</v>
      </c>
      <c r="L81" s="73">
        <v>4</v>
      </c>
      <c r="M81" s="109">
        <v>239.8</v>
      </c>
      <c r="N81" s="79">
        <f t="shared" si="30"/>
        <v>0.40629691409507923</v>
      </c>
      <c r="O81" s="80">
        <f t="shared" si="4"/>
        <v>2.4612542338088885</v>
      </c>
      <c r="P81" s="79">
        <f t="shared" si="5"/>
        <v>0.52994288822409574</v>
      </c>
      <c r="Q81" s="81">
        <f t="shared" si="6"/>
        <v>1.3043241773184662</v>
      </c>
      <c r="R81" s="110">
        <f t="shared" si="29"/>
        <v>-55.950000000000017</v>
      </c>
      <c r="S81" s="83">
        <f t="shared" si="8"/>
        <v>24.357500000000002</v>
      </c>
      <c r="T81" s="84"/>
      <c r="U81" s="84"/>
      <c r="V81" s="84"/>
      <c r="W81" s="84"/>
      <c r="X81" s="85"/>
      <c r="Y81" s="68"/>
      <c r="Z81" s="68"/>
    </row>
    <row r="82" spans="1:26" ht="12.75" hidden="1" outlineLevel="1" x14ac:dyDescent="0.2">
      <c r="A82" s="111"/>
      <c r="B82" s="86"/>
      <c r="C82" s="112" t="s">
        <v>45</v>
      </c>
      <c r="D82" s="71">
        <v>29.95</v>
      </c>
      <c r="E82" s="73">
        <v>1</v>
      </c>
      <c r="F82" s="73">
        <v>1</v>
      </c>
      <c r="G82" s="74">
        <f t="shared" si="0"/>
        <v>1</v>
      </c>
      <c r="H82" s="75">
        <f t="shared" si="1"/>
        <v>29.95</v>
      </c>
      <c r="I82" s="76">
        <f t="shared" si="2"/>
        <v>29.95</v>
      </c>
      <c r="J82" s="71">
        <v>0</v>
      </c>
      <c r="K82" s="73">
        <v>0</v>
      </c>
      <c r="L82" s="73">
        <v>0</v>
      </c>
      <c r="M82" s="78">
        <v>0</v>
      </c>
      <c r="N82" s="79" t="e">
        <f t="shared" si="30"/>
        <v>#DIV/0!</v>
      </c>
      <c r="O82" s="80" t="e">
        <f t="shared" si="4"/>
        <v>#DIV/0!</v>
      </c>
      <c r="P82" s="79">
        <f t="shared" si="5"/>
        <v>0</v>
      </c>
      <c r="Q82" s="81">
        <f t="shared" si="6"/>
        <v>0</v>
      </c>
      <c r="R82" s="82">
        <f t="shared" si="29"/>
        <v>29.95</v>
      </c>
      <c r="S82" s="83" t="e">
        <f t="shared" si="8"/>
        <v>#DIV/0!</v>
      </c>
      <c r="T82" s="113"/>
      <c r="U82" s="113"/>
      <c r="V82" s="113"/>
      <c r="W82" s="114"/>
      <c r="X82" s="115"/>
      <c r="Y82" s="68"/>
      <c r="Z82" s="68"/>
    </row>
    <row r="83" spans="1:26" ht="12.75" hidden="1" outlineLevel="1" x14ac:dyDescent="0.2">
      <c r="A83" s="68"/>
      <c r="B83" s="86"/>
      <c r="C83" s="70" t="s">
        <v>46</v>
      </c>
      <c r="D83" s="116">
        <v>873</v>
      </c>
      <c r="E83" s="73">
        <v>20</v>
      </c>
      <c r="F83" s="73">
        <v>23</v>
      </c>
      <c r="G83" s="74">
        <f t="shared" si="0"/>
        <v>0.86956521739130432</v>
      </c>
      <c r="H83" s="75">
        <f t="shared" si="1"/>
        <v>43.65</v>
      </c>
      <c r="I83" s="76">
        <f t="shared" si="2"/>
        <v>50.197499999999998</v>
      </c>
      <c r="J83" s="116">
        <v>223.97</v>
      </c>
      <c r="K83" s="73">
        <v>52080</v>
      </c>
      <c r="L83" s="73">
        <v>7</v>
      </c>
      <c r="M83" s="117">
        <v>216.75</v>
      </c>
      <c r="N83" s="79">
        <f t="shared" si="30"/>
        <v>1.0333102652825836</v>
      </c>
      <c r="O83" s="80">
        <f t="shared" si="4"/>
        <v>0.96776353975978924</v>
      </c>
      <c r="P83" s="79">
        <f t="shared" si="5"/>
        <v>0.2565521191294387</v>
      </c>
      <c r="Q83" s="81">
        <f t="shared" si="6"/>
        <v>0.24828178694158076</v>
      </c>
      <c r="R83" s="82">
        <f t="shared" si="29"/>
        <v>656.25</v>
      </c>
      <c r="S83" s="83">
        <f t="shared" si="8"/>
        <v>31.995714285714286</v>
      </c>
      <c r="T83" s="84"/>
      <c r="U83" s="84"/>
      <c r="V83" s="84"/>
      <c r="W83" s="84"/>
      <c r="X83" s="85"/>
      <c r="Y83" s="68"/>
      <c r="Z83" s="68"/>
    </row>
    <row r="84" spans="1:26" ht="12.75" hidden="1" outlineLevel="1" x14ac:dyDescent="0.2">
      <c r="A84" s="68"/>
      <c r="B84" s="86"/>
      <c r="C84" s="70" t="s">
        <v>47</v>
      </c>
      <c r="D84" s="87">
        <v>0</v>
      </c>
      <c r="E84" s="73">
        <v>0</v>
      </c>
      <c r="F84" s="73">
        <v>0</v>
      </c>
      <c r="G84" s="74" t="e">
        <f t="shared" si="0"/>
        <v>#DIV/0!</v>
      </c>
      <c r="H84" s="75" t="e">
        <f t="shared" si="1"/>
        <v>#DIV/0!</v>
      </c>
      <c r="I84" s="76" t="e">
        <f t="shared" si="2"/>
        <v>#DIV/0!</v>
      </c>
      <c r="J84" s="87">
        <v>0</v>
      </c>
      <c r="K84" s="73">
        <v>0</v>
      </c>
      <c r="L84" s="73">
        <v>0</v>
      </c>
      <c r="M84" s="88">
        <v>0</v>
      </c>
      <c r="N84" s="79" t="e">
        <f t="shared" si="30"/>
        <v>#DIV/0!</v>
      </c>
      <c r="O84" s="80" t="e">
        <f t="shared" si="4"/>
        <v>#DIV/0!</v>
      </c>
      <c r="P84" s="79" t="e">
        <f t="shared" si="5"/>
        <v>#DIV/0!</v>
      </c>
      <c r="Q84" s="81" t="e">
        <f t="shared" si="6"/>
        <v>#DIV/0!</v>
      </c>
      <c r="R84" s="82">
        <f t="shared" si="29"/>
        <v>0</v>
      </c>
      <c r="S84" s="83" t="e">
        <f t="shared" si="8"/>
        <v>#DIV/0!</v>
      </c>
      <c r="T84" s="84"/>
      <c r="U84" s="84"/>
      <c r="V84" s="84"/>
      <c r="W84" s="84"/>
      <c r="X84" s="85"/>
      <c r="Y84" s="68"/>
      <c r="Z84" s="68"/>
    </row>
    <row r="85" spans="1:26" ht="12.75" hidden="1" outlineLevel="1" x14ac:dyDescent="0.2">
      <c r="A85" s="68"/>
      <c r="B85" s="86"/>
      <c r="C85" s="70" t="s">
        <v>48</v>
      </c>
      <c r="D85" s="102">
        <v>3625.99</v>
      </c>
      <c r="E85" s="73">
        <v>16</v>
      </c>
      <c r="F85" s="73">
        <v>19</v>
      </c>
      <c r="G85" s="74">
        <f t="shared" si="0"/>
        <v>0.84210526315789469</v>
      </c>
      <c r="H85" s="75">
        <f t="shared" si="1"/>
        <v>226.62437499999999</v>
      </c>
      <c r="I85" s="76">
        <f t="shared" si="2"/>
        <v>269.11644531249999</v>
      </c>
      <c r="J85" s="102">
        <v>562.12</v>
      </c>
      <c r="K85" s="73">
        <v>46453</v>
      </c>
      <c r="L85" s="73">
        <v>9</v>
      </c>
      <c r="M85" s="103">
        <v>1839.6</v>
      </c>
      <c r="N85" s="79">
        <f t="shared" si="30"/>
        <v>0.30556642748423574</v>
      </c>
      <c r="O85" s="80">
        <f t="shared" si="4"/>
        <v>3.2726108304276664</v>
      </c>
      <c r="P85" s="79">
        <f t="shared" si="5"/>
        <v>0.1550252482770223</v>
      </c>
      <c r="Q85" s="81">
        <f t="shared" si="6"/>
        <v>0.50733730650112108</v>
      </c>
      <c r="R85" s="82">
        <f t="shared" si="29"/>
        <v>1786.3899999999999</v>
      </c>
      <c r="S85" s="83">
        <f t="shared" si="8"/>
        <v>62.457777777777778</v>
      </c>
      <c r="T85" s="84"/>
      <c r="U85" s="84"/>
      <c r="V85" s="84"/>
      <c r="W85" s="84"/>
      <c r="X85" s="85"/>
      <c r="Y85" s="68"/>
      <c r="Z85" s="68"/>
    </row>
    <row r="86" spans="1:26" ht="12.75" hidden="1" outlineLevel="1" x14ac:dyDescent="0.2">
      <c r="A86" s="68"/>
      <c r="B86" s="86"/>
      <c r="C86" s="70" t="s">
        <v>49</v>
      </c>
      <c r="D86" s="116">
        <v>156</v>
      </c>
      <c r="E86" s="73">
        <v>3</v>
      </c>
      <c r="F86" s="73">
        <v>3</v>
      </c>
      <c r="G86" s="74">
        <f t="shared" si="0"/>
        <v>1</v>
      </c>
      <c r="H86" s="75">
        <f t="shared" si="1"/>
        <v>52</v>
      </c>
      <c r="I86" s="76">
        <f t="shared" si="2"/>
        <v>52</v>
      </c>
      <c r="J86" s="116">
        <v>9.36</v>
      </c>
      <c r="K86" s="73">
        <v>9962</v>
      </c>
      <c r="L86" s="73">
        <v>2</v>
      </c>
      <c r="M86" s="117">
        <v>0</v>
      </c>
      <c r="N86" s="79" t="e">
        <f t="shared" si="30"/>
        <v>#DIV/0!</v>
      </c>
      <c r="O86" s="80">
        <f t="shared" si="4"/>
        <v>0</v>
      </c>
      <c r="P86" s="79">
        <f t="shared" si="5"/>
        <v>0.06</v>
      </c>
      <c r="Q86" s="81">
        <f t="shared" si="6"/>
        <v>0</v>
      </c>
      <c r="R86" s="82">
        <f t="shared" si="29"/>
        <v>156</v>
      </c>
      <c r="S86" s="83">
        <f t="shared" si="8"/>
        <v>4.68</v>
      </c>
      <c r="T86" s="84"/>
      <c r="U86" s="84"/>
      <c r="V86" s="84"/>
      <c r="W86" s="84"/>
      <c r="X86" s="85"/>
      <c r="Y86" s="68"/>
      <c r="Z86" s="68"/>
    </row>
    <row r="87" spans="1:26" hidden="1" outlineLevel="1" x14ac:dyDescent="0.25">
      <c r="A87" s="118" t="str">
        <f t="shared" ref="A87:A88" si="31">IFERROR(IF(B87&gt;0,MONTH(B87)&amp;"-"&amp;YEAR(B87),B87),)</f>
        <v>1-2026</v>
      </c>
      <c r="B87" s="69">
        <v>46039</v>
      </c>
      <c r="C87" s="198" t="s">
        <v>64</v>
      </c>
      <c r="D87" s="116">
        <v>0</v>
      </c>
      <c r="E87" s="73">
        <v>0</v>
      </c>
      <c r="F87" s="73">
        <v>0</v>
      </c>
      <c r="G87" s="74" t="e">
        <f t="shared" si="0"/>
        <v>#DIV/0!</v>
      </c>
      <c r="H87" s="75" t="e">
        <f t="shared" si="1"/>
        <v>#DIV/0!</v>
      </c>
      <c r="I87" s="76" t="e">
        <f t="shared" si="2"/>
        <v>#DIV/0!</v>
      </c>
      <c r="J87" s="87">
        <v>3804.7200000000003</v>
      </c>
      <c r="K87" s="199">
        <v>381864</v>
      </c>
      <c r="L87" s="73">
        <v>0</v>
      </c>
      <c r="M87" s="88">
        <v>6712.07</v>
      </c>
      <c r="N87" s="79">
        <f t="shared" si="30"/>
        <v>0.56684748520203165</v>
      </c>
      <c r="O87" s="80">
        <f t="shared" si="4"/>
        <v>1.7641429592716413</v>
      </c>
      <c r="P87" s="79" t="e">
        <f t="shared" si="5"/>
        <v>#DIV/0!</v>
      </c>
      <c r="Q87" s="81" t="e">
        <f t="shared" si="6"/>
        <v>#DIV/0!</v>
      </c>
      <c r="R87" s="82">
        <f t="shared" si="29"/>
        <v>-6712.07</v>
      </c>
      <c r="S87" s="83" t="e">
        <f t="shared" si="8"/>
        <v>#DIV/0!</v>
      </c>
      <c r="T87" s="84"/>
      <c r="U87" s="84"/>
      <c r="V87" s="84"/>
      <c r="W87" s="84"/>
      <c r="X87" s="85"/>
      <c r="Y87" s="68"/>
      <c r="Z87" s="68"/>
    </row>
    <row r="88" spans="1:26" ht="12.75" collapsed="1" x14ac:dyDescent="0.2">
      <c r="A88" s="68">
        <f t="shared" si="31"/>
        <v>0</v>
      </c>
      <c r="B88" s="119" t="s">
        <v>53</v>
      </c>
      <c r="C88" s="120"/>
      <c r="D88" s="121">
        <f t="shared" ref="D88:F88" si="32">SUM(D70:D87)</f>
        <v>16516.22</v>
      </c>
      <c r="E88" s="123">
        <f t="shared" si="32"/>
        <v>201</v>
      </c>
      <c r="F88" s="123">
        <f t="shared" si="32"/>
        <v>230</v>
      </c>
      <c r="G88" s="124">
        <f t="shared" si="0"/>
        <v>0.87391304347826082</v>
      </c>
      <c r="H88" s="125">
        <f t="shared" si="1"/>
        <v>82.170248756218911</v>
      </c>
      <c r="I88" s="126">
        <f t="shared" si="2"/>
        <v>94.025657780748006</v>
      </c>
      <c r="J88" s="121">
        <f t="shared" ref="J88:M88" si="33">SUM(J70:J87)</f>
        <v>7396.1399999999994</v>
      </c>
      <c r="K88" s="123">
        <f t="shared" si="33"/>
        <v>1205479</v>
      </c>
      <c r="L88" s="123">
        <f t="shared" si="33"/>
        <v>83</v>
      </c>
      <c r="M88" s="127">
        <f t="shared" si="33"/>
        <v>13385.64</v>
      </c>
      <c r="N88" s="128">
        <f t="shared" si="30"/>
        <v>0.55254287430410498</v>
      </c>
      <c r="O88" s="129">
        <f t="shared" si="4"/>
        <v>1.8098143085447274</v>
      </c>
      <c r="P88" s="128">
        <f t="shared" si="5"/>
        <v>0.44781069760514203</v>
      </c>
      <c r="Q88" s="130">
        <f t="shared" si="6"/>
        <v>0.8104542080451822</v>
      </c>
      <c r="R88" s="131">
        <f>SUM(R70:R87)</f>
        <v>3130.58</v>
      </c>
      <c r="S88" s="132">
        <f t="shared" si="8"/>
        <v>89.110120481927709</v>
      </c>
      <c r="T88" s="134">
        <f t="shared" ref="T88:U88" si="34">IFERROR((D88-#REF!)/D88,)</f>
        <v>0</v>
      </c>
      <c r="U88" s="134">
        <f t="shared" si="34"/>
        <v>0</v>
      </c>
      <c r="V88" s="134">
        <f t="shared" ref="V88:W88" si="35">IFERROR((D88-#REF!)/D88, )</f>
        <v>0</v>
      </c>
      <c r="W88" s="134">
        <f t="shared" si="35"/>
        <v>0</v>
      </c>
      <c r="X88" s="68"/>
      <c r="Y88" s="68"/>
      <c r="Z88" s="68"/>
    </row>
    <row r="89" spans="1:26" ht="12.75" hidden="1" outlineLevel="1" x14ac:dyDescent="0.2">
      <c r="A89" s="68"/>
      <c r="B89" s="69">
        <v>46040</v>
      </c>
      <c r="C89" s="70" t="s">
        <v>32</v>
      </c>
      <c r="D89" s="71">
        <v>4732.63</v>
      </c>
      <c r="E89" s="73">
        <v>44</v>
      </c>
      <c r="F89" s="73">
        <v>36</v>
      </c>
      <c r="G89" s="74">
        <f t="shared" si="0"/>
        <v>1.2222222222222223</v>
      </c>
      <c r="H89" s="75">
        <f t="shared" si="1"/>
        <v>107.55977272727273</v>
      </c>
      <c r="I89" s="76">
        <f t="shared" si="2"/>
        <v>88.003450413223135</v>
      </c>
      <c r="J89" s="77">
        <v>718.79</v>
      </c>
      <c r="K89" s="73">
        <v>125856</v>
      </c>
      <c r="L89" s="73">
        <v>12</v>
      </c>
      <c r="M89" s="78">
        <v>1088.8399999999999</v>
      </c>
      <c r="N89" s="79">
        <f t="shared" si="30"/>
        <v>0.66014290437529854</v>
      </c>
      <c r="O89" s="80">
        <f t="shared" si="4"/>
        <v>1.5148235228648144</v>
      </c>
      <c r="P89" s="79">
        <f t="shared" si="5"/>
        <v>0.15187961028011907</v>
      </c>
      <c r="Q89" s="81">
        <f t="shared" si="6"/>
        <v>0.23007080629586507</v>
      </c>
      <c r="R89" s="82">
        <f t="shared" ref="R89:R106" si="36">D89-M89</f>
        <v>3643.79</v>
      </c>
      <c r="S89" s="83">
        <f t="shared" si="8"/>
        <v>59.899166666666666</v>
      </c>
      <c r="T89" s="84"/>
      <c r="U89" s="84"/>
      <c r="V89" s="84"/>
      <c r="W89" s="84"/>
      <c r="X89" s="85"/>
      <c r="Y89" s="68"/>
      <c r="Z89" s="68"/>
    </row>
    <row r="90" spans="1:26" ht="12.75" hidden="1" outlineLevel="1" x14ac:dyDescent="0.2">
      <c r="A90" s="68"/>
      <c r="B90" s="86"/>
      <c r="C90" s="70" t="s">
        <v>33</v>
      </c>
      <c r="D90" s="87">
        <v>6276.96</v>
      </c>
      <c r="E90" s="73">
        <v>90</v>
      </c>
      <c r="F90" s="73">
        <v>109</v>
      </c>
      <c r="G90" s="74">
        <f t="shared" si="0"/>
        <v>0.82568807339449546</v>
      </c>
      <c r="H90" s="75">
        <f t="shared" si="1"/>
        <v>69.744</v>
      </c>
      <c r="I90" s="76">
        <f t="shared" si="2"/>
        <v>84.467733333333328</v>
      </c>
      <c r="J90" s="87">
        <v>752.9</v>
      </c>
      <c r="K90" s="73">
        <v>151124</v>
      </c>
      <c r="L90" s="73">
        <v>30</v>
      </c>
      <c r="M90" s="88">
        <v>2897.8</v>
      </c>
      <c r="N90" s="79">
        <f t="shared" si="30"/>
        <v>0.25981779280833733</v>
      </c>
      <c r="O90" s="80">
        <f t="shared" si="4"/>
        <v>3.8488511090450261</v>
      </c>
      <c r="P90" s="79">
        <f t="shared" si="5"/>
        <v>0.11994659835334301</v>
      </c>
      <c r="Q90" s="81">
        <f t="shared" si="6"/>
        <v>0.46165659809844256</v>
      </c>
      <c r="R90" s="89">
        <f t="shared" si="36"/>
        <v>3379.16</v>
      </c>
      <c r="S90" s="83">
        <f t="shared" si="8"/>
        <v>25.096666666666668</v>
      </c>
      <c r="T90" s="84"/>
      <c r="U90" s="84"/>
      <c r="V90" s="84"/>
      <c r="W90" s="84"/>
      <c r="X90" s="85"/>
      <c r="Y90" s="68"/>
      <c r="Z90" s="68"/>
    </row>
    <row r="91" spans="1:26" ht="12.75" hidden="1" outlineLevel="1" x14ac:dyDescent="0.2">
      <c r="A91" s="68"/>
      <c r="B91" s="86"/>
      <c r="C91" s="70" t="s">
        <v>34</v>
      </c>
      <c r="D91" s="90">
        <v>209.85</v>
      </c>
      <c r="E91" s="73">
        <v>3</v>
      </c>
      <c r="F91" s="73">
        <v>2</v>
      </c>
      <c r="G91" s="74">
        <f t="shared" si="0"/>
        <v>1.5</v>
      </c>
      <c r="H91" s="75">
        <f t="shared" si="1"/>
        <v>69.95</v>
      </c>
      <c r="I91" s="76">
        <f t="shared" si="2"/>
        <v>46.633333333333333</v>
      </c>
      <c r="J91" s="90">
        <v>0</v>
      </c>
      <c r="K91" s="73">
        <v>295</v>
      </c>
      <c r="L91" s="73">
        <v>0</v>
      </c>
      <c r="M91" s="91">
        <v>0</v>
      </c>
      <c r="N91" s="79" t="e">
        <f>(J91/M91)</f>
        <v>#DIV/0!</v>
      </c>
      <c r="O91" s="80" t="e">
        <f t="shared" si="4"/>
        <v>#DIV/0!</v>
      </c>
      <c r="P91" s="79">
        <f t="shared" si="5"/>
        <v>0</v>
      </c>
      <c r="Q91" s="81">
        <f t="shared" si="6"/>
        <v>0</v>
      </c>
      <c r="R91" s="92">
        <f t="shared" si="36"/>
        <v>209.85</v>
      </c>
      <c r="S91" s="83" t="e">
        <f t="shared" si="8"/>
        <v>#DIV/0!</v>
      </c>
      <c r="T91" s="84"/>
      <c r="U91" s="84"/>
      <c r="V91" s="84"/>
      <c r="W91" s="84"/>
      <c r="X91" s="85"/>
      <c r="Y91" s="68"/>
      <c r="Z91" s="68"/>
    </row>
    <row r="92" spans="1:26" ht="12.75" hidden="1" outlineLevel="1" x14ac:dyDescent="0.2">
      <c r="A92" s="68"/>
      <c r="B92" s="86"/>
      <c r="C92" s="70" t="s">
        <v>35</v>
      </c>
      <c r="D92" s="90">
        <v>0</v>
      </c>
      <c r="E92" s="73">
        <v>0</v>
      </c>
      <c r="F92" s="73">
        <v>1</v>
      </c>
      <c r="G92" s="74">
        <f t="shared" si="0"/>
        <v>0</v>
      </c>
      <c r="H92" s="75" t="e">
        <f t="shared" si="1"/>
        <v>#DIV/0!</v>
      </c>
      <c r="I92" s="76" t="e">
        <f t="shared" si="2"/>
        <v>#DIV/0!</v>
      </c>
      <c r="J92" s="90">
        <v>398.73</v>
      </c>
      <c r="K92" s="73">
        <v>26769</v>
      </c>
      <c r="L92" s="73">
        <v>2</v>
      </c>
      <c r="M92" s="91">
        <v>119.9</v>
      </c>
      <c r="N92" s="79">
        <f t="shared" ref="N92:N109" si="37">J92/M92</f>
        <v>3.3255212677231025</v>
      </c>
      <c r="O92" s="80">
        <f t="shared" si="4"/>
        <v>0.30070473754169486</v>
      </c>
      <c r="P92" s="79" t="e">
        <f t="shared" si="5"/>
        <v>#DIV/0!</v>
      </c>
      <c r="Q92" s="81" t="e">
        <f t="shared" si="6"/>
        <v>#DIV/0!</v>
      </c>
      <c r="R92" s="92">
        <f t="shared" si="36"/>
        <v>-119.9</v>
      </c>
      <c r="S92" s="83">
        <f t="shared" si="8"/>
        <v>199.36500000000001</v>
      </c>
      <c r="T92" s="84"/>
      <c r="U92" s="84"/>
      <c r="V92" s="84"/>
      <c r="W92" s="84"/>
      <c r="X92" s="85"/>
      <c r="Y92" s="68"/>
      <c r="Z92" s="68"/>
    </row>
    <row r="93" spans="1:26" ht="12.75" hidden="1" outlineLevel="1" x14ac:dyDescent="0.2">
      <c r="A93" s="68"/>
      <c r="B93" s="86"/>
      <c r="C93" s="70" t="s">
        <v>36</v>
      </c>
      <c r="D93" s="90">
        <v>139.9</v>
      </c>
      <c r="E93" s="73">
        <v>2</v>
      </c>
      <c r="F93" s="73">
        <v>2</v>
      </c>
      <c r="G93" s="74">
        <f t="shared" si="0"/>
        <v>1</v>
      </c>
      <c r="H93" s="75">
        <f t="shared" si="1"/>
        <v>69.95</v>
      </c>
      <c r="I93" s="76">
        <f t="shared" si="2"/>
        <v>69.95</v>
      </c>
      <c r="J93" s="90">
        <v>62.63</v>
      </c>
      <c r="K93" s="73">
        <v>21148</v>
      </c>
      <c r="L93" s="73">
        <v>3</v>
      </c>
      <c r="M93" s="91">
        <v>179.85</v>
      </c>
      <c r="N93" s="79">
        <f t="shared" si="37"/>
        <v>0.34823463997775927</v>
      </c>
      <c r="O93" s="80">
        <f t="shared" si="4"/>
        <v>2.8716270158071211</v>
      </c>
      <c r="P93" s="79">
        <f t="shared" si="5"/>
        <v>0.44767691208005717</v>
      </c>
      <c r="Q93" s="81">
        <f t="shared" si="6"/>
        <v>1.2855611150822015</v>
      </c>
      <c r="R93" s="92">
        <f t="shared" si="36"/>
        <v>-39.949999999999989</v>
      </c>
      <c r="S93" s="83">
        <f t="shared" si="8"/>
        <v>20.876666666666669</v>
      </c>
      <c r="T93" s="84"/>
      <c r="U93" s="84"/>
      <c r="V93" s="84"/>
      <c r="W93" s="84"/>
      <c r="X93" s="85"/>
      <c r="Y93" s="68"/>
      <c r="Z93" s="68"/>
    </row>
    <row r="94" spans="1:26" ht="12.75" hidden="1" outlineLevel="1" x14ac:dyDescent="0.2">
      <c r="A94" s="68"/>
      <c r="B94" s="69" t="s">
        <v>37</v>
      </c>
      <c r="C94" s="70" t="s">
        <v>38</v>
      </c>
      <c r="D94" s="93">
        <v>0</v>
      </c>
      <c r="E94" s="73">
        <v>0</v>
      </c>
      <c r="F94" s="73">
        <v>0</v>
      </c>
      <c r="G94" s="74" t="e">
        <f t="shared" si="0"/>
        <v>#DIV/0!</v>
      </c>
      <c r="H94" s="75" t="e">
        <f t="shared" si="1"/>
        <v>#DIV/0!</v>
      </c>
      <c r="I94" s="76" t="e">
        <f t="shared" si="2"/>
        <v>#DIV/0!</v>
      </c>
      <c r="J94" s="93">
        <v>21.15</v>
      </c>
      <c r="K94" s="73">
        <v>38434</v>
      </c>
      <c r="L94" s="73">
        <v>0</v>
      </c>
      <c r="M94" s="94">
        <v>0</v>
      </c>
      <c r="N94" s="79" t="e">
        <f t="shared" si="37"/>
        <v>#DIV/0!</v>
      </c>
      <c r="O94" s="80">
        <f t="shared" si="4"/>
        <v>0</v>
      </c>
      <c r="P94" s="79" t="e">
        <f t="shared" si="5"/>
        <v>#DIV/0!</v>
      </c>
      <c r="Q94" s="81" t="e">
        <f t="shared" si="6"/>
        <v>#DIV/0!</v>
      </c>
      <c r="R94" s="95">
        <f t="shared" si="36"/>
        <v>0</v>
      </c>
      <c r="S94" s="83" t="e">
        <f t="shared" si="8"/>
        <v>#DIV/0!</v>
      </c>
      <c r="T94" s="84"/>
      <c r="U94" s="84"/>
      <c r="V94" s="84"/>
      <c r="W94" s="84"/>
      <c r="X94" s="85"/>
      <c r="Y94" s="68"/>
      <c r="Z94" s="68"/>
    </row>
    <row r="95" spans="1:26" ht="12.75" hidden="1" outlineLevel="1" x14ac:dyDescent="0.2">
      <c r="A95" s="68"/>
      <c r="B95" s="86"/>
      <c r="C95" s="70" t="s">
        <v>39</v>
      </c>
      <c r="D95" s="96">
        <v>0</v>
      </c>
      <c r="E95" s="73">
        <v>0</v>
      </c>
      <c r="F95" s="73">
        <v>0</v>
      </c>
      <c r="G95" s="74" t="e">
        <f t="shared" si="0"/>
        <v>#DIV/0!</v>
      </c>
      <c r="H95" s="75" t="e">
        <f t="shared" si="1"/>
        <v>#DIV/0!</v>
      </c>
      <c r="I95" s="76" t="e">
        <f t="shared" si="2"/>
        <v>#DIV/0!</v>
      </c>
      <c r="J95" s="96">
        <v>0</v>
      </c>
      <c r="K95" s="73">
        <v>0</v>
      </c>
      <c r="L95" s="73">
        <v>0</v>
      </c>
      <c r="M95" s="97">
        <v>0</v>
      </c>
      <c r="N95" s="79" t="e">
        <f t="shared" si="37"/>
        <v>#DIV/0!</v>
      </c>
      <c r="O95" s="80" t="e">
        <f t="shared" si="4"/>
        <v>#DIV/0!</v>
      </c>
      <c r="P95" s="79" t="e">
        <f t="shared" si="5"/>
        <v>#DIV/0!</v>
      </c>
      <c r="Q95" s="81" t="e">
        <f t="shared" si="6"/>
        <v>#DIV/0!</v>
      </c>
      <c r="R95" s="98">
        <f t="shared" si="36"/>
        <v>0</v>
      </c>
      <c r="S95" s="83" t="e">
        <f t="shared" si="8"/>
        <v>#DIV/0!</v>
      </c>
      <c r="T95" s="84"/>
      <c r="U95" s="84"/>
      <c r="V95" s="84"/>
      <c r="W95" s="84"/>
      <c r="X95" s="85"/>
      <c r="Y95" s="68"/>
      <c r="Z95" s="68"/>
    </row>
    <row r="96" spans="1:26" ht="12.75" hidden="1" outlineLevel="1" x14ac:dyDescent="0.2">
      <c r="A96" s="68"/>
      <c r="B96" s="86"/>
      <c r="C96" s="70" t="s">
        <v>40</v>
      </c>
      <c r="D96" s="99">
        <v>0</v>
      </c>
      <c r="E96" s="73">
        <v>0</v>
      </c>
      <c r="F96" s="73">
        <v>0</v>
      </c>
      <c r="G96" s="74" t="e">
        <f t="shared" si="0"/>
        <v>#DIV/0!</v>
      </c>
      <c r="H96" s="75" t="e">
        <f t="shared" si="1"/>
        <v>#DIV/0!</v>
      </c>
      <c r="I96" s="76" t="e">
        <f t="shared" si="2"/>
        <v>#DIV/0!</v>
      </c>
      <c r="J96" s="99">
        <v>0</v>
      </c>
      <c r="K96" s="73">
        <v>0</v>
      </c>
      <c r="L96" s="73">
        <v>0</v>
      </c>
      <c r="M96" s="100">
        <v>0</v>
      </c>
      <c r="N96" s="79" t="e">
        <f t="shared" si="37"/>
        <v>#DIV/0!</v>
      </c>
      <c r="O96" s="80" t="e">
        <f t="shared" si="4"/>
        <v>#DIV/0!</v>
      </c>
      <c r="P96" s="79" t="e">
        <f t="shared" si="5"/>
        <v>#DIV/0!</v>
      </c>
      <c r="Q96" s="81" t="e">
        <f t="shared" si="6"/>
        <v>#DIV/0!</v>
      </c>
      <c r="R96" s="101">
        <f t="shared" si="36"/>
        <v>0</v>
      </c>
      <c r="S96" s="83" t="e">
        <f t="shared" si="8"/>
        <v>#DIV/0!</v>
      </c>
      <c r="T96" s="84"/>
      <c r="U96" s="84"/>
      <c r="V96" s="84"/>
      <c r="W96" s="84"/>
      <c r="X96" s="85"/>
      <c r="Y96" s="68"/>
      <c r="Z96" s="68"/>
    </row>
    <row r="97" spans="1:26" ht="12.75" hidden="1" outlineLevel="1" x14ac:dyDescent="0.2">
      <c r="A97" s="68"/>
      <c r="B97" s="86"/>
      <c r="C97" s="70" t="s">
        <v>41</v>
      </c>
      <c r="D97" s="102">
        <v>2291.4</v>
      </c>
      <c r="E97" s="73">
        <v>33</v>
      </c>
      <c r="F97" s="73">
        <v>33</v>
      </c>
      <c r="G97" s="74">
        <f t="shared" si="0"/>
        <v>1</v>
      </c>
      <c r="H97" s="75">
        <f t="shared" si="1"/>
        <v>69.436363636363637</v>
      </c>
      <c r="I97" s="76">
        <f t="shared" si="2"/>
        <v>69.436363636363637</v>
      </c>
      <c r="J97" s="102">
        <v>421.66</v>
      </c>
      <c r="K97" s="73">
        <v>40683</v>
      </c>
      <c r="L97" s="73">
        <v>14</v>
      </c>
      <c r="M97" s="103">
        <v>829.86</v>
      </c>
      <c r="N97" s="79">
        <f t="shared" si="37"/>
        <v>0.50810980165329089</v>
      </c>
      <c r="O97" s="80">
        <f t="shared" si="4"/>
        <v>1.9680785466963904</v>
      </c>
      <c r="P97" s="79">
        <f t="shared" si="5"/>
        <v>0.18401850397137121</v>
      </c>
      <c r="Q97" s="81">
        <f t="shared" si="6"/>
        <v>0.3621628698612202</v>
      </c>
      <c r="R97" s="104">
        <f t="shared" si="36"/>
        <v>1461.54</v>
      </c>
      <c r="S97" s="83">
        <f t="shared" si="8"/>
        <v>30.118571428571432</v>
      </c>
      <c r="T97" s="84"/>
      <c r="U97" s="84"/>
      <c r="V97" s="84"/>
      <c r="W97" s="84"/>
      <c r="X97" s="85"/>
      <c r="Y97" s="68"/>
      <c r="Z97" s="68"/>
    </row>
    <row r="98" spans="1:26" ht="12.75" hidden="1" outlineLevel="1" x14ac:dyDescent="0.2">
      <c r="A98" s="68"/>
      <c r="B98" s="86"/>
      <c r="C98" s="70" t="s">
        <v>42</v>
      </c>
      <c r="D98" s="90">
        <v>159.91999999999999</v>
      </c>
      <c r="E98" s="73">
        <v>8</v>
      </c>
      <c r="F98" s="73">
        <v>3</v>
      </c>
      <c r="G98" s="74">
        <f t="shared" si="0"/>
        <v>2.6666666666666665</v>
      </c>
      <c r="H98" s="75">
        <f t="shared" si="1"/>
        <v>19.989999999999998</v>
      </c>
      <c r="I98" s="76">
        <f t="shared" si="2"/>
        <v>7.4962499999999999</v>
      </c>
      <c r="J98" s="90">
        <v>367.68</v>
      </c>
      <c r="K98" s="73">
        <v>80649</v>
      </c>
      <c r="L98" s="73">
        <v>2</v>
      </c>
      <c r="M98" s="91">
        <v>39.979999999999997</v>
      </c>
      <c r="N98" s="79">
        <f t="shared" si="37"/>
        <v>9.1965982991495761</v>
      </c>
      <c r="O98" s="80">
        <f t="shared" si="4"/>
        <v>0.10873585726718885</v>
      </c>
      <c r="P98" s="79">
        <f t="shared" si="5"/>
        <v>2.299149574787394</v>
      </c>
      <c r="Q98" s="81">
        <f t="shared" si="6"/>
        <v>0.25</v>
      </c>
      <c r="R98" s="92">
        <f t="shared" si="36"/>
        <v>119.94</v>
      </c>
      <c r="S98" s="83">
        <f t="shared" si="8"/>
        <v>183.84</v>
      </c>
      <c r="T98" s="84"/>
      <c r="U98" s="84"/>
      <c r="V98" s="84"/>
      <c r="W98" s="84"/>
      <c r="X98" s="85"/>
      <c r="Y98" s="68"/>
      <c r="Z98" s="68"/>
    </row>
    <row r="99" spans="1:26" ht="12.75" hidden="1" outlineLevel="1" x14ac:dyDescent="0.2">
      <c r="A99" s="68"/>
      <c r="B99" s="86"/>
      <c r="C99" s="70" t="s">
        <v>43</v>
      </c>
      <c r="D99" s="105">
        <v>1245.5999999999999</v>
      </c>
      <c r="E99" s="73">
        <v>10</v>
      </c>
      <c r="F99" s="73">
        <v>11</v>
      </c>
      <c r="G99" s="74">
        <f t="shared" si="0"/>
        <v>0.90909090909090906</v>
      </c>
      <c r="H99" s="75">
        <f t="shared" si="1"/>
        <v>124.55999999999999</v>
      </c>
      <c r="I99" s="76">
        <f t="shared" si="2"/>
        <v>137.01599999999999</v>
      </c>
      <c r="J99" s="105">
        <v>46.96</v>
      </c>
      <c r="K99" s="73">
        <v>7099</v>
      </c>
      <c r="L99" s="73">
        <v>4</v>
      </c>
      <c r="M99" s="106">
        <v>205.95</v>
      </c>
      <c r="N99" s="79">
        <f t="shared" si="37"/>
        <v>0.22801650886137415</v>
      </c>
      <c r="O99" s="80">
        <f t="shared" si="4"/>
        <v>4.3856473594548548</v>
      </c>
      <c r="P99" s="79">
        <f t="shared" si="5"/>
        <v>3.7700706486833657E-2</v>
      </c>
      <c r="Q99" s="81">
        <f t="shared" si="6"/>
        <v>0.16534200385356454</v>
      </c>
      <c r="R99" s="107">
        <f t="shared" si="36"/>
        <v>1039.6499999999999</v>
      </c>
      <c r="S99" s="83">
        <f t="shared" si="8"/>
        <v>11.74</v>
      </c>
      <c r="T99" s="84"/>
      <c r="U99" s="84"/>
      <c r="V99" s="84"/>
      <c r="W99" s="84"/>
      <c r="X99" s="85"/>
      <c r="Y99" s="68"/>
      <c r="Z99" s="68"/>
    </row>
    <row r="100" spans="1:26" ht="12.75" hidden="1" outlineLevel="1" x14ac:dyDescent="0.2">
      <c r="A100" s="68"/>
      <c r="B100" s="86"/>
      <c r="C100" s="70" t="s">
        <v>44</v>
      </c>
      <c r="D100" s="108">
        <v>179.85</v>
      </c>
      <c r="E100" s="73">
        <v>3</v>
      </c>
      <c r="F100" s="73">
        <v>4</v>
      </c>
      <c r="G100" s="74">
        <f t="shared" si="0"/>
        <v>0.75</v>
      </c>
      <c r="H100" s="75">
        <f t="shared" si="1"/>
        <v>59.949999999999996</v>
      </c>
      <c r="I100" s="76">
        <f t="shared" si="2"/>
        <v>79.933333333333323</v>
      </c>
      <c r="J100" s="108">
        <v>66.069999999999993</v>
      </c>
      <c r="K100" s="73">
        <v>45813</v>
      </c>
      <c r="L100" s="73">
        <v>1</v>
      </c>
      <c r="M100" s="109">
        <v>59.95</v>
      </c>
      <c r="N100" s="79">
        <f t="shared" si="37"/>
        <v>1.1020850708924101</v>
      </c>
      <c r="O100" s="80">
        <f t="shared" si="4"/>
        <v>0.90737097018313928</v>
      </c>
      <c r="P100" s="79">
        <f t="shared" si="5"/>
        <v>0.36736169029747007</v>
      </c>
      <c r="Q100" s="81">
        <f t="shared" si="6"/>
        <v>0.33333333333333337</v>
      </c>
      <c r="R100" s="110">
        <f t="shared" si="36"/>
        <v>119.89999999999999</v>
      </c>
      <c r="S100" s="83">
        <f t="shared" si="8"/>
        <v>66.069999999999993</v>
      </c>
      <c r="T100" s="84"/>
      <c r="U100" s="84"/>
      <c r="V100" s="84"/>
      <c r="W100" s="84"/>
      <c r="X100" s="85"/>
      <c r="Y100" s="68"/>
      <c r="Z100" s="68"/>
    </row>
    <row r="101" spans="1:26" ht="12.75" hidden="1" outlineLevel="1" x14ac:dyDescent="0.2">
      <c r="A101" s="111"/>
      <c r="B101" s="86"/>
      <c r="C101" s="112" t="s">
        <v>45</v>
      </c>
      <c r="D101" s="71">
        <v>0</v>
      </c>
      <c r="E101" s="73">
        <v>0</v>
      </c>
      <c r="F101" s="73">
        <v>0</v>
      </c>
      <c r="G101" s="74" t="e">
        <f t="shared" si="0"/>
        <v>#DIV/0!</v>
      </c>
      <c r="H101" s="75" t="e">
        <f t="shared" si="1"/>
        <v>#DIV/0!</v>
      </c>
      <c r="I101" s="76" t="e">
        <f t="shared" si="2"/>
        <v>#DIV/0!</v>
      </c>
      <c r="J101" s="71">
        <v>0</v>
      </c>
      <c r="K101" s="73">
        <v>0</v>
      </c>
      <c r="L101" s="73">
        <v>0</v>
      </c>
      <c r="M101" s="78">
        <v>0</v>
      </c>
      <c r="N101" s="79" t="e">
        <f t="shared" si="37"/>
        <v>#DIV/0!</v>
      </c>
      <c r="O101" s="80" t="e">
        <f t="shared" si="4"/>
        <v>#DIV/0!</v>
      </c>
      <c r="P101" s="79" t="e">
        <f t="shared" si="5"/>
        <v>#DIV/0!</v>
      </c>
      <c r="Q101" s="81" t="e">
        <f t="shared" si="6"/>
        <v>#DIV/0!</v>
      </c>
      <c r="R101" s="82">
        <f t="shared" si="36"/>
        <v>0</v>
      </c>
      <c r="S101" s="83" t="e">
        <f t="shared" si="8"/>
        <v>#DIV/0!</v>
      </c>
      <c r="T101" s="113"/>
      <c r="U101" s="113"/>
      <c r="V101" s="113"/>
      <c r="W101" s="114"/>
      <c r="X101" s="115"/>
      <c r="Y101" s="68"/>
      <c r="Z101" s="68"/>
    </row>
    <row r="102" spans="1:26" ht="12.75" hidden="1" outlineLevel="1" x14ac:dyDescent="0.2">
      <c r="A102" s="68"/>
      <c r="B102" s="86"/>
      <c r="C102" s="70" t="s">
        <v>46</v>
      </c>
      <c r="D102" s="116">
        <v>1186.24</v>
      </c>
      <c r="E102" s="73">
        <v>27</v>
      </c>
      <c r="F102" s="73">
        <v>29</v>
      </c>
      <c r="G102" s="74">
        <f t="shared" si="0"/>
        <v>0.93103448275862066</v>
      </c>
      <c r="H102" s="75">
        <f t="shared" si="1"/>
        <v>43.934814814814814</v>
      </c>
      <c r="I102" s="76">
        <f t="shared" si="2"/>
        <v>47.189245541838133</v>
      </c>
      <c r="J102" s="116">
        <v>179.59</v>
      </c>
      <c r="K102" s="73">
        <v>48414</v>
      </c>
      <c r="L102" s="73">
        <v>8</v>
      </c>
      <c r="M102" s="117">
        <v>259.7</v>
      </c>
      <c r="N102" s="79">
        <f t="shared" si="37"/>
        <v>0.69152868694647673</v>
      </c>
      <c r="O102" s="80">
        <f t="shared" si="4"/>
        <v>1.4460716075505318</v>
      </c>
      <c r="P102" s="79">
        <f t="shared" si="5"/>
        <v>0.1513943215538171</v>
      </c>
      <c r="Q102" s="81">
        <f t="shared" si="6"/>
        <v>0.21892702994335039</v>
      </c>
      <c r="R102" s="82">
        <f t="shared" si="36"/>
        <v>926.54</v>
      </c>
      <c r="S102" s="83">
        <f t="shared" si="8"/>
        <v>22.44875</v>
      </c>
      <c r="T102" s="84"/>
      <c r="U102" s="84"/>
      <c r="V102" s="84"/>
      <c r="W102" s="84"/>
      <c r="X102" s="85"/>
      <c r="Y102" s="68"/>
      <c r="Z102" s="68"/>
    </row>
    <row r="103" spans="1:26" ht="12.75" hidden="1" outlineLevel="1" x14ac:dyDescent="0.2">
      <c r="A103" s="68"/>
      <c r="B103" s="86"/>
      <c r="C103" s="70" t="s">
        <v>47</v>
      </c>
      <c r="D103" s="87">
        <v>-29.95</v>
      </c>
      <c r="E103" s="73">
        <v>-1</v>
      </c>
      <c r="F103" s="73">
        <v>0</v>
      </c>
      <c r="G103" s="74" t="e">
        <f t="shared" si="0"/>
        <v>#DIV/0!</v>
      </c>
      <c r="H103" s="75">
        <f t="shared" si="1"/>
        <v>29.95</v>
      </c>
      <c r="I103" s="76" t="e">
        <f t="shared" si="2"/>
        <v>#DIV/0!</v>
      </c>
      <c r="J103" s="87">
        <v>0</v>
      </c>
      <c r="K103" s="73">
        <v>0</v>
      </c>
      <c r="L103" s="73">
        <v>0</v>
      </c>
      <c r="M103" s="88">
        <v>0</v>
      </c>
      <c r="N103" s="79" t="e">
        <f t="shared" si="37"/>
        <v>#DIV/0!</v>
      </c>
      <c r="O103" s="80" t="e">
        <f t="shared" si="4"/>
        <v>#DIV/0!</v>
      </c>
      <c r="P103" s="79">
        <f t="shared" si="5"/>
        <v>0</v>
      </c>
      <c r="Q103" s="81">
        <f t="shared" si="6"/>
        <v>0</v>
      </c>
      <c r="R103" s="82">
        <f t="shared" si="36"/>
        <v>-29.95</v>
      </c>
      <c r="S103" s="83" t="e">
        <f t="shared" si="8"/>
        <v>#DIV/0!</v>
      </c>
      <c r="T103" s="84"/>
      <c r="U103" s="84"/>
      <c r="V103" s="84"/>
      <c r="W103" s="84"/>
      <c r="X103" s="85"/>
      <c r="Y103" s="68"/>
      <c r="Z103" s="68"/>
    </row>
    <row r="104" spans="1:26" ht="12.75" hidden="1" outlineLevel="1" x14ac:dyDescent="0.2">
      <c r="A104" s="68"/>
      <c r="B104" s="86"/>
      <c r="C104" s="70" t="s">
        <v>48</v>
      </c>
      <c r="D104" s="102">
        <v>3931.94</v>
      </c>
      <c r="E104" s="73">
        <v>17</v>
      </c>
      <c r="F104" s="73">
        <v>20</v>
      </c>
      <c r="G104" s="74">
        <f t="shared" si="0"/>
        <v>0.85</v>
      </c>
      <c r="H104" s="75">
        <f t="shared" si="1"/>
        <v>231.29058823529411</v>
      </c>
      <c r="I104" s="76">
        <f t="shared" si="2"/>
        <v>272.10657439446368</v>
      </c>
      <c r="J104" s="102">
        <v>494</v>
      </c>
      <c r="K104" s="73">
        <v>42767</v>
      </c>
      <c r="L104" s="73">
        <v>7</v>
      </c>
      <c r="M104" s="103">
        <v>1659.65</v>
      </c>
      <c r="N104" s="79">
        <f t="shared" si="37"/>
        <v>0.2976531196336577</v>
      </c>
      <c r="O104" s="80">
        <f t="shared" si="4"/>
        <v>3.3596153846153847</v>
      </c>
      <c r="P104" s="79">
        <f t="shared" si="5"/>
        <v>0.12563772590629563</v>
      </c>
      <c r="Q104" s="81">
        <f t="shared" si="6"/>
        <v>0.42209443684288167</v>
      </c>
      <c r="R104" s="82">
        <f t="shared" si="36"/>
        <v>2272.29</v>
      </c>
      <c r="S104" s="83">
        <f t="shared" si="8"/>
        <v>70.571428571428569</v>
      </c>
      <c r="T104" s="84"/>
      <c r="U104" s="84"/>
      <c r="V104" s="84"/>
      <c r="W104" s="84"/>
      <c r="X104" s="85"/>
      <c r="Y104" s="68"/>
      <c r="Z104" s="68"/>
    </row>
    <row r="105" spans="1:26" ht="12.75" hidden="1" outlineLevel="1" x14ac:dyDescent="0.2">
      <c r="A105" s="68"/>
      <c r="B105" s="86"/>
      <c r="C105" s="70" t="s">
        <v>49</v>
      </c>
      <c r="D105" s="116">
        <v>0</v>
      </c>
      <c r="E105" s="73">
        <v>0</v>
      </c>
      <c r="F105" s="73">
        <v>0</v>
      </c>
      <c r="G105" s="74" t="e">
        <f t="shared" si="0"/>
        <v>#DIV/0!</v>
      </c>
      <c r="H105" s="75" t="e">
        <f t="shared" si="1"/>
        <v>#DIV/0!</v>
      </c>
      <c r="I105" s="76" t="e">
        <f t="shared" si="2"/>
        <v>#DIV/0!</v>
      </c>
      <c r="J105" s="116">
        <v>7.9</v>
      </c>
      <c r="K105" s="73">
        <v>10033</v>
      </c>
      <c r="L105" s="73">
        <v>0</v>
      </c>
      <c r="M105" s="117">
        <v>0</v>
      </c>
      <c r="N105" s="79" t="e">
        <f t="shared" si="37"/>
        <v>#DIV/0!</v>
      </c>
      <c r="O105" s="80">
        <f t="shared" si="4"/>
        <v>0</v>
      </c>
      <c r="P105" s="79" t="e">
        <f t="shared" si="5"/>
        <v>#DIV/0!</v>
      </c>
      <c r="Q105" s="81" t="e">
        <f t="shared" si="6"/>
        <v>#DIV/0!</v>
      </c>
      <c r="R105" s="82">
        <f t="shared" si="36"/>
        <v>0</v>
      </c>
      <c r="S105" s="83" t="e">
        <f t="shared" si="8"/>
        <v>#DIV/0!</v>
      </c>
      <c r="T105" s="84"/>
      <c r="U105" s="84"/>
      <c r="V105" s="84"/>
      <c r="W105" s="84"/>
      <c r="X105" s="85"/>
      <c r="Y105" s="68"/>
      <c r="Z105" s="68"/>
    </row>
    <row r="106" spans="1:26" hidden="1" outlineLevel="1" x14ac:dyDescent="0.25">
      <c r="A106" s="118" t="str">
        <f t="shared" ref="A106:A107" si="38">IFERROR(IF(B106&gt;0,MONTH(B106)&amp;"-"&amp;YEAR(B106),B106),)</f>
        <v>1-2026</v>
      </c>
      <c r="B106" s="69">
        <v>46046</v>
      </c>
      <c r="C106" s="198" t="s">
        <v>64</v>
      </c>
      <c r="D106" s="116">
        <v>0</v>
      </c>
      <c r="E106" s="73">
        <v>0</v>
      </c>
      <c r="F106" s="73">
        <v>0</v>
      </c>
      <c r="G106" s="74" t="e">
        <f t="shared" si="0"/>
        <v>#DIV/0!</v>
      </c>
      <c r="H106" s="75" t="e">
        <f t="shared" si="1"/>
        <v>#DIV/0!</v>
      </c>
      <c r="I106" s="76" t="e">
        <f t="shared" si="2"/>
        <v>#DIV/0!</v>
      </c>
      <c r="J106" s="87">
        <v>3097.5</v>
      </c>
      <c r="K106" s="199">
        <v>290015</v>
      </c>
      <c r="L106" s="73">
        <v>0</v>
      </c>
      <c r="M106" s="88">
        <v>11198.569999999998</v>
      </c>
      <c r="N106" s="79">
        <f t="shared" si="37"/>
        <v>0.27659781561395791</v>
      </c>
      <c r="O106" s="80">
        <f t="shared" si="4"/>
        <v>3.6153575464083931</v>
      </c>
      <c r="P106" s="79" t="e">
        <f t="shared" si="5"/>
        <v>#DIV/0!</v>
      </c>
      <c r="Q106" s="81" t="e">
        <f t="shared" si="6"/>
        <v>#DIV/0!</v>
      </c>
      <c r="R106" s="82">
        <f t="shared" si="36"/>
        <v>-11198.569999999998</v>
      </c>
      <c r="S106" s="83" t="e">
        <f t="shared" si="8"/>
        <v>#DIV/0!</v>
      </c>
      <c r="T106" s="84"/>
      <c r="U106" s="84"/>
      <c r="V106" s="84"/>
      <c r="W106" s="84"/>
      <c r="X106" s="85"/>
      <c r="Y106" s="68"/>
      <c r="Z106" s="68"/>
    </row>
    <row r="107" spans="1:26" ht="12.75" collapsed="1" x14ac:dyDescent="0.2">
      <c r="A107" s="68">
        <f t="shared" si="38"/>
        <v>0</v>
      </c>
      <c r="B107" s="119" t="s">
        <v>54</v>
      </c>
      <c r="C107" s="120"/>
      <c r="D107" s="121">
        <f t="shared" ref="D107:F107" si="39">SUM(D89:D106)</f>
        <v>20324.34</v>
      </c>
      <c r="E107" s="123">
        <f t="shared" si="39"/>
        <v>236</v>
      </c>
      <c r="F107" s="123">
        <f t="shared" si="39"/>
        <v>250</v>
      </c>
      <c r="G107" s="124">
        <f t="shared" si="0"/>
        <v>0.94399999999999995</v>
      </c>
      <c r="H107" s="125">
        <f t="shared" si="1"/>
        <v>86.120084745762711</v>
      </c>
      <c r="I107" s="126">
        <f t="shared" si="2"/>
        <v>91.228903332375751</v>
      </c>
      <c r="J107" s="121">
        <f t="shared" ref="J107:M107" si="40">SUM(J89:J106)</f>
        <v>6635.56</v>
      </c>
      <c r="K107" s="123">
        <f t="shared" si="40"/>
        <v>929099</v>
      </c>
      <c r="L107" s="123">
        <f t="shared" si="40"/>
        <v>83</v>
      </c>
      <c r="M107" s="127">
        <f t="shared" si="40"/>
        <v>18540.049999999996</v>
      </c>
      <c r="N107" s="128">
        <f t="shared" si="37"/>
        <v>0.35790410489723606</v>
      </c>
      <c r="O107" s="129">
        <f t="shared" si="4"/>
        <v>2.7940445116915518</v>
      </c>
      <c r="P107" s="128">
        <f t="shared" si="5"/>
        <v>0.32648341840374645</v>
      </c>
      <c r="Q107" s="130">
        <f t="shared" si="6"/>
        <v>0.91220920334928446</v>
      </c>
      <c r="R107" s="131">
        <f>SUM(R89:R106)</f>
        <v>1784.2900000000027</v>
      </c>
      <c r="S107" s="132">
        <f t="shared" si="8"/>
        <v>79.946506024096394</v>
      </c>
      <c r="T107" s="134">
        <f t="shared" ref="T107:U107" si="41">IFERROR((D107-#REF!)/D107,)</f>
        <v>0</v>
      </c>
      <c r="U107" s="134">
        <f t="shared" si="41"/>
        <v>0</v>
      </c>
      <c r="V107" s="134">
        <f t="shared" ref="V107:W107" si="42">IFERROR((D107-#REF!)/D107, )</f>
        <v>0</v>
      </c>
      <c r="W107" s="134">
        <f t="shared" si="42"/>
        <v>0</v>
      </c>
      <c r="X107" s="68"/>
      <c r="Y107" s="68"/>
      <c r="Z107" s="68"/>
    </row>
    <row r="108" spans="1:26" ht="12.75" hidden="1" outlineLevel="1" x14ac:dyDescent="0.2">
      <c r="A108" s="68"/>
      <c r="B108" s="69">
        <v>46047</v>
      </c>
      <c r="C108" s="70" t="s">
        <v>32</v>
      </c>
      <c r="D108" s="71">
        <v>4689.49</v>
      </c>
      <c r="E108" s="73">
        <v>21</v>
      </c>
      <c r="F108" s="73">
        <v>28</v>
      </c>
      <c r="G108" s="74">
        <f t="shared" si="0"/>
        <v>0.75</v>
      </c>
      <c r="H108" s="75">
        <f t="shared" si="1"/>
        <v>223.30904761904762</v>
      </c>
      <c r="I108" s="76">
        <f t="shared" si="2"/>
        <v>297.74539682539682</v>
      </c>
      <c r="J108" s="77">
        <v>675.31</v>
      </c>
      <c r="K108" s="73">
        <v>128679</v>
      </c>
      <c r="L108" s="73">
        <v>8</v>
      </c>
      <c r="M108" s="78">
        <v>1984.89</v>
      </c>
      <c r="N108" s="79">
        <f t="shared" si="37"/>
        <v>0.3402254029190534</v>
      </c>
      <c r="O108" s="80">
        <f t="shared" si="4"/>
        <v>2.9392279101449708</v>
      </c>
      <c r="P108" s="79">
        <f t="shared" si="5"/>
        <v>0.1440049984113411</v>
      </c>
      <c r="Q108" s="81">
        <f t="shared" si="6"/>
        <v>0.42326351053099592</v>
      </c>
      <c r="R108" s="82">
        <f t="shared" ref="R108:R125" si="43">D108-M108</f>
        <v>2704.5999999999995</v>
      </c>
      <c r="S108" s="83">
        <f t="shared" si="8"/>
        <v>84.413749999999993</v>
      </c>
      <c r="T108" s="84"/>
      <c r="U108" s="84"/>
      <c r="V108" s="84"/>
      <c r="W108" s="84"/>
      <c r="X108" s="85"/>
      <c r="Y108" s="68"/>
      <c r="Z108" s="68"/>
    </row>
    <row r="109" spans="1:26" ht="12.75" hidden="1" outlineLevel="1" x14ac:dyDescent="0.2">
      <c r="A109" s="68"/>
      <c r="B109" s="86"/>
      <c r="C109" s="70" t="s">
        <v>33</v>
      </c>
      <c r="D109" s="87">
        <v>5369.3</v>
      </c>
      <c r="E109" s="73">
        <v>97</v>
      </c>
      <c r="F109" s="73">
        <v>108</v>
      </c>
      <c r="G109" s="74">
        <f t="shared" si="0"/>
        <v>0.89814814814814814</v>
      </c>
      <c r="H109" s="75">
        <f t="shared" si="1"/>
        <v>55.353608247422684</v>
      </c>
      <c r="I109" s="76">
        <f t="shared" si="2"/>
        <v>61.630821553831446</v>
      </c>
      <c r="J109" s="87">
        <v>598.97</v>
      </c>
      <c r="K109" s="73">
        <v>137191</v>
      </c>
      <c r="L109" s="73">
        <v>16</v>
      </c>
      <c r="M109" s="88">
        <v>1557.65</v>
      </c>
      <c r="N109" s="79">
        <f t="shared" si="37"/>
        <v>0.38453439476133922</v>
      </c>
      <c r="O109" s="80">
        <f t="shared" si="4"/>
        <v>2.6005476067248776</v>
      </c>
      <c r="P109" s="79">
        <f t="shared" si="5"/>
        <v>0.11155457880915576</v>
      </c>
      <c r="Q109" s="81">
        <f t="shared" si="6"/>
        <v>0.29010299294135178</v>
      </c>
      <c r="R109" s="89">
        <f t="shared" si="43"/>
        <v>3811.65</v>
      </c>
      <c r="S109" s="83">
        <f t="shared" si="8"/>
        <v>37.435625000000002</v>
      </c>
      <c r="T109" s="84"/>
      <c r="U109" s="84"/>
      <c r="V109" s="84"/>
      <c r="W109" s="84"/>
      <c r="X109" s="85"/>
      <c r="Y109" s="68"/>
      <c r="Z109" s="68"/>
    </row>
    <row r="110" spans="1:26" ht="12.75" hidden="1" outlineLevel="1" x14ac:dyDescent="0.2">
      <c r="A110" s="68"/>
      <c r="B110" s="86"/>
      <c r="C110" s="70" t="s">
        <v>34</v>
      </c>
      <c r="D110" s="90">
        <v>-69.95</v>
      </c>
      <c r="E110" s="73">
        <v>-1</v>
      </c>
      <c r="F110" s="73">
        <v>0</v>
      </c>
      <c r="G110" s="74" t="e">
        <f t="shared" si="0"/>
        <v>#DIV/0!</v>
      </c>
      <c r="H110" s="75">
        <f t="shared" si="1"/>
        <v>69.95</v>
      </c>
      <c r="I110" s="76" t="e">
        <f t="shared" si="2"/>
        <v>#DIV/0!</v>
      </c>
      <c r="J110" s="90">
        <v>6.9</v>
      </c>
      <c r="K110" s="73">
        <v>361</v>
      </c>
      <c r="L110" s="73">
        <v>0</v>
      </c>
      <c r="M110" s="91">
        <v>0</v>
      </c>
      <c r="N110" s="79" t="e">
        <f>(J110/M110)</f>
        <v>#DIV/0!</v>
      </c>
      <c r="O110" s="80">
        <f t="shared" si="4"/>
        <v>0</v>
      </c>
      <c r="P110" s="79">
        <f t="shared" si="5"/>
        <v>-9.8641887062187281E-2</v>
      </c>
      <c r="Q110" s="81">
        <f t="shared" si="6"/>
        <v>0</v>
      </c>
      <c r="R110" s="92">
        <f t="shared" si="43"/>
        <v>-69.95</v>
      </c>
      <c r="S110" s="83" t="e">
        <f t="shared" si="8"/>
        <v>#DIV/0!</v>
      </c>
      <c r="T110" s="84"/>
      <c r="U110" s="84"/>
      <c r="V110" s="84"/>
      <c r="W110" s="84"/>
      <c r="X110" s="85"/>
      <c r="Y110" s="68"/>
      <c r="Z110" s="68"/>
    </row>
    <row r="111" spans="1:26" ht="12.75" hidden="1" outlineLevel="1" x14ac:dyDescent="0.2">
      <c r="A111" s="68"/>
      <c r="B111" s="86"/>
      <c r="C111" s="70" t="s">
        <v>35</v>
      </c>
      <c r="D111" s="90">
        <v>662.45</v>
      </c>
      <c r="E111" s="73">
        <v>11</v>
      </c>
      <c r="F111" s="73">
        <v>10</v>
      </c>
      <c r="G111" s="74">
        <f t="shared" si="0"/>
        <v>1.1000000000000001</v>
      </c>
      <c r="H111" s="75">
        <f t="shared" si="1"/>
        <v>60.222727272727276</v>
      </c>
      <c r="I111" s="76">
        <f t="shared" si="2"/>
        <v>54.747933884297517</v>
      </c>
      <c r="J111" s="90">
        <v>384.6</v>
      </c>
      <c r="K111" s="73">
        <v>26434</v>
      </c>
      <c r="L111" s="73">
        <v>8</v>
      </c>
      <c r="M111" s="91">
        <v>479.6</v>
      </c>
      <c r="N111" s="79">
        <f t="shared" ref="N111:N128" si="44">J111/M111</f>
        <v>0.8019182652210175</v>
      </c>
      <c r="O111" s="80">
        <f t="shared" si="4"/>
        <v>1.2470098803952159</v>
      </c>
      <c r="P111" s="79">
        <f t="shared" si="5"/>
        <v>0.58057211865046421</v>
      </c>
      <c r="Q111" s="81">
        <f t="shared" si="6"/>
        <v>0.72397916823911235</v>
      </c>
      <c r="R111" s="92">
        <f t="shared" si="43"/>
        <v>182.85000000000002</v>
      </c>
      <c r="S111" s="83">
        <f t="shared" si="8"/>
        <v>48.075000000000003</v>
      </c>
      <c r="T111" s="84"/>
      <c r="U111" s="84"/>
      <c r="V111" s="84"/>
      <c r="W111" s="84"/>
      <c r="X111" s="85"/>
      <c r="Y111" s="68"/>
      <c r="Z111" s="68"/>
    </row>
    <row r="112" spans="1:26" ht="12.75" hidden="1" outlineLevel="1" x14ac:dyDescent="0.2">
      <c r="A112" s="68"/>
      <c r="B112" s="86"/>
      <c r="C112" s="70" t="s">
        <v>36</v>
      </c>
      <c r="D112" s="90">
        <v>824.35</v>
      </c>
      <c r="E112" s="73">
        <v>13</v>
      </c>
      <c r="F112" s="73">
        <v>12</v>
      </c>
      <c r="G112" s="74">
        <f t="shared" si="0"/>
        <v>1.0833333333333333</v>
      </c>
      <c r="H112" s="75">
        <f t="shared" si="1"/>
        <v>63.411538461538463</v>
      </c>
      <c r="I112" s="76">
        <f t="shared" si="2"/>
        <v>58.533727810650895</v>
      </c>
      <c r="J112" s="90">
        <v>32.979999999999997</v>
      </c>
      <c r="K112" s="73">
        <v>14982</v>
      </c>
      <c r="L112" s="73">
        <v>3</v>
      </c>
      <c r="M112" s="91">
        <v>179.85</v>
      </c>
      <c r="N112" s="79">
        <f t="shared" si="44"/>
        <v>0.18337503475118153</v>
      </c>
      <c r="O112" s="80">
        <f t="shared" si="4"/>
        <v>5.4533050333535478</v>
      </c>
      <c r="P112" s="79">
        <f t="shared" si="5"/>
        <v>4.0007278461818396E-2</v>
      </c>
      <c r="Q112" s="81">
        <f t="shared" si="6"/>
        <v>0.21817189300661124</v>
      </c>
      <c r="R112" s="92">
        <f t="shared" si="43"/>
        <v>644.5</v>
      </c>
      <c r="S112" s="83">
        <f t="shared" si="8"/>
        <v>10.993333333333332</v>
      </c>
      <c r="T112" s="84"/>
      <c r="U112" s="84"/>
      <c r="V112" s="84"/>
      <c r="W112" s="84"/>
      <c r="X112" s="85"/>
      <c r="Y112" s="68"/>
      <c r="Z112" s="68"/>
    </row>
    <row r="113" spans="1:26" ht="12.75" hidden="1" outlineLevel="1" x14ac:dyDescent="0.2">
      <c r="A113" s="68"/>
      <c r="B113" s="69" t="s">
        <v>37</v>
      </c>
      <c r="C113" s="70" t="s">
        <v>38</v>
      </c>
      <c r="D113" s="93">
        <v>89.9</v>
      </c>
      <c r="E113" s="73">
        <v>2</v>
      </c>
      <c r="F113" s="73">
        <v>2</v>
      </c>
      <c r="G113" s="74">
        <f t="shared" si="0"/>
        <v>1</v>
      </c>
      <c r="H113" s="75">
        <f t="shared" si="1"/>
        <v>44.95</v>
      </c>
      <c r="I113" s="76">
        <f t="shared" si="2"/>
        <v>44.95</v>
      </c>
      <c r="J113" s="93">
        <v>27.53</v>
      </c>
      <c r="K113" s="73">
        <v>94493</v>
      </c>
      <c r="L113" s="73">
        <v>2</v>
      </c>
      <c r="M113" s="94">
        <v>89.9</v>
      </c>
      <c r="N113" s="79">
        <f t="shared" si="44"/>
        <v>0.30622914349276975</v>
      </c>
      <c r="O113" s="80">
        <f t="shared" si="4"/>
        <v>3.265528514347984</v>
      </c>
      <c r="P113" s="79">
        <f t="shared" si="5"/>
        <v>0.30622914349276975</v>
      </c>
      <c r="Q113" s="81">
        <f t="shared" si="6"/>
        <v>1</v>
      </c>
      <c r="R113" s="95">
        <f t="shared" si="43"/>
        <v>0</v>
      </c>
      <c r="S113" s="83">
        <f t="shared" si="8"/>
        <v>13.765000000000001</v>
      </c>
      <c r="T113" s="84"/>
      <c r="U113" s="84"/>
      <c r="V113" s="84"/>
      <c r="W113" s="84"/>
      <c r="X113" s="85"/>
      <c r="Y113" s="68"/>
      <c r="Z113" s="68"/>
    </row>
    <row r="114" spans="1:26" ht="12.75" hidden="1" outlineLevel="1" x14ac:dyDescent="0.2">
      <c r="A114" s="68"/>
      <c r="B114" s="86"/>
      <c r="C114" s="70" t="s">
        <v>39</v>
      </c>
      <c r="D114" s="96">
        <v>0</v>
      </c>
      <c r="E114" s="73">
        <v>0</v>
      </c>
      <c r="F114" s="73">
        <v>0</v>
      </c>
      <c r="G114" s="74" t="e">
        <f t="shared" si="0"/>
        <v>#DIV/0!</v>
      </c>
      <c r="H114" s="75" t="e">
        <f t="shared" si="1"/>
        <v>#DIV/0!</v>
      </c>
      <c r="I114" s="76" t="e">
        <f t="shared" si="2"/>
        <v>#DIV/0!</v>
      </c>
      <c r="J114" s="96">
        <v>0</v>
      </c>
      <c r="K114" s="73">
        <v>0</v>
      </c>
      <c r="L114" s="73">
        <v>0</v>
      </c>
      <c r="M114" s="97">
        <v>0</v>
      </c>
      <c r="N114" s="79" t="e">
        <f t="shared" si="44"/>
        <v>#DIV/0!</v>
      </c>
      <c r="O114" s="80" t="e">
        <f t="shared" si="4"/>
        <v>#DIV/0!</v>
      </c>
      <c r="P114" s="79" t="e">
        <f t="shared" si="5"/>
        <v>#DIV/0!</v>
      </c>
      <c r="Q114" s="81" t="e">
        <f t="shared" si="6"/>
        <v>#DIV/0!</v>
      </c>
      <c r="R114" s="98">
        <f t="shared" si="43"/>
        <v>0</v>
      </c>
      <c r="S114" s="83" t="e">
        <f t="shared" si="8"/>
        <v>#DIV/0!</v>
      </c>
      <c r="T114" s="84"/>
      <c r="U114" s="84"/>
      <c r="V114" s="84"/>
      <c r="W114" s="84"/>
      <c r="X114" s="85"/>
      <c r="Y114" s="68"/>
      <c r="Z114" s="68"/>
    </row>
    <row r="115" spans="1:26" ht="12.75" hidden="1" outlineLevel="1" x14ac:dyDescent="0.2">
      <c r="A115" s="68"/>
      <c r="B115" s="86"/>
      <c r="C115" s="70" t="s">
        <v>40</v>
      </c>
      <c r="D115" s="99">
        <v>0</v>
      </c>
      <c r="E115" s="73">
        <v>0</v>
      </c>
      <c r="F115" s="73">
        <v>0</v>
      </c>
      <c r="G115" s="74" t="e">
        <f t="shared" si="0"/>
        <v>#DIV/0!</v>
      </c>
      <c r="H115" s="75" t="e">
        <f t="shared" si="1"/>
        <v>#DIV/0!</v>
      </c>
      <c r="I115" s="76" t="e">
        <f t="shared" si="2"/>
        <v>#DIV/0!</v>
      </c>
      <c r="J115" s="99">
        <v>0</v>
      </c>
      <c r="K115" s="73">
        <v>0</v>
      </c>
      <c r="L115" s="73">
        <v>0</v>
      </c>
      <c r="M115" s="100">
        <v>0</v>
      </c>
      <c r="N115" s="79" t="e">
        <f t="shared" si="44"/>
        <v>#DIV/0!</v>
      </c>
      <c r="O115" s="80" t="e">
        <f t="shared" si="4"/>
        <v>#DIV/0!</v>
      </c>
      <c r="P115" s="79" t="e">
        <f t="shared" si="5"/>
        <v>#DIV/0!</v>
      </c>
      <c r="Q115" s="81" t="e">
        <f t="shared" si="6"/>
        <v>#DIV/0!</v>
      </c>
      <c r="R115" s="101">
        <f t="shared" si="43"/>
        <v>0</v>
      </c>
      <c r="S115" s="83" t="e">
        <f t="shared" si="8"/>
        <v>#DIV/0!</v>
      </c>
      <c r="T115" s="84"/>
      <c r="U115" s="84"/>
      <c r="V115" s="84"/>
      <c r="W115" s="84"/>
      <c r="X115" s="85"/>
      <c r="Y115" s="68"/>
      <c r="Z115" s="68"/>
    </row>
    <row r="116" spans="1:26" ht="12.75" hidden="1" outlineLevel="1" x14ac:dyDescent="0.2">
      <c r="A116" s="68"/>
      <c r="B116" s="86"/>
      <c r="C116" s="70" t="s">
        <v>41</v>
      </c>
      <c r="D116" s="102">
        <v>1951.25</v>
      </c>
      <c r="E116" s="73">
        <v>24</v>
      </c>
      <c r="F116" s="73">
        <v>23</v>
      </c>
      <c r="G116" s="74">
        <f t="shared" si="0"/>
        <v>1.0434782608695652</v>
      </c>
      <c r="H116" s="75">
        <f t="shared" si="1"/>
        <v>81.302083333333329</v>
      </c>
      <c r="I116" s="76">
        <f t="shared" si="2"/>
        <v>77.914496527777771</v>
      </c>
      <c r="J116" s="102">
        <v>375.28</v>
      </c>
      <c r="K116" s="73">
        <v>37748</v>
      </c>
      <c r="L116" s="73">
        <v>12</v>
      </c>
      <c r="M116" s="103">
        <v>680.64</v>
      </c>
      <c r="N116" s="79">
        <f t="shared" si="44"/>
        <v>0.55136342266102489</v>
      </c>
      <c r="O116" s="80">
        <f t="shared" si="4"/>
        <v>1.8136857812833085</v>
      </c>
      <c r="P116" s="79">
        <f t="shared" si="5"/>
        <v>0.19232799487508007</v>
      </c>
      <c r="Q116" s="81">
        <f t="shared" si="6"/>
        <v>0.34882254964766174</v>
      </c>
      <c r="R116" s="104">
        <f t="shared" si="43"/>
        <v>1270.6100000000001</v>
      </c>
      <c r="S116" s="83">
        <f t="shared" si="8"/>
        <v>31.27333333333333</v>
      </c>
      <c r="T116" s="84"/>
      <c r="U116" s="84"/>
      <c r="V116" s="84"/>
      <c r="W116" s="84"/>
      <c r="X116" s="85"/>
      <c r="Y116" s="68"/>
      <c r="Z116" s="68"/>
    </row>
    <row r="117" spans="1:26" ht="12.75" hidden="1" outlineLevel="1" x14ac:dyDescent="0.2">
      <c r="A117" s="68"/>
      <c r="B117" s="86"/>
      <c r="C117" s="70" t="s">
        <v>42</v>
      </c>
      <c r="D117" s="90">
        <v>119.94</v>
      </c>
      <c r="E117" s="73">
        <v>6</v>
      </c>
      <c r="F117" s="73">
        <v>6</v>
      </c>
      <c r="G117" s="74">
        <f t="shared" si="0"/>
        <v>1</v>
      </c>
      <c r="H117" s="75">
        <f t="shared" si="1"/>
        <v>19.989999999999998</v>
      </c>
      <c r="I117" s="76">
        <f t="shared" si="2"/>
        <v>19.989999999999998</v>
      </c>
      <c r="J117" s="90">
        <v>323.8</v>
      </c>
      <c r="K117" s="73">
        <v>62858</v>
      </c>
      <c r="L117" s="73">
        <v>3</v>
      </c>
      <c r="M117" s="91">
        <v>59.97</v>
      </c>
      <c r="N117" s="79">
        <f t="shared" si="44"/>
        <v>5.3993663498415874</v>
      </c>
      <c r="O117" s="80">
        <f t="shared" si="4"/>
        <v>0.18520691785052501</v>
      </c>
      <c r="P117" s="79">
        <f t="shared" si="5"/>
        <v>2.6996831749207937</v>
      </c>
      <c r="Q117" s="81">
        <f t="shared" si="6"/>
        <v>0.5</v>
      </c>
      <c r="R117" s="92">
        <f t="shared" si="43"/>
        <v>59.97</v>
      </c>
      <c r="S117" s="83">
        <f t="shared" si="8"/>
        <v>107.93333333333334</v>
      </c>
      <c r="T117" s="84"/>
      <c r="U117" s="84"/>
      <c r="V117" s="84"/>
      <c r="W117" s="84"/>
      <c r="X117" s="85"/>
      <c r="Y117" s="68"/>
      <c r="Z117" s="68"/>
    </row>
    <row r="118" spans="1:26" ht="12.75" hidden="1" outlineLevel="1" x14ac:dyDescent="0.2">
      <c r="A118" s="68"/>
      <c r="B118" s="86"/>
      <c r="C118" s="70" t="s">
        <v>43</v>
      </c>
      <c r="D118" s="105">
        <v>1325.54</v>
      </c>
      <c r="E118" s="73">
        <v>11</v>
      </c>
      <c r="F118" s="73">
        <v>11</v>
      </c>
      <c r="G118" s="74">
        <f t="shared" si="0"/>
        <v>1</v>
      </c>
      <c r="H118" s="75">
        <f t="shared" si="1"/>
        <v>120.50363636363636</v>
      </c>
      <c r="I118" s="76">
        <f t="shared" si="2"/>
        <v>120.50363636363636</v>
      </c>
      <c r="J118" s="105">
        <v>56.8</v>
      </c>
      <c r="K118" s="73">
        <v>7269</v>
      </c>
      <c r="L118" s="73">
        <v>2</v>
      </c>
      <c r="M118" s="106">
        <v>205.95</v>
      </c>
      <c r="N118" s="79">
        <f t="shared" si="44"/>
        <v>0.27579509589706241</v>
      </c>
      <c r="O118" s="80">
        <f t="shared" si="4"/>
        <v>3.625880281690141</v>
      </c>
      <c r="P118" s="79">
        <f t="shared" si="5"/>
        <v>4.285046094421896E-2</v>
      </c>
      <c r="Q118" s="81">
        <f t="shared" si="6"/>
        <v>0.15537064139897702</v>
      </c>
      <c r="R118" s="107">
        <f t="shared" si="43"/>
        <v>1119.5899999999999</v>
      </c>
      <c r="S118" s="83">
        <f t="shared" si="8"/>
        <v>28.4</v>
      </c>
      <c r="T118" s="84"/>
      <c r="U118" s="84"/>
      <c r="V118" s="84"/>
      <c r="W118" s="84"/>
      <c r="X118" s="85"/>
      <c r="Y118" s="68"/>
      <c r="Z118" s="68"/>
    </row>
    <row r="119" spans="1:26" ht="12.75" hidden="1" outlineLevel="1" x14ac:dyDescent="0.2">
      <c r="A119" s="68"/>
      <c r="B119" s="86"/>
      <c r="C119" s="70" t="s">
        <v>44</v>
      </c>
      <c r="D119" s="108">
        <v>479.6</v>
      </c>
      <c r="E119" s="73">
        <v>8</v>
      </c>
      <c r="F119" s="73">
        <v>7</v>
      </c>
      <c r="G119" s="74">
        <f t="shared" si="0"/>
        <v>1.1428571428571428</v>
      </c>
      <c r="H119" s="75">
        <f t="shared" si="1"/>
        <v>59.95</v>
      </c>
      <c r="I119" s="76">
        <f t="shared" si="2"/>
        <v>52.456250000000004</v>
      </c>
      <c r="J119" s="108">
        <v>87.5</v>
      </c>
      <c r="K119" s="73">
        <v>43140</v>
      </c>
      <c r="L119" s="73">
        <v>3</v>
      </c>
      <c r="M119" s="109">
        <v>179.85</v>
      </c>
      <c r="N119" s="79">
        <f t="shared" si="44"/>
        <v>0.48651654156241314</v>
      </c>
      <c r="O119" s="80">
        <f t="shared" si="4"/>
        <v>2.0554285714285712</v>
      </c>
      <c r="P119" s="79">
        <f t="shared" si="5"/>
        <v>0.18244370308590491</v>
      </c>
      <c r="Q119" s="81">
        <f t="shared" si="6"/>
        <v>0.37499999999999994</v>
      </c>
      <c r="R119" s="110">
        <f t="shared" si="43"/>
        <v>299.75</v>
      </c>
      <c r="S119" s="83">
        <f t="shared" si="8"/>
        <v>29.166666666666668</v>
      </c>
      <c r="T119" s="84"/>
      <c r="U119" s="84"/>
      <c r="V119" s="84"/>
      <c r="W119" s="84"/>
      <c r="X119" s="85"/>
      <c r="Y119" s="68"/>
      <c r="Z119" s="68"/>
    </row>
    <row r="120" spans="1:26" ht="12.75" hidden="1" outlineLevel="1" x14ac:dyDescent="0.2">
      <c r="A120" s="111"/>
      <c r="B120" s="86"/>
      <c r="C120" s="112" t="s">
        <v>45</v>
      </c>
      <c r="D120" s="71">
        <v>0</v>
      </c>
      <c r="E120" s="73">
        <v>0</v>
      </c>
      <c r="F120" s="73">
        <v>0</v>
      </c>
      <c r="G120" s="74" t="e">
        <f t="shared" si="0"/>
        <v>#DIV/0!</v>
      </c>
      <c r="H120" s="75" t="e">
        <f t="shared" si="1"/>
        <v>#DIV/0!</v>
      </c>
      <c r="I120" s="76" t="e">
        <f t="shared" si="2"/>
        <v>#DIV/0!</v>
      </c>
      <c r="J120" s="71">
        <v>0</v>
      </c>
      <c r="K120" s="73">
        <v>0</v>
      </c>
      <c r="L120" s="73">
        <v>0</v>
      </c>
      <c r="M120" s="78">
        <v>0</v>
      </c>
      <c r="N120" s="79" t="e">
        <f t="shared" si="44"/>
        <v>#DIV/0!</v>
      </c>
      <c r="O120" s="80" t="e">
        <f t="shared" si="4"/>
        <v>#DIV/0!</v>
      </c>
      <c r="P120" s="79" t="e">
        <f t="shared" si="5"/>
        <v>#DIV/0!</v>
      </c>
      <c r="Q120" s="81" t="e">
        <f t="shared" si="6"/>
        <v>#DIV/0!</v>
      </c>
      <c r="R120" s="82">
        <f t="shared" si="43"/>
        <v>0</v>
      </c>
      <c r="S120" s="83" t="e">
        <f t="shared" si="8"/>
        <v>#DIV/0!</v>
      </c>
      <c r="T120" s="113"/>
      <c r="U120" s="113"/>
      <c r="V120" s="113"/>
      <c r="W120" s="114"/>
      <c r="X120" s="115"/>
      <c r="Y120" s="68"/>
      <c r="Z120" s="68"/>
    </row>
    <row r="121" spans="1:26" ht="12.75" hidden="1" outlineLevel="1" x14ac:dyDescent="0.2">
      <c r="A121" s="68"/>
      <c r="B121" s="86"/>
      <c r="C121" s="70" t="s">
        <v>46</v>
      </c>
      <c r="D121" s="116">
        <v>1222.5999999999999</v>
      </c>
      <c r="E121" s="73">
        <v>28</v>
      </c>
      <c r="F121" s="73">
        <v>29</v>
      </c>
      <c r="G121" s="74">
        <f t="shared" si="0"/>
        <v>0.96551724137931039</v>
      </c>
      <c r="H121" s="75">
        <f t="shared" si="1"/>
        <v>43.664285714285711</v>
      </c>
      <c r="I121" s="76">
        <f t="shared" si="2"/>
        <v>45.223724489795913</v>
      </c>
      <c r="J121" s="116">
        <v>178.14</v>
      </c>
      <c r="K121" s="73">
        <v>39564</v>
      </c>
      <c r="L121" s="73">
        <v>8</v>
      </c>
      <c r="M121" s="117">
        <v>304.64999999999998</v>
      </c>
      <c r="N121" s="79">
        <f t="shared" si="44"/>
        <v>0.58473658296405706</v>
      </c>
      <c r="O121" s="80">
        <f t="shared" si="4"/>
        <v>1.7101717750084204</v>
      </c>
      <c r="P121" s="79">
        <f t="shared" si="5"/>
        <v>0.14570587273024702</v>
      </c>
      <c r="Q121" s="81">
        <f t="shared" si="6"/>
        <v>0.24918207099623751</v>
      </c>
      <c r="R121" s="82">
        <f t="shared" si="43"/>
        <v>917.94999999999993</v>
      </c>
      <c r="S121" s="83">
        <f t="shared" si="8"/>
        <v>22.267499999999998</v>
      </c>
      <c r="T121" s="84"/>
      <c r="U121" s="84"/>
      <c r="V121" s="84"/>
      <c r="W121" s="84"/>
      <c r="X121" s="85"/>
      <c r="Y121" s="68"/>
      <c r="Z121" s="68"/>
    </row>
    <row r="122" spans="1:26" ht="12.75" hidden="1" outlineLevel="1" x14ac:dyDescent="0.2">
      <c r="A122" s="68"/>
      <c r="B122" s="86"/>
      <c r="C122" s="70" t="s">
        <v>47</v>
      </c>
      <c r="D122" s="87">
        <v>119.4</v>
      </c>
      <c r="E122" s="73">
        <v>4</v>
      </c>
      <c r="F122" s="73">
        <v>2</v>
      </c>
      <c r="G122" s="74">
        <f t="shared" si="0"/>
        <v>2</v>
      </c>
      <c r="H122" s="75">
        <f t="shared" si="1"/>
        <v>29.85</v>
      </c>
      <c r="I122" s="76">
        <f t="shared" si="2"/>
        <v>14.925000000000001</v>
      </c>
      <c r="J122" s="87">
        <v>0</v>
      </c>
      <c r="K122" s="73">
        <v>0</v>
      </c>
      <c r="L122" s="73">
        <v>0</v>
      </c>
      <c r="M122" s="88">
        <v>0</v>
      </c>
      <c r="N122" s="79" t="e">
        <f t="shared" si="44"/>
        <v>#DIV/0!</v>
      </c>
      <c r="O122" s="80" t="e">
        <f t="shared" si="4"/>
        <v>#DIV/0!</v>
      </c>
      <c r="P122" s="79">
        <f t="shared" si="5"/>
        <v>0</v>
      </c>
      <c r="Q122" s="81">
        <f t="shared" si="6"/>
        <v>0</v>
      </c>
      <c r="R122" s="82">
        <f t="shared" si="43"/>
        <v>119.4</v>
      </c>
      <c r="S122" s="83" t="e">
        <f t="shared" si="8"/>
        <v>#DIV/0!</v>
      </c>
      <c r="T122" s="84"/>
      <c r="U122" s="84"/>
      <c r="V122" s="84"/>
      <c r="W122" s="84"/>
      <c r="X122" s="85"/>
      <c r="Y122" s="68"/>
      <c r="Z122" s="68"/>
    </row>
    <row r="123" spans="1:26" ht="12.75" hidden="1" outlineLevel="1" x14ac:dyDescent="0.2">
      <c r="A123" s="68"/>
      <c r="B123" s="86"/>
      <c r="C123" s="70" t="s">
        <v>48</v>
      </c>
      <c r="D123" s="102">
        <v>2099.5</v>
      </c>
      <c r="E123" s="73">
        <v>10</v>
      </c>
      <c r="F123" s="73">
        <v>12</v>
      </c>
      <c r="G123" s="74">
        <f t="shared" si="0"/>
        <v>0.83333333333333337</v>
      </c>
      <c r="H123" s="75">
        <f t="shared" si="1"/>
        <v>209.95</v>
      </c>
      <c r="I123" s="76">
        <f t="shared" si="2"/>
        <v>251.93999999999997</v>
      </c>
      <c r="J123" s="102">
        <v>488.02</v>
      </c>
      <c r="K123" s="73">
        <v>41395</v>
      </c>
      <c r="L123" s="73">
        <v>8</v>
      </c>
      <c r="M123" s="103">
        <v>1179.7</v>
      </c>
      <c r="N123" s="79">
        <f t="shared" si="44"/>
        <v>0.4136814444350258</v>
      </c>
      <c r="O123" s="80">
        <f t="shared" si="4"/>
        <v>2.4173189623376095</v>
      </c>
      <c r="P123" s="79">
        <f t="shared" si="5"/>
        <v>0.23244582043343653</v>
      </c>
      <c r="Q123" s="81">
        <f t="shared" si="6"/>
        <v>0.56189568944986901</v>
      </c>
      <c r="R123" s="82">
        <f t="shared" si="43"/>
        <v>919.8</v>
      </c>
      <c r="S123" s="83">
        <f t="shared" si="8"/>
        <v>61.002499999999998</v>
      </c>
      <c r="T123" s="84"/>
      <c r="U123" s="84"/>
      <c r="V123" s="84"/>
      <c r="W123" s="84"/>
      <c r="X123" s="85"/>
      <c r="Y123" s="68"/>
      <c r="Z123" s="68"/>
    </row>
    <row r="124" spans="1:26" ht="12.75" hidden="1" outlineLevel="1" x14ac:dyDescent="0.2">
      <c r="A124" s="68"/>
      <c r="B124" s="86"/>
      <c r="C124" s="70" t="s">
        <v>49</v>
      </c>
      <c r="D124" s="116">
        <v>30</v>
      </c>
      <c r="E124" s="73">
        <v>1</v>
      </c>
      <c r="F124" s="73">
        <v>1</v>
      </c>
      <c r="G124" s="74">
        <f t="shared" si="0"/>
        <v>1</v>
      </c>
      <c r="H124" s="75">
        <f t="shared" si="1"/>
        <v>30</v>
      </c>
      <c r="I124" s="76">
        <f t="shared" si="2"/>
        <v>30</v>
      </c>
      <c r="J124" s="116">
        <v>7</v>
      </c>
      <c r="K124" s="73">
        <v>7982</v>
      </c>
      <c r="L124" s="73">
        <v>1</v>
      </c>
      <c r="M124" s="117">
        <v>30</v>
      </c>
      <c r="N124" s="79">
        <f t="shared" si="44"/>
        <v>0.23333333333333334</v>
      </c>
      <c r="O124" s="80">
        <f t="shared" si="4"/>
        <v>4.2857142857142856</v>
      </c>
      <c r="P124" s="79">
        <f t="shared" si="5"/>
        <v>0.23333333333333334</v>
      </c>
      <c r="Q124" s="81">
        <f t="shared" si="6"/>
        <v>1</v>
      </c>
      <c r="R124" s="82">
        <f t="shared" si="43"/>
        <v>0</v>
      </c>
      <c r="S124" s="83">
        <f t="shared" si="8"/>
        <v>7</v>
      </c>
      <c r="T124" s="84"/>
      <c r="U124" s="84"/>
      <c r="V124" s="84"/>
      <c r="W124" s="84"/>
      <c r="X124" s="85"/>
      <c r="Y124" s="68"/>
      <c r="Z124" s="68"/>
    </row>
    <row r="125" spans="1:26" hidden="1" outlineLevel="1" x14ac:dyDescent="0.25">
      <c r="A125" s="118" t="str">
        <f t="shared" ref="A125:A126" si="45">IFERROR(IF(B125&gt;0,MONTH(B125)&amp;"-"&amp;YEAR(B125),B125),)</f>
        <v>1-2026</v>
      </c>
      <c r="B125" s="69">
        <v>46053</v>
      </c>
      <c r="C125" s="198" t="s">
        <v>64</v>
      </c>
      <c r="D125" s="116">
        <v>0</v>
      </c>
      <c r="E125" s="73">
        <v>0</v>
      </c>
      <c r="F125" s="73">
        <v>0</v>
      </c>
      <c r="G125" s="74" t="e">
        <f t="shared" si="0"/>
        <v>#DIV/0!</v>
      </c>
      <c r="H125" s="75" t="e">
        <f t="shared" si="1"/>
        <v>#DIV/0!</v>
      </c>
      <c r="I125" s="76" t="e">
        <f t="shared" si="2"/>
        <v>#DIV/0!</v>
      </c>
      <c r="J125" s="87">
        <v>3032.95</v>
      </c>
      <c r="K125" s="199">
        <v>264038</v>
      </c>
      <c r="L125" s="73">
        <v>0</v>
      </c>
      <c r="M125" s="88">
        <v>9507.4200000000019</v>
      </c>
      <c r="N125" s="79">
        <f t="shared" si="44"/>
        <v>0.3190087321271175</v>
      </c>
      <c r="O125" s="80">
        <f t="shared" si="4"/>
        <v>3.1347104304390125</v>
      </c>
      <c r="P125" s="79" t="e">
        <f t="shared" si="5"/>
        <v>#DIV/0!</v>
      </c>
      <c r="Q125" s="81" t="e">
        <f t="shared" si="6"/>
        <v>#DIV/0!</v>
      </c>
      <c r="R125" s="82">
        <f t="shared" si="43"/>
        <v>-9507.4200000000019</v>
      </c>
      <c r="S125" s="83" t="e">
        <f t="shared" si="8"/>
        <v>#DIV/0!</v>
      </c>
      <c r="T125" s="84"/>
      <c r="U125" s="84"/>
      <c r="V125" s="84"/>
      <c r="W125" s="84"/>
      <c r="X125" s="85"/>
      <c r="Y125" s="68"/>
      <c r="Z125" s="68"/>
    </row>
    <row r="126" spans="1:26" ht="12.75" collapsed="1" x14ac:dyDescent="0.2">
      <c r="A126" s="68">
        <f t="shared" si="45"/>
        <v>0</v>
      </c>
      <c r="B126" s="119" t="s">
        <v>55</v>
      </c>
      <c r="C126" s="120"/>
      <c r="D126" s="121">
        <f t="shared" ref="D126:F126" si="46">SUM(D108:D125)</f>
        <v>18913.370000000003</v>
      </c>
      <c r="E126" s="123">
        <f t="shared" si="46"/>
        <v>235</v>
      </c>
      <c r="F126" s="123">
        <f t="shared" si="46"/>
        <v>251</v>
      </c>
      <c r="G126" s="124">
        <f t="shared" si="0"/>
        <v>0.93625498007968122</v>
      </c>
      <c r="H126" s="125">
        <f t="shared" si="1"/>
        <v>80.482425531914899</v>
      </c>
      <c r="I126" s="126">
        <f t="shared" si="2"/>
        <v>85.962080036215497</v>
      </c>
      <c r="J126" s="121">
        <f t="shared" ref="J126:M126" si="47">SUM(J108:J125)</f>
        <v>6275.7800000000007</v>
      </c>
      <c r="K126" s="123">
        <f t="shared" si="47"/>
        <v>906134</v>
      </c>
      <c r="L126" s="123">
        <f t="shared" si="47"/>
        <v>74</v>
      </c>
      <c r="M126" s="127">
        <f t="shared" si="47"/>
        <v>16440.07</v>
      </c>
      <c r="N126" s="128">
        <f t="shared" si="44"/>
        <v>0.3817368174223103</v>
      </c>
      <c r="O126" s="129">
        <f t="shared" si="4"/>
        <v>2.6196058497907826</v>
      </c>
      <c r="P126" s="128">
        <f t="shared" si="5"/>
        <v>0.33181712196187141</v>
      </c>
      <c r="Q126" s="130">
        <f t="shared" si="6"/>
        <v>0.86923007375205996</v>
      </c>
      <c r="R126" s="131">
        <f>SUM(R108:R125)</f>
        <v>2473.2999999999975</v>
      </c>
      <c r="S126" s="132">
        <f t="shared" si="8"/>
        <v>84.807837837837852</v>
      </c>
      <c r="T126" s="134">
        <f t="shared" ref="T126:U126" si="48">IFERROR((D126-#REF!)/D126,)</f>
        <v>0</v>
      </c>
      <c r="U126" s="134">
        <f t="shared" si="48"/>
        <v>0</v>
      </c>
      <c r="V126" s="134">
        <f t="shared" ref="V126:W126" si="49">IFERROR((D126-#REF!)/D126, )</f>
        <v>0</v>
      </c>
      <c r="W126" s="134">
        <f t="shared" si="49"/>
        <v>0</v>
      </c>
      <c r="X126" s="68"/>
      <c r="Y126" s="68"/>
      <c r="Z126" s="68"/>
    </row>
    <row r="127" spans="1:26" ht="12.75" hidden="1" outlineLevel="1" x14ac:dyDescent="0.2">
      <c r="A127" s="68"/>
      <c r="B127" s="69">
        <v>46054</v>
      </c>
      <c r="C127" s="70" t="s">
        <v>32</v>
      </c>
      <c r="D127" s="71">
        <v>2163.12</v>
      </c>
      <c r="E127" s="73">
        <v>22</v>
      </c>
      <c r="F127" s="73">
        <v>27</v>
      </c>
      <c r="G127" s="74">
        <f t="shared" si="0"/>
        <v>0.81481481481481477</v>
      </c>
      <c r="H127" s="75">
        <f t="shared" si="1"/>
        <v>98.323636363636354</v>
      </c>
      <c r="I127" s="76">
        <f t="shared" si="2"/>
        <v>120.66991735537189</v>
      </c>
      <c r="J127" s="77">
        <v>485.61</v>
      </c>
      <c r="K127" s="73">
        <v>108973</v>
      </c>
      <c r="L127" s="73">
        <v>7</v>
      </c>
      <c r="M127" s="78">
        <v>2102.89</v>
      </c>
      <c r="N127" s="79">
        <f t="shared" si="44"/>
        <v>0.2309250602741941</v>
      </c>
      <c r="O127" s="80">
        <f t="shared" si="4"/>
        <v>4.330409176087807</v>
      </c>
      <c r="P127" s="79">
        <f t="shared" si="5"/>
        <v>0.22449517363807836</v>
      </c>
      <c r="Q127" s="81">
        <f t="shared" si="6"/>
        <v>0.97215595990976</v>
      </c>
      <c r="R127" s="82">
        <f t="shared" ref="R127:R144" si="50">D127-M127</f>
        <v>60.230000000000018</v>
      </c>
      <c r="S127" s="83">
        <f t="shared" si="8"/>
        <v>69.372857142857143</v>
      </c>
      <c r="T127" s="84"/>
      <c r="U127" s="84"/>
      <c r="V127" s="84"/>
      <c r="W127" s="84"/>
      <c r="X127" s="85"/>
      <c r="Y127" s="68"/>
      <c r="Z127" s="68"/>
    </row>
    <row r="128" spans="1:26" ht="12.75" hidden="1" outlineLevel="1" x14ac:dyDescent="0.2">
      <c r="A128" s="68"/>
      <c r="B128" s="86"/>
      <c r="C128" s="70" t="s">
        <v>33</v>
      </c>
      <c r="D128" s="87">
        <v>5763.41</v>
      </c>
      <c r="E128" s="73">
        <v>91</v>
      </c>
      <c r="F128" s="73">
        <v>100</v>
      </c>
      <c r="G128" s="74">
        <f t="shared" si="0"/>
        <v>0.91</v>
      </c>
      <c r="H128" s="75">
        <f t="shared" si="1"/>
        <v>63.334175824175823</v>
      </c>
      <c r="I128" s="76">
        <f t="shared" si="2"/>
        <v>69.597995411182225</v>
      </c>
      <c r="J128" s="87">
        <v>631.74</v>
      </c>
      <c r="K128" s="73">
        <v>142084</v>
      </c>
      <c r="L128" s="73">
        <v>23</v>
      </c>
      <c r="M128" s="88">
        <v>2126.5</v>
      </c>
      <c r="N128" s="79">
        <f t="shared" si="44"/>
        <v>0.29707970844110038</v>
      </c>
      <c r="O128" s="80">
        <f t="shared" si="4"/>
        <v>3.3660999778389842</v>
      </c>
      <c r="P128" s="79">
        <f t="shared" si="5"/>
        <v>0.10961219139363676</v>
      </c>
      <c r="Q128" s="81">
        <f t="shared" si="6"/>
        <v>0.36896559502100318</v>
      </c>
      <c r="R128" s="89">
        <f t="shared" si="50"/>
        <v>3636.91</v>
      </c>
      <c r="S128" s="83">
        <f t="shared" si="8"/>
        <v>27.466956521739132</v>
      </c>
      <c r="T128" s="84"/>
      <c r="U128" s="84"/>
      <c r="V128" s="84"/>
      <c r="W128" s="84"/>
      <c r="X128" s="85"/>
      <c r="Y128" s="68"/>
      <c r="Z128" s="68"/>
    </row>
    <row r="129" spans="1:26" ht="12.75" hidden="1" outlineLevel="1" x14ac:dyDescent="0.2">
      <c r="A129" s="68"/>
      <c r="B129" s="86"/>
      <c r="C129" s="70" t="s">
        <v>34</v>
      </c>
      <c r="D129" s="90">
        <v>0</v>
      </c>
      <c r="E129" s="73">
        <v>0</v>
      </c>
      <c r="F129" s="73">
        <v>0</v>
      </c>
      <c r="G129" s="74" t="e">
        <f t="shared" si="0"/>
        <v>#DIV/0!</v>
      </c>
      <c r="H129" s="75" t="e">
        <f t="shared" si="1"/>
        <v>#DIV/0!</v>
      </c>
      <c r="I129" s="76" t="e">
        <f t="shared" si="2"/>
        <v>#DIV/0!</v>
      </c>
      <c r="J129" s="90">
        <v>11.7</v>
      </c>
      <c r="K129" s="73">
        <v>287</v>
      </c>
      <c r="L129" s="73">
        <v>0</v>
      </c>
      <c r="M129" s="91">
        <v>0</v>
      </c>
      <c r="N129" s="79" t="e">
        <f>(J129/M129)</f>
        <v>#DIV/0!</v>
      </c>
      <c r="O129" s="80">
        <f t="shared" si="4"/>
        <v>0</v>
      </c>
      <c r="P129" s="79" t="e">
        <f t="shared" si="5"/>
        <v>#DIV/0!</v>
      </c>
      <c r="Q129" s="81" t="e">
        <f t="shared" si="6"/>
        <v>#DIV/0!</v>
      </c>
      <c r="R129" s="92">
        <f t="shared" si="50"/>
        <v>0</v>
      </c>
      <c r="S129" s="83" t="e">
        <f t="shared" si="8"/>
        <v>#DIV/0!</v>
      </c>
      <c r="T129" s="84"/>
      <c r="U129" s="84"/>
      <c r="V129" s="84"/>
      <c r="W129" s="84"/>
      <c r="X129" s="85"/>
      <c r="Y129" s="68"/>
      <c r="Z129" s="68"/>
    </row>
    <row r="130" spans="1:26" ht="12.75" hidden="1" outlineLevel="1" x14ac:dyDescent="0.2">
      <c r="A130" s="68"/>
      <c r="B130" s="86"/>
      <c r="C130" s="70" t="s">
        <v>35</v>
      </c>
      <c r="D130" s="90">
        <v>1133.06</v>
      </c>
      <c r="E130" s="73">
        <v>19</v>
      </c>
      <c r="F130" s="73">
        <v>16</v>
      </c>
      <c r="G130" s="74">
        <f t="shared" si="0"/>
        <v>1.1875</v>
      </c>
      <c r="H130" s="75">
        <f t="shared" si="1"/>
        <v>59.634736842105262</v>
      </c>
      <c r="I130" s="76">
        <f t="shared" si="2"/>
        <v>50.218725761772852</v>
      </c>
      <c r="J130" s="90">
        <v>365.77</v>
      </c>
      <c r="K130" s="73">
        <v>24887</v>
      </c>
      <c r="L130" s="73">
        <v>6</v>
      </c>
      <c r="M130" s="91">
        <v>359.7</v>
      </c>
      <c r="N130" s="79">
        <f t="shared" ref="N130:N147" si="51">J130/M130</f>
        <v>1.0168751737559076</v>
      </c>
      <c r="O130" s="80">
        <f t="shared" si="4"/>
        <v>0.98340487191404435</v>
      </c>
      <c r="P130" s="79">
        <f t="shared" si="5"/>
        <v>0.32281609093957953</v>
      </c>
      <c r="Q130" s="81">
        <f t="shared" si="6"/>
        <v>0.31745891656222974</v>
      </c>
      <c r="R130" s="92">
        <f t="shared" si="50"/>
        <v>773.3599999999999</v>
      </c>
      <c r="S130" s="83">
        <f t="shared" si="8"/>
        <v>60.961666666666666</v>
      </c>
      <c r="T130" s="84"/>
      <c r="U130" s="84"/>
      <c r="V130" s="84"/>
      <c r="W130" s="84"/>
      <c r="X130" s="85"/>
      <c r="Y130" s="68"/>
      <c r="Z130" s="68"/>
    </row>
    <row r="131" spans="1:26" ht="12.75" hidden="1" outlineLevel="1" x14ac:dyDescent="0.2">
      <c r="A131" s="68"/>
      <c r="B131" s="86"/>
      <c r="C131" s="70" t="s">
        <v>36</v>
      </c>
      <c r="D131" s="90">
        <v>699.45</v>
      </c>
      <c r="E131" s="73">
        <v>11</v>
      </c>
      <c r="F131" s="73">
        <v>11</v>
      </c>
      <c r="G131" s="74">
        <f t="shared" si="0"/>
        <v>1</v>
      </c>
      <c r="H131" s="75">
        <f t="shared" si="1"/>
        <v>63.586363636363643</v>
      </c>
      <c r="I131" s="76">
        <f t="shared" si="2"/>
        <v>63.586363636363643</v>
      </c>
      <c r="J131" s="90">
        <v>44.33</v>
      </c>
      <c r="K131" s="73">
        <v>13257</v>
      </c>
      <c r="L131" s="73">
        <v>4</v>
      </c>
      <c r="M131" s="91">
        <v>259.8</v>
      </c>
      <c r="N131" s="79">
        <f t="shared" si="51"/>
        <v>0.17063125481139338</v>
      </c>
      <c r="O131" s="80">
        <f t="shared" si="4"/>
        <v>5.8605910218813451</v>
      </c>
      <c r="P131" s="79">
        <f t="shared" si="5"/>
        <v>6.3378368718278635E-2</v>
      </c>
      <c r="Q131" s="81">
        <f t="shared" si="6"/>
        <v>0.37143469869182927</v>
      </c>
      <c r="R131" s="92">
        <f t="shared" si="50"/>
        <v>439.65000000000003</v>
      </c>
      <c r="S131" s="83">
        <f t="shared" si="8"/>
        <v>11.0825</v>
      </c>
      <c r="T131" s="84"/>
      <c r="U131" s="84"/>
      <c r="V131" s="84"/>
      <c r="W131" s="84"/>
      <c r="X131" s="85"/>
      <c r="Y131" s="68"/>
      <c r="Z131" s="68"/>
    </row>
    <row r="132" spans="1:26" ht="12.75" hidden="1" outlineLevel="1" x14ac:dyDescent="0.2">
      <c r="A132" s="68"/>
      <c r="B132" s="69" t="s">
        <v>37</v>
      </c>
      <c r="C132" s="70" t="s">
        <v>38</v>
      </c>
      <c r="D132" s="93">
        <v>80.94</v>
      </c>
      <c r="E132" s="73">
        <v>2</v>
      </c>
      <c r="F132" s="73">
        <v>2</v>
      </c>
      <c r="G132" s="74">
        <f t="shared" si="0"/>
        <v>1</v>
      </c>
      <c r="H132" s="75">
        <f t="shared" si="1"/>
        <v>40.47</v>
      </c>
      <c r="I132" s="76">
        <f t="shared" si="2"/>
        <v>40.47</v>
      </c>
      <c r="J132" s="93">
        <v>29.97</v>
      </c>
      <c r="K132" s="73">
        <v>196982</v>
      </c>
      <c r="L132" s="73">
        <v>2</v>
      </c>
      <c r="M132" s="94">
        <v>80.94</v>
      </c>
      <c r="N132" s="79">
        <f t="shared" si="51"/>
        <v>0.37027427724240175</v>
      </c>
      <c r="O132" s="80">
        <f t="shared" si="4"/>
        <v>2.7007007007007009</v>
      </c>
      <c r="P132" s="79">
        <f t="shared" si="5"/>
        <v>0.37027427724240175</v>
      </c>
      <c r="Q132" s="81">
        <f t="shared" si="6"/>
        <v>1</v>
      </c>
      <c r="R132" s="95">
        <f t="shared" si="50"/>
        <v>0</v>
      </c>
      <c r="S132" s="83">
        <f t="shared" si="8"/>
        <v>14.984999999999999</v>
      </c>
      <c r="T132" s="84"/>
      <c r="U132" s="84"/>
      <c r="V132" s="84"/>
      <c r="W132" s="84"/>
      <c r="X132" s="85"/>
      <c r="Y132" s="68"/>
      <c r="Z132" s="68"/>
    </row>
    <row r="133" spans="1:26" ht="12.75" hidden="1" outlineLevel="1" x14ac:dyDescent="0.2">
      <c r="A133" s="68"/>
      <c r="B133" s="86"/>
      <c r="C133" s="70" t="s">
        <v>39</v>
      </c>
      <c r="D133" s="96">
        <v>0</v>
      </c>
      <c r="E133" s="73">
        <v>0</v>
      </c>
      <c r="F133" s="73">
        <v>0</v>
      </c>
      <c r="G133" s="74" t="e">
        <f t="shared" si="0"/>
        <v>#DIV/0!</v>
      </c>
      <c r="H133" s="75" t="e">
        <f t="shared" si="1"/>
        <v>#DIV/0!</v>
      </c>
      <c r="I133" s="76" t="e">
        <f t="shared" si="2"/>
        <v>#DIV/0!</v>
      </c>
      <c r="J133" s="96">
        <v>0</v>
      </c>
      <c r="K133" s="73">
        <v>0</v>
      </c>
      <c r="L133" s="73">
        <v>0</v>
      </c>
      <c r="M133" s="97">
        <v>0</v>
      </c>
      <c r="N133" s="79" t="e">
        <f t="shared" si="51"/>
        <v>#DIV/0!</v>
      </c>
      <c r="O133" s="80" t="e">
        <f t="shared" si="4"/>
        <v>#DIV/0!</v>
      </c>
      <c r="P133" s="79" t="e">
        <f t="shared" si="5"/>
        <v>#DIV/0!</v>
      </c>
      <c r="Q133" s="81" t="e">
        <f t="shared" si="6"/>
        <v>#DIV/0!</v>
      </c>
      <c r="R133" s="98">
        <f t="shared" si="50"/>
        <v>0</v>
      </c>
      <c r="S133" s="83" t="e">
        <f t="shared" si="8"/>
        <v>#DIV/0!</v>
      </c>
      <c r="T133" s="84"/>
      <c r="U133" s="84"/>
      <c r="V133" s="84"/>
      <c r="W133" s="84"/>
      <c r="X133" s="85"/>
      <c r="Y133" s="68"/>
      <c r="Z133" s="68"/>
    </row>
    <row r="134" spans="1:26" ht="12.75" hidden="1" outlineLevel="1" x14ac:dyDescent="0.2">
      <c r="A134" s="68"/>
      <c r="B134" s="86"/>
      <c r="C134" s="70" t="s">
        <v>40</v>
      </c>
      <c r="D134" s="99">
        <v>0</v>
      </c>
      <c r="E134" s="73">
        <v>0</v>
      </c>
      <c r="F134" s="73">
        <v>0</v>
      </c>
      <c r="G134" s="74" t="e">
        <f t="shared" si="0"/>
        <v>#DIV/0!</v>
      </c>
      <c r="H134" s="75" t="e">
        <f t="shared" si="1"/>
        <v>#DIV/0!</v>
      </c>
      <c r="I134" s="76" t="e">
        <f t="shared" si="2"/>
        <v>#DIV/0!</v>
      </c>
      <c r="J134" s="99">
        <v>0</v>
      </c>
      <c r="K134" s="73">
        <v>0</v>
      </c>
      <c r="L134" s="73">
        <v>0</v>
      </c>
      <c r="M134" s="100">
        <v>0</v>
      </c>
      <c r="N134" s="79" t="e">
        <f t="shared" si="51"/>
        <v>#DIV/0!</v>
      </c>
      <c r="O134" s="80" t="e">
        <f t="shared" si="4"/>
        <v>#DIV/0!</v>
      </c>
      <c r="P134" s="79" t="e">
        <f t="shared" si="5"/>
        <v>#DIV/0!</v>
      </c>
      <c r="Q134" s="81" t="e">
        <f t="shared" si="6"/>
        <v>#DIV/0!</v>
      </c>
      <c r="R134" s="101">
        <f t="shared" si="50"/>
        <v>0</v>
      </c>
      <c r="S134" s="83" t="e">
        <f t="shared" si="8"/>
        <v>#DIV/0!</v>
      </c>
      <c r="T134" s="84"/>
      <c r="U134" s="84"/>
      <c r="V134" s="84"/>
      <c r="W134" s="84"/>
      <c r="X134" s="85"/>
      <c r="Y134" s="68"/>
      <c r="Z134" s="68"/>
    </row>
    <row r="135" spans="1:26" ht="12.75" hidden="1" outlineLevel="1" x14ac:dyDescent="0.2">
      <c r="A135" s="68"/>
      <c r="B135" s="86"/>
      <c r="C135" s="70" t="s">
        <v>41</v>
      </c>
      <c r="D135" s="102">
        <v>2788.32</v>
      </c>
      <c r="E135" s="73">
        <v>41</v>
      </c>
      <c r="F135" s="73">
        <v>40</v>
      </c>
      <c r="G135" s="74">
        <f t="shared" si="0"/>
        <v>1.0249999999999999</v>
      </c>
      <c r="H135" s="75">
        <f t="shared" si="1"/>
        <v>68.007804878048788</v>
      </c>
      <c r="I135" s="76">
        <f t="shared" si="2"/>
        <v>66.349077929803698</v>
      </c>
      <c r="J135" s="102">
        <v>556.11</v>
      </c>
      <c r="K135" s="73">
        <v>47970</v>
      </c>
      <c r="L135" s="73">
        <v>14</v>
      </c>
      <c r="M135" s="103">
        <v>875.87</v>
      </c>
      <c r="N135" s="79">
        <f t="shared" si="51"/>
        <v>0.63492299085480719</v>
      </c>
      <c r="O135" s="80">
        <f t="shared" si="4"/>
        <v>1.5749941558324791</v>
      </c>
      <c r="P135" s="79">
        <f t="shared" si="5"/>
        <v>0.19944267515923567</v>
      </c>
      <c r="Q135" s="81">
        <f t="shared" si="6"/>
        <v>0.31412104779939171</v>
      </c>
      <c r="R135" s="104">
        <f t="shared" si="50"/>
        <v>1912.4500000000003</v>
      </c>
      <c r="S135" s="83">
        <f t="shared" si="8"/>
        <v>39.722142857142856</v>
      </c>
      <c r="T135" s="84"/>
      <c r="U135" s="84"/>
      <c r="V135" s="84"/>
      <c r="W135" s="84"/>
      <c r="X135" s="85"/>
      <c r="Y135" s="68"/>
      <c r="Z135" s="68"/>
    </row>
    <row r="136" spans="1:26" ht="12.75" hidden="1" outlineLevel="1" x14ac:dyDescent="0.2">
      <c r="A136" s="68"/>
      <c r="B136" s="86"/>
      <c r="C136" s="70" t="s">
        <v>42</v>
      </c>
      <c r="D136" s="90">
        <v>119.94</v>
      </c>
      <c r="E136" s="73">
        <v>6</v>
      </c>
      <c r="F136" s="73">
        <v>6</v>
      </c>
      <c r="G136" s="74">
        <f t="shared" si="0"/>
        <v>1</v>
      </c>
      <c r="H136" s="75">
        <f t="shared" si="1"/>
        <v>19.989999999999998</v>
      </c>
      <c r="I136" s="76">
        <f t="shared" si="2"/>
        <v>19.989999999999998</v>
      </c>
      <c r="J136" s="90">
        <v>427.65</v>
      </c>
      <c r="K136" s="73">
        <v>71918</v>
      </c>
      <c r="L136" s="73">
        <v>4</v>
      </c>
      <c r="M136" s="91">
        <v>79.959999999999994</v>
      </c>
      <c r="N136" s="79">
        <f t="shared" si="51"/>
        <v>5.3482991495747871</v>
      </c>
      <c r="O136" s="80">
        <f t="shared" si="4"/>
        <v>0.18697533029346428</v>
      </c>
      <c r="P136" s="79">
        <f t="shared" si="5"/>
        <v>3.5655327663831913</v>
      </c>
      <c r="Q136" s="81">
        <f t="shared" si="6"/>
        <v>0.66666666666666663</v>
      </c>
      <c r="R136" s="92">
        <f t="shared" si="50"/>
        <v>39.980000000000004</v>
      </c>
      <c r="S136" s="83">
        <f t="shared" si="8"/>
        <v>106.91249999999999</v>
      </c>
      <c r="T136" s="84"/>
      <c r="U136" s="84"/>
      <c r="V136" s="84"/>
      <c r="W136" s="84"/>
      <c r="X136" s="85"/>
      <c r="Y136" s="68"/>
      <c r="Z136" s="68"/>
    </row>
    <row r="137" spans="1:26" ht="12.75" hidden="1" outlineLevel="1" x14ac:dyDescent="0.2">
      <c r="A137" s="68"/>
      <c r="B137" s="86"/>
      <c r="C137" s="70" t="s">
        <v>43</v>
      </c>
      <c r="D137" s="105">
        <v>1645.47</v>
      </c>
      <c r="E137" s="73">
        <v>13</v>
      </c>
      <c r="F137" s="73">
        <v>15</v>
      </c>
      <c r="G137" s="74">
        <f t="shared" si="0"/>
        <v>0.8666666666666667</v>
      </c>
      <c r="H137" s="75">
        <f t="shared" si="1"/>
        <v>126.57461538461538</v>
      </c>
      <c r="I137" s="76">
        <f t="shared" si="2"/>
        <v>146.04763313609467</v>
      </c>
      <c r="J137" s="105">
        <v>49.95</v>
      </c>
      <c r="K137" s="73">
        <v>8596</v>
      </c>
      <c r="L137" s="73">
        <v>2</v>
      </c>
      <c r="M137" s="106">
        <v>205.95</v>
      </c>
      <c r="N137" s="79">
        <f t="shared" si="51"/>
        <v>0.24253459577567374</v>
      </c>
      <c r="O137" s="80">
        <f t="shared" si="4"/>
        <v>4.1231231231231229</v>
      </c>
      <c r="P137" s="79">
        <f t="shared" si="5"/>
        <v>3.0356068478914842E-2</v>
      </c>
      <c r="Q137" s="81">
        <f t="shared" si="6"/>
        <v>0.12516180787252273</v>
      </c>
      <c r="R137" s="107">
        <f t="shared" si="50"/>
        <v>1439.52</v>
      </c>
      <c r="S137" s="83">
        <f t="shared" si="8"/>
        <v>24.975000000000001</v>
      </c>
      <c r="T137" s="84"/>
      <c r="U137" s="84"/>
      <c r="V137" s="84"/>
      <c r="W137" s="84"/>
      <c r="X137" s="85"/>
      <c r="Y137" s="68"/>
      <c r="Z137" s="68"/>
    </row>
    <row r="138" spans="1:26" ht="12.75" hidden="1" outlineLevel="1" x14ac:dyDescent="0.2">
      <c r="A138" s="68"/>
      <c r="B138" s="86"/>
      <c r="C138" s="70" t="s">
        <v>44</v>
      </c>
      <c r="D138" s="108">
        <v>314.75</v>
      </c>
      <c r="E138" s="73">
        <v>5</v>
      </c>
      <c r="F138" s="73">
        <v>6</v>
      </c>
      <c r="G138" s="74">
        <f t="shared" si="0"/>
        <v>0.83333333333333337</v>
      </c>
      <c r="H138" s="75">
        <f t="shared" si="1"/>
        <v>62.95</v>
      </c>
      <c r="I138" s="76">
        <f t="shared" si="2"/>
        <v>75.540000000000006</v>
      </c>
      <c r="J138" s="108">
        <v>76.14</v>
      </c>
      <c r="K138" s="73">
        <v>55639</v>
      </c>
      <c r="L138" s="73">
        <v>4</v>
      </c>
      <c r="M138" s="109">
        <v>239.8</v>
      </c>
      <c r="N138" s="79">
        <f t="shared" si="51"/>
        <v>0.31751459549624683</v>
      </c>
      <c r="O138" s="80">
        <f t="shared" si="4"/>
        <v>3.1494615182558445</v>
      </c>
      <c r="P138" s="79">
        <f t="shared" si="5"/>
        <v>0.24190627482128674</v>
      </c>
      <c r="Q138" s="81">
        <f t="shared" si="6"/>
        <v>0.76187450357426534</v>
      </c>
      <c r="R138" s="110">
        <f t="shared" si="50"/>
        <v>74.949999999999989</v>
      </c>
      <c r="S138" s="83">
        <f t="shared" si="8"/>
        <v>19.035</v>
      </c>
      <c r="T138" s="84"/>
      <c r="U138" s="84"/>
      <c r="V138" s="84"/>
      <c r="W138" s="84"/>
      <c r="X138" s="85"/>
      <c r="Y138" s="68"/>
      <c r="Z138" s="68"/>
    </row>
    <row r="139" spans="1:26" ht="12.75" hidden="1" outlineLevel="1" x14ac:dyDescent="0.2">
      <c r="A139" s="111"/>
      <c r="B139" s="86"/>
      <c r="C139" s="112" t="s">
        <v>45</v>
      </c>
      <c r="D139" s="71">
        <v>19.95</v>
      </c>
      <c r="E139" s="73">
        <v>1</v>
      </c>
      <c r="F139" s="73">
        <v>3</v>
      </c>
      <c r="G139" s="74">
        <f t="shared" si="0"/>
        <v>0.33333333333333331</v>
      </c>
      <c r="H139" s="75">
        <f t="shared" si="1"/>
        <v>19.95</v>
      </c>
      <c r="I139" s="76">
        <f t="shared" si="2"/>
        <v>59.85</v>
      </c>
      <c r="J139" s="71">
        <v>0</v>
      </c>
      <c r="K139" s="73">
        <v>0</v>
      </c>
      <c r="L139" s="73">
        <v>0</v>
      </c>
      <c r="M139" s="78">
        <v>0</v>
      </c>
      <c r="N139" s="79" t="e">
        <f t="shared" si="51"/>
        <v>#DIV/0!</v>
      </c>
      <c r="O139" s="80" t="e">
        <f t="shared" si="4"/>
        <v>#DIV/0!</v>
      </c>
      <c r="P139" s="79">
        <f t="shared" si="5"/>
        <v>0</v>
      </c>
      <c r="Q139" s="81">
        <f t="shared" si="6"/>
        <v>0</v>
      </c>
      <c r="R139" s="82">
        <f t="shared" si="50"/>
        <v>19.95</v>
      </c>
      <c r="S139" s="83" t="e">
        <f t="shared" si="8"/>
        <v>#DIV/0!</v>
      </c>
      <c r="T139" s="113"/>
      <c r="U139" s="113"/>
      <c r="V139" s="113"/>
      <c r="W139" s="114"/>
      <c r="X139" s="115"/>
      <c r="Y139" s="68"/>
      <c r="Z139" s="68"/>
    </row>
    <row r="140" spans="1:26" ht="12.75" hidden="1" outlineLevel="1" x14ac:dyDescent="0.2">
      <c r="A140" s="68"/>
      <c r="B140" s="86"/>
      <c r="C140" s="70" t="s">
        <v>46</v>
      </c>
      <c r="D140" s="116">
        <v>1126.7</v>
      </c>
      <c r="E140" s="73">
        <v>26</v>
      </c>
      <c r="F140" s="73">
        <v>25</v>
      </c>
      <c r="G140" s="74">
        <f t="shared" si="0"/>
        <v>1.04</v>
      </c>
      <c r="H140" s="75">
        <f t="shared" si="1"/>
        <v>43.33461538461539</v>
      </c>
      <c r="I140" s="76">
        <f t="shared" si="2"/>
        <v>41.667899408284029</v>
      </c>
      <c r="J140" s="116">
        <v>208.44</v>
      </c>
      <c r="K140" s="73">
        <v>54118</v>
      </c>
      <c r="L140" s="73">
        <v>5</v>
      </c>
      <c r="M140" s="117">
        <v>173.8</v>
      </c>
      <c r="N140" s="79">
        <f t="shared" si="51"/>
        <v>1.1993095512082852</v>
      </c>
      <c r="O140" s="80">
        <f t="shared" si="4"/>
        <v>0.83381308769909812</v>
      </c>
      <c r="P140" s="79">
        <f t="shared" si="5"/>
        <v>0.18500044377385283</v>
      </c>
      <c r="Q140" s="81">
        <f t="shared" si="6"/>
        <v>0.15425579124877964</v>
      </c>
      <c r="R140" s="82">
        <f t="shared" si="50"/>
        <v>952.90000000000009</v>
      </c>
      <c r="S140" s="83">
        <f t="shared" si="8"/>
        <v>41.688000000000002</v>
      </c>
      <c r="T140" s="84"/>
      <c r="U140" s="84"/>
      <c r="V140" s="84"/>
      <c r="W140" s="84"/>
      <c r="X140" s="85"/>
      <c r="Y140" s="68"/>
      <c r="Z140" s="68"/>
    </row>
    <row r="141" spans="1:26" ht="12.75" hidden="1" outlineLevel="1" x14ac:dyDescent="0.2">
      <c r="A141" s="68"/>
      <c r="B141" s="86"/>
      <c r="C141" s="70" t="s">
        <v>47</v>
      </c>
      <c r="D141" s="87">
        <v>0</v>
      </c>
      <c r="E141" s="73">
        <v>0</v>
      </c>
      <c r="F141" s="73">
        <v>0</v>
      </c>
      <c r="G141" s="74" t="e">
        <f t="shared" si="0"/>
        <v>#DIV/0!</v>
      </c>
      <c r="H141" s="75" t="e">
        <f t="shared" si="1"/>
        <v>#DIV/0!</v>
      </c>
      <c r="I141" s="76" t="e">
        <f t="shared" si="2"/>
        <v>#DIV/0!</v>
      </c>
      <c r="J141" s="87">
        <v>0</v>
      </c>
      <c r="K141" s="73">
        <v>0</v>
      </c>
      <c r="L141" s="73">
        <v>0</v>
      </c>
      <c r="M141" s="88">
        <v>0</v>
      </c>
      <c r="N141" s="79" t="e">
        <f t="shared" si="51"/>
        <v>#DIV/0!</v>
      </c>
      <c r="O141" s="80" t="e">
        <f t="shared" si="4"/>
        <v>#DIV/0!</v>
      </c>
      <c r="P141" s="79" t="e">
        <f t="shared" si="5"/>
        <v>#DIV/0!</v>
      </c>
      <c r="Q141" s="81" t="e">
        <f t="shared" si="6"/>
        <v>#DIV/0!</v>
      </c>
      <c r="R141" s="82">
        <f t="shared" si="50"/>
        <v>0</v>
      </c>
      <c r="S141" s="83" t="e">
        <f t="shared" si="8"/>
        <v>#DIV/0!</v>
      </c>
      <c r="T141" s="84"/>
      <c r="U141" s="84"/>
      <c r="V141" s="84"/>
      <c r="W141" s="84"/>
      <c r="X141" s="85"/>
      <c r="Y141" s="68"/>
      <c r="Z141" s="68"/>
    </row>
    <row r="142" spans="1:26" ht="12.75" hidden="1" outlineLevel="1" x14ac:dyDescent="0.2">
      <c r="A142" s="68"/>
      <c r="B142" s="86"/>
      <c r="C142" s="70" t="s">
        <v>48</v>
      </c>
      <c r="D142" s="102">
        <v>3894.25</v>
      </c>
      <c r="E142" s="73">
        <v>15</v>
      </c>
      <c r="F142" s="73">
        <v>18</v>
      </c>
      <c r="G142" s="74">
        <f t="shared" si="0"/>
        <v>0.83333333333333337</v>
      </c>
      <c r="H142" s="75">
        <f t="shared" si="1"/>
        <v>259.61666666666667</v>
      </c>
      <c r="I142" s="76">
        <f t="shared" si="2"/>
        <v>311.54000000000002</v>
      </c>
      <c r="J142" s="102">
        <v>547.53</v>
      </c>
      <c r="K142" s="73">
        <v>43136</v>
      </c>
      <c r="L142" s="73">
        <v>10</v>
      </c>
      <c r="M142" s="103">
        <v>2494.5</v>
      </c>
      <c r="N142" s="79">
        <f t="shared" si="51"/>
        <v>0.21949488875526157</v>
      </c>
      <c r="O142" s="80">
        <f t="shared" si="4"/>
        <v>4.5559147443975672</v>
      </c>
      <c r="P142" s="79">
        <f t="shared" si="5"/>
        <v>0.14059960197727417</v>
      </c>
      <c r="Q142" s="81">
        <f t="shared" si="6"/>
        <v>0.64055979970469279</v>
      </c>
      <c r="R142" s="82">
        <f t="shared" si="50"/>
        <v>1399.75</v>
      </c>
      <c r="S142" s="83">
        <f t="shared" si="8"/>
        <v>54.753</v>
      </c>
      <c r="T142" s="84"/>
      <c r="U142" s="84"/>
      <c r="V142" s="84"/>
      <c r="W142" s="84"/>
      <c r="X142" s="85"/>
      <c r="Y142" s="68"/>
      <c r="Z142" s="68"/>
    </row>
    <row r="143" spans="1:26" ht="12.75" hidden="1" outlineLevel="1" x14ac:dyDescent="0.2">
      <c r="A143" s="68"/>
      <c r="B143" s="86"/>
      <c r="C143" s="70" t="s">
        <v>49</v>
      </c>
      <c r="D143" s="116">
        <v>132</v>
      </c>
      <c r="E143" s="73">
        <v>0</v>
      </c>
      <c r="F143" s="73">
        <v>3</v>
      </c>
      <c r="G143" s="74">
        <f t="shared" si="0"/>
        <v>0</v>
      </c>
      <c r="H143" s="75" t="e">
        <f t="shared" si="1"/>
        <v>#DIV/0!</v>
      </c>
      <c r="I143" s="76" t="e">
        <f t="shared" si="2"/>
        <v>#DIV/0!</v>
      </c>
      <c r="J143" s="116">
        <v>6.95</v>
      </c>
      <c r="K143" s="73">
        <v>9436</v>
      </c>
      <c r="L143" s="73">
        <v>1</v>
      </c>
      <c r="M143" s="117">
        <v>96</v>
      </c>
      <c r="N143" s="79">
        <f t="shared" si="51"/>
        <v>7.239583333333334E-2</v>
      </c>
      <c r="O143" s="80">
        <f t="shared" si="4"/>
        <v>13.812949640287769</v>
      </c>
      <c r="P143" s="79">
        <f t="shared" si="5"/>
        <v>5.2651515151515151E-2</v>
      </c>
      <c r="Q143" s="81">
        <f t="shared" si="6"/>
        <v>0.72727272727272729</v>
      </c>
      <c r="R143" s="82">
        <f t="shared" si="50"/>
        <v>36</v>
      </c>
      <c r="S143" s="83">
        <f t="shared" si="8"/>
        <v>6.95</v>
      </c>
      <c r="T143" s="84"/>
      <c r="U143" s="84"/>
      <c r="V143" s="84"/>
      <c r="W143" s="84"/>
      <c r="X143" s="85"/>
      <c r="Y143" s="68"/>
      <c r="Z143" s="68"/>
    </row>
    <row r="144" spans="1:26" hidden="1" outlineLevel="1" x14ac:dyDescent="0.25">
      <c r="A144" s="118" t="str">
        <f t="shared" ref="A144:A145" si="52">IFERROR(IF(B144&gt;0,MONTH(B144)&amp;"-"&amp;YEAR(B144),B144),)</f>
        <v>2-2026</v>
      </c>
      <c r="B144" s="69">
        <v>46060</v>
      </c>
      <c r="C144" s="198" t="s">
        <v>64</v>
      </c>
      <c r="D144" s="116">
        <v>0</v>
      </c>
      <c r="E144" s="73">
        <v>0</v>
      </c>
      <c r="F144" s="73">
        <v>0</v>
      </c>
      <c r="G144" s="74" t="e">
        <f t="shared" si="0"/>
        <v>#DIV/0!</v>
      </c>
      <c r="H144" s="75" t="e">
        <f t="shared" si="1"/>
        <v>#DIV/0!</v>
      </c>
      <c r="I144" s="76" t="e">
        <f t="shared" si="2"/>
        <v>#DIV/0!</v>
      </c>
      <c r="J144" s="87">
        <v>5064.6000000000004</v>
      </c>
      <c r="K144" s="199">
        <v>432869</v>
      </c>
      <c r="L144" s="73">
        <v>0</v>
      </c>
      <c r="M144" s="88">
        <v>10517.509999999998</v>
      </c>
      <c r="N144" s="79">
        <f t="shared" si="51"/>
        <v>0.48153983214658236</v>
      </c>
      <c r="O144" s="80">
        <f t="shared" si="4"/>
        <v>2.0766714054416928</v>
      </c>
      <c r="P144" s="79" t="e">
        <f t="shared" si="5"/>
        <v>#DIV/0!</v>
      </c>
      <c r="Q144" s="81" t="e">
        <f t="shared" si="6"/>
        <v>#DIV/0!</v>
      </c>
      <c r="R144" s="82">
        <f t="shared" si="50"/>
        <v>-10517.509999999998</v>
      </c>
      <c r="S144" s="83" t="e">
        <f t="shared" si="8"/>
        <v>#DIV/0!</v>
      </c>
      <c r="T144" s="84"/>
      <c r="U144" s="84"/>
      <c r="V144" s="84"/>
      <c r="W144" s="84"/>
      <c r="X144" s="85"/>
      <c r="Y144" s="68"/>
      <c r="Z144" s="68"/>
    </row>
    <row r="145" spans="1:26" ht="12.75" collapsed="1" x14ac:dyDescent="0.2">
      <c r="A145" s="68">
        <f t="shared" si="52"/>
        <v>0</v>
      </c>
      <c r="B145" s="119" t="s">
        <v>56</v>
      </c>
      <c r="C145" s="120"/>
      <c r="D145" s="121">
        <f t="shared" ref="D145:F145" si="53">SUM(D127:D144)</f>
        <v>19881.36</v>
      </c>
      <c r="E145" s="123">
        <f t="shared" si="53"/>
        <v>252</v>
      </c>
      <c r="F145" s="123">
        <f t="shared" si="53"/>
        <v>272</v>
      </c>
      <c r="G145" s="124">
        <f t="shared" si="0"/>
        <v>0.92647058823529416</v>
      </c>
      <c r="H145" s="125">
        <f t="shared" si="1"/>
        <v>78.894285714285715</v>
      </c>
      <c r="I145" s="126">
        <f t="shared" si="2"/>
        <v>85.15573696145124</v>
      </c>
      <c r="J145" s="121">
        <f t="shared" ref="J145:M145" si="54">SUM(J127:J144)</f>
        <v>8506.49</v>
      </c>
      <c r="K145" s="123">
        <f t="shared" si="54"/>
        <v>1210152</v>
      </c>
      <c r="L145" s="123">
        <f t="shared" si="54"/>
        <v>82</v>
      </c>
      <c r="M145" s="127">
        <f t="shared" si="54"/>
        <v>19613.219999999998</v>
      </c>
      <c r="N145" s="128">
        <f t="shared" si="51"/>
        <v>0.43371205747959801</v>
      </c>
      <c r="O145" s="129">
        <f t="shared" si="4"/>
        <v>2.3056771947066297</v>
      </c>
      <c r="P145" s="128">
        <f t="shared" si="5"/>
        <v>0.42786258082948048</v>
      </c>
      <c r="Q145" s="130">
        <f t="shared" si="6"/>
        <v>0.98651299508685508</v>
      </c>
      <c r="R145" s="131">
        <f>SUM(R127:R144)</f>
        <v>268.14000000000306</v>
      </c>
      <c r="S145" s="132">
        <f t="shared" si="8"/>
        <v>103.73768292682927</v>
      </c>
      <c r="T145" s="134">
        <f t="shared" ref="T145:U145" si="55">IFERROR((D145-#REF!)/D145,)</f>
        <v>0</v>
      </c>
      <c r="U145" s="134">
        <f t="shared" si="55"/>
        <v>0</v>
      </c>
      <c r="V145" s="134">
        <f t="shared" ref="V145:W145" si="56">IFERROR((D145-#REF!)/D145, )</f>
        <v>0</v>
      </c>
      <c r="W145" s="134">
        <f t="shared" si="56"/>
        <v>0</v>
      </c>
      <c r="X145" s="68"/>
      <c r="Y145" s="68"/>
      <c r="Z145" s="68"/>
    </row>
    <row r="146" spans="1:26" ht="12.75" hidden="1" outlineLevel="1" x14ac:dyDescent="0.2">
      <c r="A146" s="68"/>
      <c r="B146" s="69">
        <v>46061</v>
      </c>
      <c r="C146" s="70" t="s">
        <v>32</v>
      </c>
      <c r="D146" s="71">
        <v>4540.1000000000004</v>
      </c>
      <c r="E146" s="73">
        <v>25</v>
      </c>
      <c r="F146" s="73">
        <v>27</v>
      </c>
      <c r="G146" s="74">
        <f t="shared" si="0"/>
        <v>0.92592592592592593</v>
      </c>
      <c r="H146" s="75">
        <f t="shared" si="1"/>
        <v>181.60400000000001</v>
      </c>
      <c r="I146" s="76">
        <f t="shared" si="2"/>
        <v>196.13232000000002</v>
      </c>
      <c r="J146" s="77">
        <v>587.79999999999995</v>
      </c>
      <c r="K146" s="73">
        <v>104053</v>
      </c>
      <c r="L146" s="73">
        <v>4</v>
      </c>
      <c r="M146" s="78">
        <v>1546.9</v>
      </c>
      <c r="N146" s="79">
        <f t="shared" si="51"/>
        <v>0.37998577800762812</v>
      </c>
      <c r="O146" s="80">
        <f t="shared" si="4"/>
        <v>2.6316774413065671</v>
      </c>
      <c r="P146" s="79">
        <f t="shared" si="5"/>
        <v>0.12946851390938524</v>
      </c>
      <c r="Q146" s="81">
        <f t="shared" si="6"/>
        <v>0.34071936741481462</v>
      </c>
      <c r="R146" s="82">
        <f t="shared" ref="R146:R163" si="57">D146-M146</f>
        <v>2993.2000000000003</v>
      </c>
      <c r="S146" s="83">
        <f t="shared" si="8"/>
        <v>146.94999999999999</v>
      </c>
      <c r="T146" s="84"/>
      <c r="U146" s="84"/>
      <c r="V146" s="84"/>
      <c r="W146" s="84"/>
      <c r="X146" s="85"/>
      <c r="Y146" s="68"/>
      <c r="Z146" s="68"/>
    </row>
    <row r="147" spans="1:26" ht="12.75" hidden="1" outlineLevel="1" x14ac:dyDescent="0.2">
      <c r="A147" s="68"/>
      <c r="B147" s="86"/>
      <c r="C147" s="70" t="s">
        <v>33</v>
      </c>
      <c r="D147" s="87">
        <v>3414.65</v>
      </c>
      <c r="E147" s="73">
        <v>35</v>
      </c>
      <c r="F147" s="73">
        <v>52</v>
      </c>
      <c r="G147" s="74">
        <f t="shared" si="0"/>
        <v>0.67307692307692313</v>
      </c>
      <c r="H147" s="75">
        <f t="shared" si="1"/>
        <v>97.561428571428578</v>
      </c>
      <c r="I147" s="76">
        <f t="shared" si="2"/>
        <v>144.9484081632653</v>
      </c>
      <c r="J147" s="87">
        <v>472.57</v>
      </c>
      <c r="K147" s="73">
        <v>131083</v>
      </c>
      <c r="L147" s="73">
        <v>13</v>
      </c>
      <c r="M147" s="88">
        <v>934.55</v>
      </c>
      <c r="N147" s="79">
        <f t="shared" si="51"/>
        <v>0.50566582847359698</v>
      </c>
      <c r="O147" s="80">
        <f t="shared" si="4"/>
        <v>1.9775906214952281</v>
      </c>
      <c r="P147" s="79">
        <f t="shared" si="5"/>
        <v>0.13839485745244753</v>
      </c>
      <c r="Q147" s="81">
        <f t="shared" si="6"/>
        <v>0.27368837216112923</v>
      </c>
      <c r="R147" s="89">
        <f t="shared" si="57"/>
        <v>2480.1000000000004</v>
      </c>
      <c r="S147" s="83">
        <f t="shared" si="8"/>
        <v>36.35153846153846</v>
      </c>
      <c r="T147" s="84"/>
      <c r="U147" s="84"/>
      <c r="V147" s="84"/>
      <c r="W147" s="84"/>
      <c r="X147" s="85"/>
      <c r="Y147" s="68"/>
      <c r="Z147" s="68"/>
    </row>
    <row r="148" spans="1:26" ht="12.75" hidden="1" outlineLevel="1" x14ac:dyDescent="0.2">
      <c r="A148" s="68"/>
      <c r="B148" s="86"/>
      <c r="C148" s="70" t="s">
        <v>34</v>
      </c>
      <c r="D148" s="90">
        <v>0</v>
      </c>
      <c r="E148" s="73">
        <v>0</v>
      </c>
      <c r="F148" s="73">
        <v>0</v>
      </c>
      <c r="G148" s="74" t="e">
        <f t="shared" si="0"/>
        <v>#DIV/0!</v>
      </c>
      <c r="H148" s="75" t="e">
        <f t="shared" si="1"/>
        <v>#DIV/0!</v>
      </c>
      <c r="I148" s="76" t="e">
        <f t="shared" si="2"/>
        <v>#DIV/0!</v>
      </c>
      <c r="J148" s="90">
        <v>0</v>
      </c>
      <c r="K148" s="73">
        <v>0</v>
      </c>
      <c r="L148" s="73">
        <v>0</v>
      </c>
      <c r="M148" s="91">
        <v>0</v>
      </c>
      <c r="N148" s="79" t="e">
        <f>(J148/M148)</f>
        <v>#DIV/0!</v>
      </c>
      <c r="O148" s="80" t="e">
        <f t="shared" si="4"/>
        <v>#DIV/0!</v>
      </c>
      <c r="P148" s="79" t="e">
        <f t="shared" si="5"/>
        <v>#DIV/0!</v>
      </c>
      <c r="Q148" s="81" t="e">
        <f t="shared" si="6"/>
        <v>#DIV/0!</v>
      </c>
      <c r="R148" s="92">
        <f t="shared" si="57"/>
        <v>0</v>
      </c>
      <c r="S148" s="83" t="e">
        <f t="shared" si="8"/>
        <v>#DIV/0!</v>
      </c>
      <c r="T148" s="84"/>
      <c r="U148" s="84"/>
      <c r="V148" s="84"/>
      <c r="W148" s="84"/>
      <c r="X148" s="85"/>
      <c r="Y148" s="68"/>
      <c r="Z148" s="68"/>
    </row>
    <row r="149" spans="1:26" ht="12.75" hidden="1" outlineLevel="1" x14ac:dyDescent="0.2">
      <c r="A149" s="68"/>
      <c r="B149" s="86"/>
      <c r="C149" s="70" t="s">
        <v>35</v>
      </c>
      <c r="D149" s="90">
        <v>359.7</v>
      </c>
      <c r="E149" s="73">
        <v>6</v>
      </c>
      <c r="F149" s="73">
        <v>7</v>
      </c>
      <c r="G149" s="74">
        <f t="shared" si="0"/>
        <v>0.8571428571428571</v>
      </c>
      <c r="H149" s="75">
        <f t="shared" si="1"/>
        <v>59.949999999999996</v>
      </c>
      <c r="I149" s="76">
        <f t="shared" si="2"/>
        <v>69.941666666666663</v>
      </c>
      <c r="J149" s="90">
        <v>207.61</v>
      </c>
      <c r="K149" s="73">
        <v>13060</v>
      </c>
      <c r="L149" s="73">
        <v>5</v>
      </c>
      <c r="M149" s="91">
        <v>299.75</v>
      </c>
      <c r="N149" s="79">
        <f t="shared" ref="N149:N166" si="58">J149/M149</f>
        <v>0.69261050875729779</v>
      </c>
      <c r="O149" s="80">
        <f t="shared" si="4"/>
        <v>1.4438129184528683</v>
      </c>
      <c r="P149" s="79">
        <f t="shared" si="5"/>
        <v>0.57717542396441479</v>
      </c>
      <c r="Q149" s="81">
        <f t="shared" si="6"/>
        <v>0.83333333333333337</v>
      </c>
      <c r="R149" s="92">
        <f t="shared" si="57"/>
        <v>59.949999999999989</v>
      </c>
      <c r="S149" s="83">
        <f t="shared" si="8"/>
        <v>41.522000000000006</v>
      </c>
      <c r="T149" s="84"/>
      <c r="U149" s="84"/>
      <c r="V149" s="84"/>
      <c r="W149" s="84"/>
      <c r="X149" s="85"/>
      <c r="Y149" s="68"/>
      <c r="Z149" s="68"/>
    </row>
    <row r="150" spans="1:26" ht="12.75" hidden="1" outlineLevel="1" x14ac:dyDescent="0.2">
      <c r="A150" s="68"/>
      <c r="B150" s="86"/>
      <c r="C150" s="70" t="s">
        <v>36</v>
      </c>
      <c r="D150" s="90">
        <v>1019.2</v>
      </c>
      <c r="E150" s="73">
        <v>16</v>
      </c>
      <c r="F150" s="73">
        <v>16</v>
      </c>
      <c r="G150" s="74">
        <f t="shared" si="0"/>
        <v>1</v>
      </c>
      <c r="H150" s="75">
        <f t="shared" si="1"/>
        <v>63.7</v>
      </c>
      <c r="I150" s="76">
        <f t="shared" si="2"/>
        <v>63.7</v>
      </c>
      <c r="J150" s="90">
        <v>22.35</v>
      </c>
      <c r="K150" s="73">
        <v>13189</v>
      </c>
      <c r="L150" s="73">
        <v>2</v>
      </c>
      <c r="M150" s="91">
        <v>119.9</v>
      </c>
      <c r="N150" s="79">
        <f t="shared" si="58"/>
        <v>0.18640533778148458</v>
      </c>
      <c r="O150" s="80">
        <f t="shared" si="4"/>
        <v>5.3646532438478749</v>
      </c>
      <c r="P150" s="79">
        <f t="shared" si="5"/>
        <v>2.1928963893249609E-2</v>
      </c>
      <c r="Q150" s="81">
        <f t="shared" si="6"/>
        <v>0.11764128728414443</v>
      </c>
      <c r="R150" s="92">
        <f t="shared" si="57"/>
        <v>899.30000000000007</v>
      </c>
      <c r="S150" s="83">
        <f t="shared" si="8"/>
        <v>11.175000000000001</v>
      </c>
      <c r="T150" s="84"/>
      <c r="U150" s="84"/>
      <c r="V150" s="84"/>
      <c r="W150" s="84"/>
      <c r="X150" s="85"/>
      <c r="Y150" s="68"/>
      <c r="Z150" s="68"/>
    </row>
    <row r="151" spans="1:26" ht="12.75" hidden="1" outlineLevel="1" x14ac:dyDescent="0.2">
      <c r="A151" s="68"/>
      <c r="B151" s="69" t="s">
        <v>37</v>
      </c>
      <c r="C151" s="70" t="s">
        <v>38</v>
      </c>
      <c r="D151" s="93">
        <v>0</v>
      </c>
      <c r="E151" s="73">
        <v>0</v>
      </c>
      <c r="F151" s="73">
        <v>0</v>
      </c>
      <c r="G151" s="74" t="e">
        <f t="shared" si="0"/>
        <v>#DIV/0!</v>
      </c>
      <c r="H151" s="75" t="e">
        <f t="shared" si="1"/>
        <v>#DIV/0!</v>
      </c>
      <c r="I151" s="76" t="e">
        <f t="shared" si="2"/>
        <v>#DIV/0!</v>
      </c>
      <c r="J151" s="93">
        <v>33.25</v>
      </c>
      <c r="K151" s="73">
        <v>263412</v>
      </c>
      <c r="L151" s="73">
        <v>0</v>
      </c>
      <c r="M151" s="94">
        <v>0</v>
      </c>
      <c r="N151" s="79" t="e">
        <f t="shared" si="58"/>
        <v>#DIV/0!</v>
      </c>
      <c r="O151" s="80">
        <f t="shared" si="4"/>
        <v>0</v>
      </c>
      <c r="P151" s="79" t="e">
        <f t="shared" si="5"/>
        <v>#DIV/0!</v>
      </c>
      <c r="Q151" s="81" t="e">
        <f t="shared" si="6"/>
        <v>#DIV/0!</v>
      </c>
      <c r="R151" s="95">
        <f t="shared" si="57"/>
        <v>0</v>
      </c>
      <c r="S151" s="83" t="e">
        <f t="shared" si="8"/>
        <v>#DIV/0!</v>
      </c>
      <c r="T151" s="84"/>
      <c r="U151" s="84"/>
      <c r="V151" s="84"/>
      <c r="W151" s="84"/>
      <c r="X151" s="85"/>
      <c r="Y151" s="68"/>
      <c r="Z151" s="68"/>
    </row>
    <row r="152" spans="1:26" ht="12.75" hidden="1" outlineLevel="1" x14ac:dyDescent="0.2">
      <c r="A152" s="68"/>
      <c r="B152" s="86"/>
      <c r="C152" s="70" t="s">
        <v>39</v>
      </c>
      <c r="D152" s="96">
        <v>0</v>
      </c>
      <c r="E152" s="73">
        <v>0</v>
      </c>
      <c r="F152" s="73">
        <v>0</v>
      </c>
      <c r="G152" s="74" t="e">
        <f t="shared" si="0"/>
        <v>#DIV/0!</v>
      </c>
      <c r="H152" s="75" t="e">
        <f t="shared" si="1"/>
        <v>#DIV/0!</v>
      </c>
      <c r="I152" s="76" t="e">
        <f t="shared" si="2"/>
        <v>#DIV/0!</v>
      </c>
      <c r="J152" s="96">
        <v>0</v>
      </c>
      <c r="K152" s="73">
        <v>0</v>
      </c>
      <c r="L152" s="73">
        <v>0</v>
      </c>
      <c r="M152" s="97">
        <v>0</v>
      </c>
      <c r="N152" s="79" t="e">
        <f t="shared" si="58"/>
        <v>#DIV/0!</v>
      </c>
      <c r="O152" s="80" t="e">
        <f t="shared" si="4"/>
        <v>#DIV/0!</v>
      </c>
      <c r="P152" s="79" t="e">
        <f t="shared" si="5"/>
        <v>#DIV/0!</v>
      </c>
      <c r="Q152" s="81" t="e">
        <f t="shared" si="6"/>
        <v>#DIV/0!</v>
      </c>
      <c r="R152" s="98">
        <f t="shared" si="57"/>
        <v>0</v>
      </c>
      <c r="S152" s="83" t="e">
        <f t="shared" si="8"/>
        <v>#DIV/0!</v>
      </c>
      <c r="T152" s="84"/>
      <c r="U152" s="84"/>
      <c r="V152" s="84"/>
      <c r="W152" s="84"/>
      <c r="X152" s="85"/>
      <c r="Y152" s="68"/>
      <c r="Z152" s="68"/>
    </row>
    <row r="153" spans="1:26" ht="12.75" hidden="1" outlineLevel="1" x14ac:dyDescent="0.2">
      <c r="A153" s="68"/>
      <c r="B153" s="86"/>
      <c r="C153" s="70" t="s">
        <v>40</v>
      </c>
      <c r="D153" s="99">
        <v>0</v>
      </c>
      <c r="E153" s="73">
        <v>0</v>
      </c>
      <c r="F153" s="73">
        <v>0</v>
      </c>
      <c r="G153" s="74" t="e">
        <f t="shared" si="0"/>
        <v>#DIV/0!</v>
      </c>
      <c r="H153" s="75" t="e">
        <f t="shared" si="1"/>
        <v>#DIV/0!</v>
      </c>
      <c r="I153" s="76" t="e">
        <f t="shared" si="2"/>
        <v>#DIV/0!</v>
      </c>
      <c r="J153" s="99">
        <v>0</v>
      </c>
      <c r="K153" s="73">
        <v>0</v>
      </c>
      <c r="L153" s="73">
        <v>0</v>
      </c>
      <c r="M153" s="100">
        <v>0</v>
      </c>
      <c r="N153" s="79" t="e">
        <f t="shared" si="58"/>
        <v>#DIV/0!</v>
      </c>
      <c r="O153" s="80" t="e">
        <f t="shared" si="4"/>
        <v>#DIV/0!</v>
      </c>
      <c r="P153" s="79" t="e">
        <f t="shared" si="5"/>
        <v>#DIV/0!</v>
      </c>
      <c r="Q153" s="81" t="e">
        <f t="shared" si="6"/>
        <v>#DIV/0!</v>
      </c>
      <c r="R153" s="101">
        <f t="shared" si="57"/>
        <v>0</v>
      </c>
      <c r="S153" s="83" t="e">
        <f t="shared" si="8"/>
        <v>#DIV/0!</v>
      </c>
      <c r="T153" s="84"/>
      <c r="U153" s="84"/>
      <c r="V153" s="84"/>
      <c r="W153" s="84"/>
      <c r="X153" s="85"/>
      <c r="Y153" s="68"/>
      <c r="Z153" s="68"/>
    </row>
    <row r="154" spans="1:26" ht="12.75" hidden="1" outlineLevel="1" x14ac:dyDescent="0.2">
      <c r="A154" s="68"/>
      <c r="B154" s="86"/>
      <c r="C154" s="70" t="s">
        <v>41</v>
      </c>
      <c r="D154" s="102">
        <v>2454.6999999999998</v>
      </c>
      <c r="E154" s="73">
        <v>35</v>
      </c>
      <c r="F154" s="73">
        <v>34</v>
      </c>
      <c r="G154" s="74">
        <f t="shared" si="0"/>
        <v>1.0294117647058822</v>
      </c>
      <c r="H154" s="75">
        <f t="shared" si="1"/>
        <v>70.13428571428571</v>
      </c>
      <c r="I154" s="76">
        <f t="shared" si="2"/>
        <v>68.130448979591833</v>
      </c>
      <c r="J154" s="102">
        <v>505.35</v>
      </c>
      <c r="K154" s="73">
        <v>41325</v>
      </c>
      <c r="L154" s="73">
        <v>7</v>
      </c>
      <c r="M154" s="103">
        <v>608.95000000000005</v>
      </c>
      <c r="N154" s="79">
        <f t="shared" si="58"/>
        <v>0.82987108958042533</v>
      </c>
      <c r="O154" s="80">
        <f t="shared" si="4"/>
        <v>1.2050064311863065</v>
      </c>
      <c r="P154" s="79">
        <f t="shared" si="5"/>
        <v>0.20587037112478104</v>
      </c>
      <c r="Q154" s="81">
        <f t="shared" si="6"/>
        <v>0.24807512119607289</v>
      </c>
      <c r="R154" s="104">
        <f t="shared" si="57"/>
        <v>1845.7499999999998</v>
      </c>
      <c r="S154" s="83">
        <f t="shared" si="8"/>
        <v>72.19285714285715</v>
      </c>
      <c r="T154" s="84"/>
      <c r="U154" s="84"/>
      <c r="V154" s="84"/>
      <c r="W154" s="84"/>
      <c r="X154" s="85"/>
      <c r="Y154" s="68"/>
      <c r="Z154" s="68"/>
    </row>
    <row r="155" spans="1:26" ht="12.75" hidden="1" outlineLevel="1" x14ac:dyDescent="0.2">
      <c r="A155" s="68"/>
      <c r="B155" s="86"/>
      <c r="C155" s="70" t="s">
        <v>42</v>
      </c>
      <c r="D155" s="90">
        <v>79.959999999999994</v>
      </c>
      <c r="E155" s="73">
        <v>4</v>
      </c>
      <c r="F155" s="73">
        <v>4</v>
      </c>
      <c r="G155" s="74">
        <f t="shared" si="0"/>
        <v>1</v>
      </c>
      <c r="H155" s="75">
        <f t="shared" si="1"/>
        <v>19.989999999999998</v>
      </c>
      <c r="I155" s="76">
        <f t="shared" si="2"/>
        <v>19.989999999999998</v>
      </c>
      <c r="J155" s="90">
        <v>402.14</v>
      </c>
      <c r="K155" s="73">
        <v>67598</v>
      </c>
      <c r="L155" s="73">
        <v>2</v>
      </c>
      <c r="M155" s="91">
        <v>39.979999999999997</v>
      </c>
      <c r="N155" s="79">
        <f t="shared" si="58"/>
        <v>10.058529264632316</v>
      </c>
      <c r="O155" s="80">
        <f t="shared" si="4"/>
        <v>9.9418113094942057E-2</v>
      </c>
      <c r="P155" s="79">
        <f t="shared" si="5"/>
        <v>5.0292646323161581</v>
      </c>
      <c r="Q155" s="81">
        <f t="shared" si="6"/>
        <v>0.5</v>
      </c>
      <c r="R155" s="92">
        <f t="shared" si="57"/>
        <v>39.979999999999997</v>
      </c>
      <c r="S155" s="83">
        <f t="shared" si="8"/>
        <v>201.07</v>
      </c>
      <c r="T155" s="84"/>
      <c r="U155" s="84"/>
      <c r="V155" s="84"/>
      <c r="W155" s="84"/>
      <c r="X155" s="85"/>
      <c r="Y155" s="68"/>
      <c r="Z155" s="68"/>
    </row>
    <row r="156" spans="1:26" ht="12.75" hidden="1" outlineLevel="1" x14ac:dyDescent="0.2">
      <c r="A156" s="68"/>
      <c r="B156" s="86"/>
      <c r="C156" s="70" t="s">
        <v>43</v>
      </c>
      <c r="D156" s="105">
        <v>753.73</v>
      </c>
      <c r="E156" s="73">
        <v>7</v>
      </c>
      <c r="F156" s="73">
        <v>9</v>
      </c>
      <c r="G156" s="74">
        <f t="shared" si="0"/>
        <v>0.77777777777777779</v>
      </c>
      <c r="H156" s="75">
        <f t="shared" si="1"/>
        <v>107.67571428571429</v>
      </c>
      <c r="I156" s="76">
        <f t="shared" si="2"/>
        <v>138.44020408163266</v>
      </c>
      <c r="J156" s="105">
        <v>28.85</v>
      </c>
      <c r="K156" s="73">
        <v>9129</v>
      </c>
      <c r="L156" s="73">
        <v>2</v>
      </c>
      <c r="M156" s="106">
        <v>205.95</v>
      </c>
      <c r="N156" s="79">
        <f t="shared" si="58"/>
        <v>0.14008254430687062</v>
      </c>
      <c r="O156" s="80">
        <f t="shared" si="4"/>
        <v>7.1386481802426331</v>
      </c>
      <c r="P156" s="79">
        <f t="shared" si="5"/>
        <v>3.8276305838960904E-2</v>
      </c>
      <c r="Q156" s="81">
        <f t="shared" si="6"/>
        <v>0.27324108102370875</v>
      </c>
      <c r="R156" s="107">
        <f t="shared" si="57"/>
        <v>547.78</v>
      </c>
      <c r="S156" s="83">
        <f t="shared" si="8"/>
        <v>14.425000000000001</v>
      </c>
      <c r="T156" s="84"/>
      <c r="U156" s="84"/>
      <c r="V156" s="84"/>
      <c r="W156" s="84"/>
      <c r="X156" s="85"/>
      <c r="Y156" s="68"/>
      <c r="Z156" s="68"/>
    </row>
    <row r="157" spans="1:26" ht="12.75" hidden="1" outlineLevel="1" x14ac:dyDescent="0.2">
      <c r="A157" s="68"/>
      <c r="B157" s="86"/>
      <c r="C157" s="70" t="s">
        <v>44</v>
      </c>
      <c r="D157" s="108">
        <v>179.85</v>
      </c>
      <c r="E157" s="73">
        <v>3</v>
      </c>
      <c r="F157" s="73">
        <v>4</v>
      </c>
      <c r="G157" s="74">
        <f t="shared" si="0"/>
        <v>0.75</v>
      </c>
      <c r="H157" s="75">
        <f t="shared" si="1"/>
        <v>59.949999999999996</v>
      </c>
      <c r="I157" s="76">
        <f t="shared" si="2"/>
        <v>79.933333333333323</v>
      </c>
      <c r="J157" s="108">
        <v>74.349999999999994</v>
      </c>
      <c r="K157" s="73">
        <v>62698</v>
      </c>
      <c r="L157" s="73">
        <v>0</v>
      </c>
      <c r="M157" s="109">
        <v>0</v>
      </c>
      <c r="N157" s="79" t="e">
        <f t="shared" si="58"/>
        <v>#DIV/0!</v>
      </c>
      <c r="O157" s="80">
        <f t="shared" si="4"/>
        <v>0</v>
      </c>
      <c r="P157" s="79">
        <f t="shared" si="5"/>
        <v>0.41340005560189047</v>
      </c>
      <c r="Q157" s="81">
        <f t="shared" si="6"/>
        <v>0</v>
      </c>
      <c r="R157" s="110">
        <f t="shared" si="57"/>
        <v>179.85</v>
      </c>
      <c r="S157" s="83" t="e">
        <f t="shared" si="8"/>
        <v>#DIV/0!</v>
      </c>
      <c r="T157" s="84"/>
      <c r="U157" s="84"/>
      <c r="V157" s="84"/>
      <c r="W157" s="84"/>
      <c r="X157" s="85"/>
      <c r="Y157" s="68"/>
      <c r="Z157" s="68"/>
    </row>
    <row r="158" spans="1:26" ht="12.75" hidden="1" outlineLevel="1" x14ac:dyDescent="0.2">
      <c r="A158" s="111"/>
      <c r="B158" s="86"/>
      <c r="C158" s="112" t="s">
        <v>45</v>
      </c>
      <c r="D158" s="71">
        <v>0</v>
      </c>
      <c r="E158" s="73">
        <v>0</v>
      </c>
      <c r="F158" s="73">
        <v>0</v>
      </c>
      <c r="G158" s="74" t="e">
        <f t="shared" si="0"/>
        <v>#DIV/0!</v>
      </c>
      <c r="H158" s="75" t="e">
        <f t="shared" si="1"/>
        <v>#DIV/0!</v>
      </c>
      <c r="I158" s="76" t="e">
        <f t="shared" si="2"/>
        <v>#DIV/0!</v>
      </c>
      <c r="J158" s="71">
        <v>0</v>
      </c>
      <c r="K158" s="73">
        <v>0</v>
      </c>
      <c r="L158" s="73">
        <v>0</v>
      </c>
      <c r="M158" s="78">
        <v>0</v>
      </c>
      <c r="N158" s="79" t="e">
        <f t="shared" si="58"/>
        <v>#DIV/0!</v>
      </c>
      <c r="O158" s="80" t="e">
        <f t="shared" si="4"/>
        <v>#DIV/0!</v>
      </c>
      <c r="P158" s="79" t="e">
        <f t="shared" si="5"/>
        <v>#DIV/0!</v>
      </c>
      <c r="Q158" s="81" t="e">
        <f t="shared" si="6"/>
        <v>#DIV/0!</v>
      </c>
      <c r="R158" s="82">
        <f t="shared" si="57"/>
        <v>0</v>
      </c>
      <c r="S158" s="83" t="e">
        <f t="shared" si="8"/>
        <v>#DIV/0!</v>
      </c>
      <c r="T158" s="113"/>
      <c r="U158" s="113"/>
      <c r="V158" s="113"/>
      <c r="W158" s="114"/>
      <c r="X158" s="115"/>
      <c r="Y158" s="68"/>
      <c r="Z158" s="68"/>
    </row>
    <row r="159" spans="1:26" ht="12.75" hidden="1" outlineLevel="1" x14ac:dyDescent="0.2">
      <c r="A159" s="68"/>
      <c r="B159" s="86"/>
      <c r="C159" s="70" t="s">
        <v>46</v>
      </c>
      <c r="D159" s="116">
        <v>1888.85</v>
      </c>
      <c r="E159" s="73">
        <v>43</v>
      </c>
      <c r="F159" s="73">
        <v>42</v>
      </c>
      <c r="G159" s="74">
        <f t="shared" si="0"/>
        <v>1.0238095238095237</v>
      </c>
      <c r="H159" s="75">
        <f t="shared" si="1"/>
        <v>43.926744186046513</v>
      </c>
      <c r="I159" s="76">
        <f t="shared" si="2"/>
        <v>42.905191995673341</v>
      </c>
      <c r="J159" s="116">
        <v>270.85000000000002</v>
      </c>
      <c r="K159" s="73">
        <v>57268</v>
      </c>
      <c r="L159" s="73">
        <v>12</v>
      </c>
      <c r="M159" s="117">
        <v>347.6</v>
      </c>
      <c r="N159" s="79">
        <f t="shared" si="58"/>
        <v>0.77920023014959727</v>
      </c>
      <c r="O159" s="80">
        <f t="shared" si="4"/>
        <v>1.2833671774044675</v>
      </c>
      <c r="P159" s="79">
        <f t="shared" si="5"/>
        <v>0.14339412870264978</v>
      </c>
      <c r="Q159" s="81">
        <f t="shared" si="6"/>
        <v>0.18402731820949256</v>
      </c>
      <c r="R159" s="82">
        <f t="shared" si="57"/>
        <v>1541.25</v>
      </c>
      <c r="S159" s="83">
        <f t="shared" si="8"/>
        <v>22.570833333333336</v>
      </c>
      <c r="T159" s="84"/>
      <c r="U159" s="84"/>
      <c r="V159" s="84"/>
      <c r="W159" s="84"/>
      <c r="X159" s="85"/>
      <c r="Y159" s="68"/>
      <c r="Z159" s="68"/>
    </row>
    <row r="160" spans="1:26" ht="12.75" hidden="1" outlineLevel="1" x14ac:dyDescent="0.2">
      <c r="A160" s="68"/>
      <c r="B160" s="86"/>
      <c r="C160" s="70" t="s">
        <v>47</v>
      </c>
      <c r="D160" s="87">
        <v>29.85</v>
      </c>
      <c r="E160" s="73">
        <v>1</v>
      </c>
      <c r="F160" s="73">
        <v>1</v>
      </c>
      <c r="G160" s="74">
        <f t="shared" si="0"/>
        <v>1</v>
      </c>
      <c r="H160" s="75">
        <f t="shared" si="1"/>
        <v>29.85</v>
      </c>
      <c r="I160" s="76">
        <f t="shared" si="2"/>
        <v>29.85</v>
      </c>
      <c r="J160" s="87">
        <v>0</v>
      </c>
      <c r="K160" s="73">
        <v>0</v>
      </c>
      <c r="L160" s="73">
        <v>0</v>
      </c>
      <c r="M160" s="88">
        <v>0</v>
      </c>
      <c r="N160" s="79" t="e">
        <f t="shared" si="58"/>
        <v>#DIV/0!</v>
      </c>
      <c r="O160" s="80" t="e">
        <f t="shared" si="4"/>
        <v>#DIV/0!</v>
      </c>
      <c r="P160" s="79">
        <f t="shared" si="5"/>
        <v>0</v>
      </c>
      <c r="Q160" s="81">
        <f t="shared" si="6"/>
        <v>0</v>
      </c>
      <c r="R160" s="82">
        <f t="shared" si="57"/>
        <v>29.85</v>
      </c>
      <c r="S160" s="83" t="e">
        <f t="shared" si="8"/>
        <v>#DIV/0!</v>
      </c>
      <c r="T160" s="84"/>
      <c r="U160" s="84"/>
      <c r="V160" s="84"/>
      <c r="W160" s="84"/>
      <c r="X160" s="85"/>
      <c r="Y160" s="68"/>
      <c r="Z160" s="68"/>
    </row>
    <row r="161" spans="1:26" ht="12.75" hidden="1" outlineLevel="1" x14ac:dyDescent="0.2">
      <c r="A161" s="68"/>
      <c r="B161" s="86"/>
      <c r="C161" s="70" t="s">
        <v>48</v>
      </c>
      <c r="D161" s="102">
        <v>3999</v>
      </c>
      <c r="E161" s="73">
        <v>20</v>
      </c>
      <c r="F161" s="73">
        <v>21</v>
      </c>
      <c r="G161" s="74">
        <f t="shared" si="0"/>
        <v>0.95238095238095233</v>
      </c>
      <c r="H161" s="75">
        <f t="shared" si="1"/>
        <v>199.95</v>
      </c>
      <c r="I161" s="76">
        <f t="shared" si="2"/>
        <v>209.94749999999999</v>
      </c>
      <c r="J161" s="102">
        <v>353.95</v>
      </c>
      <c r="K161" s="73">
        <v>38602</v>
      </c>
      <c r="L161" s="73">
        <v>13</v>
      </c>
      <c r="M161" s="103">
        <v>2639.35</v>
      </c>
      <c r="N161" s="79">
        <f t="shared" si="58"/>
        <v>0.13410498797052306</v>
      </c>
      <c r="O161" s="80">
        <f t="shared" si="4"/>
        <v>7.4568441870320665</v>
      </c>
      <c r="P161" s="79">
        <f t="shared" si="5"/>
        <v>8.8509627406851712E-2</v>
      </c>
      <c r="Q161" s="81">
        <f t="shared" si="6"/>
        <v>0.66000250062515631</v>
      </c>
      <c r="R161" s="82">
        <f t="shared" si="57"/>
        <v>1359.65</v>
      </c>
      <c r="S161" s="83">
        <f t="shared" si="8"/>
        <v>27.226923076923075</v>
      </c>
      <c r="T161" s="84"/>
      <c r="U161" s="84"/>
      <c r="V161" s="84"/>
      <c r="W161" s="84"/>
      <c r="X161" s="85"/>
      <c r="Y161" s="68"/>
      <c r="Z161" s="68"/>
    </row>
    <row r="162" spans="1:26" ht="12.75" hidden="1" outlineLevel="1" x14ac:dyDescent="0.2">
      <c r="A162" s="68"/>
      <c r="B162" s="86"/>
      <c r="C162" s="70" t="s">
        <v>49</v>
      </c>
      <c r="D162" s="116">
        <v>0</v>
      </c>
      <c r="E162" s="73">
        <v>0</v>
      </c>
      <c r="F162" s="73">
        <v>0</v>
      </c>
      <c r="G162" s="74" t="e">
        <f t="shared" si="0"/>
        <v>#DIV/0!</v>
      </c>
      <c r="H162" s="75" t="e">
        <f t="shared" si="1"/>
        <v>#DIV/0!</v>
      </c>
      <c r="I162" s="76" t="e">
        <f t="shared" si="2"/>
        <v>#DIV/0!</v>
      </c>
      <c r="J162" s="116">
        <v>9.7799999999999994</v>
      </c>
      <c r="K162" s="73">
        <v>9062</v>
      </c>
      <c r="L162" s="73">
        <v>0</v>
      </c>
      <c r="M162" s="117">
        <v>0</v>
      </c>
      <c r="N162" s="79" t="e">
        <f t="shared" si="58"/>
        <v>#DIV/0!</v>
      </c>
      <c r="O162" s="80">
        <f t="shared" si="4"/>
        <v>0</v>
      </c>
      <c r="P162" s="79" t="e">
        <f t="shared" si="5"/>
        <v>#DIV/0!</v>
      </c>
      <c r="Q162" s="81" t="e">
        <f t="shared" si="6"/>
        <v>#DIV/0!</v>
      </c>
      <c r="R162" s="82">
        <f t="shared" si="57"/>
        <v>0</v>
      </c>
      <c r="S162" s="83" t="e">
        <f t="shared" si="8"/>
        <v>#DIV/0!</v>
      </c>
      <c r="T162" s="84"/>
      <c r="U162" s="84"/>
      <c r="V162" s="84"/>
      <c r="W162" s="84"/>
      <c r="X162" s="85"/>
      <c r="Y162" s="68"/>
      <c r="Z162" s="68"/>
    </row>
    <row r="163" spans="1:26" hidden="1" outlineLevel="1" x14ac:dyDescent="0.25">
      <c r="A163" s="118" t="str">
        <f t="shared" ref="A163:A164" si="59">IFERROR(IF(B163&gt;0,MONTH(B163)&amp;"-"&amp;YEAR(B163),B163),)</f>
        <v>2-2026</v>
      </c>
      <c r="B163" s="69">
        <v>46067</v>
      </c>
      <c r="C163" s="198" t="s">
        <v>64</v>
      </c>
      <c r="D163" s="116">
        <v>0</v>
      </c>
      <c r="E163" s="73">
        <v>0</v>
      </c>
      <c r="F163" s="73">
        <v>0</v>
      </c>
      <c r="G163" s="74" t="e">
        <f t="shared" si="0"/>
        <v>#DIV/0!</v>
      </c>
      <c r="H163" s="75" t="e">
        <f t="shared" si="1"/>
        <v>#DIV/0!</v>
      </c>
      <c r="I163" s="76" t="e">
        <f t="shared" si="2"/>
        <v>#DIV/0!</v>
      </c>
      <c r="J163" s="87">
        <v>10790.22</v>
      </c>
      <c r="K163" s="199">
        <v>940497</v>
      </c>
      <c r="L163" s="73">
        <v>0</v>
      </c>
      <c r="M163" s="88">
        <v>8691.91</v>
      </c>
      <c r="N163" s="79">
        <f t="shared" si="58"/>
        <v>1.2414095405957954</v>
      </c>
      <c r="O163" s="80">
        <f t="shared" si="4"/>
        <v>0.80553593902626641</v>
      </c>
      <c r="P163" s="79" t="e">
        <f t="shared" si="5"/>
        <v>#DIV/0!</v>
      </c>
      <c r="Q163" s="81" t="e">
        <f t="shared" si="6"/>
        <v>#DIV/0!</v>
      </c>
      <c r="R163" s="82">
        <f t="shared" si="57"/>
        <v>-8691.91</v>
      </c>
      <c r="S163" s="83" t="e">
        <f t="shared" si="8"/>
        <v>#DIV/0!</v>
      </c>
      <c r="T163" s="84"/>
      <c r="U163" s="84"/>
      <c r="V163" s="84"/>
      <c r="W163" s="84"/>
      <c r="X163" s="85"/>
      <c r="Y163" s="68"/>
      <c r="Z163" s="68"/>
    </row>
    <row r="164" spans="1:26" ht="12.75" collapsed="1" x14ac:dyDescent="0.2">
      <c r="A164" s="68">
        <f t="shared" si="59"/>
        <v>0</v>
      </c>
      <c r="B164" s="119" t="s">
        <v>57</v>
      </c>
      <c r="C164" s="120"/>
      <c r="D164" s="121">
        <f t="shared" ref="D164:F164" si="60">SUM(D146:D163)</f>
        <v>18719.590000000004</v>
      </c>
      <c r="E164" s="123">
        <f t="shared" si="60"/>
        <v>195</v>
      </c>
      <c r="F164" s="123">
        <f t="shared" si="60"/>
        <v>217</v>
      </c>
      <c r="G164" s="124">
        <f t="shared" si="0"/>
        <v>0.89861751152073732</v>
      </c>
      <c r="H164" s="125">
        <f t="shared" si="1"/>
        <v>95.997897435897457</v>
      </c>
      <c r="I164" s="126">
        <f t="shared" si="2"/>
        <v>106.8284294543064</v>
      </c>
      <c r="J164" s="121">
        <f t="shared" ref="J164:M164" si="61">SUM(J146:J163)</f>
        <v>13759.07</v>
      </c>
      <c r="K164" s="123">
        <f t="shared" si="61"/>
        <v>1750976</v>
      </c>
      <c r="L164" s="123">
        <f t="shared" si="61"/>
        <v>60</v>
      </c>
      <c r="M164" s="127">
        <f t="shared" si="61"/>
        <v>15434.84</v>
      </c>
      <c r="N164" s="128">
        <f t="shared" si="58"/>
        <v>0.89142938961466389</v>
      </c>
      <c r="O164" s="129">
        <f t="shared" si="4"/>
        <v>1.121793842171019</v>
      </c>
      <c r="P164" s="128">
        <f t="shared" si="5"/>
        <v>0.73500915351244323</v>
      </c>
      <c r="Q164" s="130">
        <f t="shared" si="6"/>
        <v>0.82452874234959195</v>
      </c>
      <c r="R164" s="131">
        <f>SUM(R146:R163)</f>
        <v>3284.7500000000018</v>
      </c>
      <c r="S164" s="132">
        <f t="shared" si="8"/>
        <v>229.31783333333334</v>
      </c>
      <c r="T164" s="134">
        <f t="shared" ref="T164:U164" si="62">IFERROR((D164-#REF!)/D164,)</f>
        <v>0</v>
      </c>
      <c r="U164" s="134">
        <f t="shared" si="62"/>
        <v>0</v>
      </c>
      <c r="V164" s="134">
        <f t="shared" ref="V164:W164" si="63">IFERROR((D164-#REF!)/D164, )</f>
        <v>0</v>
      </c>
      <c r="W164" s="134">
        <f t="shared" si="63"/>
        <v>0</v>
      </c>
      <c r="X164" s="68"/>
      <c r="Y164" s="68"/>
      <c r="Z164" s="68"/>
    </row>
    <row r="165" spans="1:26" ht="12.75" outlineLevel="1" x14ac:dyDescent="0.2">
      <c r="A165" s="50"/>
      <c r="B165" s="69">
        <v>46068</v>
      </c>
      <c r="C165" s="70" t="s">
        <v>32</v>
      </c>
      <c r="D165" s="71">
        <v>3998.34</v>
      </c>
      <c r="E165" s="73">
        <v>34</v>
      </c>
      <c r="F165" s="73">
        <v>35</v>
      </c>
      <c r="G165" s="74">
        <f t="shared" si="0"/>
        <v>0.97142857142857142</v>
      </c>
      <c r="H165" s="75">
        <f t="shared" si="1"/>
        <v>117.59823529411766</v>
      </c>
      <c r="I165" s="76">
        <f t="shared" si="2"/>
        <v>121.05700692041523</v>
      </c>
      <c r="J165" s="77">
        <v>658.34</v>
      </c>
      <c r="K165" s="73">
        <v>123278</v>
      </c>
      <c r="L165" s="73">
        <v>11</v>
      </c>
      <c r="M165" s="78">
        <v>1518.8</v>
      </c>
      <c r="N165" s="79">
        <f t="shared" si="58"/>
        <v>0.43346062681064002</v>
      </c>
      <c r="O165" s="80">
        <f t="shared" si="4"/>
        <v>2.3070146125102529</v>
      </c>
      <c r="P165" s="79">
        <f t="shared" si="5"/>
        <v>0.16465333113241995</v>
      </c>
      <c r="Q165" s="81">
        <f t="shared" si="6"/>
        <v>0.37985764092098218</v>
      </c>
      <c r="R165" s="82">
        <f t="shared" ref="R165:R182" si="64">D165-M165</f>
        <v>2479.54</v>
      </c>
      <c r="S165" s="83">
        <f t="shared" si="8"/>
        <v>59.849090909090911</v>
      </c>
      <c r="T165" s="135"/>
      <c r="U165" s="135"/>
      <c r="V165" s="135"/>
      <c r="W165" s="135"/>
      <c r="X165" s="136"/>
      <c r="Y165" s="50"/>
      <c r="Z165" s="50"/>
    </row>
    <row r="166" spans="1:26" ht="12.75" outlineLevel="1" x14ac:dyDescent="0.2">
      <c r="A166" s="50"/>
      <c r="B166" s="137"/>
      <c r="C166" s="70" t="s">
        <v>33</v>
      </c>
      <c r="D166" s="87">
        <v>12681</v>
      </c>
      <c r="E166" s="73">
        <v>87</v>
      </c>
      <c r="F166" s="73">
        <v>88</v>
      </c>
      <c r="G166" s="74">
        <f t="shared" si="0"/>
        <v>0.98863636363636365</v>
      </c>
      <c r="H166" s="75">
        <f t="shared" si="1"/>
        <v>145.75862068965517</v>
      </c>
      <c r="I166" s="76">
        <f t="shared" si="2"/>
        <v>147.43400713436387</v>
      </c>
      <c r="J166" s="87">
        <v>662.67</v>
      </c>
      <c r="K166" s="73">
        <v>162216</v>
      </c>
      <c r="L166" s="73">
        <v>24</v>
      </c>
      <c r="M166" s="88">
        <v>3428.05</v>
      </c>
      <c r="N166" s="79">
        <f t="shared" si="58"/>
        <v>0.19330814894765244</v>
      </c>
      <c r="O166" s="80">
        <f t="shared" si="4"/>
        <v>5.173087660524847</v>
      </c>
      <c r="P166" s="79">
        <f t="shared" si="5"/>
        <v>5.2256919801277502E-2</v>
      </c>
      <c r="Q166" s="81">
        <f t="shared" si="6"/>
        <v>0.2703296270010252</v>
      </c>
      <c r="R166" s="89">
        <f t="shared" si="64"/>
        <v>9252.9500000000007</v>
      </c>
      <c r="S166" s="83">
        <f t="shared" si="8"/>
        <v>27.611249999999998</v>
      </c>
      <c r="T166" s="135"/>
      <c r="U166" s="135"/>
      <c r="V166" s="135"/>
      <c r="W166" s="135"/>
      <c r="X166" s="136"/>
      <c r="Y166" s="50"/>
      <c r="Z166" s="50"/>
    </row>
    <row r="167" spans="1:26" ht="12.75" outlineLevel="1" x14ac:dyDescent="0.2">
      <c r="A167" s="50"/>
      <c r="B167" s="137"/>
      <c r="C167" s="70" t="s">
        <v>34</v>
      </c>
      <c r="D167" s="90">
        <v>0</v>
      </c>
      <c r="E167" s="73">
        <v>0</v>
      </c>
      <c r="F167" s="73">
        <v>0</v>
      </c>
      <c r="G167" s="74" t="e">
        <f t="shared" si="0"/>
        <v>#DIV/0!</v>
      </c>
      <c r="H167" s="75" t="e">
        <f t="shared" si="1"/>
        <v>#DIV/0!</v>
      </c>
      <c r="I167" s="76" t="e">
        <f t="shared" si="2"/>
        <v>#DIV/0!</v>
      </c>
      <c r="J167" s="90">
        <v>0</v>
      </c>
      <c r="K167" s="73">
        <v>0</v>
      </c>
      <c r="L167" s="73">
        <v>0</v>
      </c>
      <c r="M167" s="91">
        <v>0</v>
      </c>
      <c r="N167" s="79" t="e">
        <f>(J167/M167)</f>
        <v>#DIV/0!</v>
      </c>
      <c r="O167" s="80" t="e">
        <f t="shared" si="4"/>
        <v>#DIV/0!</v>
      </c>
      <c r="P167" s="79" t="e">
        <f t="shared" si="5"/>
        <v>#DIV/0!</v>
      </c>
      <c r="Q167" s="81" t="e">
        <f t="shared" si="6"/>
        <v>#DIV/0!</v>
      </c>
      <c r="R167" s="92">
        <f t="shared" si="64"/>
        <v>0</v>
      </c>
      <c r="S167" s="83" t="e">
        <f t="shared" si="8"/>
        <v>#DIV/0!</v>
      </c>
      <c r="T167" s="135"/>
      <c r="U167" s="135"/>
      <c r="V167" s="135"/>
      <c r="W167" s="135"/>
      <c r="X167" s="136"/>
      <c r="Y167" s="50"/>
      <c r="Z167" s="50"/>
    </row>
    <row r="168" spans="1:26" ht="12.75" outlineLevel="1" x14ac:dyDescent="0.2">
      <c r="A168" s="50"/>
      <c r="B168" s="137"/>
      <c r="C168" s="70" t="s">
        <v>35</v>
      </c>
      <c r="D168" s="90">
        <v>0</v>
      </c>
      <c r="E168" s="73">
        <v>0</v>
      </c>
      <c r="F168" s="73">
        <v>0</v>
      </c>
      <c r="G168" s="74" t="e">
        <f t="shared" si="0"/>
        <v>#DIV/0!</v>
      </c>
      <c r="H168" s="75" t="e">
        <f t="shared" si="1"/>
        <v>#DIV/0!</v>
      </c>
      <c r="I168" s="76" t="e">
        <f t="shared" si="2"/>
        <v>#DIV/0!</v>
      </c>
      <c r="J168" s="90">
        <v>531.87</v>
      </c>
      <c r="K168" s="73">
        <v>28333</v>
      </c>
      <c r="L168" s="73">
        <v>13</v>
      </c>
      <c r="M168" s="91">
        <v>770.36</v>
      </c>
      <c r="N168" s="79">
        <f t="shared" ref="N168:N185" si="65">J168/M168</f>
        <v>0.69041746715821173</v>
      </c>
      <c r="O168" s="80">
        <f t="shared" si="4"/>
        <v>1.4483990448793878</v>
      </c>
      <c r="P168" s="79" t="e">
        <f t="shared" si="5"/>
        <v>#DIV/0!</v>
      </c>
      <c r="Q168" s="81" t="e">
        <f t="shared" si="6"/>
        <v>#DIV/0!</v>
      </c>
      <c r="R168" s="92">
        <f t="shared" si="64"/>
        <v>-770.36</v>
      </c>
      <c r="S168" s="83">
        <f t="shared" si="8"/>
        <v>40.913076923076922</v>
      </c>
      <c r="T168" s="135"/>
      <c r="U168" s="135"/>
      <c r="V168" s="135"/>
      <c r="W168" s="135"/>
      <c r="X168" s="136"/>
      <c r="Y168" s="50"/>
      <c r="Z168" s="50"/>
    </row>
    <row r="169" spans="1:26" ht="12.75" outlineLevel="1" x14ac:dyDescent="0.2">
      <c r="A169" s="50"/>
      <c r="B169" s="137"/>
      <c r="C169" s="70" t="s">
        <v>36</v>
      </c>
      <c r="D169" s="90">
        <v>774.4</v>
      </c>
      <c r="E169" s="73">
        <v>12</v>
      </c>
      <c r="F169" s="73">
        <v>11</v>
      </c>
      <c r="G169" s="74">
        <f t="shared" si="0"/>
        <v>1.0909090909090908</v>
      </c>
      <c r="H169" s="75">
        <f t="shared" si="1"/>
        <v>64.533333333333331</v>
      </c>
      <c r="I169" s="76">
        <f t="shared" si="2"/>
        <v>59.155555555555559</v>
      </c>
      <c r="J169" s="90">
        <v>31.09</v>
      </c>
      <c r="K169" s="73">
        <v>11146</v>
      </c>
      <c r="L169" s="73">
        <v>5</v>
      </c>
      <c r="M169" s="91">
        <v>319.75</v>
      </c>
      <c r="N169" s="79">
        <f t="shared" si="65"/>
        <v>9.7232212666145429E-2</v>
      </c>
      <c r="O169" s="80">
        <f t="shared" si="4"/>
        <v>10.284657446124156</v>
      </c>
      <c r="P169" s="79">
        <f t="shared" si="5"/>
        <v>4.0147210743801655E-2</v>
      </c>
      <c r="Q169" s="81">
        <f t="shared" si="6"/>
        <v>0.41290030991735538</v>
      </c>
      <c r="R169" s="92">
        <f t="shared" si="64"/>
        <v>454.65</v>
      </c>
      <c r="S169" s="83">
        <f t="shared" si="8"/>
        <v>6.218</v>
      </c>
      <c r="T169" s="135"/>
      <c r="U169" s="135"/>
      <c r="V169" s="135"/>
      <c r="W169" s="135"/>
      <c r="X169" s="136"/>
      <c r="Y169" s="50"/>
      <c r="Z169" s="50"/>
    </row>
    <row r="170" spans="1:26" ht="12.75" outlineLevel="1" x14ac:dyDescent="0.2">
      <c r="A170" s="50"/>
      <c r="B170" s="138" t="s">
        <v>37</v>
      </c>
      <c r="C170" s="70" t="s">
        <v>38</v>
      </c>
      <c r="D170" s="93">
        <v>31.47</v>
      </c>
      <c r="E170" s="73">
        <v>1</v>
      </c>
      <c r="F170" s="73">
        <v>1</v>
      </c>
      <c r="G170" s="74">
        <f t="shared" si="0"/>
        <v>1</v>
      </c>
      <c r="H170" s="75">
        <f t="shared" si="1"/>
        <v>31.47</v>
      </c>
      <c r="I170" s="76">
        <f t="shared" si="2"/>
        <v>31.47</v>
      </c>
      <c r="J170" s="93">
        <v>30.85</v>
      </c>
      <c r="K170" s="73">
        <v>214339</v>
      </c>
      <c r="L170" s="73">
        <v>1</v>
      </c>
      <c r="M170" s="94">
        <v>31.47</v>
      </c>
      <c r="N170" s="79">
        <f t="shared" si="65"/>
        <v>0.98029869717190987</v>
      </c>
      <c r="O170" s="80">
        <f t="shared" si="4"/>
        <v>1.0200972447325769</v>
      </c>
      <c r="P170" s="79">
        <f t="shared" si="5"/>
        <v>0.98029869717190987</v>
      </c>
      <c r="Q170" s="81">
        <f t="shared" si="6"/>
        <v>1</v>
      </c>
      <c r="R170" s="95">
        <f t="shared" si="64"/>
        <v>0</v>
      </c>
      <c r="S170" s="83">
        <f t="shared" si="8"/>
        <v>30.85</v>
      </c>
      <c r="T170" s="135"/>
      <c r="U170" s="135"/>
      <c r="V170" s="135"/>
      <c r="W170" s="135"/>
      <c r="X170" s="136"/>
      <c r="Y170" s="50"/>
      <c r="Z170" s="50"/>
    </row>
    <row r="171" spans="1:26" ht="12.75" outlineLevel="1" x14ac:dyDescent="0.2">
      <c r="A171" s="50"/>
      <c r="B171" s="137"/>
      <c r="C171" s="70" t="s">
        <v>39</v>
      </c>
      <c r="D171" s="96">
        <v>0</v>
      </c>
      <c r="E171" s="73">
        <v>0</v>
      </c>
      <c r="F171" s="73">
        <v>0</v>
      </c>
      <c r="G171" s="74" t="e">
        <f t="shared" si="0"/>
        <v>#DIV/0!</v>
      </c>
      <c r="H171" s="75" t="e">
        <f t="shared" si="1"/>
        <v>#DIV/0!</v>
      </c>
      <c r="I171" s="76" t="e">
        <f t="shared" si="2"/>
        <v>#DIV/0!</v>
      </c>
      <c r="J171" s="96">
        <v>0</v>
      </c>
      <c r="K171" s="73">
        <v>0</v>
      </c>
      <c r="L171" s="73">
        <v>0</v>
      </c>
      <c r="M171" s="97">
        <v>0</v>
      </c>
      <c r="N171" s="79" t="e">
        <f t="shared" si="65"/>
        <v>#DIV/0!</v>
      </c>
      <c r="O171" s="80" t="e">
        <f t="shared" si="4"/>
        <v>#DIV/0!</v>
      </c>
      <c r="P171" s="79" t="e">
        <f t="shared" si="5"/>
        <v>#DIV/0!</v>
      </c>
      <c r="Q171" s="81" t="e">
        <f t="shared" si="6"/>
        <v>#DIV/0!</v>
      </c>
      <c r="R171" s="98">
        <f t="shared" si="64"/>
        <v>0</v>
      </c>
      <c r="S171" s="83" t="e">
        <f t="shared" si="8"/>
        <v>#DIV/0!</v>
      </c>
      <c r="T171" s="135"/>
      <c r="U171" s="135"/>
      <c r="V171" s="135"/>
      <c r="W171" s="135"/>
      <c r="X171" s="136"/>
      <c r="Y171" s="50"/>
      <c r="Z171" s="50"/>
    </row>
    <row r="172" spans="1:26" ht="12.75" outlineLevel="1" x14ac:dyDescent="0.2">
      <c r="A172" s="50"/>
      <c r="B172" s="137"/>
      <c r="C172" s="70" t="s">
        <v>40</v>
      </c>
      <c r="D172" s="99">
        <v>0</v>
      </c>
      <c r="E172" s="73">
        <v>0</v>
      </c>
      <c r="F172" s="73">
        <v>0</v>
      </c>
      <c r="G172" s="74" t="e">
        <f t="shared" si="0"/>
        <v>#DIV/0!</v>
      </c>
      <c r="H172" s="75" t="e">
        <f t="shared" si="1"/>
        <v>#DIV/0!</v>
      </c>
      <c r="I172" s="76" t="e">
        <f t="shared" si="2"/>
        <v>#DIV/0!</v>
      </c>
      <c r="J172" s="99">
        <v>0</v>
      </c>
      <c r="K172" s="73">
        <v>0</v>
      </c>
      <c r="L172" s="73">
        <v>0</v>
      </c>
      <c r="M172" s="100">
        <v>0</v>
      </c>
      <c r="N172" s="79" t="e">
        <f t="shared" si="65"/>
        <v>#DIV/0!</v>
      </c>
      <c r="O172" s="80" t="e">
        <f t="shared" si="4"/>
        <v>#DIV/0!</v>
      </c>
      <c r="P172" s="79" t="e">
        <f t="shared" si="5"/>
        <v>#DIV/0!</v>
      </c>
      <c r="Q172" s="81" t="e">
        <f t="shared" si="6"/>
        <v>#DIV/0!</v>
      </c>
      <c r="R172" s="101">
        <f t="shared" si="64"/>
        <v>0</v>
      </c>
      <c r="S172" s="83" t="e">
        <f t="shared" si="8"/>
        <v>#DIV/0!</v>
      </c>
      <c r="T172" s="135"/>
      <c r="U172" s="135"/>
      <c r="V172" s="135"/>
      <c r="W172" s="135"/>
      <c r="X172" s="136"/>
      <c r="Y172" s="50"/>
      <c r="Z172" s="50"/>
    </row>
    <row r="173" spans="1:26" ht="12.75" outlineLevel="1" x14ac:dyDescent="0.2">
      <c r="A173" s="50"/>
      <c r="B173" s="137"/>
      <c r="C173" s="70" t="s">
        <v>41</v>
      </c>
      <c r="D173" s="102">
        <v>2455.63</v>
      </c>
      <c r="E173" s="73">
        <v>39</v>
      </c>
      <c r="F173" s="73">
        <v>37</v>
      </c>
      <c r="G173" s="74">
        <f t="shared" si="0"/>
        <v>1.0540540540540539</v>
      </c>
      <c r="H173" s="75">
        <f t="shared" si="1"/>
        <v>62.964871794871797</v>
      </c>
      <c r="I173" s="76">
        <f t="shared" si="2"/>
        <v>59.735904010519405</v>
      </c>
      <c r="J173" s="102">
        <v>608.71</v>
      </c>
      <c r="K173" s="73">
        <v>49867</v>
      </c>
      <c r="L173" s="73">
        <v>13</v>
      </c>
      <c r="M173" s="103">
        <v>844.88</v>
      </c>
      <c r="N173" s="79">
        <f t="shared" si="65"/>
        <v>0.72046917905501373</v>
      </c>
      <c r="O173" s="80">
        <f t="shared" si="4"/>
        <v>1.3879844260813852</v>
      </c>
      <c r="P173" s="79">
        <f t="shared" si="5"/>
        <v>0.24788343520807288</v>
      </c>
      <c r="Q173" s="81">
        <f t="shared" si="6"/>
        <v>0.34405834755235926</v>
      </c>
      <c r="R173" s="104">
        <f t="shared" si="64"/>
        <v>1610.75</v>
      </c>
      <c r="S173" s="83">
        <f t="shared" si="8"/>
        <v>46.823846153846155</v>
      </c>
      <c r="T173" s="135"/>
      <c r="U173" s="135"/>
      <c r="V173" s="135"/>
      <c r="W173" s="135"/>
      <c r="X173" s="136"/>
      <c r="Y173" s="50"/>
      <c r="Z173" s="50"/>
    </row>
    <row r="174" spans="1:26" ht="12.75" outlineLevel="1" x14ac:dyDescent="0.2">
      <c r="A174" s="50"/>
      <c r="B174" s="137"/>
      <c r="C174" s="70" t="s">
        <v>42</v>
      </c>
      <c r="D174" s="90">
        <v>209.85</v>
      </c>
      <c r="E174" s="73">
        <v>11</v>
      </c>
      <c r="F174" s="73">
        <v>5</v>
      </c>
      <c r="G174" s="74">
        <f t="shared" si="0"/>
        <v>2.2000000000000002</v>
      </c>
      <c r="H174" s="75">
        <f t="shared" si="1"/>
        <v>19.077272727272728</v>
      </c>
      <c r="I174" s="76">
        <f t="shared" si="2"/>
        <v>8.6714876033057848</v>
      </c>
      <c r="J174" s="90">
        <v>429.11</v>
      </c>
      <c r="K174" s="73">
        <v>81326</v>
      </c>
      <c r="L174" s="73">
        <v>4</v>
      </c>
      <c r="M174" s="91">
        <v>79.959999999999994</v>
      </c>
      <c r="N174" s="79">
        <f t="shared" si="65"/>
        <v>5.3665582791395705</v>
      </c>
      <c r="O174" s="80">
        <f t="shared" si="4"/>
        <v>0.18633916711332757</v>
      </c>
      <c r="P174" s="79">
        <f t="shared" si="5"/>
        <v>2.0448415534905888</v>
      </c>
      <c r="Q174" s="81">
        <f t="shared" si="6"/>
        <v>0.38103407195615913</v>
      </c>
      <c r="R174" s="92">
        <f t="shared" si="64"/>
        <v>129.88999999999999</v>
      </c>
      <c r="S174" s="83">
        <f t="shared" si="8"/>
        <v>107.2775</v>
      </c>
      <c r="T174" s="135"/>
      <c r="U174" s="135"/>
      <c r="V174" s="135"/>
      <c r="W174" s="135"/>
      <c r="X174" s="136"/>
      <c r="Y174" s="50"/>
      <c r="Z174" s="50"/>
    </row>
    <row r="175" spans="1:26" ht="12.75" outlineLevel="1" x14ac:dyDescent="0.2">
      <c r="A175" s="50"/>
      <c r="B175" s="137"/>
      <c r="C175" s="70" t="s">
        <v>43</v>
      </c>
      <c r="D175" s="105">
        <v>1746.22</v>
      </c>
      <c r="E175" s="73">
        <v>14</v>
      </c>
      <c r="F175" s="73">
        <v>15</v>
      </c>
      <c r="G175" s="74">
        <f t="shared" si="0"/>
        <v>0.93333333333333335</v>
      </c>
      <c r="H175" s="75">
        <f t="shared" si="1"/>
        <v>124.73</v>
      </c>
      <c r="I175" s="76">
        <f t="shared" si="2"/>
        <v>133.63928571428571</v>
      </c>
      <c r="J175" s="105">
        <v>51.61</v>
      </c>
      <c r="K175" s="73">
        <v>17696</v>
      </c>
      <c r="L175" s="73">
        <v>2</v>
      </c>
      <c r="M175" s="106">
        <v>284.44</v>
      </c>
      <c r="N175" s="79">
        <f t="shared" si="65"/>
        <v>0.18144424131627057</v>
      </c>
      <c r="O175" s="80">
        <f t="shared" si="4"/>
        <v>5.5113350125944587</v>
      </c>
      <c r="P175" s="79">
        <f t="shared" si="5"/>
        <v>2.9555267950201004E-2</v>
      </c>
      <c r="Q175" s="81">
        <f t="shared" si="6"/>
        <v>0.16288898306055366</v>
      </c>
      <c r="R175" s="107">
        <f t="shared" si="64"/>
        <v>1461.78</v>
      </c>
      <c r="S175" s="83">
        <f t="shared" si="8"/>
        <v>25.805</v>
      </c>
      <c r="T175" s="135"/>
      <c r="U175" s="135"/>
      <c r="V175" s="135"/>
      <c r="W175" s="135"/>
      <c r="X175" s="136"/>
      <c r="Y175" s="50"/>
      <c r="Z175" s="50"/>
    </row>
    <row r="176" spans="1:26" ht="12.75" outlineLevel="1" x14ac:dyDescent="0.2">
      <c r="A176" s="50"/>
      <c r="B176" s="137"/>
      <c r="C176" s="70" t="s">
        <v>44</v>
      </c>
      <c r="D176" s="108">
        <v>254.76</v>
      </c>
      <c r="E176" s="73">
        <v>6</v>
      </c>
      <c r="F176" s="73">
        <v>7</v>
      </c>
      <c r="G176" s="74">
        <f t="shared" si="0"/>
        <v>0.8571428571428571</v>
      </c>
      <c r="H176" s="75">
        <f t="shared" si="1"/>
        <v>42.46</v>
      </c>
      <c r="I176" s="76">
        <f t="shared" si="2"/>
        <v>49.536666666666669</v>
      </c>
      <c r="J176" s="108">
        <v>100.74</v>
      </c>
      <c r="K176" s="73">
        <v>67853</v>
      </c>
      <c r="L176" s="73">
        <v>1</v>
      </c>
      <c r="M176" s="109">
        <v>44.96</v>
      </c>
      <c r="N176" s="79">
        <f t="shared" si="65"/>
        <v>2.2406583629893237</v>
      </c>
      <c r="O176" s="80">
        <f t="shared" si="4"/>
        <v>0.4462973992455827</v>
      </c>
      <c r="P176" s="79">
        <f t="shared" si="5"/>
        <v>0.3954309938765897</v>
      </c>
      <c r="Q176" s="81">
        <f t="shared" si="6"/>
        <v>0.17647982414821795</v>
      </c>
      <c r="R176" s="110">
        <f t="shared" si="64"/>
        <v>209.79999999999998</v>
      </c>
      <c r="S176" s="83">
        <f t="shared" si="8"/>
        <v>100.74</v>
      </c>
      <c r="T176" s="135"/>
      <c r="U176" s="135"/>
      <c r="V176" s="135"/>
      <c r="W176" s="135"/>
      <c r="X176" s="136"/>
      <c r="Y176" s="50"/>
      <c r="Z176" s="50"/>
    </row>
    <row r="177" spans="1:26" ht="12.75" outlineLevel="1" x14ac:dyDescent="0.2">
      <c r="A177" s="139"/>
      <c r="B177" s="137"/>
      <c r="C177" s="112" t="s">
        <v>45</v>
      </c>
      <c r="D177" s="71">
        <v>0</v>
      </c>
      <c r="E177" s="73">
        <v>0</v>
      </c>
      <c r="F177" s="73">
        <v>0</v>
      </c>
      <c r="G177" s="74" t="e">
        <f t="shared" si="0"/>
        <v>#DIV/0!</v>
      </c>
      <c r="H177" s="75" t="e">
        <f t="shared" si="1"/>
        <v>#DIV/0!</v>
      </c>
      <c r="I177" s="76" t="e">
        <f t="shared" si="2"/>
        <v>#DIV/0!</v>
      </c>
      <c r="J177" s="71">
        <v>0</v>
      </c>
      <c r="K177" s="73">
        <v>0</v>
      </c>
      <c r="L177" s="73">
        <v>0</v>
      </c>
      <c r="M177" s="78">
        <v>0</v>
      </c>
      <c r="N177" s="79" t="e">
        <f t="shared" si="65"/>
        <v>#DIV/0!</v>
      </c>
      <c r="O177" s="80" t="e">
        <f t="shared" si="4"/>
        <v>#DIV/0!</v>
      </c>
      <c r="P177" s="79" t="e">
        <f t="shared" si="5"/>
        <v>#DIV/0!</v>
      </c>
      <c r="Q177" s="81" t="e">
        <f t="shared" si="6"/>
        <v>#DIV/0!</v>
      </c>
      <c r="R177" s="82">
        <f t="shared" si="64"/>
        <v>0</v>
      </c>
      <c r="S177" s="83" t="e">
        <f t="shared" si="8"/>
        <v>#DIV/0!</v>
      </c>
      <c r="T177" s="140"/>
      <c r="U177" s="140"/>
      <c r="V177" s="140"/>
      <c r="W177" s="141"/>
      <c r="X177" s="142"/>
      <c r="Y177" s="50"/>
      <c r="Z177" s="50"/>
    </row>
    <row r="178" spans="1:26" ht="12.75" outlineLevel="1" x14ac:dyDescent="0.2">
      <c r="A178" s="50"/>
      <c r="B178" s="137"/>
      <c r="C178" s="70" t="s">
        <v>46</v>
      </c>
      <c r="D178" s="116">
        <v>2848.75</v>
      </c>
      <c r="E178" s="73">
        <v>77</v>
      </c>
      <c r="F178" s="73">
        <v>76</v>
      </c>
      <c r="G178" s="74">
        <f t="shared" si="0"/>
        <v>1.013157894736842</v>
      </c>
      <c r="H178" s="75">
        <f t="shared" si="1"/>
        <v>36.996753246753244</v>
      </c>
      <c r="I178" s="76">
        <f t="shared" si="2"/>
        <v>36.516275931860349</v>
      </c>
      <c r="J178" s="116">
        <v>269.75</v>
      </c>
      <c r="K178" s="73">
        <v>62334</v>
      </c>
      <c r="L178" s="73">
        <v>22</v>
      </c>
      <c r="M178" s="117">
        <v>573.34</v>
      </c>
      <c r="N178" s="79">
        <f t="shared" si="65"/>
        <v>0.47048871524749708</v>
      </c>
      <c r="O178" s="80">
        <f t="shared" si="4"/>
        <v>2.1254494902687675</v>
      </c>
      <c r="P178" s="79">
        <f t="shared" si="5"/>
        <v>9.4690653795524354E-2</v>
      </c>
      <c r="Q178" s="81">
        <f t="shared" si="6"/>
        <v>0.20126020184291357</v>
      </c>
      <c r="R178" s="82">
        <f t="shared" si="64"/>
        <v>2275.41</v>
      </c>
      <c r="S178" s="83">
        <f t="shared" si="8"/>
        <v>12.261363636363637</v>
      </c>
      <c r="T178" s="135"/>
      <c r="U178" s="135"/>
      <c r="V178" s="135"/>
      <c r="W178" s="135"/>
      <c r="X178" s="136"/>
      <c r="Y178" s="50"/>
      <c r="Z178" s="50"/>
    </row>
    <row r="179" spans="1:26" ht="12.75" outlineLevel="1" x14ac:dyDescent="0.2">
      <c r="A179" s="50"/>
      <c r="B179" s="137"/>
      <c r="C179" s="70" t="s">
        <v>47</v>
      </c>
      <c r="D179" s="87">
        <v>119.4</v>
      </c>
      <c r="E179" s="73">
        <v>4</v>
      </c>
      <c r="F179" s="73">
        <v>1</v>
      </c>
      <c r="G179" s="74">
        <f t="shared" si="0"/>
        <v>4</v>
      </c>
      <c r="H179" s="75">
        <f t="shared" si="1"/>
        <v>29.85</v>
      </c>
      <c r="I179" s="76">
        <f t="shared" si="2"/>
        <v>7.4625000000000004</v>
      </c>
      <c r="J179" s="87">
        <v>0</v>
      </c>
      <c r="K179" s="73">
        <v>0</v>
      </c>
      <c r="L179" s="73">
        <v>0</v>
      </c>
      <c r="M179" s="88">
        <v>0</v>
      </c>
      <c r="N179" s="79" t="e">
        <f t="shared" si="65"/>
        <v>#DIV/0!</v>
      </c>
      <c r="O179" s="80" t="e">
        <f t="shared" si="4"/>
        <v>#DIV/0!</v>
      </c>
      <c r="P179" s="79">
        <f t="shared" si="5"/>
        <v>0</v>
      </c>
      <c r="Q179" s="81">
        <f t="shared" si="6"/>
        <v>0</v>
      </c>
      <c r="R179" s="82">
        <f t="shared" si="64"/>
        <v>119.4</v>
      </c>
      <c r="S179" s="83" t="e">
        <f t="shared" si="8"/>
        <v>#DIV/0!</v>
      </c>
      <c r="T179" s="135"/>
      <c r="U179" s="135"/>
      <c r="V179" s="135"/>
      <c r="W179" s="135"/>
      <c r="X179" s="136"/>
      <c r="Y179" s="50"/>
      <c r="Z179" s="50"/>
    </row>
    <row r="180" spans="1:26" ht="12.75" outlineLevel="1" x14ac:dyDescent="0.2">
      <c r="A180" s="50"/>
      <c r="B180" s="137"/>
      <c r="C180" s="70" t="s">
        <v>48</v>
      </c>
      <c r="D180" s="102">
        <v>1739.55</v>
      </c>
      <c r="E180" s="73">
        <v>9</v>
      </c>
      <c r="F180" s="73">
        <v>10</v>
      </c>
      <c r="G180" s="74">
        <f t="shared" si="0"/>
        <v>0.9</v>
      </c>
      <c r="H180" s="75">
        <f t="shared" si="1"/>
        <v>193.28333333333333</v>
      </c>
      <c r="I180" s="76">
        <f t="shared" si="2"/>
        <v>214.75925925925924</v>
      </c>
      <c r="J180" s="102">
        <v>317.91000000000003</v>
      </c>
      <c r="K180" s="73">
        <v>33421</v>
      </c>
      <c r="L180" s="73">
        <v>9</v>
      </c>
      <c r="M180" s="103">
        <v>1719.55</v>
      </c>
      <c r="N180" s="79">
        <f t="shared" si="65"/>
        <v>0.18487976505481088</v>
      </c>
      <c r="O180" s="80">
        <f t="shared" si="4"/>
        <v>5.4089207637381644</v>
      </c>
      <c r="P180" s="79">
        <f t="shared" si="5"/>
        <v>0.18275416055876523</v>
      </c>
      <c r="Q180" s="81">
        <f t="shared" si="6"/>
        <v>0.9885027737058435</v>
      </c>
      <c r="R180" s="82">
        <f t="shared" si="64"/>
        <v>20</v>
      </c>
      <c r="S180" s="83">
        <f t="shared" si="8"/>
        <v>35.323333333333338</v>
      </c>
      <c r="T180" s="135"/>
      <c r="U180" s="135"/>
      <c r="V180" s="135"/>
      <c r="W180" s="135"/>
      <c r="X180" s="136"/>
      <c r="Y180" s="50"/>
      <c r="Z180" s="50"/>
    </row>
    <row r="181" spans="1:26" ht="12.75" outlineLevel="1" x14ac:dyDescent="0.2">
      <c r="A181" s="118"/>
      <c r="B181" s="69"/>
      <c r="C181" s="70" t="s">
        <v>49</v>
      </c>
      <c r="D181" s="116">
        <v>106.8</v>
      </c>
      <c r="E181" s="73">
        <v>2</v>
      </c>
      <c r="F181" s="73">
        <v>2</v>
      </c>
      <c r="G181" s="74">
        <f t="shared" si="0"/>
        <v>1</v>
      </c>
      <c r="H181" s="75">
        <f t="shared" si="1"/>
        <v>53.4</v>
      </c>
      <c r="I181" s="76">
        <f t="shared" si="2"/>
        <v>53.4</v>
      </c>
      <c r="J181" s="116">
        <v>3.09</v>
      </c>
      <c r="K181" s="73">
        <v>7258</v>
      </c>
      <c r="L181" s="73">
        <v>0</v>
      </c>
      <c r="M181" s="117">
        <v>0</v>
      </c>
      <c r="N181" s="79" t="e">
        <f t="shared" si="65"/>
        <v>#DIV/0!</v>
      </c>
      <c r="O181" s="80">
        <f t="shared" si="4"/>
        <v>0</v>
      </c>
      <c r="P181" s="79">
        <f t="shared" si="5"/>
        <v>2.8932584269662921E-2</v>
      </c>
      <c r="Q181" s="81">
        <f t="shared" si="6"/>
        <v>0</v>
      </c>
      <c r="R181" s="82">
        <f t="shared" si="64"/>
        <v>106.8</v>
      </c>
      <c r="S181" s="83" t="e">
        <f t="shared" si="8"/>
        <v>#DIV/0!</v>
      </c>
      <c r="T181" s="135"/>
      <c r="U181" s="135"/>
      <c r="V181" s="135"/>
      <c r="W181" s="135"/>
      <c r="X181" s="136"/>
      <c r="Y181" s="50"/>
      <c r="Z181" s="50"/>
    </row>
    <row r="182" spans="1:26" outlineLevel="1" x14ac:dyDescent="0.25">
      <c r="A182" s="118" t="str">
        <f t="shared" ref="A182:A183" si="66">IFERROR(IF(B182&gt;0,MONTH(B182)&amp;"-"&amp;YEAR(B182),B182),)</f>
        <v>2-2026</v>
      </c>
      <c r="B182" s="69">
        <v>46074</v>
      </c>
      <c r="C182" s="198" t="s">
        <v>64</v>
      </c>
      <c r="D182" s="116">
        <v>0</v>
      </c>
      <c r="E182" s="73">
        <v>0</v>
      </c>
      <c r="F182" s="73">
        <v>0</v>
      </c>
      <c r="G182" s="74" t="e">
        <f t="shared" si="0"/>
        <v>#DIV/0!</v>
      </c>
      <c r="H182" s="75" t="e">
        <f t="shared" si="1"/>
        <v>#DIV/0!</v>
      </c>
      <c r="I182" s="76" t="e">
        <f t="shared" si="2"/>
        <v>#DIV/0!</v>
      </c>
      <c r="J182" s="87">
        <v>6444.6900000000005</v>
      </c>
      <c r="K182" s="199">
        <v>661606</v>
      </c>
      <c r="L182" s="73">
        <v>0</v>
      </c>
      <c r="M182" s="88">
        <v>10225.81</v>
      </c>
      <c r="N182" s="79">
        <f t="shared" si="65"/>
        <v>0.6302376046494117</v>
      </c>
      <c r="O182" s="80">
        <f t="shared" si="4"/>
        <v>1.5867031618277991</v>
      </c>
      <c r="P182" s="79" t="e">
        <f t="shared" si="5"/>
        <v>#DIV/0!</v>
      </c>
      <c r="Q182" s="81" t="e">
        <f t="shared" si="6"/>
        <v>#DIV/0!</v>
      </c>
      <c r="R182" s="82">
        <f t="shared" si="64"/>
        <v>-10225.81</v>
      </c>
      <c r="S182" s="83" t="e">
        <f t="shared" si="8"/>
        <v>#DIV/0!</v>
      </c>
      <c r="T182" s="135"/>
      <c r="U182" s="135"/>
      <c r="V182" s="135"/>
      <c r="W182" s="135"/>
      <c r="X182" s="136"/>
      <c r="Y182" s="50"/>
      <c r="Z182" s="50"/>
    </row>
    <row r="183" spans="1:26" ht="12.75" x14ac:dyDescent="0.2">
      <c r="A183" s="50">
        <f t="shared" si="66"/>
        <v>0</v>
      </c>
      <c r="B183" s="119" t="s">
        <v>58</v>
      </c>
      <c r="C183" s="145"/>
      <c r="D183" s="121">
        <f t="shared" ref="D183:F183" si="67">SUM(D165:D182)</f>
        <v>26966.170000000002</v>
      </c>
      <c r="E183" s="123">
        <f t="shared" si="67"/>
        <v>296</v>
      </c>
      <c r="F183" s="123">
        <f t="shared" si="67"/>
        <v>288</v>
      </c>
      <c r="G183" s="124">
        <f t="shared" si="0"/>
        <v>1.0277777777777777</v>
      </c>
      <c r="H183" s="125">
        <f t="shared" si="1"/>
        <v>91.101925675675687</v>
      </c>
      <c r="I183" s="126">
        <f t="shared" si="2"/>
        <v>88.639711468225002</v>
      </c>
      <c r="J183" s="121">
        <f t="shared" ref="J183:M183" si="68">SUM(J165:J182)</f>
        <v>10140.43</v>
      </c>
      <c r="K183" s="123">
        <f t="shared" si="68"/>
        <v>1520673</v>
      </c>
      <c r="L183" s="123">
        <f t="shared" si="68"/>
        <v>105</v>
      </c>
      <c r="M183" s="127">
        <f t="shared" si="68"/>
        <v>19841.37</v>
      </c>
      <c r="N183" s="128">
        <f t="shared" si="65"/>
        <v>0.51107509209293511</v>
      </c>
      <c r="O183" s="129">
        <f t="shared" si="4"/>
        <v>1.9566596288323077</v>
      </c>
      <c r="P183" s="128">
        <f t="shared" si="5"/>
        <v>0.37604264899316436</v>
      </c>
      <c r="Q183" s="130">
        <f t="shared" si="6"/>
        <v>0.73578747000408284</v>
      </c>
      <c r="R183" s="131">
        <f>SUM(R165:R182)</f>
        <v>7124.8000000000011</v>
      </c>
      <c r="S183" s="132">
        <f t="shared" si="8"/>
        <v>96.575523809523816</v>
      </c>
      <c r="T183" s="133">
        <f t="shared" ref="T183:U183" si="69">IFERROR((D183-#REF!)/D183,)</f>
        <v>0</v>
      </c>
      <c r="U183" s="133">
        <f t="shared" si="69"/>
        <v>0</v>
      </c>
      <c r="V183" s="133">
        <f t="shared" ref="V183:W183" si="70">IFERROR((D183-#REF!)/D183, )</f>
        <v>0</v>
      </c>
      <c r="W183" s="133">
        <f t="shared" si="70"/>
        <v>0</v>
      </c>
      <c r="X183" s="50"/>
      <c r="Y183" s="50"/>
      <c r="Z183" s="50"/>
    </row>
    <row r="184" spans="1:26" ht="12.75" outlineLevel="1" x14ac:dyDescent="0.2">
      <c r="A184" s="50"/>
      <c r="B184" s="69">
        <v>46075</v>
      </c>
      <c r="C184" s="70" t="s">
        <v>32</v>
      </c>
      <c r="D184" s="71">
        <v>4621.82</v>
      </c>
      <c r="E184" s="73">
        <v>34</v>
      </c>
      <c r="F184" s="73">
        <v>29</v>
      </c>
      <c r="G184" s="74">
        <f t="shared" si="0"/>
        <v>1.1724137931034482</v>
      </c>
      <c r="H184" s="75">
        <f t="shared" si="1"/>
        <v>135.93588235294118</v>
      </c>
      <c r="I184" s="76">
        <f t="shared" si="2"/>
        <v>115.94531141868514</v>
      </c>
      <c r="J184" s="77">
        <v>577.74</v>
      </c>
      <c r="K184" s="73">
        <v>97214</v>
      </c>
      <c r="L184" s="73">
        <v>14</v>
      </c>
      <c r="M184" s="78">
        <v>656.95</v>
      </c>
      <c r="N184" s="79">
        <f t="shared" si="65"/>
        <v>0.87942765811705603</v>
      </c>
      <c r="O184" s="80">
        <f t="shared" si="4"/>
        <v>1.1371031952089177</v>
      </c>
      <c r="P184" s="79">
        <f t="shared" si="5"/>
        <v>0.12500270456227203</v>
      </c>
      <c r="Q184" s="81">
        <f t="shared" si="6"/>
        <v>0.14214097476751586</v>
      </c>
      <c r="R184" s="82">
        <f t="shared" ref="R184:R201" si="71">D184-M184</f>
        <v>3964.87</v>
      </c>
      <c r="S184" s="83">
        <f t="shared" si="8"/>
        <v>41.267142857142858</v>
      </c>
      <c r="T184" s="135"/>
      <c r="U184" s="135"/>
      <c r="V184" s="135"/>
      <c r="W184" s="135"/>
      <c r="X184" s="136"/>
      <c r="Y184" s="50"/>
      <c r="Z184" s="50"/>
    </row>
    <row r="185" spans="1:26" ht="12.75" outlineLevel="1" x14ac:dyDescent="0.2">
      <c r="A185" s="50"/>
      <c r="B185" s="137"/>
      <c r="C185" s="70" t="s">
        <v>33</v>
      </c>
      <c r="D185" s="87">
        <v>6450.93</v>
      </c>
      <c r="E185" s="73">
        <v>68</v>
      </c>
      <c r="F185" s="73">
        <v>75</v>
      </c>
      <c r="G185" s="74">
        <f t="shared" si="0"/>
        <v>0.90666666666666662</v>
      </c>
      <c r="H185" s="75">
        <f t="shared" si="1"/>
        <v>94.866617647058831</v>
      </c>
      <c r="I185" s="76">
        <f t="shared" si="2"/>
        <v>104.63229887543254</v>
      </c>
      <c r="J185" s="87">
        <v>638.91999999999996</v>
      </c>
      <c r="K185" s="73">
        <v>167762</v>
      </c>
      <c r="L185" s="73">
        <v>20</v>
      </c>
      <c r="M185" s="88">
        <v>1630.5</v>
      </c>
      <c r="N185" s="79">
        <f t="shared" si="65"/>
        <v>0.39185525912296837</v>
      </c>
      <c r="O185" s="80">
        <f t="shared" si="4"/>
        <v>2.5519626870343708</v>
      </c>
      <c r="P185" s="79">
        <f t="shared" si="5"/>
        <v>9.9043083710410734E-2</v>
      </c>
      <c r="Q185" s="81">
        <f t="shared" si="6"/>
        <v>0.25275425403778989</v>
      </c>
      <c r="R185" s="89">
        <f t="shared" si="71"/>
        <v>4820.43</v>
      </c>
      <c r="S185" s="83">
        <f t="shared" si="8"/>
        <v>31.945999999999998</v>
      </c>
      <c r="T185" s="135"/>
      <c r="U185" s="135"/>
      <c r="V185" s="135"/>
      <c r="W185" s="135"/>
      <c r="X185" s="136"/>
      <c r="Y185" s="50"/>
      <c r="Z185" s="50"/>
    </row>
    <row r="186" spans="1:26" ht="12.75" outlineLevel="1" x14ac:dyDescent="0.2">
      <c r="A186" s="50"/>
      <c r="B186" s="137"/>
      <c r="C186" s="70" t="s">
        <v>34</v>
      </c>
      <c r="D186" s="90">
        <v>0</v>
      </c>
      <c r="E186" s="73">
        <v>0</v>
      </c>
      <c r="F186" s="73">
        <v>0</v>
      </c>
      <c r="G186" s="74" t="e">
        <f t="shared" si="0"/>
        <v>#DIV/0!</v>
      </c>
      <c r="H186" s="75" t="e">
        <f t="shared" si="1"/>
        <v>#DIV/0!</v>
      </c>
      <c r="I186" s="76" t="e">
        <f t="shared" si="2"/>
        <v>#DIV/0!</v>
      </c>
      <c r="J186" s="90">
        <v>0</v>
      </c>
      <c r="K186" s="73">
        <v>0</v>
      </c>
      <c r="L186" s="73">
        <v>0</v>
      </c>
      <c r="M186" s="91">
        <v>0</v>
      </c>
      <c r="N186" s="79" t="e">
        <f>(J186/M186)</f>
        <v>#DIV/0!</v>
      </c>
      <c r="O186" s="80" t="e">
        <f t="shared" si="4"/>
        <v>#DIV/0!</v>
      </c>
      <c r="P186" s="79" t="e">
        <f t="shared" si="5"/>
        <v>#DIV/0!</v>
      </c>
      <c r="Q186" s="81" t="e">
        <f t="shared" si="6"/>
        <v>#DIV/0!</v>
      </c>
      <c r="R186" s="92">
        <f t="shared" si="71"/>
        <v>0</v>
      </c>
      <c r="S186" s="83" t="e">
        <f t="shared" si="8"/>
        <v>#DIV/0!</v>
      </c>
      <c r="T186" s="135"/>
      <c r="U186" s="135"/>
      <c r="V186" s="135"/>
      <c r="W186" s="135"/>
      <c r="X186" s="136"/>
      <c r="Y186" s="50"/>
      <c r="Z186" s="50"/>
    </row>
    <row r="187" spans="1:26" ht="12.75" outlineLevel="1" x14ac:dyDescent="0.2">
      <c r="A187" s="50"/>
      <c r="B187" s="137"/>
      <c r="C187" s="70" t="s">
        <v>35</v>
      </c>
      <c r="D187" s="90">
        <v>839.3</v>
      </c>
      <c r="E187" s="73">
        <v>14</v>
      </c>
      <c r="F187" s="73">
        <v>14</v>
      </c>
      <c r="G187" s="74">
        <f t="shared" si="0"/>
        <v>1</v>
      </c>
      <c r="H187" s="75">
        <f t="shared" si="1"/>
        <v>59.949999999999996</v>
      </c>
      <c r="I187" s="76">
        <f t="shared" si="2"/>
        <v>59.949999999999996</v>
      </c>
      <c r="J187" s="90">
        <v>379.57</v>
      </c>
      <c r="K187" s="73">
        <v>20723</v>
      </c>
      <c r="L187" s="73">
        <v>9</v>
      </c>
      <c r="M187" s="91">
        <v>539.54999999999995</v>
      </c>
      <c r="N187" s="79">
        <f t="shared" ref="N187:N202" si="72">J187/M187</f>
        <v>0.70349365211750536</v>
      </c>
      <c r="O187" s="80">
        <f t="shared" si="4"/>
        <v>1.4214769344257976</v>
      </c>
      <c r="P187" s="79">
        <f t="shared" si="5"/>
        <v>0.4522459192183963</v>
      </c>
      <c r="Q187" s="81">
        <f t="shared" si="6"/>
        <v>0.64285714285714279</v>
      </c>
      <c r="R187" s="92">
        <f t="shared" si="71"/>
        <v>299.75</v>
      </c>
      <c r="S187" s="83">
        <f t="shared" si="8"/>
        <v>42.174444444444447</v>
      </c>
      <c r="T187" s="135"/>
      <c r="U187" s="135"/>
      <c r="V187" s="135"/>
      <c r="W187" s="135"/>
      <c r="X187" s="136"/>
      <c r="Y187" s="50"/>
      <c r="Z187" s="50"/>
    </row>
    <row r="188" spans="1:26" ht="12.75" outlineLevel="1" x14ac:dyDescent="0.2">
      <c r="A188" s="50"/>
      <c r="B188" s="137"/>
      <c r="C188" s="70" t="s">
        <v>36</v>
      </c>
      <c r="D188" s="90">
        <v>709.45</v>
      </c>
      <c r="E188" s="73">
        <v>11</v>
      </c>
      <c r="F188" s="73">
        <v>11</v>
      </c>
      <c r="G188" s="74">
        <f t="shared" si="0"/>
        <v>1</v>
      </c>
      <c r="H188" s="75">
        <f t="shared" si="1"/>
        <v>64.49545454545455</v>
      </c>
      <c r="I188" s="76">
        <f t="shared" si="2"/>
        <v>64.49545454545455</v>
      </c>
      <c r="J188" s="90">
        <v>24.15</v>
      </c>
      <c r="K188" s="73">
        <v>7154</v>
      </c>
      <c r="L188" s="73">
        <v>3</v>
      </c>
      <c r="M188" s="91">
        <v>199.85</v>
      </c>
      <c r="N188" s="79">
        <f t="shared" si="72"/>
        <v>0.12084063047285463</v>
      </c>
      <c r="O188" s="80">
        <f t="shared" si="4"/>
        <v>8.27536231884058</v>
      </c>
      <c r="P188" s="79">
        <f t="shared" si="5"/>
        <v>3.4040453872718299E-2</v>
      </c>
      <c r="Q188" s="81">
        <f t="shared" si="6"/>
        <v>0.28169708929452392</v>
      </c>
      <c r="R188" s="92">
        <f t="shared" si="71"/>
        <v>509.6</v>
      </c>
      <c r="S188" s="83">
        <f t="shared" si="8"/>
        <v>8.0499999999999989</v>
      </c>
      <c r="T188" s="135"/>
      <c r="U188" s="135"/>
      <c r="V188" s="135"/>
      <c r="W188" s="135"/>
      <c r="X188" s="136"/>
      <c r="Y188" s="50"/>
      <c r="Z188" s="50"/>
    </row>
    <row r="189" spans="1:26" ht="12.75" outlineLevel="1" x14ac:dyDescent="0.2">
      <c r="A189" s="50"/>
      <c r="B189" s="138" t="s">
        <v>37</v>
      </c>
      <c r="C189" s="70" t="s">
        <v>38</v>
      </c>
      <c r="D189" s="93">
        <v>82.9</v>
      </c>
      <c r="E189" s="73">
        <v>3</v>
      </c>
      <c r="F189" s="73">
        <v>3</v>
      </c>
      <c r="G189" s="74">
        <f t="shared" si="0"/>
        <v>1</v>
      </c>
      <c r="H189" s="75">
        <f t="shared" si="1"/>
        <v>27.633333333333336</v>
      </c>
      <c r="I189" s="76">
        <f t="shared" si="2"/>
        <v>27.633333333333336</v>
      </c>
      <c r="J189" s="93">
        <v>33.5</v>
      </c>
      <c r="K189" s="73">
        <v>135734</v>
      </c>
      <c r="L189" s="73">
        <v>2</v>
      </c>
      <c r="M189" s="94">
        <v>51.43</v>
      </c>
      <c r="N189" s="79">
        <f t="shared" si="72"/>
        <v>0.65137079525568731</v>
      </c>
      <c r="O189" s="80">
        <f t="shared" si="4"/>
        <v>1.5352238805970149</v>
      </c>
      <c r="P189" s="79">
        <f t="shared" si="5"/>
        <v>0.40410132689987932</v>
      </c>
      <c r="Q189" s="81">
        <f t="shared" si="6"/>
        <v>0.62038600723763571</v>
      </c>
      <c r="R189" s="95">
        <f t="shared" si="71"/>
        <v>31.470000000000006</v>
      </c>
      <c r="S189" s="83">
        <f t="shared" si="8"/>
        <v>16.75</v>
      </c>
      <c r="T189" s="135"/>
      <c r="U189" s="135"/>
      <c r="V189" s="135"/>
      <c r="W189" s="135"/>
      <c r="X189" s="136"/>
      <c r="Y189" s="50"/>
      <c r="Z189" s="50"/>
    </row>
    <row r="190" spans="1:26" ht="12.75" outlineLevel="1" x14ac:dyDescent="0.2">
      <c r="A190" s="50"/>
      <c r="B190" s="137"/>
      <c r="C190" s="70" t="s">
        <v>39</v>
      </c>
      <c r="D190" s="96">
        <v>0</v>
      </c>
      <c r="E190" s="73">
        <v>0</v>
      </c>
      <c r="F190" s="73">
        <v>0</v>
      </c>
      <c r="G190" s="74" t="e">
        <f t="shared" si="0"/>
        <v>#DIV/0!</v>
      </c>
      <c r="H190" s="75" t="e">
        <f t="shared" si="1"/>
        <v>#DIV/0!</v>
      </c>
      <c r="I190" s="76" t="e">
        <f t="shared" si="2"/>
        <v>#DIV/0!</v>
      </c>
      <c r="J190" s="96">
        <v>0</v>
      </c>
      <c r="K190" s="73">
        <v>0</v>
      </c>
      <c r="L190" s="73">
        <v>0</v>
      </c>
      <c r="M190" s="97">
        <v>0</v>
      </c>
      <c r="N190" s="79" t="e">
        <f t="shared" si="72"/>
        <v>#DIV/0!</v>
      </c>
      <c r="O190" s="80" t="e">
        <f t="shared" si="4"/>
        <v>#DIV/0!</v>
      </c>
      <c r="P190" s="79" t="e">
        <f t="shared" si="5"/>
        <v>#DIV/0!</v>
      </c>
      <c r="Q190" s="81" t="e">
        <f t="shared" si="6"/>
        <v>#DIV/0!</v>
      </c>
      <c r="R190" s="98">
        <f t="shared" si="71"/>
        <v>0</v>
      </c>
      <c r="S190" s="83" t="e">
        <f t="shared" si="8"/>
        <v>#DIV/0!</v>
      </c>
      <c r="T190" s="135"/>
      <c r="U190" s="135"/>
      <c r="V190" s="135"/>
      <c r="W190" s="135"/>
      <c r="X190" s="136"/>
      <c r="Y190" s="50"/>
      <c r="Z190" s="50"/>
    </row>
    <row r="191" spans="1:26" ht="12.75" outlineLevel="1" x14ac:dyDescent="0.2">
      <c r="A191" s="50"/>
      <c r="B191" s="137"/>
      <c r="C191" s="70" t="s">
        <v>40</v>
      </c>
      <c r="D191" s="99">
        <v>0</v>
      </c>
      <c r="E191" s="73">
        <v>0</v>
      </c>
      <c r="F191" s="73">
        <v>0</v>
      </c>
      <c r="G191" s="74" t="e">
        <f t="shared" si="0"/>
        <v>#DIV/0!</v>
      </c>
      <c r="H191" s="75" t="e">
        <f t="shared" si="1"/>
        <v>#DIV/0!</v>
      </c>
      <c r="I191" s="76" t="e">
        <f t="shared" si="2"/>
        <v>#DIV/0!</v>
      </c>
      <c r="J191" s="99">
        <v>0</v>
      </c>
      <c r="K191" s="73">
        <v>0</v>
      </c>
      <c r="L191" s="73">
        <v>0</v>
      </c>
      <c r="M191" s="100">
        <v>0</v>
      </c>
      <c r="N191" s="79" t="e">
        <f t="shared" si="72"/>
        <v>#DIV/0!</v>
      </c>
      <c r="O191" s="80" t="e">
        <f t="shared" si="4"/>
        <v>#DIV/0!</v>
      </c>
      <c r="P191" s="79" t="e">
        <f t="shared" si="5"/>
        <v>#DIV/0!</v>
      </c>
      <c r="Q191" s="81" t="e">
        <f t="shared" si="6"/>
        <v>#DIV/0!</v>
      </c>
      <c r="R191" s="101">
        <f t="shared" si="71"/>
        <v>0</v>
      </c>
      <c r="S191" s="83" t="e">
        <f t="shared" si="8"/>
        <v>#DIV/0!</v>
      </c>
      <c r="T191" s="135"/>
      <c r="U191" s="135"/>
      <c r="V191" s="135"/>
      <c r="W191" s="135"/>
      <c r="X191" s="136"/>
      <c r="Y191" s="50"/>
      <c r="Z191" s="50"/>
    </row>
    <row r="192" spans="1:26" ht="12.75" outlineLevel="1" x14ac:dyDescent="0.2">
      <c r="A192" s="50"/>
      <c r="B192" s="137"/>
      <c r="C192" s="70" t="s">
        <v>41</v>
      </c>
      <c r="D192" s="102">
        <v>2740.62</v>
      </c>
      <c r="E192" s="73">
        <v>41</v>
      </c>
      <c r="F192" s="73">
        <v>37</v>
      </c>
      <c r="G192" s="74">
        <f t="shared" si="0"/>
        <v>1.1081081081081081</v>
      </c>
      <c r="H192" s="75">
        <f t="shared" si="1"/>
        <v>66.844390243902438</v>
      </c>
      <c r="I192" s="76">
        <f t="shared" si="2"/>
        <v>60.322986317668054</v>
      </c>
      <c r="J192" s="102">
        <v>586.82000000000005</v>
      </c>
      <c r="K192" s="73">
        <v>43866</v>
      </c>
      <c r="L192" s="73">
        <v>15</v>
      </c>
      <c r="M192" s="103">
        <v>1050.8599999999999</v>
      </c>
      <c r="N192" s="79">
        <f t="shared" si="72"/>
        <v>0.55841881887216194</v>
      </c>
      <c r="O192" s="80">
        <f t="shared" si="4"/>
        <v>1.7907705940492822</v>
      </c>
      <c r="P192" s="79">
        <f t="shared" si="5"/>
        <v>0.2141194328290679</v>
      </c>
      <c r="Q192" s="81">
        <f t="shared" si="6"/>
        <v>0.38343878392480529</v>
      </c>
      <c r="R192" s="104">
        <f t="shared" si="71"/>
        <v>1689.76</v>
      </c>
      <c r="S192" s="83">
        <f t="shared" si="8"/>
        <v>39.12133333333334</v>
      </c>
      <c r="T192" s="135"/>
      <c r="U192" s="135"/>
      <c r="V192" s="135"/>
      <c r="W192" s="135"/>
      <c r="X192" s="136"/>
      <c r="Y192" s="50"/>
      <c r="Z192" s="50"/>
    </row>
    <row r="193" spans="1:26" ht="12.75" outlineLevel="1" x14ac:dyDescent="0.2">
      <c r="A193" s="50"/>
      <c r="B193" s="137"/>
      <c r="C193" s="70" t="s">
        <v>42</v>
      </c>
      <c r="D193" s="90">
        <v>39.979999999999997</v>
      </c>
      <c r="E193" s="73">
        <v>2</v>
      </c>
      <c r="F193" s="73">
        <v>2</v>
      </c>
      <c r="G193" s="74">
        <f t="shared" si="0"/>
        <v>1</v>
      </c>
      <c r="H193" s="75">
        <f t="shared" si="1"/>
        <v>19.989999999999998</v>
      </c>
      <c r="I193" s="76">
        <f t="shared" si="2"/>
        <v>19.989999999999998</v>
      </c>
      <c r="J193" s="90">
        <v>432.11</v>
      </c>
      <c r="K193" s="73">
        <v>80819</v>
      </c>
      <c r="L193" s="73">
        <v>2</v>
      </c>
      <c r="M193" s="91">
        <v>39.979999999999997</v>
      </c>
      <c r="N193" s="79">
        <f t="shared" si="72"/>
        <v>10.80815407703852</v>
      </c>
      <c r="O193" s="80">
        <f t="shared" si="4"/>
        <v>9.2522737265973931E-2</v>
      </c>
      <c r="P193" s="79">
        <f t="shared" si="5"/>
        <v>10.80815407703852</v>
      </c>
      <c r="Q193" s="81">
        <f t="shared" si="6"/>
        <v>1</v>
      </c>
      <c r="R193" s="92">
        <f t="shared" si="71"/>
        <v>0</v>
      </c>
      <c r="S193" s="83">
        <f t="shared" si="8"/>
        <v>216.05500000000001</v>
      </c>
      <c r="T193" s="135"/>
      <c r="U193" s="135"/>
      <c r="V193" s="135"/>
      <c r="W193" s="135"/>
      <c r="X193" s="136"/>
      <c r="Y193" s="50"/>
      <c r="Z193" s="50"/>
    </row>
    <row r="194" spans="1:26" ht="12.75" outlineLevel="1" x14ac:dyDescent="0.2">
      <c r="A194" s="50"/>
      <c r="B194" s="137"/>
      <c r="C194" s="70" t="s">
        <v>43</v>
      </c>
      <c r="D194" s="105">
        <v>1559.48</v>
      </c>
      <c r="E194" s="73">
        <v>13</v>
      </c>
      <c r="F194" s="73">
        <v>14</v>
      </c>
      <c r="G194" s="74">
        <f t="shared" si="0"/>
        <v>0.9285714285714286</v>
      </c>
      <c r="H194" s="75">
        <f t="shared" si="1"/>
        <v>119.96000000000001</v>
      </c>
      <c r="I194" s="76">
        <f t="shared" si="2"/>
        <v>129.18769230769232</v>
      </c>
      <c r="J194" s="105">
        <v>64.97</v>
      </c>
      <c r="K194" s="73">
        <v>19433</v>
      </c>
      <c r="L194" s="73">
        <v>2</v>
      </c>
      <c r="M194" s="106">
        <v>119.96</v>
      </c>
      <c r="N194" s="79">
        <f t="shared" si="72"/>
        <v>0.54159719906635551</v>
      </c>
      <c r="O194" s="80">
        <f t="shared" si="4"/>
        <v>1.8463906418346929</v>
      </c>
      <c r="P194" s="79">
        <f t="shared" si="5"/>
        <v>4.1661323005104264E-2</v>
      </c>
      <c r="Q194" s="81">
        <f t="shared" si="6"/>
        <v>7.6923076923076913E-2</v>
      </c>
      <c r="R194" s="107">
        <f t="shared" si="71"/>
        <v>1439.52</v>
      </c>
      <c r="S194" s="83">
        <f t="shared" si="8"/>
        <v>32.484999999999999</v>
      </c>
      <c r="T194" s="135"/>
      <c r="U194" s="135"/>
      <c r="V194" s="135"/>
      <c r="W194" s="135"/>
      <c r="X194" s="136"/>
      <c r="Y194" s="50"/>
      <c r="Z194" s="50"/>
    </row>
    <row r="195" spans="1:26" ht="12.75" outlineLevel="1" x14ac:dyDescent="0.2">
      <c r="A195" s="50"/>
      <c r="B195" s="137"/>
      <c r="C195" s="70" t="s">
        <v>44</v>
      </c>
      <c r="D195" s="108">
        <v>250.98</v>
      </c>
      <c r="E195" s="73">
        <v>6</v>
      </c>
      <c r="F195" s="73">
        <v>6</v>
      </c>
      <c r="G195" s="74">
        <f t="shared" si="0"/>
        <v>1</v>
      </c>
      <c r="H195" s="75">
        <f t="shared" si="1"/>
        <v>41.83</v>
      </c>
      <c r="I195" s="76">
        <f t="shared" si="2"/>
        <v>41.83</v>
      </c>
      <c r="J195" s="108">
        <v>112.81</v>
      </c>
      <c r="K195" s="73">
        <v>59268</v>
      </c>
      <c r="L195" s="73">
        <v>1</v>
      </c>
      <c r="M195" s="109">
        <v>59.95</v>
      </c>
      <c r="N195" s="79">
        <f t="shared" si="72"/>
        <v>1.8817347789824854</v>
      </c>
      <c r="O195" s="80">
        <f t="shared" si="4"/>
        <v>0.53142451910291644</v>
      </c>
      <c r="P195" s="79">
        <f t="shared" si="5"/>
        <v>0.44947804605944702</v>
      </c>
      <c r="Q195" s="81">
        <f t="shared" si="6"/>
        <v>0.23886365447446015</v>
      </c>
      <c r="R195" s="110">
        <f t="shared" si="71"/>
        <v>191.02999999999997</v>
      </c>
      <c r="S195" s="83">
        <f t="shared" si="8"/>
        <v>112.81</v>
      </c>
      <c r="T195" s="135"/>
      <c r="U195" s="135"/>
      <c r="V195" s="135"/>
      <c r="W195" s="135"/>
      <c r="X195" s="136"/>
      <c r="Y195" s="50"/>
      <c r="Z195" s="50"/>
    </row>
    <row r="196" spans="1:26" ht="12.75" outlineLevel="1" x14ac:dyDescent="0.2">
      <c r="A196" s="139"/>
      <c r="B196" s="137"/>
      <c r="C196" s="112" t="s">
        <v>45</v>
      </c>
      <c r="D196" s="71">
        <v>0</v>
      </c>
      <c r="E196" s="73">
        <v>0</v>
      </c>
      <c r="F196" s="73">
        <v>0</v>
      </c>
      <c r="G196" s="74" t="e">
        <f t="shared" si="0"/>
        <v>#DIV/0!</v>
      </c>
      <c r="H196" s="75" t="e">
        <f t="shared" si="1"/>
        <v>#DIV/0!</v>
      </c>
      <c r="I196" s="76" t="e">
        <f t="shared" si="2"/>
        <v>#DIV/0!</v>
      </c>
      <c r="J196" s="71">
        <v>0</v>
      </c>
      <c r="K196" s="73">
        <v>0</v>
      </c>
      <c r="L196" s="73">
        <v>0</v>
      </c>
      <c r="M196" s="78">
        <v>0</v>
      </c>
      <c r="N196" s="79" t="e">
        <f t="shared" si="72"/>
        <v>#DIV/0!</v>
      </c>
      <c r="O196" s="80" t="e">
        <f t="shared" si="4"/>
        <v>#DIV/0!</v>
      </c>
      <c r="P196" s="79" t="e">
        <f t="shared" si="5"/>
        <v>#DIV/0!</v>
      </c>
      <c r="Q196" s="81" t="e">
        <f t="shared" si="6"/>
        <v>#DIV/0!</v>
      </c>
      <c r="R196" s="82">
        <f t="shared" si="71"/>
        <v>0</v>
      </c>
      <c r="S196" s="83" t="e">
        <f t="shared" si="8"/>
        <v>#DIV/0!</v>
      </c>
      <c r="T196" s="140"/>
      <c r="U196" s="140"/>
      <c r="V196" s="140"/>
      <c r="W196" s="141"/>
      <c r="X196" s="142"/>
      <c r="Y196" s="50"/>
      <c r="Z196" s="50"/>
    </row>
    <row r="197" spans="1:26" ht="12.75" outlineLevel="1" x14ac:dyDescent="0.2">
      <c r="A197" s="50"/>
      <c r="B197" s="137"/>
      <c r="C197" s="70" t="s">
        <v>46</v>
      </c>
      <c r="D197" s="116">
        <v>1460.53</v>
      </c>
      <c r="E197" s="73">
        <v>32</v>
      </c>
      <c r="F197" s="73">
        <v>41</v>
      </c>
      <c r="G197" s="74">
        <f t="shared" si="0"/>
        <v>0.78048780487804881</v>
      </c>
      <c r="H197" s="75">
        <f t="shared" si="1"/>
        <v>45.641562499999999</v>
      </c>
      <c r="I197" s="76">
        <f t="shared" si="2"/>
        <v>58.478251953124996</v>
      </c>
      <c r="J197" s="116">
        <v>274.85000000000002</v>
      </c>
      <c r="K197" s="73">
        <v>55897</v>
      </c>
      <c r="L197" s="73">
        <v>16</v>
      </c>
      <c r="M197" s="117">
        <v>611.29999999999995</v>
      </c>
      <c r="N197" s="79">
        <f t="shared" si="72"/>
        <v>0.44961557336823171</v>
      </c>
      <c r="O197" s="80">
        <f t="shared" si="4"/>
        <v>2.2241222484991812</v>
      </c>
      <c r="P197" s="79">
        <f t="shared" si="5"/>
        <v>0.18818511088440498</v>
      </c>
      <c r="Q197" s="81">
        <f t="shared" si="6"/>
        <v>0.41854669195429056</v>
      </c>
      <c r="R197" s="82">
        <f t="shared" si="71"/>
        <v>849.23</v>
      </c>
      <c r="S197" s="83">
        <f t="shared" si="8"/>
        <v>17.178125000000001</v>
      </c>
      <c r="T197" s="135"/>
      <c r="U197" s="135"/>
      <c r="V197" s="135"/>
      <c r="W197" s="135"/>
      <c r="X197" s="136"/>
      <c r="Y197" s="50"/>
      <c r="Z197" s="50"/>
    </row>
    <row r="198" spans="1:26" ht="12.75" outlineLevel="1" x14ac:dyDescent="0.2">
      <c r="A198" s="50"/>
      <c r="B198" s="137"/>
      <c r="C198" s="70" t="s">
        <v>47</v>
      </c>
      <c r="D198" s="87">
        <v>29.85</v>
      </c>
      <c r="E198" s="73">
        <v>1</v>
      </c>
      <c r="F198" s="73">
        <v>1</v>
      </c>
      <c r="G198" s="74">
        <f t="shared" si="0"/>
        <v>1</v>
      </c>
      <c r="H198" s="75">
        <f t="shared" si="1"/>
        <v>29.85</v>
      </c>
      <c r="I198" s="76">
        <f t="shared" si="2"/>
        <v>29.85</v>
      </c>
      <c r="J198" s="87">
        <v>0</v>
      </c>
      <c r="K198" s="73">
        <v>0</v>
      </c>
      <c r="L198" s="73">
        <v>0</v>
      </c>
      <c r="M198" s="88">
        <v>0</v>
      </c>
      <c r="N198" s="79" t="e">
        <f t="shared" si="72"/>
        <v>#DIV/0!</v>
      </c>
      <c r="O198" s="80" t="e">
        <f t="shared" si="4"/>
        <v>#DIV/0!</v>
      </c>
      <c r="P198" s="79">
        <f t="shared" si="5"/>
        <v>0</v>
      </c>
      <c r="Q198" s="81">
        <f t="shared" si="6"/>
        <v>0</v>
      </c>
      <c r="R198" s="82">
        <f t="shared" si="71"/>
        <v>29.85</v>
      </c>
      <c r="S198" s="83" t="e">
        <f t="shared" si="8"/>
        <v>#DIV/0!</v>
      </c>
      <c r="T198" s="135"/>
      <c r="U198" s="135"/>
      <c r="V198" s="135"/>
      <c r="W198" s="135"/>
      <c r="X198" s="136"/>
      <c r="Y198" s="50"/>
      <c r="Z198" s="50"/>
    </row>
    <row r="199" spans="1:26" ht="12.75" outlineLevel="1" x14ac:dyDescent="0.2">
      <c r="A199" s="50"/>
      <c r="B199" s="137"/>
      <c r="C199" s="70" t="s">
        <v>48</v>
      </c>
      <c r="D199" s="102">
        <v>1199.74</v>
      </c>
      <c r="E199" s="73">
        <v>6</v>
      </c>
      <c r="F199" s="73">
        <v>11</v>
      </c>
      <c r="G199" s="74">
        <f t="shared" si="0"/>
        <v>0.54545454545454541</v>
      </c>
      <c r="H199" s="75">
        <f t="shared" si="1"/>
        <v>199.95666666666668</v>
      </c>
      <c r="I199" s="76">
        <f t="shared" si="2"/>
        <v>366.58722222222229</v>
      </c>
      <c r="J199" s="102">
        <v>288.19</v>
      </c>
      <c r="K199" s="73">
        <v>35669</v>
      </c>
      <c r="L199" s="73">
        <v>5</v>
      </c>
      <c r="M199" s="103">
        <v>799.8</v>
      </c>
      <c r="N199" s="79">
        <f t="shared" si="72"/>
        <v>0.36032758189547387</v>
      </c>
      <c r="O199" s="80">
        <f t="shared" si="4"/>
        <v>2.7752524376279535</v>
      </c>
      <c r="P199" s="79">
        <f t="shared" si="5"/>
        <v>0.24021037891543168</v>
      </c>
      <c r="Q199" s="81">
        <f t="shared" si="6"/>
        <v>0.66664443962858611</v>
      </c>
      <c r="R199" s="82">
        <f t="shared" si="71"/>
        <v>399.94000000000005</v>
      </c>
      <c r="S199" s="83">
        <f t="shared" si="8"/>
        <v>57.637999999999998</v>
      </c>
      <c r="T199" s="135"/>
      <c r="U199" s="135"/>
      <c r="V199" s="135"/>
      <c r="W199" s="135"/>
      <c r="X199" s="136"/>
      <c r="Y199" s="50"/>
      <c r="Z199" s="50"/>
    </row>
    <row r="200" spans="1:26" ht="12.75" outlineLevel="1" x14ac:dyDescent="0.2">
      <c r="A200" s="118"/>
      <c r="B200" s="69"/>
      <c r="C200" s="70" t="s">
        <v>49</v>
      </c>
      <c r="D200" s="116">
        <v>-116.8</v>
      </c>
      <c r="E200" s="73">
        <v>-2</v>
      </c>
      <c r="F200" s="73">
        <v>2</v>
      </c>
      <c r="G200" s="74">
        <f t="shared" si="0"/>
        <v>-1</v>
      </c>
      <c r="H200" s="75">
        <f t="shared" si="1"/>
        <v>58.4</v>
      </c>
      <c r="I200" s="76">
        <f t="shared" si="2"/>
        <v>-58.4</v>
      </c>
      <c r="J200" s="116">
        <v>4.88</v>
      </c>
      <c r="K200" s="73">
        <v>4547</v>
      </c>
      <c r="L200" s="73">
        <v>1</v>
      </c>
      <c r="M200" s="117">
        <v>86</v>
      </c>
      <c r="N200" s="79">
        <f t="shared" si="72"/>
        <v>5.674418604651163E-2</v>
      </c>
      <c r="O200" s="80">
        <f t="shared" si="4"/>
        <v>17.622950819672131</v>
      </c>
      <c r="P200" s="79">
        <f t="shared" si="5"/>
        <v>-4.1780821917808221E-2</v>
      </c>
      <c r="Q200" s="81">
        <f t="shared" si="6"/>
        <v>-0.73630136986301375</v>
      </c>
      <c r="R200" s="82">
        <f t="shared" si="71"/>
        <v>-202.8</v>
      </c>
      <c r="S200" s="83">
        <f t="shared" si="8"/>
        <v>4.88</v>
      </c>
      <c r="T200" s="135"/>
      <c r="U200" s="135"/>
      <c r="V200" s="135"/>
      <c r="W200" s="135"/>
      <c r="X200" s="136"/>
      <c r="Y200" s="50"/>
      <c r="Z200" s="50"/>
    </row>
    <row r="201" spans="1:26" outlineLevel="1" x14ac:dyDescent="0.25">
      <c r="A201" s="118" t="str">
        <f t="shared" ref="A201:A202" si="73">IFERROR(IF(B201&gt;0,MONTH(B201)&amp;"-"&amp;YEAR(B201),B201),)</f>
        <v>2-2026</v>
      </c>
      <c r="B201" s="69">
        <v>46081</v>
      </c>
      <c r="C201" s="198" t="s">
        <v>64</v>
      </c>
      <c r="D201" s="116">
        <v>0</v>
      </c>
      <c r="E201" s="73">
        <v>0</v>
      </c>
      <c r="F201" s="73">
        <v>0</v>
      </c>
      <c r="G201" s="74" t="e">
        <f t="shared" si="0"/>
        <v>#DIV/0!</v>
      </c>
      <c r="H201" s="75" t="e">
        <f t="shared" si="1"/>
        <v>#DIV/0!</v>
      </c>
      <c r="I201" s="76" t="e">
        <f t="shared" si="2"/>
        <v>#DIV/0!</v>
      </c>
      <c r="J201" s="87"/>
      <c r="K201" s="199"/>
      <c r="L201" s="73"/>
      <c r="M201" s="88"/>
      <c r="N201" s="79" t="e">
        <f t="shared" si="72"/>
        <v>#DIV/0!</v>
      </c>
      <c r="O201" s="80" t="e">
        <f t="shared" si="4"/>
        <v>#DIV/0!</v>
      </c>
      <c r="P201" s="79" t="e">
        <f t="shared" si="5"/>
        <v>#DIV/0!</v>
      </c>
      <c r="Q201" s="81" t="e">
        <f t="shared" si="6"/>
        <v>#DIV/0!</v>
      </c>
      <c r="R201" s="82">
        <f t="shared" si="71"/>
        <v>0</v>
      </c>
      <c r="S201" s="83" t="e">
        <f t="shared" si="8"/>
        <v>#DIV/0!</v>
      </c>
      <c r="T201" s="135"/>
      <c r="U201" s="135"/>
      <c r="V201" s="135"/>
      <c r="W201" s="135"/>
      <c r="X201" s="136"/>
      <c r="Y201" s="50"/>
      <c r="Z201" s="50"/>
    </row>
    <row r="202" spans="1:26" ht="12.75" x14ac:dyDescent="0.2">
      <c r="A202" s="50">
        <f t="shared" si="73"/>
        <v>0</v>
      </c>
      <c r="B202" s="119" t="s">
        <v>59</v>
      </c>
      <c r="C202" s="145"/>
      <c r="D202" s="121">
        <f t="shared" ref="D202:F202" si="74">SUM(D184:D201)</f>
        <v>19868.78</v>
      </c>
      <c r="E202" s="123">
        <f t="shared" si="74"/>
        <v>229</v>
      </c>
      <c r="F202" s="123">
        <f t="shared" si="74"/>
        <v>246</v>
      </c>
      <c r="G202" s="124">
        <f t="shared" si="0"/>
        <v>0.93089430894308944</v>
      </c>
      <c r="H202" s="125">
        <f t="shared" si="1"/>
        <v>86.763231441048035</v>
      </c>
      <c r="I202" s="126">
        <f t="shared" si="2"/>
        <v>93.204170019641126</v>
      </c>
      <c r="J202" s="121">
        <f t="shared" ref="J202:M202" si="75">SUM(J184:J201)</f>
        <v>3418.5099999999998</v>
      </c>
      <c r="K202" s="123">
        <f t="shared" si="75"/>
        <v>728086</v>
      </c>
      <c r="L202" s="123">
        <f t="shared" si="75"/>
        <v>90</v>
      </c>
      <c r="M202" s="127">
        <f t="shared" si="75"/>
        <v>5846.1299999999992</v>
      </c>
      <c r="N202" s="128">
        <f t="shared" si="72"/>
        <v>0.58474751673329195</v>
      </c>
      <c r="O202" s="129">
        <f t="shared" si="4"/>
        <v>1.7101397977481416</v>
      </c>
      <c r="P202" s="128">
        <f t="shared" si="5"/>
        <v>0.17205434858104021</v>
      </c>
      <c r="Q202" s="130">
        <f t="shared" si="6"/>
        <v>0.29423698888406835</v>
      </c>
      <c r="R202" s="131">
        <f>SUM(R184:R201)</f>
        <v>14022.650000000001</v>
      </c>
      <c r="S202" s="132">
        <f t="shared" si="8"/>
        <v>37.983444444444444</v>
      </c>
      <c r="T202" s="133">
        <f t="shared" ref="T202:U202" si="76">IFERROR((D202-D183)/D202,)</f>
        <v>-0.35721317564540972</v>
      </c>
      <c r="U202" s="133">
        <f t="shared" si="76"/>
        <v>-0.29257641921397382</v>
      </c>
      <c r="V202" s="133">
        <f t="shared" ref="V202:W202" si="77">IFERROR((D202-#REF!)/D202, )</f>
        <v>0</v>
      </c>
      <c r="W202" s="133">
        <f t="shared" si="77"/>
        <v>0</v>
      </c>
      <c r="X202" s="50"/>
      <c r="Y202" s="50"/>
      <c r="Z202" s="50"/>
    </row>
    <row r="203" spans="1:26" ht="12.75" x14ac:dyDescent="0.2">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2.75" x14ac:dyDescent="0.2">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2.75" x14ac:dyDescent="0.2">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2.75" x14ac:dyDescent="0.2">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2.75" x14ac:dyDescent="0.2">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2.75" x14ac:dyDescent="0.2">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2.75" x14ac:dyDescent="0.2">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2.75" x14ac:dyDescent="0.2">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2.75" x14ac:dyDescent="0.2">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2.75" x14ac:dyDescent="0.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2.75" x14ac:dyDescent="0.2">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2.75" x14ac:dyDescent="0.2">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2.75" x14ac:dyDescent="0.2">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2.75" x14ac:dyDescent="0.2">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2.75" x14ac:dyDescent="0.2">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2.75" x14ac:dyDescent="0.2">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2.75" x14ac:dyDescent="0.2">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2.75" x14ac:dyDescent="0.2">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2.75" x14ac:dyDescent="0.2">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2.75" x14ac:dyDescent="0.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2.75" x14ac:dyDescent="0.2">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2.75" x14ac:dyDescent="0.2">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2.75" x14ac:dyDescent="0.2">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2.75" x14ac:dyDescent="0.2">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2.75" x14ac:dyDescent="0.2">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2.75" x14ac:dyDescent="0.2">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2.75" x14ac:dyDescent="0.2">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2.75" x14ac:dyDescent="0.2">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2.75" x14ac:dyDescent="0.2">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2.75" x14ac:dyDescent="0.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2.75" x14ac:dyDescent="0.2">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2.75" x14ac:dyDescent="0.2">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2.75" x14ac:dyDescent="0.2">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2.75" x14ac:dyDescent="0.2">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2.75" x14ac:dyDescent="0.2">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2.75" x14ac:dyDescent="0.2">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2.75" x14ac:dyDescent="0.2">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2.75" x14ac:dyDescent="0.2">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2.75" x14ac:dyDescent="0.2">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2.75" x14ac:dyDescent="0.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2.75" x14ac:dyDescent="0.2">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2.75" x14ac:dyDescent="0.2">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2.75" x14ac:dyDescent="0.2">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2.75" x14ac:dyDescent="0.2">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2.75" x14ac:dyDescent="0.2">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2.75" x14ac:dyDescent="0.2">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2.75" x14ac:dyDescent="0.2">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2.75" x14ac:dyDescent="0.2">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2.75" x14ac:dyDescent="0.2">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2.75" x14ac:dyDescent="0.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2.75" x14ac:dyDescent="0.2">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2.75" x14ac:dyDescent="0.2">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2.75" x14ac:dyDescent="0.2">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2.75" x14ac:dyDescent="0.2">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2.75" x14ac:dyDescent="0.2">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2.75" x14ac:dyDescent="0.2">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2.75" x14ac:dyDescent="0.2">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2.75" x14ac:dyDescent="0.2">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2.75" x14ac:dyDescent="0.2">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2.75" x14ac:dyDescent="0.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2.75" x14ac:dyDescent="0.2">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2.75" x14ac:dyDescent="0.2">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2.75" x14ac:dyDescent="0.2">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2.75" x14ac:dyDescent="0.2">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2.75" x14ac:dyDescent="0.2">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2.75" x14ac:dyDescent="0.2">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2.75" x14ac:dyDescent="0.2">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2.75" x14ac:dyDescent="0.2">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2.75" x14ac:dyDescent="0.2">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2.75" x14ac:dyDescent="0.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2.75" x14ac:dyDescent="0.2">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2.75" x14ac:dyDescent="0.2">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2.75" x14ac:dyDescent="0.2">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2.75" x14ac:dyDescent="0.2">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2.75" x14ac:dyDescent="0.2">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2.75" x14ac:dyDescent="0.2">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2.75" x14ac:dyDescent="0.2">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2.75" x14ac:dyDescent="0.2">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2.75" x14ac:dyDescent="0.2">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2.75" x14ac:dyDescent="0.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2.75" x14ac:dyDescent="0.2">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2.75" x14ac:dyDescent="0.2">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2.75" x14ac:dyDescent="0.2">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2.75" x14ac:dyDescent="0.2">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2.75" x14ac:dyDescent="0.2">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2.75" x14ac:dyDescent="0.2">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2.75" x14ac:dyDescent="0.2">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2.75" x14ac:dyDescent="0.2">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2.75" x14ac:dyDescent="0.2">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2.75" x14ac:dyDescent="0.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2.75" x14ac:dyDescent="0.2">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2.75" x14ac:dyDescent="0.2">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2.75" x14ac:dyDescent="0.2">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2.75" x14ac:dyDescent="0.2">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2.75" x14ac:dyDescent="0.2">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2.75" x14ac:dyDescent="0.2">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2.75" x14ac:dyDescent="0.2">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2.75" x14ac:dyDescent="0.2">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2.75" x14ac:dyDescent="0.2">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2.75" x14ac:dyDescent="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2.75" x14ac:dyDescent="0.2">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2.75" x14ac:dyDescent="0.2">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2.75" x14ac:dyDescent="0.2">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2.75" x14ac:dyDescent="0.2">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2.75" x14ac:dyDescent="0.2">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2.75" x14ac:dyDescent="0.2">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2.75" x14ac:dyDescent="0.2">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2.75" x14ac:dyDescent="0.2">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2.75" x14ac:dyDescent="0.2">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2.75" x14ac:dyDescent="0.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2.75" x14ac:dyDescent="0.2">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2.75" x14ac:dyDescent="0.2">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2.75" x14ac:dyDescent="0.2">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2.75" x14ac:dyDescent="0.2">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2.75" x14ac:dyDescent="0.2">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2.75" x14ac:dyDescent="0.2">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2.75" x14ac:dyDescent="0.2">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2.75" x14ac:dyDescent="0.2">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2.75" x14ac:dyDescent="0.2">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2.75" x14ac:dyDescent="0.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2.75" x14ac:dyDescent="0.2">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2.75" x14ac:dyDescent="0.2">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2.75" x14ac:dyDescent="0.2">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2.75" x14ac:dyDescent="0.2">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2.75" x14ac:dyDescent="0.2">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2.75" x14ac:dyDescent="0.2">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2.75" x14ac:dyDescent="0.2">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2.75" x14ac:dyDescent="0.2">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2.75" x14ac:dyDescent="0.2">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2.75" x14ac:dyDescent="0.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2.75" x14ac:dyDescent="0.2">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2.75" x14ac:dyDescent="0.2">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2.75" x14ac:dyDescent="0.2">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2.75" x14ac:dyDescent="0.2">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2.75" x14ac:dyDescent="0.2">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2.75" x14ac:dyDescent="0.2">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2.75" x14ac:dyDescent="0.2">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2.75" x14ac:dyDescent="0.2">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2.75" x14ac:dyDescent="0.2">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2.75" x14ac:dyDescent="0.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2.75" x14ac:dyDescent="0.2">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2.75" x14ac:dyDescent="0.2">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2.75" x14ac:dyDescent="0.2">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2.75" x14ac:dyDescent="0.2">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2.75" x14ac:dyDescent="0.2">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2.75" x14ac:dyDescent="0.2">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2.75" x14ac:dyDescent="0.2">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2.75" x14ac:dyDescent="0.2">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2.75" x14ac:dyDescent="0.2">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2.75" x14ac:dyDescent="0.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2.75" x14ac:dyDescent="0.2">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2.75" x14ac:dyDescent="0.2">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2.75" x14ac:dyDescent="0.2">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2.75" x14ac:dyDescent="0.2">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2.75" x14ac:dyDescent="0.2">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2.75" x14ac:dyDescent="0.2">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2.75" x14ac:dyDescent="0.2">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2.75" x14ac:dyDescent="0.2">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2.75" x14ac:dyDescent="0.2">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2.75" x14ac:dyDescent="0.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2.75" x14ac:dyDescent="0.2">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2.75" x14ac:dyDescent="0.2">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2.75" x14ac:dyDescent="0.2">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2.75" x14ac:dyDescent="0.2">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2.75" x14ac:dyDescent="0.2">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2.75" x14ac:dyDescent="0.2">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2.75" x14ac:dyDescent="0.2">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2.75" x14ac:dyDescent="0.2">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2.75" x14ac:dyDescent="0.2">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2.75" x14ac:dyDescent="0.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2.75" x14ac:dyDescent="0.2">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2.75" x14ac:dyDescent="0.2">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2.75" x14ac:dyDescent="0.2">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2.75" x14ac:dyDescent="0.2">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2.75" x14ac:dyDescent="0.2">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2.75" x14ac:dyDescent="0.2">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2.75" x14ac:dyDescent="0.2">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2.75" x14ac:dyDescent="0.2">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2.75" x14ac:dyDescent="0.2">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2.75" x14ac:dyDescent="0.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2.75" x14ac:dyDescent="0.2">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2.75" x14ac:dyDescent="0.2">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2.75" x14ac:dyDescent="0.2">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2.75" x14ac:dyDescent="0.2">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2.75" x14ac:dyDescent="0.2">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2.75" x14ac:dyDescent="0.2">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2.75" x14ac:dyDescent="0.2">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2.75" x14ac:dyDescent="0.2">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2.75" x14ac:dyDescent="0.2">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2.75" x14ac:dyDescent="0.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2.75" x14ac:dyDescent="0.2">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2.75" x14ac:dyDescent="0.2">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2.75" x14ac:dyDescent="0.2">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2.75" x14ac:dyDescent="0.2">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2.75" x14ac:dyDescent="0.2">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2.75" x14ac:dyDescent="0.2">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2.75" x14ac:dyDescent="0.2">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2.75" x14ac:dyDescent="0.2">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2.75" x14ac:dyDescent="0.2">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2.75" x14ac:dyDescent="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2.75" x14ac:dyDescent="0.2">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2.75" x14ac:dyDescent="0.2">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2.75" x14ac:dyDescent="0.2">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2.75" x14ac:dyDescent="0.2">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2.75" x14ac:dyDescent="0.2">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2.75" x14ac:dyDescent="0.2">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2.75" x14ac:dyDescent="0.2">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2.75" x14ac:dyDescent="0.2">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2.75" x14ac:dyDescent="0.2">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2.75" x14ac:dyDescent="0.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2.75" x14ac:dyDescent="0.2">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2.75" x14ac:dyDescent="0.2">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2.75" x14ac:dyDescent="0.2">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2.75" x14ac:dyDescent="0.2">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2.75" x14ac:dyDescent="0.2">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2.75" x14ac:dyDescent="0.2">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2.75" x14ac:dyDescent="0.2">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2.75" x14ac:dyDescent="0.2">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2.75" x14ac:dyDescent="0.2">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2.75" x14ac:dyDescent="0.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2.75" x14ac:dyDescent="0.2">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2.75" x14ac:dyDescent="0.2">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2.75" x14ac:dyDescent="0.2">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2.75" x14ac:dyDescent="0.2">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2.75" x14ac:dyDescent="0.2">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2.75" x14ac:dyDescent="0.2">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2.75" x14ac:dyDescent="0.2">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2.75" x14ac:dyDescent="0.2">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2.75" x14ac:dyDescent="0.2">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2.75" x14ac:dyDescent="0.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2.75" x14ac:dyDescent="0.2">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2.75" x14ac:dyDescent="0.2">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2.75" x14ac:dyDescent="0.2">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2.75" x14ac:dyDescent="0.2">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2.75" x14ac:dyDescent="0.2">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2.75" x14ac:dyDescent="0.2">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2.75" x14ac:dyDescent="0.2">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2.75" x14ac:dyDescent="0.2">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2.75" x14ac:dyDescent="0.2">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2.75" x14ac:dyDescent="0.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2.75" x14ac:dyDescent="0.2">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2.75" x14ac:dyDescent="0.2">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2.75" x14ac:dyDescent="0.2">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2.75" x14ac:dyDescent="0.2">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2.75" x14ac:dyDescent="0.2">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2.75" x14ac:dyDescent="0.2">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2.75" x14ac:dyDescent="0.2">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2.75" x14ac:dyDescent="0.2">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2.75" x14ac:dyDescent="0.2">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2.75" x14ac:dyDescent="0.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2.75" x14ac:dyDescent="0.2">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2.75" x14ac:dyDescent="0.2">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2.75" x14ac:dyDescent="0.2">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2.75" x14ac:dyDescent="0.2">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2.75" x14ac:dyDescent="0.2">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2.75" x14ac:dyDescent="0.2">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2.75" x14ac:dyDescent="0.2">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2.75" x14ac:dyDescent="0.2">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2.75" x14ac:dyDescent="0.2">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2.75" x14ac:dyDescent="0.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2.75" x14ac:dyDescent="0.2">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2.75" x14ac:dyDescent="0.2">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2.75" x14ac:dyDescent="0.2">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2.75" x14ac:dyDescent="0.2">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2.75" x14ac:dyDescent="0.2">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2.75" x14ac:dyDescent="0.2">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2.75" x14ac:dyDescent="0.2">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2.75" x14ac:dyDescent="0.2">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2.75" x14ac:dyDescent="0.2">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2.75" x14ac:dyDescent="0.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2.75" x14ac:dyDescent="0.2">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2.75" x14ac:dyDescent="0.2">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2.75" x14ac:dyDescent="0.2">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2.75" x14ac:dyDescent="0.2">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2.75" x14ac:dyDescent="0.2">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2.75" x14ac:dyDescent="0.2">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2.75" x14ac:dyDescent="0.2">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2.75" x14ac:dyDescent="0.2">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2.75" x14ac:dyDescent="0.2">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2.75" x14ac:dyDescent="0.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2.75" x14ac:dyDescent="0.2">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2.75" x14ac:dyDescent="0.2">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2.75" x14ac:dyDescent="0.2">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2.75" x14ac:dyDescent="0.2">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2.75" x14ac:dyDescent="0.2">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2.75" x14ac:dyDescent="0.2">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2.75" x14ac:dyDescent="0.2">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2.75" x14ac:dyDescent="0.2">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2.75" x14ac:dyDescent="0.2">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2.75" x14ac:dyDescent="0.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2.75" x14ac:dyDescent="0.2">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2.75" x14ac:dyDescent="0.2">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2.75" x14ac:dyDescent="0.2">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2.75" x14ac:dyDescent="0.2">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2.75" x14ac:dyDescent="0.2">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2.75" x14ac:dyDescent="0.2">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2.75" x14ac:dyDescent="0.2">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2.75" x14ac:dyDescent="0.2">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2.75" x14ac:dyDescent="0.2">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2.75" x14ac:dyDescent="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2.75" x14ac:dyDescent="0.2">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2.75" x14ac:dyDescent="0.2">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2.75" x14ac:dyDescent="0.2">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2.75" x14ac:dyDescent="0.2">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2.75" x14ac:dyDescent="0.2">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2.75" x14ac:dyDescent="0.2">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2.75" x14ac:dyDescent="0.2">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2.75" x14ac:dyDescent="0.2">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2.75" x14ac:dyDescent="0.2">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2.75" x14ac:dyDescent="0.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2.75" x14ac:dyDescent="0.2">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2.75" x14ac:dyDescent="0.2">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2.75" x14ac:dyDescent="0.2">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2.75" x14ac:dyDescent="0.2">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2.75" x14ac:dyDescent="0.2">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2.75" x14ac:dyDescent="0.2">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2.75" x14ac:dyDescent="0.2">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2.75" x14ac:dyDescent="0.2">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2.75" x14ac:dyDescent="0.2">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2.75" x14ac:dyDescent="0.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2.75" x14ac:dyDescent="0.2">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2.75" x14ac:dyDescent="0.2">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2.75" x14ac:dyDescent="0.2">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2.75" x14ac:dyDescent="0.2">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2.75" x14ac:dyDescent="0.2">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2.75" x14ac:dyDescent="0.2">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2.75" x14ac:dyDescent="0.2">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2.75" x14ac:dyDescent="0.2">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2.75" x14ac:dyDescent="0.2">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2.75" x14ac:dyDescent="0.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2.75" x14ac:dyDescent="0.2">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2.75" x14ac:dyDescent="0.2">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2.75" x14ac:dyDescent="0.2">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2.75" x14ac:dyDescent="0.2">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2.75" x14ac:dyDescent="0.2">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2.75" x14ac:dyDescent="0.2">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2.75" x14ac:dyDescent="0.2">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2.75" x14ac:dyDescent="0.2">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2.75" x14ac:dyDescent="0.2">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2.75" x14ac:dyDescent="0.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2.75" x14ac:dyDescent="0.2">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2.75" x14ac:dyDescent="0.2">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2.75" x14ac:dyDescent="0.2">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2.75" x14ac:dyDescent="0.2">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2.75" x14ac:dyDescent="0.2">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2.75" x14ac:dyDescent="0.2">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2.75" x14ac:dyDescent="0.2">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2.75" x14ac:dyDescent="0.2">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2.75" x14ac:dyDescent="0.2">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2.75" x14ac:dyDescent="0.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2.75" x14ac:dyDescent="0.2">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2.75" x14ac:dyDescent="0.2">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2.75" x14ac:dyDescent="0.2">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2.75" x14ac:dyDescent="0.2">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2.75" x14ac:dyDescent="0.2">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2.75" x14ac:dyDescent="0.2">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2.75" x14ac:dyDescent="0.2">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2.75" x14ac:dyDescent="0.2">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2.75" x14ac:dyDescent="0.2">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2.75" x14ac:dyDescent="0.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2.75" x14ac:dyDescent="0.2">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2.75" x14ac:dyDescent="0.2">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2.75" x14ac:dyDescent="0.2">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2.75" x14ac:dyDescent="0.2">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2.75" x14ac:dyDescent="0.2">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2.75" x14ac:dyDescent="0.2">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2.75" x14ac:dyDescent="0.2">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2.75" x14ac:dyDescent="0.2">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2.75" x14ac:dyDescent="0.2">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2.75" x14ac:dyDescent="0.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2.75" x14ac:dyDescent="0.2">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2.75" x14ac:dyDescent="0.2">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2.75" x14ac:dyDescent="0.2">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2.75" x14ac:dyDescent="0.2">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2.75" x14ac:dyDescent="0.2">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2.75" x14ac:dyDescent="0.2">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2.75" x14ac:dyDescent="0.2">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2.75" x14ac:dyDescent="0.2">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2.75" x14ac:dyDescent="0.2">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2.75" x14ac:dyDescent="0.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2.75" x14ac:dyDescent="0.2">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2.75" x14ac:dyDescent="0.2">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2.75" x14ac:dyDescent="0.2">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2.75" x14ac:dyDescent="0.2">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2.75" x14ac:dyDescent="0.2">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2.75" x14ac:dyDescent="0.2">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2.75" x14ac:dyDescent="0.2">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2.75" x14ac:dyDescent="0.2">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2.75" x14ac:dyDescent="0.2">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2.75" x14ac:dyDescent="0.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2.75" x14ac:dyDescent="0.2">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2.75" x14ac:dyDescent="0.2">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2.75" x14ac:dyDescent="0.2">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2.75" x14ac:dyDescent="0.2">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2.75" x14ac:dyDescent="0.2">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2.75" x14ac:dyDescent="0.2">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2.75" x14ac:dyDescent="0.2">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2.75" x14ac:dyDescent="0.2">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2.75" x14ac:dyDescent="0.2">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2.75" x14ac:dyDescent="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2.75" x14ac:dyDescent="0.2">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2.75" x14ac:dyDescent="0.2">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2.75" x14ac:dyDescent="0.2">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2.75" x14ac:dyDescent="0.2">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2.75" x14ac:dyDescent="0.2">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2.75" x14ac:dyDescent="0.2">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2.75" x14ac:dyDescent="0.2">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2.75" x14ac:dyDescent="0.2">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2.75" x14ac:dyDescent="0.2">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2.75" x14ac:dyDescent="0.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2.75" x14ac:dyDescent="0.2">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2.75" x14ac:dyDescent="0.2">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2.75" x14ac:dyDescent="0.2">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2.75" x14ac:dyDescent="0.2">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2.75" x14ac:dyDescent="0.2">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2.75" x14ac:dyDescent="0.2">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2.75" x14ac:dyDescent="0.2">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2.75" x14ac:dyDescent="0.2">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2.75" x14ac:dyDescent="0.2">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2.75" x14ac:dyDescent="0.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2.75" x14ac:dyDescent="0.2">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2.75" x14ac:dyDescent="0.2">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2.75" x14ac:dyDescent="0.2">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2.75" x14ac:dyDescent="0.2">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2.75" x14ac:dyDescent="0.2">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2.75" x14ac:dyDescent="0.2">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2.75" x14ac:dyDescent="0.2">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2.75" x14ac:dyDescent="0.2">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2.75" x14ac:dyDescent="0.2">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2.75" x14ac:dyDescent="0.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2.75" x14ac:dyDescent="0.2">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2.75" x14ac:dyDescent="0.2">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2.75" x14ac:dyDescent="0.2">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2.75" x14ac:dyDescent="0.2">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2.75" x14ac:dyDescent="0.2">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2.75" x14ac:dyDescent="0.2">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2.75" x14ac:dyDescent="0.2">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2.75" x14ac:dyDescent="0.2">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2.75" x14ac:dyDescent="0.2">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2.75" x14ac:dyDescent="0.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2.75" x14ac:dyDescent="0.2">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2.75" x14ac:dyDescent="0.2">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2.75" x14ac:dyDescent="0.2">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2.75" x14ac:dyDescent="0.2">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2.75" x14ac:dyDescent="0.2">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2.75" x14ac:dyDescent="0.2">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2.75" x14ac:dyDescent="0.2">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2.75" x14ac:dyDescent="0.2">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2.75" x14ac:dyDescent="0.2">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2.75" x14ac:dyDescent="0.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2.75" x14ac:dyDescent="0.2">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2.75" x14ac:dyDescent="0.2">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2.75" x14ac:dyDescent="0.2">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2.75" x14ac:dyDescent="0.2">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2.75" x14ac:dyDescent="0.2">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2.75" x14ac:dyDescent="0.2">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2.75" x14ac:dyDescent="0.2">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2.75" x14ac:dyDescent="0.2">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2.75" x14ac:dyDescent="0.2">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2.75" x14ac:dyDescent="0.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2.75" x14ac:dyDescent="0.2">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2.75" x14ac:dyDescent="0.2">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2.75" x14ac:dyDescent="0.2">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2.75" x14ac:dyDescent="0.2">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2.75" x14ac:dyDescent="0.2">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2.75" x14ac:dyDescent="0.2">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2.75" x14ac:dyDescent="0.2">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2.75" x14ac:dyDescent="0.2">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2.75" x14ac:dyDescent="0.2">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2.75" x14ac:dyDescent="0.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2.75" x14ac:dyDescent="0.2">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2.75" x14ac:dyDescent="0.2">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2.75" x14ac:dyDescent="0.2">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2.75" x14ac:dyDescent="0.2">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2.75" x14ac:dyDescent="0.2">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2.75" x14ac:dyDescent="0.2">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2.75" x14ac:dyDescent="0.2">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2.75" x14ac:dyDescent="0.2">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2.75" x14ac:dyDescent="0.2">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2.75" x14ac:dyDescent="0.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2.75" x14ac:dyDescent="0.2">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2.75" x14ac:dyDescent="0.2">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2.75" x14ac:dyDescent="0.2">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2.75" x14ac:dyDescent="0.2">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2.75" x14ac:dyDescent="0.2">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2.75" x14ac:dyDescent="0.2">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2.75" x14ac:dyDescent="0.2">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2.75" x14ac:dyDescent="0.2">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2.75" x14ac:dyDescent="0.2">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2.75" x14ac:dyDescent="0.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2.75" x14ac:dyDescent="0.2">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2.75" x14ac:dyDescent="0.2">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2.75" x14ac:dyDescent="0.2">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2.75" x14ac:dyDescent="0.2">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2.75" x14ac:dyDescent="0.2">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2.75" x14ac:dyDescent="0.2">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2.75" x14ac:dyDescent="0.2">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2.75" x14ac:dyDescent="0.2">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2.75" x14ac:dyDescent="0.2">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2.75" x14ac:dyDescent="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2.75" x14ac:dyDescent="0.2">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2.75" x14ac:dyDescent="0.2">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2.75" x14ac:dyDescent="0.2">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2.75" x14ac:dyDescent="0.2">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2.75" x14ac:dyDescent="0.2">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2.75" x14ac:dyDescent="0.2">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2.75" x14ac:dyDescent="0.2">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2.75" x14ac:dyDescent="0.2">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2.75" x14ac:dyDescent="0.2">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2.75" x14ac:dyDescent="0.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2.75" x14ac:dyDescent="0.2">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2.75" x14ac:dyDescent="0.2">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2.75" x14ac:dyDescent="0.2">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2.75" x14ac:dyDescent="0.2">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2.75" x14ac:dyDescent="0.2">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2.75" x14ac:dyDescent="0.2">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2.75" x14ac:dyDescent="0.2">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2.75" x14ac:dyDescent="0.2">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2.75" x14ac:dyDescent="0.2">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2.75" x14ac:dyDescent="0.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2.75" x14ac:dyDescent="0.2">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2.75" x14ac:dyDescent="0.2">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2.75" x14ac:dyDescent="0.2">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2.75" x14ac:dyDescent="0.2">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2.75" x14ac:dyDescent="0.2">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2.75" x14ac:dyDescent="0.2">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2.75" x14ac:dyDescent="0.2">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2.75" x14ac:dyDescent="0.2">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2.75" x14ac:dyDescent="0.2">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2.75" x14ac:dyDescent="0.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2.75" x14ac:dyDescent="0.2">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2.75" x14ac:dyDescent="0.2">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2.75" x14ac:dyDescent="0.2">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2.75" x14ac:dyDescent="0.2">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2.75" x14ac:dyDescent="0.2">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2.75" x14ac:dyDescent="0.2">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2.75" x14ac:dyDescent="0.2">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2.75" x14ac:dyDescent="0.2">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2.75" x14ac:dyDescent="0.2">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2.75" x14ac:dyDescent="0.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2.75" x14ac:dyDescent="0.2">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2.75" x14ac:dyDescent="0.2">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2.75" x14ac:dyDescent="0.2">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2.75" x14ac:dyDescent="0.2">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2.75" x14ac:dyDescent="0.2">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2.75" x14ac:dyDescent="0.2">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2.75" x14ac:dyDescent="0.2">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2.75" x14ac:dyDescent="0.2">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2.75" x14ac:dyDescent="0.2">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2.75" x14ac:dyDescent="0.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2.75" x14ac:dyDescent="0.2">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2.75" x14ac:dyDescent="0.2">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2.75" x14ac:dyDescent="0.2">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2.75" x14ac:dyDescent="0.2">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2.75" x14ac:dyDescent="0.2">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2.75" x14ac:dyDescent="0.2">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2.75" x14ac:dyDescent="0.2">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2.75" x14ac:dyDescent="0.2">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2.75" x14ac:dyDescent="0.2">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2.75" x14ac:dyDescent="0.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2.75" x14ac:dyDescent="0.2">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2.75" x14ac:dyDescent="0.2">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2.75" x14ac:dyDescent="0.2">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2.75" x14ac:dyDescent="0.2">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2.75" x14ac:dyDescent="0.2">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2.75" x14ac:dyDescent="0.2">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2.75" x14ac:dyDescent="0.2">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2.75" x14ac:dyDescent="0.2">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2.75" x14ac:dyDescent="0.2">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2.75" x14ac:dyDescent="0.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2.75" x14ac:dyDescent="0.2">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2.75" x14ac:dyDescent="0.2">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2.75" x14ac:dyDescent="0.2">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2.75" x14ac:dyDescent="0.2">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2.75" x14ac:dyDescent="0.2">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2.75" x14ac:dyDescent="0.2">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2.75" x14ac:dyDescent="0.2">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2.75" x14ac:dyDescent="0.2">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2.75" x14ac:dyDescent="0.2">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2.75" x14ac:dyDescent="0.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2.75" x14ac:dyDescent="0.2">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2.75" x14ac:dyDescent="0.2">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2.75" x14ac:dyDescent="0.2">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2.75" x14ac:dyDescent="0.2">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2.75" x14ac:dyDescent="0.2">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2.75" x14ac:dyDescent="0.2">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2.75" x14ac:dyDescent="0.2">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2.75" x14ac:dyDescent="0.2">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2.75" x14ac:dyDescent="0.2">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2.75" x14ac:dyDescent="0.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2.75" x14ac:dyDescent="0.2">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2.75" x14ac:dyDescent="0.2">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2.75" x14ac:dyDescent="0.2">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2.75" x14ac:dyDescent="0.2">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2.75" x14ac:dyDescent="0.2">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2.75" x14ac:dyDescent="0.2">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2.75" x14ac:dyDescent="0.2">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2.75" x14ac:dyDescent="0.2">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2.75" x14ac:dyDescent="0.2">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2.75" x14ac:dyDescent="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2.75" x14ac:dyDescent="0.2">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2.75" x14ac:dyDescent="0.2">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2.75" x14ac:dyDescent="0.2">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2.75" x14ac:dyDescent="0.2">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2.75" x14ac:dyDescent="0.2">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2.75" x14ac:dyDescent="0.2">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2.75" x14ac:dyDescent="0.2">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2.75" x14ac:dyDescent="0.2">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2.75" x14ac:dyDescent="0.2">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2.75" x14ac:dyDescent="0.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2.75" x14ac:dyDescent="0.2">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2.75" x14ac:dyDescent="0.2">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2.75" x14ac:dyDescent="0.2">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2.75" x14ac:dyDescent="0.2">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2.75" x14ac:dyDescent="0.2">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2.75" x14ac:dyDescent="0.2">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2.75" x14ac:dyDescent="0.2">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2.75" x14ac:dyDescent="0.2">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2.75" x14ac:dyDescent="0.2">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2.75" x14ac:dyDescent="0.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2.75" x14ac:dyDescent="0.2">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2.75" x14ac:dyDescent="0.2">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2.75" x14ac:dyDescent="0.2">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2.75" x14ac:dyDescent="0.2">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2.75" x14ac:dyDescent="0.2">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2.75" x14ac:dyDescent="0.2">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2.75" x14ac:dyDescent="0.2">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2.75" x14ac:dyDescent="0.2">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2.75" x14ac:dyDescent="0.2">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2.75" x14ac:dyDescent="0.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2.75" x14ac:dyDescent="0.2">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2.75" x14ac:dyDescent="0.2">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2.75" x14ac:dyDescent="0.2">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2.75" x14ac:dyDescent="0.2">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2.75" x14ac:dyDescent="0.2">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2.75" x14ac:dyDescent="0.2">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2.75" x14ac:dyDescent="0.2">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2.75" x14ac:dyDescent="0.2">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2.75" x14ac:dyDescent="0.2">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2.75" x14ac:dyDescent="0.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2.75" x14ac:dyDescent="0.2">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2.75" x14ac:dyDescent="0.2">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2.75" x14ac:dyDescent="0.2">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2.75" x14ac:dyDescent="0.2">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2.75" x14ac:dyDescent="0.2">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2.75" x14ac:dyDescent="0.2">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2.75" x14ac:dyDescent="0.2">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2.75" x14ac:dyDescent="0.2">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2.75" x14ac:dyDescent="0.2">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2.75" x14ac:dyDescent="0.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2.75" x14ac:dyDescent="0.2">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2.75" x14ac:dyDescent="0.2">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2.75" x14ac:dyDescent="0.2">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2.75" x14ac:dyDescent="0.2">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2.75" x14ac:dyDescent="0.2">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2.75" x14ac:dyDescent="0.2">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2.75" x14ac:dyDescent="0.2">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2.75" x14ac:dyDescent="0.2">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2.75" x14ac:dyDescent="0.2">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2.75" x14ac:dyDescent="0.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2.75" x14ac:dyDescent="0.2">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2.75" x14ac:dyDescent="0.2">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2.75" x14ac:dyDescent="0.2">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2.75" x14ac:dyDescent="0.2">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2.75" x14ac:dyDescent="0.2">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2.75" x14ac:dyDescent="0.2">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2.75" x14ac:dyDescent="0.2">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2.75" x14ac:dyDescent="0.2">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2.75" x14ac:dyDescent="0.2">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2.75" x14ac:dyDescent="0.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2.75" x14ac:dyDescent="0.2">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2.75" x14ac:dyDescent="0.2">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2.75" x14ac:dyDescent="0.2">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2.75" x14ac:dyDescent="0.2">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2.75" x14ac:dyDescent="0.2">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2.75" x14ac:dyDescent="0.2">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2.75" x14ac:dyDescent="0.2">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2.75" x14ac:dyDescent="0.2">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2.75" x14ac:dyDescent="0.2">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2.75" x14ac:dyDescent="0.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2.75" x14ac:dyDescent="0.2">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2.75" x14ac:dyDescent="0.2">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2.75" x14ac:dyDescent="0.2">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2.75" x14ac:dyDescent="0.2">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2.75" x14ac:dyDescent="0.2">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2.75" x14ac:dyDescent="0.2">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2.75" x14ac:dyDescent="0.2">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2.75" x14ac:dyDescent="0.2">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2.75" x14ac:dyDescent="0.2">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2.75" x14ac:dyDescent="0.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2.75" x14ac:dyDescent="0.2">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2.75" x14ac:dyDescent="0.2">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2.75" x14ac:dyDescent="0.2">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2.75" x14ac:dyDescent="0.2">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2.75" x14ac:dyDescent="0.2">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2.75" x14ac:dyDescent="0.2">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2.75" x14ac:dyDescent="0.2">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2.75" x14ac:dyDescent="0.2">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2.75" x14ac:dyDescent="0.2">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2.75" x14ac:dyDescent="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sheetData>
  <mergeCells count="19">
    <mergeCell ref="V10:W10"/>
    <mergeCell ref="X10:Y10"/>
    <mergeCell ref="F5:I5"/>
    <mergeCell ref="K5:N5"/>
    <mergeCell ref="F7:I7"/>
    <mergeCell ref="K7:N7"/>
    <mergeCell ref="F8:H8"/>
    <mergeCell ref="K8:M8"/>
    <mergeCell ref="K9:N9"/>
    <mergeCell ref="F4:H4"/>
    <mergeCell ref="K4:M4"/>
    <mergeCell ref="F9:I9"/>
    <mergeCell ref="D10:I10"/>
    <mergeCell ref="L10:S10"/>
    <mergeCell ref="A1:B1"/>
    <mergeCell ref="A2:B2"/>
    <mergeCell ref="C2:W2"/>
    <mergeCell ref="F3:I3"/>
    <mergeCell ref="K3:N3"/>
  </mergeCells>
  <conditionalFormatting sqref="C5 F5:I5 K5:N5 C9">
    <cfRule type="cellIs" dxfId="47" priority="1" operator="greaterThanOrEqual">
      <formula>0</formula>
    </cfRule>
    <cfRule type="cellIs" dxfId="46" priority="2" operator="lessThanOrEqual">
      <formula>0</formula>
    </cfRule>
  </conditionalFormatting>
  <conditionalFormatting sqref="F9:N9">
    <cfRule type="cellIs" dxfId="45" priority="3" operator="lessThanOrEqual">
      <formula>0</formula>
    </cfRule>
    <cfRule type="cellIs" dxfId="44" priority="4" operator="greaterThanOrEqual">
      <formula>0</formula>
    </cfRule>
  </conditionalFormatting>
  <conditionalFormatting sqref="T12:Y202">
    <cfRule type="cellIs" dxfId="43" priority="5" operator="greaterThanOrEqual">
      <formula>0</formula>
    </cfRule>
    <cfRule type="cellIs" dxfId="42" priority="6" operator="lessThan">
      <formula>0</formula>
    </cfRule>
  </conditionalFormatting>
  <conditionalFormatting sqref="V12:W202">
    <cfRule type="cellIs" dxfId="41" priority="7" operator="greaterThanOrEqual">
      <formula>0</formula>
    </cfRule>
    <cfRule type="cellIs" dxfId="40" priority="8" operator="lessThan">
      <formula>0</formula>
    </cfRule>
  </conditionalFormatting>
  <dataValidations count="1">
    <dataValidation type="list" allowBlank="1" sqref="B12 B31 B50 B69 B88 B107 B126 B145 B164 B183 B202" xr:uid="{00000000-0002-0000-0100-000000000000}">
      <formula1>"Previous Week,Current Week"</formula1>
    </dataValidation>
  </dataValidations>
  <hyperlinks>
    <hyperlink ref="A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Right="0"/>
  </sheetPr>
  <dimension ref="A1:Z1538"/>
  <sheetViews>
    <sheetView workbookViewId="0">
      <pane ySplit="11" topLeftCell="A12" activePane="bottomLeft" state="frozen"/>
      <selection pane="bottomLeft" activeCell="B13" sqref="B13"/>
    </sheetView>
  </sheetViews>
  <sheetFormatPr defaultColWidth="12.5703125" defaultRowHeight="15.75" customHeight="1" outlineLevelRow="1" x14ac:dyDescent="0.2"/>
  <cols>
    <col min="3" max="3" width="17" customWidth="1"/>
  </cols>
  <sheetData>
    <row r="1" spans="1:26" ht="93.75" customHeight="1" x14ac:dyDescent="0.2">
      <c r="A1" s="315" t="s">
        <v>65</v>
      </c>
      <c r="B1" s="316"/>
      <c r="C1" s="1"/>
      <c r="D1" s="2"/>
      <c r="E1" s="2"/>
      <c r="F1" s="2"/>
      <c r="G1" s="2"/>
      <c r="H1" s="2"/>
      <c r="I1" s="2"/>
      <c r="J1" s="2"/>
      <c r="K1" s="2"/>
      <c r="L1" s="3"/>
      <c r="M1" s="2"/>
      <c r="N1" s="2"/>
      <c r="O1" s="2"/>
      <c r="P1" s="2"/>
      <c r="Q1" s="2"/>
      <c r="R1" s="2"/>
      <c r="S1" s="2"/>
      <c r="T1" s="4"/>
      <c r="U1" s="4"/>
      <c r="V1" s="2"/>
      <c r="W1" s="2"/>
      <c r="X1" s="2"/>
      <c r="Y1" s="2"/>
      <c r="Z1" s="2"/>
    </row>
    <row r="2" spans="1:26" ht="12.75" x14ac:dyDescent="0.2">
      <c r="A2" s="317"/>
      <c r="B2" s="318"/>
      <c r="C2" s="319" t="s">
        <v>1</v>
      </c>
      <c r="D2" s="320"/>
      <c r="E2" s="320"/>
      <c r="F2" s="320"/>
      <c r="G2" s="320"/>
      <c r="H2" s="320"/>
      <c r="I2" s="320"/>
      <c r="J2" s="320"/>
      <c r="K2" s="320"/>
      <c r="L2" s="320"/>
      <c r="M2" s="320"/>
      <c r="N2" s="320"/>
      <c r="O2" s="320"/>
      <c r="P2" s="320"/>
      <c r="Q2" s="320"/>
      <c r="R2" s="320"/>
      <c r="S2" s="320"/>
      <c r="T2" s="320"/>
      <c r="U2" s="320"/>
      <c r="V2" s="320"/>
      <c r="W2" s="318"/>
      <c r="X2" s="5" t="e">
        <f>(#REF!+#REF!+#REF!+#REF!)-([1]monthly_reporting_2021!D17+[1]monthly_reporting_2021!D23+[1]monthly_reporting_2021!D29+[1]monthly_reporting_2021!D35)</f>
        <v>#REF!</v>
      </c>
      <c r="Y2" s="6" t="e">
        <f>((#REF!+#REF!+#REF!+#REF!)-([1]monthly_reporting_2021!E17+[1]monthly_reporting_2021!E23+[1]monthly_reporting_2021!E29+[1]monthly_reporting_2021!E35))/(#REF!+#REF!+#REF!+#REF!)</f>
        <v>#REF!</v>
      </c>
      <c r="Z2" s="1"/>
    </row>
    <row r="3" spans="1:26" ht="21" customHeight="1" x14ac:dyDescent="0.3">
      <c r="A3" s="181"/>
      <c r="B3" s="8"/>
      <c r="C3" s="9" t="s">
        <v>2</v>
      </c>
      <c r="D3" s="12"/>
      <c r="E3" s="182"/>
      <c r="F3" s="336" t="s">
        <v>3</v>
      </c>
      <c r="G3" s="320"/>
      <c r="H3" s="320"/>
      <c r="I3" s="318"/>
      <c r="J3" s="182"/>
      <c r="K3" s="322" t="s">
        <v>4</v>
      </c>
      <c r="L3" s="320"/>
      <c r="M3" s="320"/>
      <c r="N3" s="318"/>
      <c r="O3" s="12"/>
      <c r="P3" s="12"/>
      <c r="Q3" s="12"/>
      <c r="R3" s="12"/>
      <c r="S3" s="12"/>
      <c r="T3" s="13"/>
      <c r="U3" s="13"/>
      <c r="V3" s="12"/>
      <c r="W3" s="12"/>
      <c r="X3" s="12"/>
      <c r="Y3" s="12"/>
      <c r="Z3" s="12"/>
    </row>
    <row r="4" spans="1:26" ht="21" customHeight="1" x14ac:dyDescent="0.3">
      <c r="A4" s="183"/>
      <c r="B4" s="15"/>
      <c r="C4" s="16">
        <f>VLOOKUP("Current Week",$B$11:$X$847,MATCH("SALES",$B$11:$X$11,0),FALSE)</f>
        <v>45850.880000000005</v>
      </c>
      <c r="D4" s="184"/>
      <c r="E4" s="185"/>
      <c r="F4" s="337">
        <f>VLOOKUP("Current Week",$B$11:$X$847,MATCH("Units Sold",$B$11:$X$11,0),FALSE)</f>
        <v>342</v>
      </c>
      <c r="G4" s="338"/>
      <c r="H4" s="316"/>
      <c r="I4" s="185"/>
      <c r="J4" s="185"/>
      <c r="K4" s="323">
        <f>VLOOKUP("Current Week",$B$11:$X$847,MATCH("Ordered Items",$B$11:$X$11,0),FALSE)</f>
        <v>362</v>
      </c>
      <c r="L4" s="320"/>
      <c r="M4" s="318"/>
      <c r="N4" s="19"/>
      <c r="O4" s="19"/>
      <c r="P4" s="19"/>
      <c r="Q4" s="19"/>
      <c r="R4" s="19"/>
      <c r="S4" s="19"/>
      <c r="T4" s="20"/>
      <c r="U4" s="20"/>
      <c r="V4" s="19"/>
      <c r="W4" s="19"/>
      <c r="X4" s="19"/>
      <c r="Y4" s="19"/>
      <c r="Z4" s="19"/>
    </row>
    <row r="5" spans="1:26" ht="17.25" x14ac:dyDescent="0.3">
      <c r="A5" s="186"/>
      <c r="B5" s="22"/>
      <c r="C5" s="187">
        <f>(C4-(VLOOKUP("Previous Week",$B$11:$X$852,MATCH("SALES",$B$11:$X$11,0),FALSE)))/C4</f>
        <v>0.1914155191786942</v>
      </c>
      <c r="D5" s="188"/>
      <c r="E5" s="189"/>
      <c r="F5" s="340">
        <f>(F4-(VLOOKUP("Previous Week",$B$11:$X$852,MATCH("Units Sold",$B$11:$X$11,0),FALSE)))/F4</f>
        <v>0.28362573099415206</v>
      </c>
      <c r="G5" s="338"/>
      <c r="H5" s="338"/>
      <c r="I5" s="316"/>
      <c r="J5" s="189"/>
      <c r="K5" s="341">
        <f>(K4-(VLOOKUP("Previous Week",$B$11:$X$852,MATCH("Ordered Items",$B$11:$X$11,0),FALSE)))/K4</f>
        <v>0.26519337016574585</v>
      </c>
      <c r="L5" s="320"/>
      <c r="M5" s="320"/>
      <c r="N5" s="318"/>
      <c r="O5" s="26"/>
      <c r="P5" s="26"/>
      <c r="Q5" s="26"/>
      <c r="R5" s="26"/>
      <c r="S5" s="26"/>
      <c r="T5" s="26"/>
      <c r="U5" s="26"/>
      <c r="V5" s="26"/>
      <c r="W5" s="26"/>
      <c r="X5" s="26"/>
      <c r="Y5" s="26"/>
      <c r="Z5" s="26"/>
    </row>
    <row r="6" spans="1:26" ht="6" customHeight="1" x14ac:dyDescent="0.3">
      <c r="A6" s="183"/>
      <c r="B6" s="15"/>
      <c r="C6" s="27"/>
      <c r="D6" s="184"/>
      <c r="E6" s="185"/>
      <c r="F6" s="185"/>
      <c r="G6" s="185"/>
      <c r="H6" s="185"/>
      <c r="I6" s="185"/>
      <c r="J6" s="185"/>
      <c r="K6" s="19"/>
      <c r="L6" s="19"/>
      <c r="M6" s="19"/>
      <c r="N6" s="19"/>
      <c r="O6" s="19"/>
      <c r="P6" s="19"/>
      <c r="Q6" s="19"/>
      <c r="R6" s="19"/>
      <c r="S6" s="19"/>
      <c r="T6" s="20"/>
      <c r="U6" s="20"/>
      <c r="V6" s="19"/>
      <c r="W6" s="19"/>
      <c r="X6" s="19"/>
      <c r="Y6" s="19"/>
      <c r="Z6" s="19"/>
    </row>
    <row r="7" spans="1:26" ht="22.5" customHeight="1" x14ac:dyDescent="0.3">
      <c r="A7" s="190"/>
      <c r="B7" s="8"/>
      <c r="C7" s="9" t="s">
        <v>5</v>
      </c>
      <c r="D7" s="191"/>
      <c r="E7" s="192"/>
      <c r="F7" s="342" t="s">
        <v>6</v>
      </c>
      <c r="G7" s="338"/>
      <c r="H7" s="338"/>
      <c r="I7" s="316"/>
      <c r="J7" s="192"/>
      <c r="K7" s="322" t="s">
        <v>7</v>
      </c>
      <c r="L7" s="320"/>
      <c r="M7" s="320"/>
      <c r="N7" s="318"/>
      <c r="O7" s="12"/>
      <c r="P7" s="12"/>
      <c r="Q7" s="12"/>
      <c r="R7" s="12"/>
      <c r="S7" s="12"/>
      <c r="T7" s="13"/>
      <c r="U7" s="13"/>
      <c r="V7" s="12"/>
      <c r="W7" s="12"/>
      <c r="X7" s="12"/>
      <c r="Y7" s="12"/>
      <c r="Z7" s="12"/>
    </row>
    <row r="8" spans="1:26" ht="21" customHeight="1" x14ac:dyDescent="0.3">
      <c r="A8" s="183"/>
      <c r="B8" s="15"/>
      <c r="C8" s="16">
        <f>VLOOKUP("Current Week",$B$11:$X$847,MATCH("AD SALES",$B$11:$X$11,0),FALSE)</f>
        <v>32577.4</v>
      </c>
      <c r="D8" s="184"/>
      <c r="E8" s="185"/>
      <c r="F8" s="343">
        <f>VLOOKUP("Current Week",$B$11:$X$847,MATCH("SP AD SPEND",$B$11:$X$11,0),FALSE)</f>
        <v>10686.6</v>
      </c>
      <c r="G8" s="338"/>
      <c r="H8" s="316"/>
      <c r="I8" s="185"/>
      <c r="J8" s="185"/>
      <c r="K8" s="334">
        <f>F8/C8</f>
        <v>0.32803722826253784</v>
      </c>
      <c r="L8" s="320"/>
      <c r="M8" s="318"/>
      <c r="N8" s="19"/>
      <c r="O8" s="19"/>
      <c r="P8" s="19"/>
      <c r="Q8" s="19"/>
      <c r="R8" s="19"/>
      <c r="S8" s="19"/>
      <c r="T8" s="20"/>
      <c r="U8" s="20"/>
      <c r="V8" s="19"/>
      <c r="W8" s="19"/>
      <c r="X8" s="19"/>
      <c r="Y8" s="19"/>
      <c r="Z8" s="19"/>
    </row>
    <row r="9" spans="1:26" ht="19.5" customHeight="1" x14ac:dyDescent="0.3">
      <c r="A9" s="193"/>
      <c r="B9" s="29"/>
      <c r="C9" s="194">
        <f>(C8-(VLOOKUP("Previous Week",$B$11:$X$852,MATCH("AD SALES",$B$11:$X$11,0),FALSE)))/C8</f>
        <v>-5.8414115306930442E-2</v>
      </c>
      <c r="D9" s="195"/>
      <c r="E9" s="196"/>
      <c r="F9" s="339">
        <f>(F8-(VLOOKUP("Previous Week",$B$11:$X$852,MATCH("SP AD SPEND",$B$11:$X$11,0),FALSE)))/F8</f>
        <v>-9.9436677708532289E-2</v>
      </c>
      <c r="G9" s="325"/>
      <c r="H9" s="325"/>
      <c r="I9" s="326"/>
      <c r="J9" s="31"/>
      <c r="K9" s="344">
        <f>(K8-(VLOOKUP("Previous Week",$B$11:$X$852,MATCH("ACOS",$B$11:$X$11,0),FALSE)))/K8</f>
        <v>-3.875851786963895E-2</v>
      </c>
      <c r="L9" s="325"/>
      <c r="M9" s="325"/>
      <c r="N9" s="326"/>
      <c r="O9" s="31"/>
      <c r="P9" s="31"/>
      <c r="Q9" s="31"/>
      <c r="R9" s="31"/>
      <c r="S9" s="31"/>
      <c r="T9" s="32"/>
      <c r="U9" s="32"/>
      <c r="V9" s="31"/>
      <c r="W9" s="31"/>
      <c r="X9" s="31"/>
      <c r="Y9" s="31"/>
      <c r="Z9" s="33"/>
    </row>
    <row r="10" spans="1:26" ht="15" customHeight="1" x14ac:dyDescent="0.2">
      <c r="A10" s="197"/>
      <c r="B10" s="35"/>
      <c r="C10" s="36"/>
      <c r="D10" s="327" t="s">
        <v>8</v>
      </c>
      <c r="E10" s="328"/>
      <c r="F10" s="328"/>
      <c r="G10" s="328"/>
      <c r="H10" s="328"/>
      <c r="I10" s="329"/>
      <c r="J10" s="37"/>
      <c r="K10" s="38"/>
      <c r="L10" s="330" t="s">
        <v>9</v>
      </c>
      <c r="M10" s="328"/>
      <c r="N10" s="328"/>
      <c r="O10" s="328"/>
      <c r="P10" s="328"/>
      <c r="Q10" s="328"/>
      <c r="R10" s="328"/>
      <c r="S10" s="329"/>
      <c r="T10" s="39"/>
      <c r="U10" s="40"/>
      <c r="V10" s="331" t="s">
        <v>10</v>
      </c>
      <c r="W10" s="329"/>
      <c r="X10" s="327" t="s">
        <v>11</v>
      </c>
      <c r="Y10" s="329"/>
      <c r="Z10" s="1"/>
    </row>
    <row r="11" spans="1:26" ht="37.5" customHeight="1" x14ac:dyDescent="0.2">
      <c r="A11" s="41" t="s">
        <v>12</v>
      </c>
      <c r="B11" s="42" t="s">
        <v>13</v>
      </c>
      <c r="C11" s="43" t="s">
        <v>14</v>
      </c>
      <c r="D11" s="43" t="s">
        <v>15</v>
      </c>
      <c r="E11" s="45" t="s">
        <v>17</v>
      </c>
      <c r="F11" s="45" t="s">
        <v>18</v>
      </c>
      <c r="G11" s="45" t="s">
        <v>19</v>
      </c>
      <c r="H11" s="45" t="s">
        <v>20</v>
      </c>
      <c r="I11" s="41" t="s">
        <v>21</v>
      </c>
      <c r="J11" s="46" t="s">
        <v>22</v>
      </c>
      <c r="K11" s="45" t="s">
        <v>23</v>
      </c>
      <c r="L11" s="45" t="s">
        <v>24</v>
      </c>
      <c r="M11" s="45" t="s">
        <v>25</v>
      </c>
      <c r="N11" s="45" t="s">
        <v>7</v>
      </c>
      <c r="O11" s="45" t="s">
        <v>26</v>
      </c>
      <c r="P11" s="41" t="s">
        <v>27</v>
      </c>
      <c r="Q11" s="47" t="s">
        <v>28</v>
      </c>
      <c r="R11" s="48" t="s">
        <v>29</v>
      </c>
      <c r="S11" s="41" t="s">
        <v>30</v>
      </c>
      <c r="T11" s="49" t="s">
        <v>15</v>
      </c>
      <c r="U11" s="47" t="s">
        <v>31</v>
      </c>
      <c r="V11" s="49" t="s">
        <v>15</v>
      </c>
      <c r="W11" s="47" t="s">
        <v>31</v>
      </c>
      <c r="X11" s="45"/>
      <c r="Y11" s="50"/>
      <c r="Z11" s="50"/>
    </row>
    <row r="12" spans="1:26" ht="12.75" x14ac:dyDescent="0.2">
      <c r="A12" s="51"/>
      <c r="B12" s="52"/>
      <c r="C12" s="53"/>
      <c r="D12" s="54"/>
      <c r="E12" s="56"/>
      <c r="F12" s="56"/>
      <c r="G12" s="57"/>
      <c r="H12" s="55"/>
      <c r="I12" s="58"/>
      <c r="J12" s="54"/>
      <c r="K12" s="56"/>
      <c r="L12" s="56"/>
      <c r="M12" s="59"/>
      <c r="N12" s="60"/>
      <c r="O12" s="61"/>
      <c r="P12" s="60"/>
      <c r="Q12" s="62"/>
      <c r="R12" s="63"/>
      <c r="S12" s="64"/>
      <c r="T12" s="65"/>
      <c r="U12" s="65"/>
      <c r="V12" s="66"/>
      <c r="W12" s="66"/>
      <c r="X12" s="67"/>
      <c r="Y12" s="50"/>
      <c r="Z12" s="50"/>
    </row>
    <row r="13" spans="1:26" ht="12.75" hidden="1" outlineLevel="1" x14ac:dyDescent="0.2">
      <c r="A13" s="50"/>
      <c r="B13" s="69">
        <v>45711</v>
      </c>
      <c r="C13" s="70" t="s">
        <v>32</v>
      </c>
      <c r="D13" s="71">
        <v>1138.5999999999999</v>
      </c>
      <c r="E13" s="73">
        <v>9</v>
      </c>
      <c r="F13" s="73">
        <v>10</v>
      </c>
      <c r="G13" s="74">
        <f t="shared" ref="G13:G267" si="0">E13/F13</f>
        <v>0.9</v>
      </c>
      <c r="H13" s="75">
        <f t="shared" ref="H13:H267" si="1">D13/E13</f>
        <v>126.51111111111111</v>
      </c>
      <c r="I13" s="76">
        <f t="shared" ref="I13:I267" si="2">H13/G13</f>
        <v>140.5679012345679</v>
      </c>
      <c r="J13" s="77">
        <v>652.84</v>
      </c>
      <c r="K13" s="73">
        <v>91286</v>
      </c>
      <c r="L13" s="73">
        <v>5</v>
      </c>
      <c r="M13" s="78">
        <v>289.8</v>
      </c>
      <c r="N13" s="79">
        <f t="shared" ref="N13:N14" si="3">J13/M13</f>
        <v>2.2527260179434094</v>
      </c>
      <c r="O13" s="80">
        <f t="shared" ref="O13:O267" si="4">M13/J13</f>
        <v>0.44390662336866615</v>
      </c>
      <c r="P13" s="79">
        <f t="shared" ref="P13:P267" si="5">J13/D13</f>
        <v>0.57337080625329362</v>
      </c>
      <c r="Q13" s="81">
        <f t="shared" ref="Q13:Q267" si="6">M13/D13</f>
        <v>0.25452309854206923</v>
      </c>
      <c r="R13" s="82">
        <f t="shared" ref="R13:R30" si="7">D13-M13</f>
        <v>848.8</v>
      </c>
      <c r="S13" s="83">
        <f t="shared" ref="S13:S267" si="8">J13/L13</f>
        <v>130.56800000000001</v>
      </c>
      <c r="T13" s="135"/>
      <c r="U13" s="135"/>
      <c r="V13" s="135"/>
      <c r="W13" s="135"/>
      <c r="X13" s="136"/>
      <c r="Y13" s="50"/>
      <c r="Z13" s="50"/>
    </row>
    <row r="14" spans="1:26" ht="12.75" hidden="1" outlineLevel="1" x14ac:dyDescent="0.2">
      <c r="A14" s="50"/>
      <c r="B14" s="137"/>
      <c r="C14" s="70" t="s">
        <v>33</v>
      </c>
      <c r="D14" s="87">
        <v>7251.12</v>
      </c>
      <c r="E14" s="73">
        <v>45</v>
      </c>
      <c r="F14" s="73">
        <v>47</v>
      </c>
      <c r="G14" s="74">
        <f t="shared" si="0"/>
        <v>0.95744680851063835</v>
      </c>
      <c r="H14" s="75">
        <f t="shared" si="1"/>
        <v>161.136</v>
      </c>
      <c r="I14" s="76">
        <f t="shared" si="2"/>
        <v>168.29759999999999</v>
      </c>
      <c r="J14" s="87">
        <v>325.06</v>
      </c>
      <c r="K14" s="73">
        <v>109626</v>
      </c>
      <c r="L14" s="73">
        <v>10</v>
      </c>
      <c r="M14" s="88">
        <v>1276.8499999999999</v>
      </c>
      <c r="N14" s="79">
        <f t="shared" si="3"/>
        <v>0.25457962955711322</v>
      </c>
      <c r="O14" s="80">
        <f t="shared" si="4"/>
        <v>3.9280440534055248</v>
      </c>
      <c r="P14" s="79">
        <f t="shared" si="5"/>
        <v>4.4828936771147077E-2</v>
      </c>
      <c r="Q14" s="81">
        <f t="shared" si="6"/>
        <v>0.17609003850439656</v>
      </c>
      <c r="R14" s="89">
        <f t="shared" si="7"/>
        <v>5974.27</v>
      </c>
      <c r="S14" s="83">
        <f t="shared" si="8"/>
        <v>32.506</v>
      </c>
      <c r="T14" s="135"/>
      <c r="U14" s="135"/>
      <c r="V14" s="135"/>
      <c r="W14" s="135"/>
      <c r="X14" s="136"/>
      <c r="Y14" s="50"/>
      <c r="Z14" s="50"/>
    </row>
    <row r="15" spans="1:26" ht="12.75" hidden="1" outlineLevel="1" x14ac:dyDescent="0.2">
      <c r="A15" s="50"/>
      <c r="B15" s="137"/>
      <c r="C15" s="70" t="s">
        <v>34</v>
      </c>
      <c r="D15" s="90">
        <v>0</v>
      </c>
      <c r="E15" s="73">
        <v>0</v>
      </c>
      <c r="F15" s="73">
        <v>0</v>
      </c>
      <c r="G15" s="74" t="e">
        <f t="shared" si="0"/>
        <v>#DIV/0!</v>
      </c>
      <c r="H15" s="75" t="e">
        <f t="shared" si="1"/>
        <v>#DIV/0!</v>
      </c>
      <c r="I15" s="76" t="e">
        <f t="shared" si="2"/>
        <v>#DIV/0!</v>
      </c>
      <c r="J15" s="90">
        <v>17.22</v>
      </c>
      <c r="K15" s="73">
        <v>128</v>
      </c>
      <c r="L15" s="73">
        <v>0</v>
      </c>
      <c r="M15" s="91">
        <v>0</v>
      </c>
      <c r="N15" s="79" t="e">
        <f>(J15/M15)</f>
        <v>#DIV/0!</v>
      </c>
      <c r="O15" s="80">
        <f t="shared" si="4"/>
        <v>0</v>
      </c>
      <c r="P15" s="79" t="e">
        <f t="shared" si="5"/>
        <v>#DIV/0!</v>
      </c>
      <c r="Q15" s="81" t="e">
        <f t="shared" si="6"/>
        <v>#DIV/0!</v>
      </c>
      <c r="R15" s="92">
        <f t="shared" si="7"/>
        <v>0</v>
      </c>
      <c r="S15" s="83" t="e">
        <f t="shared" si="8"/>
        <v>#DIV/0!</v>
      </c>
      <c r="T15" s="135"/>
      <c r="U15" s="135"/>
      <c r="V15" s="135"/>
      <c r="W15" s="135"/>
      <c r="X15" s="136"/>
      <c r="Y15" s="50"/>
      <c r="Z15" s="50"/>
    </row>
    <row r="16" spans="1:26" ht="12.75" hidden="1" outlineLevel="1" x14ac:dyDescent="0.2">
      <c r="A16" s="50"/>
      <c r="B16" s="137"/>
      <c r="C16" s="70" t="s">
        <v>35</v>
      </c>
      <c r="D16" s="90">
        <v>269.75</v>
      </c>
      <c r="E16" s="73">
        <v>5</v>
      </c>
      <c r="F16" s="73">
        <v>3</v>
      </c>
      <c r="G16" s="74">
        <f t="shared" si="0"/>
        <v>1.6666666666666667</v>
      </c>
      <c r="H16" s="75">
        <f t="shared" si="1"/>
        <v>53.95</v>
      </c>
      <c r="I16" s="76">
        <f t="shared" si="2"/>
        <v>32.369999999999997</v>
      </c>
      <c r="J16" s="90">
        <v>163.92</v>
      </c>
      <c r="K16" s="73">
        <v>9083</v>
      </c>
      <c r="L16" s="73">
        <v>0</v>
      </c>
      <c r="M16" s="91">
        <v>0</v>
      </c>
      <c r="N16" s="79" t="e">
        <f t="shared" ref="N16:N33" si="9">J16/M16</f>
        <v>#DIV/0!</v>
      </c>
      <c r="O16" s="80">
        <f t="shared" si="4"/>
        <v>0</v>
      </c>
      <c r="P16" s="79">
        <f t="shared" si="5"/>
        <v>0.60767377201112138</v>
      </c>
      <c r="Q16" s="81">
        <f t="shared" si="6"/>
        <v>0</v>
      </c>
      <c r="R16" s="92">
        <f t="shared" si="7"/>
        <v>269.75</v>
      </c>
      <c r="S16" s="83" t="e">
        <f t="shared" si="8"/>
        <v>#DIV/0!</v>
      </c>
      <c r="T16" s="135"/>
      <c r="U16" s="135"/>
      <c r="V16" s="135"/>
      <c r="W16" s="135"/>
      <c r="X16" s="136"/>
      <c r="Y16" s="50"/>
      <c r="Z16" s="50"/>
    </row>
    <row r="17" spans="1:26" ht="12.75" hidden="1" outlineLevel="1" x14ac:dyDescent="0.2">
      <c r="A17" s="50"/>
      <c r="B17" s="137"/>
      <c r="C17" s="70" t="s">
        <v>62</v>
      </c>
      <c r="D17" s="200">
        <v>0</v>
      </c>
      <c r="E17" s="73">
        <v>0</v>
      </c>
      <c r="F17" s="73">
        <v>0</v>
      </c>
      <c r="G17" s="74" t="e">
        <f t="shared" si="0"/>
        <v>#DIV/0!</v>
      </c>
      <c r="H17" s="75" t="e">
        <f t="shared" si="1"/>
        <v>#DIV/0!</v>
      </c>
      <c r="I17" s="76" t="e">
        <f t="shared" si="2"/>
        <v>#DIV/0!</v>
      </c>
      <c r="J17" s="200">
        <v>0</v>
      </c>
      <c r="K17" s="73">
        <v>0</v>
      </c>
      <c r="L17" s="73">
        <v>0</v>
      </c>
      <c r="M17" s="200">
        <v>0</v>
      </c>
      <c r="N17" s="79" t="e">
        <f t="shared" si="9"/>
        <v>#DIV/0!</v>
      </c>
      <c r="O17" s="80" t="e">
        <f t="shared" si="4"/>
        <v>#DIV/0!</v>
      </c>
      <c r="P17" s="79" t="e">
        <f t="shared" si="5"/>
        <v>#DIV/0!</v>
      </c>
      <c r="Q17" s="81" t="e">
        <f t="shared" si="6"/>
        <v>#DIV/0!</v>
      </c>
      <c r="R17" s="92">
        <f t="shared" si="7"/>
        <v>0</v>
      </c>
      <c r="S17" s="83" t="e">
        <f t="shared" si="8"/>
        <v>#DIV/0!</v>
      </c>
      <c r="T17" s="135"/>
      <c r="U17" s="135"/>
      <c r="V17" s="135"/>
      <c r="W17" s="135"/>
      <c r="X17" s="136"/>
      <c r="Y17" s="50"/>
      <c r="Z17" s="50"/>
    </row>
    <row r="18" spans="1:26" ht="12.75" hidden="1" outlineLevel="1" x14ac:dyDescent="0.2">
      <c r="A18" s="50"/>
      <c r="B18" s="137"/>
      <c r="C18" s="70" t="s">
        <v>66</v>
      </c>
      <c r="D18" s="201">
        <v>455.81</v>
      </c>
      <c r="E18" s="73">
        <v>7</v>
      </c>
      <c r="F18" s="73">
        <v>6</v>
      </c>
      <c r="G18" s="74">
        <f t="shared" si="0"/>
        <v>1.1666666666666667</v>
      </c>
      <c r="H18" s="75">
        <f t="shared" si="1"/>
        <v>65.11571428571429</v>
      </c>
      <c r="I18" s="76">
        <f t="shared" si="2"/>
        <v>55.813469387755106</v>
      </c>
      <c r="J18" s="201">
        <v>49.89</v>
      </c>
      <c r="K18" s="73">
        <v>6245</v>
      </c>
      <c r="L18" s="73">
        <v>2</v>
      </c>
      <c r="M18" s="202">
        <v>124.94</v>
      </c>
      <c r="N18" s="79">
        <f t="shared" si="9"/>
        <v>0.39931166960140868</v>
      </c>
      <c r="O18" s="80">
        <f t="shared" si="4"/>
        <v>2.5043094808578874</v>
      </c>
      <c r="P18" s="79">
        <f t="shared" si="5"/>
        <v>0.10945350036199293</v>
      </c>
      <c r="Q18" s="81">
        <f t="shared" si="6"/>
        <v>0.27410543866962112</v>
      </c>
      <c r="R18" s="203">
        <f t="shared" si="7"/>
        <v>330.87</v>
      </c>
      <c r="S18" s="83">
        <f t="shared" si="8"/>
        <v>24.945</v>
      </c>
      <c r="T18" s="135"/>
      <c r="U18" s="135"/>
      <c r="V18" s="135"/>
      <c r="W18" s="135"/>
      <c r="X18" s="136"/>
      <c r="Y18" s="50"/>
      <c r="Z18" s="50"/>
    </row>
    <row r="19" spans="1:26" ht="12.75" hidden="1" outlineLevel="1" x14ac:dyDescent="0.2">
      <c r="A19" s="50"/>
      <c r="B19" s="137"/>
      <c r="C19" s="70" t="s">
        <v>36</v>
      </c>
      <c r="D19" s="90">
        <v>500.16</v>
      </c>
      <c r="E19" s="73">
        <v>8</v>
      </c>
      <c r="F19" s="73">
        <v>8</v>
      </c>
      <c r="G19" s="74">
        <f t="shared" si="0"/>
        <v>1</v>
      </c>
      <c r="H19" s="75">
        <f t="shared" si="1"/>
        <v>62.52</v>
      </c>
      <c r="I19" s="76">
        <f t="shared" si="2"/>
        <v>62.52</v>
      </c>
      <c r="J19" s="90">
        <v>67.81</v>
      </c>
      <c r="K19" s="73">
        <v>6402</v>
      </c>
      <c r="L19" s="73">
        <v>1</v>
      </c>
      <c r="M19" s="91">
        <v>59.95</v>
      </c>
      <c r="N19" s="79">
        <f t="shared" si="9"/>
        <v>1.1311092577147623</v>
      </c>
      <c r="O19" s="80">
        <f t="shared" si="4"/>
        <v>0.88408789264120335</v>
      </c>
      <c r="P19" s="79">
        <f t="shared" si="5"/>
        <v>0.13557661548304542</v>
      </c>
      <c r="Q19" s="81">
        <f t="shared" si="6"/>
        <v>0.11986164427383238</v>
      </c>
      <c r="R19" s="92">
        <f t="shared" si="7"/>
        <v>440.21000000000004</v>
      </c>
      <c r="S19" s="83">
        <f t="shared" si="8"/>
        <v>67.81</v>
      </c>
      <c r="T19" s="135"/>
      <c r="U19" s="135"/>
      <c r="V19" s="135"/>
      <c r="W19" s="135"/>
      <c r="X19" s="136"/>
      <c r="Y19" s="50"/>
      <c r="Z19" s="50"/>
    </row>
    <row r="20" spans="1:26" ht="12.75" hidden="1" outlineLevel="1" x14ac:dyDescent="0.2">
      <c r="A20" s="50"/>
      <c r="B20" s="69" t="s">
        <v>37</v>
      </c>
      <c r="C20" s="70" t="s">
        <v>38</v>
      </c>
      <c r="D20" s="93">
        <v>614.91999999999996</v>
      </c>
      <c r="E20" s="73">
        <v>13</v>
      </c>
      <c r="F20" s="73">
        <v>12</v>
      </c>
      <c r="G20" s="74">
        <f t="shared" si="0"/>
        <v>1.0833333333333333</v>
      </c>
      <c r="H20" s="75">
        <f t="shared" si="1"/>
        <v>47.301538461538456</v>
      </c>
      <c r="I20" s="76">
        <f t="shared" si="2"/>
        <v>43.662958579881654</v>
      </c>
      <c r="J20" s="93">
        <v>123.69</v>
      </c>
      <c r="K20" s="73">
        <v>14424</v>
      </c>
      <c r="L20" s="73">
        <v>5</v>
      </c>
      <c r="M20" s="94">
        <v>107.8</v>
      </c>
      <c r="N20" s="79">
        <f t="shared" si="9"/>
        <v>1.1474025974025974</v>
      </c>
      <c r="O20" s="80">
        <f t="shared" si="4"/>
        <v>0.8715336728919072</v>
      </c>
      <c r="P20" s="79">
        <f t="shared" si="5"/>
        <v>0.2011481168282053</v>
      </c>
      <c r="Q20" s="81">
        <f t="shared" si="6"/>
        <v>0.1753073570545762</v>
      </c>
      <c r="R20" s="95">
        <f t="shared" si="7"/>
        <v>507.11999999999995</v>
      </c>
      <c r="S20" s="83">
        <f t="shared" si="8"/>
        <v>24.738</v>
      </c>
      <c r="T20" s="135"/>
      <c r="U20" s="135"/>
      <c r="V20" s="135"/>
      <c r="W20" s="135"/>
      <c r="X20" s="136"/>
      <c r="Y20" s="50"/>
      <c r="Z20" s="50"/>
    </row>
    <row r="21" spans="1:26" ht="12.75" hidden="1" outlineLevel="1" x14ac:dyDescent="0.2">
      <c r="A21" s="50"/>
      <c r="B21" s="137"/>
      <c r="C21" s="70" t="s">
        <v>39</v>
      </c>
      <c r="D21" s="96">
        <v>0</v>
      </c>
      <c r="E21" s="73">
        <v>0</v>
      </c>
      <c r="F21" s="73">
        <v>0</v>
      </c>
      <c r="G21" s="74" t="e">
        <f t="shared" si="0"/>
        <v>#DIV/0!</v>
      </c>
      <c r="H21" s="75" t="e">
        <f t="shared" si="1"/>
        <v>#DIV/0!</v>
      </c>
      <c r="I21" s="76" t="e">
        <f t="shared" si="2"/>
        <v>#DIV/0!</v>
      </c>
      <c r="J21" s="96">
        <v>61.54</v>
      </c>
      <c r="K21" s="73">
        <v>58340</v>
      </c>
      <c r="L21" s="73">
        <v>2</v>
      </c>
      <c r="M21" s="97">
        <v>199.9</v>
      </c>
      <c r="N21" s="79">
        <f t="shared" si="9"/>
        <v>0.30785392696348174</v>
      </c>
      <c r="O21" s="80">
        <f t="shared" si="4"/>
        <v>3.2482937926551836</v>
      </c>
      <c r="P21" s="79" t="e">
        <f t="shared" si="5"/>
        <v>#DIV/0!</v>
      </c>
      <c r="Q21" s="81" t="e">
        <f t="shared" si="6"/>
        <v>#DIV/0!</v>
      </c>
      <c r="R21" s="98">
        <f t="shared" si="7"/>
        <v>-199.9</v>
      </c>
      <c r="S21" s="83">
        <f t="shared" si="8"/>
        <v>30.77</v>
      </c>
      <c r="T21" s="135"/>
      <c r="U21" s="135"/>
      <c r="V21" s="135"/>
      <c r="W21" s="135"/>
      <c r="X21" s="136"/>
      <c r="Y21" s="50"/>
      <c r="Z21" s="50"/>
    </row>
    <row r="22" spans="1:26" ht="12.75" hidden="1" outlineLevel="1" x14ac:dyDescent="0.2">
      <c r="A22" s="50"/>
      <c r="B22" s="137"/>
      <c r="C22" s="70" t="s">
        <v>40</v>
      </c>
      <c r="D22" s="99">
        <v>54.95</v>
      </c>
      <c r="E22" s="73">
        <v>1</v>
      </c>
      <c r="F22" s="73">
        <v>1</v>
      </c>
      <c r="G22" s="74">
        <f t="shared" si="0"/>
        <v>1</v>
      </c>
      <c r="H22" s="75">
        <f t="shared" si="1"/>
        <v>54.95</v>
      </c>
      <c r="I22" s="76">
        <f t="shared" si="2"/>
        <v>54.95</v>
      </c>
      <c r="J22" s="99">
        <v>0</v>
      </c>
      <c r="K22" s="73">
        <v>0</v>
      </c>
      <c r="L22" s="73">
        <v>0</v>
      </c>
      <c r="M22" s="100">
        <v>0</v>
      </c>
      <c r="N22" s="79" t="e">
        <f t="shared" si="9"/>
        <v>#DIV/0!</v>
      </c>
      <c r="O22" s="80" t="e">
        <f t="shared" si="4"/>
        <v>#DIV/0!</v>
      </c>
      <c r="P22" s="79">
        <f t="shared" si="5"/>
        <v>0</v>
      </c>
      <c r="Q22" s="81">
        <f t="shared" si="6"/>
        <v>0</v>
      </c>
      <c r="R22" s="101">
        <f t="shared" si="7"/>
        <v>54.95</v>
      </c>
      <c r="S22" s="83" t="e">
        <f t="shared" si="8"/>
        <v>#DIV/0!</v>
      </c>
      <c r="T22" s="135"/>
      <c r="U22" s="135"/>
      <c r="V22" s="135"/>
      <c r="W22" s="135"/>
      <c r="X22" s="136"/>
      <c r="Y22" s="50"/>
      <c r="Z22" s="50"/>
    </row>
    <row r="23" spans="1:26" ht="12.75" hidden="1" outlineLevel="1" x14ac:dyDescent="0.2">
      <c r="A23" s="50"/>
      <c r="B23" s="137"/>
      <c r="C23" s="70" t="s">
        <v>41</v>
      </c>
      <c r="D23" s="102">
        <v>201</v>
      </c>
      <c r="E23" s="73">
        <v>3</v>
      </c>
      <c r="F23" s="73">
        <v>3</v>
      </c>
      <c r="G23" s="74">
        <f t="shared" si="0"/>
        <v>1</v>
      </c>
      <c r="H23" s="75">
        <f t="shared" si="1"/>
        <v>67</v>
      </c>
      <c r="I23" s="76">
        <f t="shared" si="2"/>
        <v>67</v>
      </c>
      <c r="J23" s="102">
        <v>52.07</v>
      </c>
      <c r="K23" s="73">
        <v>7101</v>
      </c>
      <c r="L23" s="73">
        <v>1</v>
      </c>
      <c r="M23" s="103">
        <v>67</v>
      </c>
      <c r="N23" s="79">
        <f t="shared" si="9"/>
        <v>0.77716417910447766</v>
      </c>
      <c r="O23" s="80">
        <f t="shared" si="4"/>
        <v>1.2867294027270981</v>
      </c>
      <c r="P23" s="79">
        <f t="shared" si="5"/>
        <v>0.25905472636815918</v>
      </c>
      <c r="Q23" s="81">
        <f t="shared" si="6"/>
        <v>0.33333333333333331</v>
      </c>
      <c r="R23" s="104">
        <f t="shared" si="7"/>
        <v>134</v>
      </c>
      <c r="S23" s="83">
        <f t="shared" si="8"/>
        <v>52.07</v>
      </c>
      <c r="T23" s="135"/>
      <c r="U23" s="135"/>
      <c r="V23" s="135"/>
      <c r="W23" s="135"/>
      <c r="X23" s="136"/>
      <c r="Y23" s="50"/>
      <c r="Z23" s="50"/>
    </row>
    <row r="24" spans="1:26" ht="12.75" hidden="1" outlineLevel="1" x14ac:dyDescent="0.2">
      <c r="A24" s="50"/>
      <c r="B24" s="137"/>
      <c r="C24" s="70" t="s">
        <v>42</v>
      </c>
      <c r="D24" s="90">
        <v>39.979999999999997</v>
      </c>
      <c r="E24" s="73">
        <v>2</v>
      </c>
      <c r="F24" s="73">
        <v>2</v>
      </c>
      <c r="G24" s="74">
        <f t="shared" si="0"/>
        <v>1</v>
      </c>
      <c r="H24" s="75">
        <f t="shared" si="1"/>
        <v>19.989999999999998</v>
      </c>
      <c r="I24" s="76">
        <f t="shared" si="2"/>
        <v>19.989999999999998</v>
      </c>
      <c r="J24" s="90">
        <v>7.73</v>
      </c>
      <c r="K24" s="73">
        <v>17629</v>
      </c>
      <c r="L24" s="73">
        <v>0</v>
      </c>
      <c r="M24" s="91">
        <v>0</v>
      </c>
      <c r="N24" s="79" t="e">
        <f t="shared" si="9"/>
        <v>#DIV/0!</v>
      </c>
      <c r="O24" s="80">
        <f t="shared" si="4"/>
        <v>0</v>
      </c>
      <c r="P24" s="79">
        <f t="shared" si="5"/>
        <v>0.19334667333666836</v>
      </c>
      <c r="Q24" s="81">
        <f t="shared" si="6"/>
        <v>0</v>
      </c>
      <c r="R24" s="92">
        <f t="shared" si="7"/>
        <v>39.979999999999997</v>
      </c>
      <c r="S24" s="83" t="e">
        <f t="shared" si="8"/>
        <v>#DIV/0!</v>
      </c>
      <c r="T24" s="135"/>
      <c r="U24" s="135"/>
      <c r="V24" s="135"/>
      <c r="W24" s="135"/>
      <c r="X24" s="136"/>
      <c r="Y24" s="50"/>
      <c r="Z24" s="50"/>
    </row>
    <row r="25" spans="1:26" ht="12.75" hidden="1" outlineLevel="1" x14ac:dyDescent="0.2">
      <c r="A25" s="50"/>
      <c r="B25" s="137"/>
      <c r="C25" s="70" t="s">
        <v>43</v>
      </c>
      <c r="D25" s="105">
        <v>-195</v>
      </c>
      <c r="E25" s="73">
        <v>-1</v>
      </c>
      <c r="F25" s="73">
        <v>0</v>
      </c>
      <c r="G25" s="74" t="e">
        <f t="shared" si="0"/>
        <v>#DIV/0!</v>
      </c>
      <c r="H25" s="75">
        <f t="shared" si="1"/>
        <v>195</v>
      </c>
      <c r="I25" s="76" t="e">
        <f t="shared" si="2"/>
        <v>#DIV/0!</v>
      </c>
      <c r="J25" s="105">
        <v>27.44</v>
      </c>
      <c r="K25" s="73">
        <v>30342</v>
      </c>
      <c r="L25" s="73">
        <v>0</v>
      </c>
      <c r="M25" s="106">
        <v>0</v>
      </c>
      <c r="N25" s="79" t="e">
        <f t="shared" si="9"/>
        <v>#DIV/0!</v>
      </c>
      <c r="O25" s="80">
        <f t="shared" si="4"/>
        <v>0</v>
      </c>
      <c r="P25" s="79">
        <f t="shared" si="5"/>
        <v>-0.14071794871794874</v>
      </c>
      <c r="Q25" s="81">
        <f t="shared" si="6"/>
        <v>0</v>
      </c>
      <c r="R25" s="107">
        <f t="shared" si="7"/>
        <v>-195</v>
      </c>
      <c r="S25" s="83" t="e">
        <f t="shared" si="8"/>
        <v>#DIV/0!</v>
      </c>
      <c r="T25" s="135"/>
      <c r="U25" s="135"/>
      <c r="V25" s="135"/>
      <c r="W25" s="135"/>
      <c r="X25" s="136"/>
      <c r="Y25" s="50"/>
      <c r="Z25" s="50"/>
    </row>
    <row r="26" spans="1:26" ht="12.75" hidden="1" outlineLevel="1" x14ac:dyDescent="0.2">
      <c r="A26" s="50"/>
      <c r="B26" s="137"/>
      <c r="C26" s="70" t="s">
        <v>44</v>
      </c>
      <c r="D26" s="108">
        <v>119.9</v>
      </c>
      <c r="E26" s="73">
        <v>2</v>
      </c>
      <c r="F26" s="73">
        <v>2</v>
      </c>
      <c r="G26" s="74">
        <f t="shared" si="0"/>
        <v>1</v>
      </c>
      <c r="H26" s="75">
        <f t="shared" si="1"/>
        <v>59.95</v>
      </c>
      <c r="I26" s="76">
        <f t="shared" si="2"/>
        <v>59.95</v>
      </c>
      <c r="J26" s="108">
        <v>46.2</v>
      </c>
      <c r="K26" s="73">
        <v>8233</v>
      </c>
      <c r="L26" s="73">
        <v>0</v>
      </c>
      <c r="M26" s="109">
        <v>0</v>
      </c>
      <c r="N26" s="79" t="e">
        <f t="shared" si="9"/>
        <v>#DIV/0!</v>
      </c>
      <c r="O26" s="80">
        <f t="shared" si="4"/>
        <v>0</v>
      </c>
      <c r="P26" s="79">
        <f t="shared" si="5"/>
        <v>0.38532110091743121</v>
      </c>
      <c r="Q26" s="81">
        <f t="shared" si="6"/>
        <v>0</v>
      </c>
      <c r="R26" s="110">
        <f t="shared" si="7"/>
        <v>119.9</v>
      </c>
      <c r="S26" s="83" t="e">
        <f t="shared" si="8"/>
        <v>#DIV/0!</v>
      </c>
      <c r="T26" s="135"/>
      <c r="U26" s="135"/>
      <c r="V26" s="135"/>
      <c r="W26" s="135"/>
      <c r="X26" s="136"/>
      <c r="Y26" s="50"/>
      <c r="Z26" s="50"/>
    </row>
    <row r="27" spans="1:26" ht="12.75" hidden="1" outlineLevel="1" x14ac:dyDescent="0.2">
      <c r="A27" s="139"/>
      <c r="B27" s="137"/>
      <c r="C27" s="112" t="s">
        <v>45</v>
      </c>
      <c r="D27" s="71">
        <v>620.91</v>
      </c>
      <c r="E27" s="73">
        <v>11</v>
      </c>
      <c r="F27" s="73">
        <v>10</v>
      </c>
      <c r="G27" s="74">
        <f t="shared" si="0"/>
        <v>1.1000000000000001</v>
      </c>
      <c r="H27" s="75">
        <f t="shared" si="1"/>
        <v>56.446363636363635</v>
      </c>
      <c r="I27" s="76">
        <f t="shared" si="2"/>
        <v>51.31487603305785</v>
      </c>
      <c r="J27" s="71">
        <v>0</v>
      </c>
      <c r="K27" s="73">
        <v>0</v>
      </c>
      <c r="L27" s="73">
        <v>0</v>
      </c>
      <c r="M27" s="78">
        <v>0</v>
      </c>
      <c r="N27" s="79" t="e">
        <f t="shared" si="9"/>
        <v>#DIV/0!</v>
      </c>
      <c r="O27" s="80" t="e">
        <f t="shared" si="4"/>
        <v>#DIV/0!</v>
      </c>
      <c r="P27" s="79">
        <f t="shared" si="5"/>
        <v>0</v>
      </c>
      <c r="Q27" s="81">
        <f t="shared" si="6"/>
        <v>0</v>
      </c>
      <c r="R27" s="82">
        <f t="shared" si="7"/>
        <v>620.91</v>
      </c>
      <c r="S27" s="83" t="e">
        <f t="shared" si="8"/>
        <v>#DIV/0!</v>
      </c>
      <c r="T27" s="140"/>
      <c r="U27" s="140"/>
      <c r="V27" s="140"/>
      <c r="W27" s="141"/>
      <c r="X27" s="142"/>
      <c r="Y27" s="50"/>
      <c r="Z27" s="50"/>
    </row>
    <row r="28" spans="1:26" ht="12.75" hidden="1" outlineLevel="1" x14ac:dyDescent="0.2">
      <c r="A28" s="50"/>
      <c r="B28" s="137"/>
      <c r="C28" s="70" t="s">
        <v>46</v>
      </c>
      <c r="D28" s="116">
        <v>834.27</v>
      </c>
      <c r="E28" s="73">
        <v>23</v>
      </c>
      <c r="F28" s="73">
        <v>23</v>
      </c>
      <c r="G28" s="74">
        <f t="shared" si="0"/>
        <v>1</v>
      </c>
      <c r="H28" s="75">
        <f t="shared" si="1"/>
        <v>36.272608695652174</v>
      </c>
      <c r="I28" s="76">
        <f t="shared" si="2"/>
        <v>36.272608695652174</v>
      </c>
      <c r="J28" s="116">
        <v>88.12</v>
      </c>
      <c r="K28" s="73">
        <v>33459</v>
      </c>
      <c r="L28" s="73">
        <v>11</v>
      </c>
      <c r="M28" s="117">
        <v>395.56</v>
      </c>
      <c r="N28" s="79">
        <f t="shared" si="9"/>
        <v>0.22277277783395694</v>
      </c>
      <c r="O28" s="80">
        <f t="shared" si="4"/>
        <v>4.4888788016341348</v>
      </c>
      <c r="P28" s="79">
        <f t="shared" si="5"/>
        <v>0.1056252771884402</v>
      </c>
      <c r="Q28" s="81">
        <f t="shared" si="6"/>
        <v>0.4741390676879188</v>
      </c>
      <c r="R28" s="82">
        <f t="shared" si="7"/>
        <v>438.71</v>
      </c>
      <c r="S28" s="83">
        <f t="shared" si="8"/>
        <v>8.0109090909090916</v>
      </c>
      <c r="T28" s="135"/>
      <c r="U28" s="135"/>
      <c r="V28" s="135"/>
      <c r="W28" s="135"/>
      <c r="X28" s="136"/>
      <c r="Y28" s="50"/>
      <c r="Z28" s="50"/>
    </row>
    <row r="29" spans="1:26" ht="12.75" hidden="1" outlineLevel="1" x14ac:dyDescent="0.2">
      <c r="A29" s="50"/>
      <c r="B29" s="137"/>
      <c r="C29" s="70" t="s">
        <v>49</v>
      </c>
      <c r="D29" s="116">
        <v>0</v>
      </c>
      <c r="E29" s="73">
        <v>0</v>
      </c>
      <c r="F29" s="73">
        <v>0</v>
      </c>
      <c r="G29" s="74" t="e">
        <f t="shared" si="0"/>
        <v>#DIV/0!</v>
      </c>
      <c r="H29" s="75" t="e">
        <f t="shared" si="1"/>
        <v>#DIV/0!</v>
      </c>
      <c r="I29" s="76" t="e">
        <f t="shared" si="2"/>
        <v>#DIV/0!</v>
      </c>
      <c r="J29" s="116">
        <v>3.31</v>
      </c>
      <c r="K29" s="73">
        <v>10850</v>
      </c>
      <c r="L29" s="73">
        <v>0</v>
      </c>
      <c r="M29" s="117">
        <v>0</v>
      </c>
      <c r="N29" s="79" t="e">
        <f t="shared" si="9"/>
        <v>#DIV/0!</v>
      </c>
      <c r="O29" s="80">
        <f t="shared" si="4"/>
        <v>0</v>
      </c>
      <c r="P29" s="79" t="e">
        <f t="shared" si="5"/>
        <v>#DIV/0!</v>
      </c>
      <c r="Q29" s="81" t="e">
        <f t="shared" si="6"/>
        <v>#DIV/0!</v>
      </c>
      <c r="R29" s="82">
        <f t="shared" si="7"/>
        <v>0</v>
      </c>
      <c r="S29" s="83" t="e">
        <f t="shared" si="8"/>
        <v>#DIV/0!</v>
      </c>
      <c r="T29" s="135"/>
      <c r="U29" s="135"/>
      <c r="V29" s="135"/>
      <c r="W29" s="135"/>
      <c r="X29" s="136"/>
      <c r="Y29" s="50"/>
      <c r="Z29" s="50"/>
    </row>
    <row r="30" spans="1:26" hidden="1" outlineLevel="1" x14ac:dyDescent="0.25">
      <c r="A30" s="118" t="str">
        <f t="shared" ref="A30:A31" si="10">IFERROR(IF(B30&gt;0,MONTH(B30)&amp;"-"&amp;YEAR(B30),B30),)</f>
        <v>3-2025</v>
      </c>
      <c r="B30" s="69">
        <v>45717</v>
      </c>
      <c r="C30" s="198" t="s">
        <v>64</v>
      </c>
      <c r="D30" s="116">
        <v>0</v>
      </c>
      <c r="E30" s="73">
        <v>0</v>
      </c>
      <c r="F30" s="73">
        <v>0</v>
      </c>
      <c r="G30" s="74" t="e">
        <f t="shared" si="0"/>
        <v>#DIV/0!</v>
      </c>
      <c r="H30" s="75" t="e">
        <f t="shared" si="1"/>
        <v>#DIV/0!</v>
      </c>
      <c r="I30" s="76" t="e">
        <f t="shared" si="2"/>
        <v>#DIV/0!</v>
      </c>
      <c r="J30" s="87">
        <v>22.48</v>
      </c>
      <c r="K30" s="204">
        <v>3411</v>
      </c>
      <c r="L30" s="205">
        <v>0</v>
      </c>
      <c r="M30" s="88">
        <v>0</v>
      </c>
      <c r="N30" s="79" t="e">
        <f t="shared" si="9"/>
        <v>#DIV/0!</v>
      </c>
      <c r="O30" s="80">
        <f t="shared" si="4"/>
        <v>0</v>
      </c>
      <c r="P30" s="79" t="e">
        <f t="shared" si="5"/>
        <v>#DIV/0!</v>
      </c>
      <c r="Q30" s="81" t="e">
        <f t="shared" si="6"/>
        <v>#DIV/0!</v>
      </c>
      <c r="R30" s="82">
        <f t="shared" si="7"/>
        <v>0</v>
      </c>
      <c r="S30" s="83" t="e">
        <f t="shared" si="8"/>
        <v>#DIV/0!</v>
      </c>
      <c r="T30" s="135"/>
      <c r="U30" s="135"/>
      <c r="V30" s="135"/>
      <c r="W30" s="135"/>
      <c r="X30" s="136"/>
      <c r="Y30" s="50"/>
      <c r="Z30" s="50"/>
    </row>
    <row r="31" spans="1:26" ht="12.75" collapsed="1" x14ac:dyDescent="0.2">
      <c r="A31" s="139">
        <f t="shared" si="10"/>
        <v>0</v>
      </c>
      <c r="B31" s="206" t="s">
        <v>67</v>
      </c>
      <c r="C31" s="207"/>
      <c r="D31" s="208">
        <f t="shared" ref="D31:F31" si="11">SUM(D13:D30)</f>
        <v>11906.369999999999</v>
      </c>
      <c r="E31" s="209">
        <f t="shared" si="11"/>
        <v>128</v>
      </c>
      <c r="F31" s="209">
        <f t="shared" si="11"/>
        <v>127</v>
      </c>
      <c r="G31" s="210">
        <f t="shared" si="0"/>
        <v>1.0078740157480315</v>
      </c>
      <c r="H31" s="211">
        <f t="shared" si="1"/>
        <v>93.018515624999992</v>
      </c>
      <c r="I31" s="212">
        <f t="shared" si="2"/>
        <v>92.291808471679687</v>
      </c>
      <c r="J31" s="213">
        <f t="shared" ref="J31:M31" si="12">SUM(J13:J30)</f>
        <v>1709.3200000000002</v>
      </c>
      <c r="K31" s="209">
        <f t="shared" si="12"/>
        <v>406559</v>
      </c>
      <c r="L31" s="209">
        <f t="shared" si="12"/>
        <v>37</v>
      </c>
      <c r="M31" s="208">
        <f t="shared" si="12"/>
        <v>2521.7999999999997</v>
      </c>
      <c r="N31" s="214">
        <f t="shared" si="9"/>
        <v>0.67781743199302102</v>
      </c>
      <c r="O31" s="215">
        <f t="shared" si="4"/>
        <v>1.4753235204642778</v>
      </c>
      <c r="P31" s="214">
        <f t="shared" si="5"/>
        <v>0.14356348744411607</v>
      </c>
      <c r="Q31" s="216">
        <f t="shared" si="6"/>
        <v>0.21180258970618249</v>
      </c>
      <c r="R31" s="217">
        <f>SUM(R13:R30)</f>
        <v>9384.57</v>
      </c>
      <c r="S31" s="218">
        <f t="shared" si="8"/>
        <v>46.197837837837845</v>
      </c>
      <c r="T31" s="219">
        <f t="shared" ref="T31:U31" si="13">IFERROR((D31-#REF!)/D31,)</f>
        <v>0</v>
      </c>
      <c r="U31" s="219">
        <f t="shared" si="13"/>
        <v>0</v>
      </c>
      <c r="V31" s="220">
        <f t="shared" ref="V31:W31" si="14">IFERROR((D31-#REF!)/D31, )</f>
        <v>0</v>
      </c>
      <c r="W31" s="221">
        <f t="shared" si="14"/>
        <v>0</v>
      </c>
      <c r="X31" s="50"/>
      <c r="Y31" s="50"/>
      <c r="Z31" s="50"/>
    </row>
    <row r="32" spans="1:26" ht="12.75" hidden="1" outlineLevel="1" x14ac:dyDescent="0.2">
      <c r="A32" s="34"/>
      <c r="B32" s="147">
        <v>45718</v>
      </c>
      <c r="C32" s="148" t="s">
        <v>32</v>
      </c>
      <c r="D32" s="149">
        <v>2124.65</v>
      </c>
      <c r="E32" s="151">
        <v>10</v>
      </c>
      <c r="F32" s="151">
        <v>12</v>
      </c>
      <c r="G32" s="152">
        <f t="shared" si="0"/>
        <v>0.83333333333333337</v>
      </c>
      <c r="H32" s="150">
        <f t="shared" si="1"/>
        <v>212.465</v>
      </c>
      <c r="I32" s="222">
        <f t="shared" si="2"/>
        <v>254.958</v>
      </c>
      <c r="J32" s="223">
        <v>305.72000000000003</v>
      </c>
      <c r="K32" s="151">
        <v>56518</v>
      </c>
      <c r="L32" s="151">
        <v>0</v>
      </c>
      <c r="M32" s="224">
        <v>0</v>
      </c>
      <c r="N32" s="155" t="e">
        <f t="shared" si="9"/>
        <v>#DIV/0!</v>
      </c>
      <c r="O32" s="156">
        <f t="shared" si="4"/>
        <v>0</v>
      </c>
      <c r="P32" s="155">
        <f t="shared" si="5"/>
        <v>0.14389193514225873</v>
      </c>
      <c r="Q32" s="225">
        <f t="shared" si="6"/>
        <v>0</v>
      </c>
      <c r="R32" s="226">
        <f t="shared" ref="R32:R49" si="15">D32-M32</f>
        <v>2124.65</v>
      </c>
      <c r="S32" s="227" t="e">
        <f t="shared" si="8"/>
        <v>#DIV/0!</v>
      </c>
      <c r="T32" s="160"/>
      <c r="U32" s="160"/>
      <c r="V32" s="160"/>
      <c r="W32" s="160"/>
      <c r="X32" s="1"/>
      <c r="Y32" s="50"/>
      <c r="Z32" s="50"/>
    </row>
    <row r="33" spans="1:26" ht="12.75" hidden="1" outlineLevel="1" x14ac:dyDescent="0.2">
      <c r="A33" s="34"/>
      <c r="B33" s="147"/>
      <c r="C33" s="148" t="s">
        <v>33</v>
      </c>
      <c r="D33" s="162">
        <v>1062.04</v>
      </c>
      <c r="E33" s="151">
        <v>26</v>
      </c>
      <c r="F33" s="151">
        <v>31</v>
      </c>
      <c r="G33" s="152">
        <f t="shared" si="0"/>
        <v>0.83870967741935487</v>
      </c>
      <c r="H33" s="150">
        <f t="shared" si="1"/>
        <v>40.847692307692306</v>
      </c>
      <c r="I33" s="222">
        <f t="shared" si="2"/>
        <v>48.703017751479287</v>
      </c>
      <c r="J33" s="162">
        <v>321.68</v>
      </c>
      <c r="K33" s="151">
        <v>121286</v>
      </c>
      <c r="L33" s="151">
        <v>8</v>
      </c>
      <c r="M33" s="154">
        <v>313.64999999999998</v>
      </c>
      <c r="N33" s="155">
        <f t="shared" si="9"/>
        <v>1.0256017854296191</v>
      </c>
      <c r="O33" s="156">
        <f t="shared" si="4"/>
        <v>0.97503730415319567</v>
      </c>
      <c r="P33" s="155">
        <f t="shared" si="5"/>
        <v>0.3028887800836127</v>
      </c>
      <c r="Q33" s="225">
        <f t="shared" si="6"/>
        <v>0.29532785959097585</v>
      </c>
      <c r="R33" s="228">
        <f t="shared" si="15"/>
        <v>748.39</v>
      </c>
      <c r="S33" s="227">
        <f t="shared" si="8"/>
        <v>40.21</v>
      </c>
      <c r="T33" s="160"/>
      <c r="U33" s="160"/>
      <c r="V33" s="160"/>
      <c r="W33" s="160"/>
      <c r="X33" s="1"/>
      <c r="Y33" s="50"/>
      <c r="Z33" s="50"/>
    </row>
    <row r="34" spans="1:26" ht="12.75" hidden="1" outlineLevel="1" x14ac:dyDescent="0.2">
      <c r="A34" s="34"/>
      <c r="B34" s="147"/>
      <c r="C34" s="148" t="s">
        <v>34</v>
      </c>
      <c r="D34" s="229">
        <v>0</v>
      </c>
      <c r="E34" s="151">
        <v>0</v>
      </c>
      <c r="F34" s="151">
        <v>0</v>
      </c>
      <c r="G34" s="152" t="e">
        <f t="shared" si="0"/>
        <v>#DIV/0!</v>
      </c>
      <c r="H34" s="150" t="e">
        <f t="shared" si="1"/>
        <v>#DIV/0!</v>
      </c>
      <c r="I34" s="222" t="e">
        <f t="shared" si="2"/>
        <v>#DIV/0!</v>
      </c>
      <c r="J34" s="229">
        <v>12.86</v>
      </c>
      <c r="K34" s="151">
        <v>129</v>
      </c>
      <c r="L34" s="151">
        <v>0</v>
      </c>
      <c r="M34" s="230">
        <v>0</v>
      </c>
      <c r="N34" s="155" t="e">
        <f>(J34/M34)</f>
        <v>#DIV/0!</v>
      </c>
      <c r="O34" s="156">
        <f t="shared" si="4"/>
        <v>0</v>
      </c>
      <c r="P34" s="155" t="e">
        <f t="shared" si="5"/>
        <v>#DIV/0!</v>
      </c>
      <c r="Q34" s="225" t="e">
        <f t="shared" si="6"/>
        <v>#DIV/0!</v>
      </c>
      <c r="R34" s="231">
        <f t="shared" si="15"/>
        <v>0</v>
      </c>
      <c r="S34" s="227" t="e">
        <f t="shared" si="8"/>
        <v>#DIV/0!</v>
      </c>
      <c r="T34" s="160"/>
      <c r="U34" s="160"/>
      <c r="V34" s="160"/>
      <c r="W34" s="160"/>
      <c r="X34" s="1"/>
      <c r="Y34" s="50"/>
      <c r="Z34" s="50"/>
    </row>
    <row r="35" spans="1:26" ht="12.75" hidden="1" outlineLevel="1" x14ac:dyDescent="0.2">
      <c r="A35" s="34"/>
      <c r="B35" s="147"/>
      <c r="C35" s="148" t="s">
        <v>35</v>
      </c>
      <c r="D35" s="229">
        <v>485.55</v>
      </c>
      <c r="E35" s="151">
        <v>9</v>
      </c>
      <c r="F35" s="151">
        <v>10</v>
      </c>
      <c r="G35" s="152">
        <f t="shared" si="0"/>
        <v>0.9</v>
      </c>
      <c r="H35" s="150">
        <f t="shared" si="1"/>
        <v>53.95</v>
      </c>
      <c r="I35" s="222">
        <f t="shared" si="2"/>
        <v>59.944444444444443</v>
      </c>
      <c r="J35" s="229">
        <v>97.44</v>
      </c>
      <c r="K35" s="151">
        <v>10370</v>
      </c>
      <c r="L35" s="151">
        <v>8</v>
      </c>
      <c r="M35" s="230">
        <v>431.6</v>
      </c>
      <c r="N35" s="155">
        <f t="shared" ref="N35:N52" si="16">J35/M35</f>
        <v>0.22576459684893418</v>
      </c>
      <c r="O35" s="156">
        <f t="shared" si="4"/>
        <v>4.4293924466338259</v>
      </c>
      <c r="P35" s="155">
        <f t="shared" si="5"/>
        <v>0.20067964164349705</v>
      </c>
      <c r="Q35" s="225">
        <f t="shared" si="6"/>
        <v>0.88888888888888895</v>
      </c>
      <c r="R35" s="231">
        <f t="shared" si="15"/>
        <v>53.949999999999989</v>
      </c>
      <c r="S35" s="227">
        <f t="shared" si="8"/>
        <v>12.18</v>
      </c>
      <c r="T35" s="160"/>
      <c r="U35" s="160"/>
      <c r="V35" s="160"/>
      <c r="W35" s="160"/>
      <c r="X35" s="1"/>
      <c r="Y35" s="50"/>
      <c r="Z35" s="50"/>
    </row>
    <row r="36" spans="1:26" ht="12.75" hidden="1" outlineLevel="1" x14ac:dyDescent="0.2">
      <c r="A36" s="34"/>
      <c r="B36" s="147"/>
      <c r="C36" s="148" t="s">
        <v>62</v>
      </c>
      <c r="D36" s="200">
        <v>312</v>
      </c>
      <c r="E36" s="151">
        <v>8</v>
      </c>
      <c r="F36" s="151">
        <v>4</v>
      </c>
      <c r="G36" s="152">
        <f t="shared" si="0"/>
        <v>2</v>
      </c>
      <c r="H36" s="150">
        <f t="shared" si="1"/>
        <v>39</v>
      </c>
      <c r="I36" s="222">
        <f t="shared" si="2"/>
        <v>19.5</v>
      </c>
      <c r="J36" s="200">
        <v>0</v>
      </c>
      <c r="K36" s="151">
        <v>0</v>
      </c>
      <c r="L36" s="151">
        <v>0</v>
      </c>
      <c r="M36" s="200">
        <v>0</v>
      </c>
      <c r="N36" s="155" t="e">
        <f t="shared" si="16"/>
        <v>#DIV/0!</v>
      </c>
      <c r="O36" s="156" t="e">
        <f t="shared" si="4"/>
        <v>#DIV/0!</v>
      </c>
      <c r="P36" s="155">
        <f t="shared" si="5"/>
        <v>0</v>
      </c>
      <c r="Q36" s="225">
        <f t="shared" si="6"/>
        <v>0</v>
      </c>
      <c r="R36" s="231">
        <f t="shared" si="15"/>
        <v>312</v>
      </c>
      <c r="S36" s="227" t="e">
        <f t="shared" si="8"/>
        <v>#DIV/0!</v>
      </c>
      <c r="T36" s="160"/>
      <c r="U36" s="160"/>
      <c r="V36" s="160"/>
      <c r="W36" s="160"/>
      <c r="X36" s="1"/>
      <c r="Y36" s="50"/>
      <c r="Z36" s="50"/>
    </row>
    <row r="37" spans="1:26" ht="12.75" hidden="1" outlineLevel="1" x14ac:dyDescent="0.2">
      <c r="A37" s="34"/>
      <c r="B37" s="147"/>
      <c r="C37" s="148" t="s">
        <v>66</v>
      </c>
      <c r="D37" s="232">
        <v>844.35</v>
      </c>
      <c r="E37" s="151">
        <v>13</v>
      </c>
      <c r="F37" s="151">
        <v>8</v>
      </c>
      <c r="G37" s="152">
        <f t="shared" si="0"/>
        <v>1.625</v>
      </c>
      <c r="H37" s="150">
        <f t="shared" si="1"/>
        <v>64.95</v>
      </c>
      <c r="I37" s="222">
        <f t="shared" si="2"/>
        <v>39.969230769230769</v>
      </c>
      <c r="J37" s="232">
        <v>20.46</v>
      </c>
      <c r="K37" s="151">
        <v>1753</v>
      </c>
      <c r="L37" s="151">
        <v>8</v>
      </c>
      <c r="M37" s="233">
        <v>519.6</v>
      </c>
      <c r="N37" s="155">
        <f t="shared" si="16"/>
        <v>3.9376443418013857E-2</v>
      </c>
      <c r="O37" s="156">
        <f t="shared" si="4"/>
        <v>25.395894428152491</v>
      </c>
      <c r="P37" s="155">
        <f t="shared" si="5"/>
        <v>2.4231657488008526E-2</v>
      </c>
      <c r="Q37" s="225">
        <f t="shared" si="6"/>
        <v>0.61538461538461542</v>
      </c>
      <c r="R37" s="234">
        <f t="shared" si="15"/>
        <v>324.75</v>
      </c>
      <c r="S37" s="227">
        <f t="shared" si="8"/>
        <v>2.5575000000000001</v>
      </c>
      <c r="T37" s="160"/>
      <c r="U37" s="160"/>
      <c r="V37" s="160"/>
      <c r="W37" s="160"/>
      <c r="X37" s="1"/>
      <c r="Y37" s="50"/>
      <c r="Z37" s="50"/>
    </row>
    <row r="38" spans="1:26" ht="12.75" hidden="1" outlineLevel="1" x14ac:dyDescent="0.2">
      <c r="A38" s="34"/>
      <c r="B38" s="147"/>
      <c r="C38" s="148" t="s">
        <v>36</v>
      </c>
      <c r="D38" s="229">
        <v>479.65</v>
      </c>
      <c r="E38" s="151">
        <v>7</v>
      </c>
      <c r="F38" s="151">
        <v>7</v>
      </c>
      <c r="G38" s="152">
        <f t="shared" si="0"/>
        <v>1</v>
      </c>
      <c r="H38" s="150">
        <f t="shared" si="1"/>
        <v>68.521428571428572</v>
      </c>
      <c r="I38" s="222">
        <f t="shared" si="2"/>
        <v>68.521428571428572</v>
      </c>
      <c r="J38" s="229">
        <v>74.83</v>
      </c>
      <c r="K38" s="151">
        <v>7026</v>
      </c>
      <c r="L38" s="151">
        <v>5</v>
      </c>
      <c r="M38" s="230">
        <v>349.75</v>
      </c>
      <c r="N38" s="155">
        <f t="shared" si="16"/>
        <v>0.21395282344531807</v>
      </c>
      <c r="O38" s="156">
        <f t="shared" si="4"/>
        <v>4.6739275691567554</v>
      </c>
      <c r="P38" s="155">
        <f t="shared" si="5"/>
        <v>0.15600959032627959</v>
      </c>
      <c r="Q38" s="225">
        <f t="shared" si="6"/>
        <v>0.72917752527884916</v>
      </c>
      <c r="R38" s="231">
        <f t="shared" si="15"/>
        <v>129.89999999999998</v>
      </c>
      <c r="S38" s="227">
        <f t="shared" si="8"/>
        <v>14.965999999999999</v>
      </c>
      <c r="T38" s="160"/>
      <c r="U38" s="160"/>
      <c r="V38" s="160"/>
      <c r="W38" s="160"/>
      <c r="X38" s="1"/>
      <c r="Y38" s="50"/>
      <c r="Z38" s="50"/>
    </row>
    <row r="39" spans="1:26" ht="12.75" hidden="1" outlineLevel="1" x14ac:dyDescent="0.2">
      <c r="A39" s="34"/>
      <c r="B39" s="235" t="s">
        <v>37</v>
      </c>
      <c r="C39" s="148" t="s">
        <v>38</v>
      </c>
      <c r="D39" s="236">
        <v>729.76</v>
      </c>
      <c r="E39" s="151">
        <v>14</v>
      </c>
      <c r="F39" s="151">
        <v>14</v>
      </c>
      <c r="G39" s="152">
        <f t="shared" si="0"/>
        <v>1</v>
      </c>
      <c r="H39" s="150">
        <f t="shared" si="1"/>
        <v>52.125714285714288</v>
      </c>
      <c r="I39" s="222">
        <f t="shared" si="2"/>
        <v>52.125714285714288</v>
      </c>
      <c r="J39" s="236">
        <v>180.09</v>
      </c>
      <c r="K39" s="151">
        <v>16568</v>
      </c>
      <c r="L39" s="151">
        <v>6</v>
      </c>
      <c r="M39" s="237">
        <v>194.01</v>
      </c>
      <c r="N39" s="155">
        <f t="shared" si="16"/>
        <v>0.9282511210762332</v>
      </c>
      <c r="O39" s="156">
        <f t="shared" si="4"/>
        <v>1.0772946859903381</v>
      </c>
      <c r="P39" s="155">
        <f t="shared" si="5"/>
        <v>0.24677976320982242</v>
      </c>
      <c r="Q39" s="225">
        <f t="shared" si="6"/>
        <v>0.26585452751589561</v>
      </c>
      <c r="R39" s="238">
        <f t="shared" si="15"/>
        <v>535.75</v>
      </c>
      <c r="S39" s="227">
        <f t="shared" si="8"/>
        <v>30.015000000000001</v>
      </c>
      <c r="T39" s="160"/>
      <c r="U39" s="160"/>
      <c r="V39" s="160"/>
      <c r="W39" s="160"/>
      <c r="X39" s="1"/>
      <c r="Y39" s="50"/>
      <c r="Z39" s="50"/>
    </row>
    <row r="40" spans="1:26" ht="12.75" hidden="1" outlineLevel="1" x14ac:dyDescent="0.2">
      <c r="A40" s="34"/>
      <c r="B40" s="147"/>
      <c r="C40" s="148" t="s">
        <v>39</v>
      </c>
      <c r="D40" s="239">
        <v>399.8</v>
      </c>
      <c r="E40" s="151">
        <v>4</v>
      </c>
      <c r="F40" s="151">
        <v>4</v>
      </c>
      <c r="G40" s="152">
        <f t="shared" si="0"/>
        <v>1</v>
      </c>
      <c r="H40" s="150">
        <f t="shared" si="1"/>
        <v>99.95</v>
      </c>
      <c r="I40" s="222">
        <f t="shared" si="2"/>
        <v>99.95</v>
      </c>
      <c r="J40" s="239">
        <v>109.23</v>
      </c>
      <c r="K40" s="151">
        <v>38575</v>
      </c>
      <c r="L40" s="151">
        <v>0</v>
      </c>
      <c r="M40" s="240">
        <v>0</v>
      </c>
      <c r="N40" s="155" t="e">
        <f t="shared" si="16"/>
        <v>#DIV/0!</v>
      </c>
      <c r="O40" s="156">
        <f t="shared" si="4"/>
        <v>0</v>
      </c>
      <c r="P40" s="155">
        <f t="shared" si="5"/>
        <v>0.27321160580290144</v>
      </c>
      <c r="Q40" s="225">
        <f t="shared" si="6"/>
        <v>0</v>
      </c>
      <c r="R40" s="241">
        <f t="shared" si="15"/>
        <v>399.8</v>
      </c>
      <c r="S40" s="227" t="e">
        <f t="shared" si="8"/>
        <v>#DIV/0!</v>
      </c>
      <c r="T40" s="160"/>
      <c r="U40" s="160"/>
      <c r="V40" s="160"/>
      <c r="W40" s="160"/>
      <c r="X40" s="1"/>
      <c r="Y40" s="50"/>
      <c r="Z40" s="50"/>
    </row>
    <row r="41" spans="1:26" ht="12.75" hidden="1" outlineLevel="1" x14ac:dyDescent="0.2">
      <c r="A41" s="34"/>
      <c r="B41" s="147"/>
      <c r="C41" s="148" t="s">
        <v>40</v>
      </c>
      <c r="D41" s="242">
        <v>54.95</v>
      </c>
      <c r="E41" s="151">
        <v>1</v>
      </c>
      <c r="F41" s="151">
        <v>1</v>
      </c>
      <c r="G41" s="152">
        <f t="shared" si="0"/>
        <v>1</v>
      </c>
      <c r="H41" s="150">
        <f t="shared" si="1"/>
        <v>54.95</v>
      </c>
      <c r="I41" s="222">
        <f t="shared" si="2"/>
        <v>54.95</v>
      </c>
      <c r="J41" s="242">
        <v>0</v>
      </c>
      <c r="K41" s="151">
        <v>0</v>
      </c>
      <c r="L41" s="151">
        <v>0</v>
      </c>
      <c r="M41" s="243">
        <v>0</v>
      </c>
      <c r="N41" s="155" t="e">
        <f t="shared" si="16"/>
        <v>#DIV/0!</v>
      </c>
      <c r="O41" s="156" t="e">
        <f t="shared" si="4"/>
        <v>#DIV/0!</v>
      </c>
      <c r="P41" s="155">
        <f t="shared" si="5"/>
        <v>0</v>
      </c>
      <c r="Q41" s="225">
        <f t="shared" si="6"/>
        <v>0</v>
      </c>
      <c r="R41" s="244">
        <f t="shared" si="15"/>
        <v>54.95</v>
      </c>
      <c r="S41" s="227" t="e">
        <f t="shared" si="8"/>
        <v>#DIV/0!</v>
      </c>
      <c r="T41" s="160"/>
      <c r="U41" s="160"/>
      <c r="V41" s="160"/>
      <c r="W41" s="160"/>
      <c r="X41" s="1"/>
      <c r="Y41" s="50"/>
      <c r="Z41" s="50"/>
    </row>
    <row r="42" spans="1:26" ht="12.75" hidden="1" outlineLevel="1" x14ac:dyDescent="0.2">
      <c r="A42" s="34"/>
      <c r="B42" s="147"/>
      <c r="C42" s="148" t="s">
        <v>41</v>
      </c>
      <c r="D42" s="163">
        <v>122</v>
      </c>
      <c r="E42" s="151">
        <v>2</v>
      </c>
      <c r="F42" s="151">
        <v>1</v>
      </c>
      <c r="G42" s="152">
        <f t="shared" si="0"/>
        <v>2</v>
      </c>
      <c r="H42" s="150">
        <f t="shared" si="1"/>
        <v>61</v>
      </c>
      <c r="I42" s="222">
        <f t="shared" si="2"/>
        <v>30.5</v>
      </c>
      <c r="J42" s="163">
        <v>8.81</v>
      </c>
      <c r="K42" s="151">
        <v>1185</v>
      </c>
      <c r="L42" s="151">
        <v>1</v>
      </c>
      <c r="M42" s="164">
        <v>67</v>
      </c>
      <c r="N42" s="155">
        <f t="shared" si="16"/>
        <v>0.13149253731343286</v>
      </c>
      <c r="O42" s="156">
        <f t="shared" si="4"/>
        <v>7.6049943246311003</v>
      </c>
      <c r="P42" s="155">
        <f t="shared" si="5"/>
        <v>7.2213114754098362E-2</v>
      </c>
      <c r="Q42" s="225">
        <f t="shared" si="6"/>
        <v>0.54918032786885251</v>
      </c>
      <c r="R42" s="245">
        <f t="shared" si="15"/>
        <v>55</v>
      </c>
      <c r="S42" s="227">
        <f t="shared" si="8"/>
        <v>8.81</v>
      </c>
      <c r="T42" s="160"/>
      <c r="U42" s="160"/>
      <c r="V42" s="160"/>
      <c r="W42" s="160"/>
      <c r="X42" s="1"/>
      <c r="Y42" s="50"/>
      <c r="Z42" s="50"/>
    </row>
    <row r="43" spans="1:26" ht="12.75" hidden="1" outlineLevel="1" x14ac:dyDescent="0.2">
      <c r="A43" s="34"/>
      <c r="B43" s="147"/>
      <c r="C43" s="148" t="s">
        <v>42</v>
      </c>
      <c r="D43" s="229">
        <v>19.989999999999998</v>
      </c>
      <c r="E43" s="151">
        <v>1</v>
      </c>
      <c r="F43" s="151">
        <v>1</v>
      </c>
      <c r="G43" s="152">
        <f t="shared" si="0"/>
        <v>1</v>
      </c>
      <c r="H43" s="150">
        <f t="shared" si="1"/>
        <v>19.989999999999998</v>
      </c>
      <c r="I43" s="222">
        <f t="shared" si="2"/>
        <v>19.989999999999998</v>
      </c>
      <c r="J43" s="229">
        <v>9.5</v>
      </c>
      <c r="K43" s="151">
        <v>18007</v>
      </c>
      <c r="L43" s="151">
        <v>2</v>
      </c>
      <c r="M43" s="230">
        <v>39.979999999999997</v>
      </c>
      <c r="N43" s="155">
        <f t="shared" si="16"/>
        <v>0.23761880940470237</v>
      </c>
      <c r="O43" s="156">
        <f t="shared" si="4"/>
        <v>4.2084210526315786</v>
      </c>
      <c r="P43" s="155">
        <f t="shared" si="5"/>
        <v>0.47523761880940474</v>
      </c>
      <c r="Q43" s="225">
        <f t="shared" si="6"/>
        <v>2</v>
      </c>
      <c r="R43" s="231">
        <f t="shared" si="15"/>
        <v>-19.989999999999998</v>
      </c>
      <c r="S43" s="227">
        <f t="shared" si="8"/>
        <v>4.75</v>
      </c>
      <c r="T43" s="160"/>
      <c r="U43" s="160"/>
      <c r="V43" s="160"/>
      <c r="W43" s="160"/>
      <c r="X43" s="1"/>
      <c r="Y43" s="50"/>
      <c r="Z43" s="50"/>
    </row>
    <row r="44" spans="1:26" ht="12.75" hidden="1" outlineLevel="1" x14ac:dyDescent="0.2">
      <c r="A44" s="34"/>
      <c r="B44" s="147"/>
      <c r="C44" s="148" t="s">
        <v>43</v>
      </c>
      <c r="D44" s="165">
        <v>0</v>
      </c>
      <c r="E44" s="151">
        <v>0</v>
      </c>
      <c r="F44" s="151">
        <v>0</v>
      </c>
      <c r="G44" s="152" t="e">
        <f t="shared" si="0"/>
        <v>#DIV/0!</v>
      </c>
      <c r="H44" s="150" t="e">
        <f t="shared" si="1"/>
        <v>#DIV/0!</v>
      </c>
      <c r="I44" s="222" t="e">
        <f t="shared" si="2"/>
        <v>#DIV/0!</v>
      </c>
      <c r="J44" s="165">
        <v>22.1</v>
      </c>
      <c r="K44" s="151">
        <v>25445</v>
      </c>
      <c r="L44" s="151">
        <v>0</v>
      </c>
      <c r="M44" s="166">
        <v>0</v>
      </c>
      <c r="N44" s="155" t="e">
        <f t="shared" si="16"/>
        <v>#DIV/0!</v>
      </c>
      <c r="O44" s="156">
        <f t="shared" si="4"/>
        <v>0</v>
      </c>
      <c r="P44" s="155" t="e">
        <f t="shared" si="5"/>
        <v>#DIV/0!</v>
      </c>
      <c r="Q44" s="225" t="e">
        <f t="shared" si="6"/>
        <v>#DIV/0!</v>
      </c>
      <c r="R44" s="246">
        <f t="shared" si="15"/>
        <v>0</v>
      </c>
      <c r="S44" s="227" t="e">
        <f t="shared" si="8"/>
        <v>#DIV/0!</v>
      </c>
      <c r="T44" s="160"/>
      <c r="U44" s="160"/>
      <c r="V44" s="160"/>
      <c r="W44" s="160"/>
      <c r="X44" s="1"/>
      <c r="Y44" s="50"/>
      <c r="Z44" s="50"/>
    </row>
    <row r="45" spans="1:26" ht="12.75" hidden="1" outlineLevel="1" x14ac:dyDescent="0.2">
      <c r="A45" s="34"/>
      <c r="B45" s="147"/>
      <c r="C45" s="148" t="s">
        <v>44</v>
      </c>
      <c r="D45" s="247">
        <v>59.95</v>
      </c>
      <c r="E45" s="151">
        <v>1</v>
      </c>
      <c r="F45" s="151">
        <v>1</v>
      </c>
      <c r="G45" s="152">
        <f t="shared" si="0"/>
        <v>1</v>
      </c>
      <c r="H45" s="150">
        <f t="shared" si="1"/>
        <v>59.95</v>
      </c>
      <c r="I45" s="222">
        <f t="shared" si="2"/>
        <v>59.95</v>
      </c>
      <c r="J45" s="247">
        <v>21.31</v>
      </c>
      <c r="K45" s="151">
        <v>8535</v>
      </c>
      <c r="L45" s="151">
        <v>0</v>
      </c>
      <c r="M45" s="248">
        <v>0</v>
      </c>
      <c r="N45" s="155" t="e">
        <f t="shared" si="16"/>
        <v>#DIV/0!</v>
      </c>
      <c r="O45" s="156">
        <f t="shared" si="4"/>
        <v>0</v>
      </c>
      <c r="P45" s="155">
        <f t="shared" si="5"/>
        <v>0.35546288573811508</v>
      </c>
      <c r="Q45" s="225">
        <f t="shared" si="6"/>
        <v>0</v>
      </c>
      <c r="R45" s="249">
        <f t="shared" si="15"/>
        <v>59.95</v>
      </c>
      <c r="S45" s="227" t="e">
        <f t="shared" si="8"/>
        <v>#DIV/0!</v>
      </c>
      <c r="T45" s="160"/>
      <c r="U45" s="160"/>
      <c r="V45" s="160"/>
      <c r="W45" s="160"/>
      <c r="X45" s="1"/>
      <c r="Y45" s="50"/>
      <c r="Z45" s="50"/>
    </row>
    <row r="46" spans="1:26" ht="12.75" hidden="1" outlineLevel="1" x14ac:dyDescent="0.2">
      <c r="A46" s="250"/>
      <c r="B46" s="147"/>
      <c r="C46" s="112" t="s">
        <v>45</v>
      </c>
      <c r="D46" s="149">
        <v>19.95</v>
      </c>
      <c r="E46" s="151">
        <v>1</v>
      </c>
      <c r="F46" s="151">
        <v>1</v>
      </c>
      <c r="G46" s="74">
        <f t="shared" si="0"/>
        <v>1</v>
      </c>
      <c r="H46" s="75">
        <f t="shared" si="1"/>
        <v>19.95</v>
      </c>
      <c r="I46" s="76">
        <f t="shared" si="2"/>
        <v>19.95</v>
      </c>
      <c r="J46" s="149">
        <v>0</v>
      </c>
      <c r="K46" s="151">
        <v>0</v>
      </c>
      <c r="L46" s="151">
        <v>0</v>
      </c>
      <c r="M46" s="224">
        <v>0</v>
      </c>
      <c r="N46" s="79" t="e">
        <f t="shared" si="16"/>
        <v>#DIV/0!</v>
      </c>
      <c r="O46" s="80" t="e">
        <f t="shared" si="4"/>
        <v>#DIV/0!</v>
      </c>
      <c r="P46" s="79">
        <f t="shared" si="5"/>
        <v>0</v>
      </c>
      <c r="Q46" s="81">
        <f t="shared" si="6"/>
        <v>0</v>
      </c>
      <c r="R46" s="82">
        <f t="shared" si="15"/>
        <v>19.95</v>
      </c>
      <c r="S46" s="83" t="e">
        <f t="shared" si="8"/>
        <v>#DIV/0!</v>
      </c>
      <c r="T46" s="140"/>
      <c r="U46" s="140"/>
      <c r="V46" s="140"/>
      <c r="W46" s="141"/>
      <c r="X46" s="142"/>
      <c r="Y46" s="50"/>
      <c r="Z46" s="50"/>
    </row>
    <row r="47" spans="1:26" ht="12.75" hidden="1" outlineLevel="1" x14ac:dyDescent="0.2">
      <c r="A47" s="118"/>
      <c r="B47" s="69"/>
      <c r="C47" s="70" t="s">
        <v>46</v>
      </c>
      <c r="D47" s="116">
        <v>655.86</v>
      </c>
      <c r="E47" s="73">
        <v>20</v>
      </c>
      <c r="F47" s="73">
        <v>20</v>
      </c>
      <c r="G47" s="74">
        <f t="shared" si="0"/>
        <v>1</v>
      </c>
      <c r="H47" s="75">
        <f t="shared" si="1"/>
        <v>32.792999999999999</v>
      </c>
      <c r="I47" s="76">
        <f t="shared" si="2"/>
        <v>32.792999999999999</v>
      </c>
      <c r="J47" s="116">
        <v>77.16</v>
      </c>
      <c r="K47" s="73">
        <v>34502</v>
      </c>
      <c r="L47" s="73">
        <v>7</v>
      </c>
      <c r="M47" s="117">
        <v>251.72</v>
      </c>
      <c r="N47" s="79">
        <f t="shared" si="16"/>
        <v>0.30653106626410298</v>
      </c>
      <c r="O47" s="80">
        <f t="shared" si="4"/>
        <v>3.2623120787973043</v>
      </c>
      <c r="P47" s="79">
        <f t="shared" si="5"/>
        <v>0.11764705882352941</v>
      </c>
      <c r="Q47" s="81">
        <f t="shared" si="6"/>
        <v>0.38380142103497694</v>
      </c>
      <c r="R47" s="82">
        <f t="shared" si="15"/>
        <v>404.14</v>
      </c>
      <c r="S47" s="83">
        <f t="shared" si="8"/>
        <v>11.022857142857143</v>
      </c>
      <c r="T47" s="135"/>
      <c r="U47" s="135"/>
      <c r="V47" s="135"/>
      <c r="W47" s="135"/>
      <c r="X47" s="136"/>
      <c r="Y47" s="50"/>
      <c r="Z47" s="50"/>
    </row>
    <row r="48" spans="1:26" ht="12.75" hidden="1" outlineLevel="1" x14ac:dyDescent="0.2">
      <c r="A48" s="118"/>
      <c r="B48" s="69"/>
      <c r="C48" s="148" t="s">
        <v>49</v>
      </c>
      <c r="D48" s="251">
        <v>0</v>
      </c>
      <c r="E48" s="151">
        <v>0</v>
      </c>
      <c r="F48" s="151">
        <v>0</v>
      </c>
      <c r="G48" s="152" t="e">
        <f t="shared" si="0"/>
        <v>#DIV/0!</v>
      </c>
      <c r="H48" s="150" t="e">
        <f t="shared" si="1"/>
        <v>#DIV/0!</v>
      </c>
      <c r="I48" s="222" t="e">
        <f t="shared" si="2"/>
        <v>#DIV/0!</v>
      </c>
      <c r="J48" s="251">
        <v>3.67</v>
      </c>
      <c r="K48" s="151">
        <v>7711</v>
      </c>
      <c r="L48" s="151">
        <v>0</v>
      </c>
      <c r="M48" s="252">
        <v>0</v>
      </c>
      <c r="N48" s="155" t="e">
        <f t="shared" si="16"/>
        <v>#DIV/0!</v>
      </c>
      <c r="O48" s="156">
        <f t="shared" si="4"/>
        <v>0</v>
      </c>
      <c r="P48" s="155" t="e">
        <f t="shared" si="5"/>
        <v>#DIV/0!</v>
      </c>
      <c r="Q48" s="225" t="e">
        <f t="shared" si="6"/>
        <v>#DIV/0!</v>
      </c>
      <c r="R48" s="226">
        <f t="shared" si="15"/>
        <v>0</v>
      </c>
      <c r="S48" s="227" t="e">
        <f t="shared" si="8"/>
        <v>#DIV/0!</v>
      </c>
      <c r="T48" s="135"/>
      <c r="U48" s="135"/>
      <c r="V48" s="135"/>
      <c r="W48" s="135"/>
      <c r="X48" s="136"/>
      <c r="Y48" s="50"/>
      <c r="Z48" s="50"/>
    </row>
    <row r="49" spans="1:26" hidden="1" outlineLevel="1" x14ac:dyDescent="0.25">
      <c r="A49" s="34" t="str">
        <f t="shared" ref="A49:A50" si="17">IFERROR(IF(B49&gt;0,MONTH(B49)&amp;"-"&amp;YEAR(B49),B49),)</f>
        <v>3-2025</v>
      </c>
      <c r="B49" s="147">
        <v>45724</v>
      </c>
      <c r="C49" s="198" t="s">
        <v>64</v>
      </c>
      <c r="D49" s="251">
        <v>0</v>
      </c>
      <c r="E49" s="151">
        <v>0</v>
      </c>
      <c r="F49" s="151">
        <v>0</v>
      </c>
      <c r="G49" s="152" t="e">
        <f t="shared" si="0"/>
        <v>#DIV/0!</v>
      </c>
      <c r="H49" s="150" t="e">
        <f t="shared" si="1"/>
        <v>#DIV/0!</v>
      </c>
      <c r="I49" s="222" t="e">
        <f t="shared" si="2"/>
        <v>#DIV/0!</v>
      </c>
      <c r="J49" s="162">
        <v>114.69</v>
      </c>
      <c r="K49" s="253">
        <v>16911</v>
      </c>
      <c r="L49" s="254"/>
      <c r="M49" s="154">
        <v>54.79</v>
      </c>
      <c r="N49" s="155">
        <f t="shared" si="16"/>
        <v>2.0932651943785361</v>
      </c>
      <c r="O49" s="156">
        <f t="shared" si="4"/>
        <v>0.477722556456535</v>
      </c>
      <c r="P49" s="155" t="e">
        <f t="shared" si="5"/>
        <v>#DIV/0!</v>
      </c>
      <c r="Q49" s="225" t="e">
        <f t="shared" si="6"/>
        <v>#DIV/0!</v>
      </c>
      <c r="R49" s="226">
        <f t="shared" si="15"/>
        <v>-54.79</v>
      </c>
      <c r="S49" s="227" t="e">
        <f t="shared" si="8"/>
        <v>#DIV/0!</v>
      </c>
      <c r="T49" s="160"/>
      <c r="U49" s="160"/>
      <c r="V49" s="160"/>
      <c r="W49" s="160"/>
      <c r="X49" s="1"/>
      <c r="Y49" s="50"/>
      <c r="Z49" s="50"/>
    </row>
    <row r="50" spans="1:26" ht="12.75" collapsed="1" x14ac:dyDescent="0.2">
      <c r="A50" s="255">
        <f t="shared" si="17"/>
        <v>0</v>
      </c>
      <c r="B50" s="256" t="s">
        <v>68</v>
      </c>
      <c r="C50" s="257"/>
      <c r="D50" s="258">
        <f t="shared" ref="D50:F50" si="18">SUM(D32:D49)</f>
        <v>7370.4999999999991</v>
      </c>
      <c r="E50" s="259">
        <f t="shared" si="18"/>
        <v>117</v>
      </c>
      <c r="F50" s="259">
        <f t="shared" si="18"/>
        <v>115</v>
      </c>
      <c r="G50" s="260">
        <f t="shared" si="0"/>
        <v>1.017391304347826</v>
      </c>
      <c r="H50" s="261">
        <f t="shared" si="1"/>
        <v>62.995726495726487</v>
      </c>
      <c r="I50" s="262">
        <f t="shared" si="2"/>
        <v>61.918876470158516</v>
      </c>
      <c r="J50" s="263">
        <f t="shared" ref="J50:M50" si="19">SUM(J32:J49)</f>
        <v>1379.5500000000002</v>
      </c>
      <c r="K50" s="259">
        <f t="shared" si="19"/>
        <v>364521</v>
      </c>
      <c r="L50" s="259">
        <f t="shared" si="19"/>
        <v>45</v>
      </c>
      <c r="M50" s="258">
        <f t="shared" si="19"/>
        <v>2222.1</v>
      </c>
      <c r="N50" s="264">
        <f t="shared" si="16"/>
        <v>0.62083164574051586</v>
      </c>
      <c r="O50" s="265">
        <f t="shared" si="4"/>
        <v>1.6107426334674348</v>
      </c>
      <c r="P50" s="264">
        <f t="shared" si="5"/>
        <v>0.18717183366121706</v>
      </c>
      <c r="Q50" s="266">
        <f t="shared" si="6"/>
        <v>0.30148565226239743</v>
      </c>
      <c r="R50" s="267">
        <f>SUM(R32:R49)</f>
        <v>5148.3999999999996</v>
      </c>
      <c r="S50" s="268">
        <f t="shared" si="8"/>
        <v>30.65666666666667</v>
      </c>
      <c r="T50" s="269">
        <f t="shared" ref="T50:U50" si="20">IFERROR((D50-#REF!)/D50,)</f>
        <v>0</v>
      </c>
      <c r="U50" s="269">
        <f t="shared" si="20"/>
        <v>0</v>
      </c>
      <c r="V50" s="269">
        <f t="shared" ref="V50:W50" si="21">IFERROR((D50-#REF!)/D50, )</f>
        <v>0</v>
      </c>
      <c r="W50" s="270">
        <f t="shared" si="21"/>
        <v>0</v>
      </c>
      <c r="X50" s="67"/>
      <c r="Y50" s="50"/>
      <c r="Z50" s="50"/>
    </row>
    <row r="51" spans="1:26" ht="12.75" hidden="1" outlineLevel="1" x14ac:dyDescent="0.2">
      <c r="A51" s="34"/>
      <c r="B51" s="147">
        <v>45725</v>
      </c>
      <c r="C51" s="148" t="s">
        <v>32</v>
      </c>
      <c r="D51" s="149">
        <v>1856.83</v>
      </c>
      <c r="E51" s="151">
        <v>7</v>
      </c>
      <c r="F51" s="151">
        <v>8</v>
      </c>
      <c r="G51" s="152">
        <f t="shared" si="0"/>
        <v>0.875</v>
      </c>
      <c r="H51" s="150">
        <f t="shared" si="1"/>
        <v>265.26142857142855</v>
      </c>
      <c r="I51" s="222">
        <f t="shared" si="2"/>
        <v>303.15591836734694</v>
      </c>
      <c r="J51" s="223">
        <v>251.1</v>
      </c>
      <c r="K51" s="151">
        <v>41312</v>
      </c>
      <c r="L51" s="151">
        <v>2</v>
      </c>
      <c r="M51" s="224">
        <v>968.95</v>
      </c>
      <c r="N51" s="155">
        <f t="shared" si="16"/>
        <v>0.25914649878734713</v>
      </c>
      <c r="O51" s="156">
        <f t="shared" si="4"/>
        <v>3.8588211867781763</v>
      </c>
      <c r="P51" s="155">
        <f t="shared" si="5"/>
        <v>0.1352304734412951</v>
      </c>
      <c r="Q51" s="225">
        <f t="shared" si="6"/>
        <v>0.52183021601331303</v>
      </c>
      <c r="R51" s="226">
        <f t="shared" ref="R51:R68" si="22">D51-M51</f>
        <v>887.87999999999988</v>
      </c>
      <c r="S51" s="227">
        <f t="shared" si="8"/>
        <v>125.55</v>
      </c>
      <c r="T51" s="160"/>
      <c r="U51" s="160"/>
      <c r="V51" s="160"/>
      <c r="W51" s="160"/>
      <c r="X51" s="1"/>
      <c r="Y51" s="50"/>
      <c r="Z51" s="50"/>
    </row>
    <row r="52" spans="1:26" ht="12.75" hidden="1" outlineLevel="1" x14ac:dyDescent="0.2">
      <c r="A52" s="34"/>
      <c r="B52" s="147"/>
      <c r="C52" s="148" t="s">
        <v>33</v>
      </c>
      <c r="D52" s="162">
        <v>3258.7</v>
      </c>
      <c r="E52" s="151">
        <v>35</v>
      </c>
      <c r="F52" s="151">
        <v>35</v>
      </c>
      <c r="G52" s="152">
        <f t="shared" si="0"/>
        <v>1</v>
      </c>
      <c r="H52" s="150">
        <f t="shared" si="1"/>
        <v>93.105714285714285</v>
      </c>
      <c r="I52" s="222">
        <f t="shared" si="2"/>
        <v>93.105714285714285</v>
      </c>
      <c r="J52" s="162">
        <v>326.98</v>
      </c>
      <c r="K52" s="151">
        <v>112697</v>
      </c>
      <c r="L52" s="151">
        <v>14</v>
      </c>
      <c r="M52" s="154">
        <v>804.55</v>
      </c>
      <c r="N52" s="155">
        <f t="shared" si="16"/>
        <v>0.40641352308744022</v>
      </c>
      <c r="O52" s="156">
        <f t="shared" si="4"/>
        <v>2.4605480457520335</v>
      </c>
      <c r="P52" s="155">
        <f t="shared" si="5"/>
        <v>0.10034062663025134</v>
      </c>
      <c r="Q52" s="225">
        <f t="shared" si="6"/>
        <v>0.24689293276459939</v>
      </c>
      <c r="R52" s="228">
        <f t="shared" si="22"/>
        <v>2454.1499999999996</v>
      </c>
      <c r="S52" s="227">
        <f t="shared" si="8"/>
        <v>23.355714285714289</v>
      </c>
      <c r="T52" s="160"/>
      <c r="U52" s="160"/>
      <c r="V52" s="160"/>
      <c r="W52" s="160"/>
      <c r="X52" s="1"/>
      <c r="Y52" s="50"/>
      <c r="Z52" s="50"/>
    </row>
    <row r="53" spans="1:26" ht="12.75" hidden="1" outlineLevel="1" x14ac:dyDescent="0.2">
      <c r="A53" s="34"/>
      <c r="B53" s="147"/>
      <c r="C53" s="148" t="s">
        <v>34</v>
      </c>
      <c r="D53" s="229">
        <v>0</v>
      </c>
      <c r="E53" s="151">
        <v>0</v>
      </c>
      <c r="F53" s="151">
        <v>0</v>
      </c>
      <c r="G53" s="152" t="e">
        <f t="shared" si="0"/>
        <v>#DIV/0!</v>
      </c>
      <c r="H53" s="150" t="e">
        <f t="shared" si="1"/>
        <v>#DIV/0!</v>
      </c>
      <c r="I53" s="222" t="e">
        <f t="shared" si="2"/>
        <v>#DIV/0!</v>
      </c>
      <c r="J53" s="229">
        <v>24.27</v>
      </c>
      <c r="K53" s="151">
        <v>151</v>
      </c>
      <c r="L53" s="151">
        <v>0</v>
      </c>
      <c r="M53" s="230">
        <v>0</v>
      </c>
      <c r="N53" s="155" t="e">
        <f>(J53/M53)</f>
        <v>#DIV/0!</v>
      </c>
      <c r="O53" s="156">
        <f t="shared" si="4"/>
        <v>0</v>
      </c>
      <c r="P53" s="155" t="e">
        <f t="shared" si="5"/>
        <v>#DIV/0!</v>
      </c>
      <c r="Q53" s="225" t="e">
        <f t="shared" si="6"/>
        <v>#DIV/0!</v>
      </c>
      <c r="R53" s="231">
        <f t="shared" si="22"/>
        <v>0</v>
      </c>
      <c r="S53" s="227" t="e">
        <f t="shared" si="8"/>
        <v>#DIV/0!</v>
      </c>
      <c r="T53" s="160"/>
      <c r="U53" s="160"/>
      <c r="V53" s="160"/>
      <c r="W53" s="160"/>
      <c r="X53" s="1"/>
      <c r="Y53" s="50"/>
      <c r="Z53" s="50"/>
    </row>
    <row r="54" spans="1:26" ht="12.75" hidden="1" outlineLevel="1" x14ac:dyDescent="0.2">
      <c r="A54" s="34"/>
      <c r="B54" s="147"/>
      <c r="C54" s="148" t="s">
        <v>35</v>
      </c>
      <c r="D54" s="229">
        <v>506.55</v>
      </c>
      <c r="E54" s="151">
        <v>9</v>
      </c>
      <c r="F54" s="151">
        <v>8</v>
      </c>
      <c r="G54" s="152">
        <f t="shared" si="0"/>
        <v>1.125</v>
      </c>
      <c r="H54" s="150">
        <f t="shared" si="1"/>
        <v>56.283333333333331</v>
      </c>
      <c r="I54" s="222">
        <f t="shared" si="2"/>
        <v>50.029629629629625</v>
      </c>
      <c r="J54" s="229">
        <v>102.35</v>
      </c>
      <c r="K54" s="151">
        <v>9361</v>
      </c>
      <c r="L54" s="151">
        <v>3</v>
      </c>
      <c r="M54" s="230">
        <v>161.85</v>
      </c>
      <c r="N54" s="155">
        <f t="shared" ref="N54:N71" si="23">J54/M54</f>
        <v>0.63237565647204197</v>
      </c>
      <c r="O54" s="156">
        <f t="shared" si="4"/>
        <v>1.5813385442110406</v>
      </c>
      <c r="P54" s="155">
        <f t="shared" si="5"/>
        <v>0.20205310433323462</v>
      </c>
      <c r="Q54" s="225">
        <f t="shared" si="6"/>
        <v>0.31951436185963872</v>
      </c>
      <c r="R54" s="231">
        <f t="shared" si="22"/>
        <v>344.70000000000005</v>
      </c>
      <c r="S54" s="227">
        <f t="shared" si="8"/>
        <v>34.116666666666667</v>
      </c>
      <c r="T54" s="160"/>
      <c r="U54" s="160"/>
      <c r="V54" s="160"/>
      <c r="W54" s="160"/>
      <c r="X54" s="1"/>
      <c r="Y54" s="50"/>
      <c r="Z54" s="50"/>
    </row>
    <row r="55" spans="1:26" ht="12.75" hidden="1" outlineLevel="1" x14ac:dyDescent="0.2">
      <c r="A55" s="34"/>
      <c r="B55" s="147"/>
      <c r="C55" s="148" t="s">
        <v>62</v>
      </c>
      <c r="D55" s="200">
        <v>78</v>
      </c>
      <c r="E55" s="151">
        <v>2</v>
      </c>
      <c r="F55" s="151">
        <v>1</v>
      </c>
      <c r="G55" s="152">
        <f t="shared" si="0"/>
        <v>2</v>
      </c>
      <c r="H55" s="150">
        <f t="shared" si="1"/>
        <v>39</v>
      </c>
      <c r="I55" s="222">
        <f t="shared" si="2"/>
        <v>19.5</v>
      </c>
      <c r="J55" s="200">
        <v>0</v>
      </c>
      <c r="K55" s="151">
        <v>0</v>
      </c>
      <c r="L55" s="151">
        <v>0</v>
      </c>
      <c r="M55" s="200">
        <v>0</v>
      </c>
      <c r="N55" s="155" t="e">
        <f t="shared" si="23"/>
        <v>#DIV/0!</v>
      </c>
      <c r="O55" s="156" t="e">
        <f t="shared" si="4"/>
        <v>#DIV/0!</v>
      </c>
      <c r="P55" s="155">
        <f t="shared" si="5"/>
        <v>0</v>
      </c>
      <c r="Q55" s="225">
        <f t="shared" si="6"/>
        <v>0</v>
      </c>
      <c r="R55" s="231">
        <f t="shared" si="22"/>
        <v>78</v>
      </c>
      <c r="S55" s="227" t="e">
        <f t="shared" si="8"/>
        <v>#DIV/0!</v>
      </c>
      <c r="T55" s="160"/>
      <c r="U55" s="160"/>
      <c r="V55" s="160"/>
      <c r="W55" s="160"/>
      <c r="X55" s="1"/>
      <c r="Y55" s="50"/>
      <c r="Z55" s="50"/>
    </row>
    <row r="56" spans="1:26" ht="12.75" hidden="1" outlineLevel="1" x14ac:dyDescent="0.2">
      <c r="A56" s="34"/>
      <c r="B56" s="147"/>
      <c r="C56" s="148" t="s">
        <v>66</v>
      </c>
      <c r="D56" s="232">
        <v>0</v>
      </c>
      <c r="E56" s="151">
        <v>0</v>
      </c>
      <c r="F56" s="151">
        <v>0</v>
      </c>
      <c r="G56" s="152" t="e">
        <f t="shared" si="0"/>
        <v>#DIV/0!</v>
      </c>
      <c r="H56" s="150" t="e">
        <f t="shared" si="1"/>
        <v>#DIV/0!</v>
      </c>
      <c r="I56" s="222" t="e">
        <f t="shared" si="2"/>
        <v>#DIV/0!</v>
      </c>
      <c r="J56" s="232">
        <v>0</v>
      </c>
      <c r="K56" s="151">
        <v>0</v>
      </c>
      <c r="L56" s="151">
        <v>0</v>
      </c>
      <c r="M56" s="233">
        <v>0</v>
      </c>
      <c r="N56" s="155" t="e">
        <f t="shared" si="23"/>
        <v>#DIV/0!</v>
      </c>
      <c r="O56" s="156" t="e">
        <f t="shared" si="4"/>
        <v>#DIV/0!</v>
      </c>
      <c r="P56" s="155" t="e">
        <f t="shared" si="5"/>
        <v>#DIV/0!</v>
      </c>
      <c r="Q56" s="225" t="e">
        <f t="shared" si="6"/>
        <v>#DIV/0!</v>
      </c>
      <c r="R56" s="234">
        <f t="shared" si="22"/>
        <v>0</v>
      </c>
      <c r="S56" s="227" t="e">
        <f t="shared" si="8"/>
        <v>#DIV/0!</v>
      </c>
      <c r="T56" s="160"/>
      <c r="U56" s="160"/>
      <c r="V56" s="160"/>
      <c r="W56" s="160"/>
      <c r="X56" s="1"/>
      <c r="Y56" s="50"/>
      <c r="Z56" s="50"/>
    </row>
    <row r="57" spans="1:26" ht="12.75" hidden="1" outlineLevel="1" x14ac:dyDescent="0.2">
      <c r="A57" s="34"/>
      <c r="B57" s="147"/>
      <c r="C57" s="148" t="s">
        <v>36</v>
      </c>
      <c r="D57" s="229">
        <v>399.7</v>
      </c>
      <c r="E57" s="151">
        <v>6</v>
      </c>
      <c r="F57" s="151">
        <v>6</v>
      </c>
      <c r="G57" s="152">
        <f t="shared" si="0"/>
        <v>1</v>
      </c>
      <c r="H57" s="150">
        <f t="shared" si="1"/>
        <v>66.61666666666666</v>
      </c>
      <c r="I57" s="222">
        <f t="shared" si="2"/>
        <v>66.61666666666666</v>
      </c>
      <c r="J57" s="229">
        <v>75.5</v>
      </c>
      <c r="K57" s="151">
        <v>10703</v>
      </c>
      <c r="L57" s="151">
        <v>3</v>
      </c>
      <c r="M57" s="230">
        <v>209.85</v>
      </c>
      <c r="N57" s="155">
        <f t="shared" si="23"/>
        <v>0.3597807958065285</v>
      </c>
      <c r="O57" s="156">
        <f t="shared" si="4"/>
        <v>2.7794701986754968</v>
      </c>
      <c r="P57" s="155">
        <f t="shared" si="5"/>
        <v>0.18889166875156368</v>
      </c>
      <c r="Q57" s="225">
        <f t="shared" si="6"/>
        <v>0.52501876407305481</v>
      </c>
      <c r="R57" s="231">
        <f t="shared" si="22"/>
        <v>189.85</v>
      </c>
      <c r="S57" s="227">
        <f t="shared" si="8"/>
        <v>25.166666666666668</v>
      </c>
      <c r="T57" s="160"/>
      <c r="U57" s="160"/>
      <c r="V57" s="160"/>
      <c r="W57" s="160"/>
      <c r="X57" s="1"/>
      <c r="Y57" s="50"/>
      <c r="Z57" s="50"/>
    </row>
    <row r="58" spans="1:26" ht="12.75" hidden="1" outlineLevel="1" x14ac:dyDescent="0.2">
      <c r="A58" s="34"/>
      <c r="B58" s="235" t="s">
        <v>37</v>
      </c>
      <c r="C58" s="148" t="s">
        <v>38</v>
      </c>
      <c r="D58" s="236">
        <v>851.99</v>
      </c>
      <c r="E58" s="151">
        <v>15</v>
      </c>
      <c r="F58" s="151">
        <v>16</v>
      </c>
      <c r="G58" s="152">
        <f t="shared" si="0"/>
        <v>0.9375</v>
      </c>
      <c r="H58" s="150">
        <f t="shared" si="1"/>
        <v>56.799333333333337</v>
      </c>
      <c r="I58" s="222">
        <f t="shared" si="2"/>
        <v>60.585955555555557</v>
      </c>
      <c r="J58" s="236">
        <v>111.82</v>
      </c>
      <c r="K58" s="151">
        <v>18230</v>
      </c>
      <c r="L58" s="151">
        <v>3</v>
      </c>
      <c r="M58" s="237">
        <v>193.98</v>
      </c>
      <c r="N58" s="155">
        <f t="shared" si="23"/>
        <v>0.57645118053407562</v>
      </c>
      <c r="O58" s="156">
        <f t="shared" si="4"/>
        <v>1.7347522804507245</v>
      </c>
      <c r="P58" s="155">
        <f t="shared" si="5"/>
        <v>0.13124567189755748</v>
      </c>
      <c r="Q58" s="225">
        <f t="shared" si="6"/>
        <v>0.22767872862357538</v>
      </c>
      <c r="R58" s="238">
        <f t="shared" si="22"/>
        <v>658.01</v>
      </c>
      <c r="S58" s="227">
        <f t="shared" si="8"/>
        <v>37.273333333333333</v>
      </c>
      <c r="T58" s="160"/>
      <c r="U58" s="160"/>
      <c r="V58" s="160"/>
      <c r="W58" s="160"/>
      <c r="X58" s="1"/>
      <c r="Y58" s="50"/>
      <c r="Z58" s="50"/>
    </row>
    <row r="59" spans="1:26" ht="12.75" hidden="1" outlineLevel="1" x14ac:dyDescent="0.2">
      <c r="A59" s="34"/>
      <c r="B59" s="147"/>
      <c r="C59" s="148" t="s">
        <v>39</v>
      </c>
      <c r="D59" s="239">
        <v>-299.85000000000002</v>
      </c>
      <c r="E59" s="151">
        <v>-3</v>
      </c>
      <c r="F59" s="151">
        <v>0</v>
      </c>
      <c r="G59" s="152" t="e">
        <f t="shared" si="0"/>
        <v>#DIV/0!</v>
      </c>
      <c r="H59" s="150">
        <f t="shared" si="1"/>
        <v>99.95</v>
      </c>
      <c r="I59" s="222" t="e">
        <f t="shared" si="2"/>
        <v>#DIV/0!</v>
      </c>
      <c r="J59" s="239">
        <v>132.53</v>
      </c>
      <c r="K59" s="151">
        <v>23977</v>
      </c>
      <c r="L59" s="151">
        <v>1</v>
      </c>
      <c r="M59" s="240">
        <v>0</v>
      </c>
      <c r="N59" s="155" t="e">
        <f t="shared" si="23"/>
        <v>#DIV/0!</v>
      </c>
      <c r="O59" s="156">
        <f t="shared" si="4"/>
        <v>0</v>
      </c>
      <c r="P59" s="155">
        <f t="shared" si="5"/>
        <v>-0.44198766049691507</v>
      </c>
      <c r="Q59" s="225">
        <f t="shared" si="6"/>
        <v>0</v>
      </c>
      <c r="R59" s="241">
        <f t="shared" si="22"/>
        <v>-299.85000000000002</v>
      </c>
      <c r="S59" s="227">
        <f t="shared" si="8"/>
        <v>132.53</v>
      </c>
      <c r="T59" s="160"/>
      <c r="U59" s="160"/>
      <c r="V59" s="160"/>
      <c r="W59" s="160"/>
      <c r="X59" s="1"/>
      <c r="Y59" s="50"/>
      <c r="Z59" s="50"/>
    </row>
    <row r="60" spans="1:26" ht="12.75" hidden="1" outlineLevel="1" x14ac:dyDescent="0.2">
      <c r="A60" s="34"/>
      <c r="B60" s="147"/>
      <c r="C60" s="148" t="s">
        <v>40</v>
      </c>
      <c r="D60" s="242">
        <v>439.6</v>
      </c>
      <c r="E60" s="151">
        <v>8</v>
      </c>
      <c r="F60" s="151">
        <v>6</v>
      </c>
      <c r="G60" s="152">
        <f t="shared" si="0"/>
        <v>1.3333333333333333</v>
      </c>
      <c r="H60" s="150">
        <f t="shared" si="1"/>
        <v>54.95</v>
      </c>
      <c r="I60" s="222">
        <f t="shared" si="2"/>
        <v>41.212500000000006</v>
      </c>
      <c r="J60" s="242">
        <v>0</v>
      </c>
      <c r="K60" s="151">
        <v>0</v>
      </c>
      <c r="L60" s="151">
        <v>0</v>
      </c>
      <c r="M60" s="243">
        <v>0</v>
      </c>
      <c r="N60" s="155" t="e">
        <f t="shared" si="23"/>
        <v>#DIV/0!</v>
      </c>
      <c r="O60" s="156" t="e">
        <f t="shared" si="4"/>
        <v>#DIV/0!</v>
      </c>
      <c r="P60" s="155">
        <f t="shared" si="5"/>
        <v>0</v>
      </c>
      <c r="Q60" s="225">
        <f t="shared" si="6"/>
        <v>0</v>
      </c>
      <c r="R60" s="244">
        <f t="shared" si="22"/>
        <v>439.6</v>
      </c>
      <c r="S60" s="227" t="e">
        <f t="shared" si="8"/>
        <v>#DIV/0!</v>
      </c>
      <c r="T60" s="160"/>
      <c r="U60" s="160"/>
      <c r="V60" s="160"/>
      <c r="W60" s="160"/>
      <c r="X60" s="1"/>
      <c r="Y60" s="50"/>
      <c r="Z60" s="50"/>
    </row>
    <row r="61" spans="1:26" ht="12.75" hidden="1" outlineLevel="1" x14ac:dyDescent="0.2">
      <c r="A61" s="34"/>
      <c r="B61" s="147"/>
      <c r="C61" s="148" t="s">
        <v>41</v>
      </c>
      <c r="D61" s="163">
        <v>109.98</v>
      </c>
      <c r="E61" s="151">
        <v>2</v>
      </c>
      <c r="F61" s="151">
        <v>1</v>
      </c>
      <c r="G61" s="152">
        <f t="shared" si="0"/>
        <v>2</v>
      </c>
      <c r="H61" s="150">
        <f t="shared" si="1"/>
        <v>54.99</v>
      </c>
      <c r="I61" s="222">
        <f t="shared" si="2"/>
        <v>27.495000000000001</v>
      </c>
      <c r="J61" s="163">
        <v>0</v>
      </c>
      <c r="K61" s="151">
        <v>0</v>
      </c>
      <c r="L61" s="151">
        <v>0</v>
      </c>
      <c r="M61" s="164">
        <v>0</v>
      </c>
      <c r="N61" s="155" t="e">
        <f t="shared" si="23"/>
        <v>#DIV/0!</v>
      </c>
      <c r="O61" s="156" t="e">
        <f t="shared" si="4"/>
        <v>#DIV/0!</v>
      </c>
      <c r="P61" s="155">
        <f t="shared" si="5"/>
        <v>0</v>
      </c>
      <c r="Q61" s="225">
        <f t="shared" si="6"/>
        <v>0</v>
      </c>
      <c r="R61" s="245">
        <f t="shared" si="22"/>
        <v>109.98</v>
      </c>
      <c r="S61" s="227" t="e">
        <f t="shared" si="8"/>
        <v>#DIV/0!</v>
      </c>
      <c r="T61" s="160"/>
      <c r="U61" s="160"/>
      <c r="V61" s="160"/>
      <c r="W61" s="160"/>
      <c r="X61" s="1"/>
      <c r="Y61" s="50"/>
      <c r="Z61" s="50"/>
    </row>
    <row r="62" spans="1:26" ht="12.75" hidden="1" outlineLevel="1" x14ac:dyDescent="0.2">
      <c r="A62" s="34"/>
      <c r="B62" s="147"/>
      <c r="C62" s="148" t="s">
        <v>42</v>
      </c>
      <c r="D62" s="229">
        <v>-38.89</v>
      </c>
      <c r="E62" s="151">
        <v>2</v>
      </c>
      <c r="F62" s="151">
        <v>3</v>
      </c>
      <c r="G62" s="152">
        <f t="shared" si="0"/>
        <v>0.66666666666666663</v>
      </c>
      <c r="H62" s="150">
        <f t="shared" si="1"/>
        <v>-19.445</v>
      </c>
      <c r="I62" s="222">
        <f t="shared" si="2"/>
        <v>-29.1675</v>
      </c>
      <c r="J62" s="229">
        <v>5.88</v>
      </c>
      <c r="K62" s="151">
        <v>10967</v>
      </c>
      <c r="L62" s="151">
        <v>2</v>
      </c>
      <c r="M62" s="230">
        <v>39.979999999999997</v>
      </c>
      <c r="N62" s="155">
        <f t="shared" si="23"/>
        <v>0.14707353676838419</v>
      </c>
      <c r="O62" s="156">
        <f t="shared" si="4"/>
        <v>6.7993197278911559</v>
      </c>
      <c r="P62" s="155">
        <f t="shared" si="5"/>
        <v>-0.15119568012342505</v>
      </c>
      <c r="Q62" s="225">
        <f t="shared" si="6"/>
        <v>-1.0280277706351246</v>
      </c>
      <c r="R62" s="231">
        <f t="shared" si="22"/>
        <v>-78.87</v>
      </c>
      <c r="S62" s="227">
        <f t="shared" si="8"/>
        <v>2.94</v>
      </c>
      <c r="T62" s="160"/>
      <c r="U62" s="160"/>
      <c r="V62" s="160"/>
      <c r="W62" s="160"/>
      <c r="X62" s="1"/>
      <c r="Y62" s="50"/>
      <c r="Z62" s="50"/>
    </row>
    <row r="63" spans="1:26" ht="12.75" hidden="1" outlineLevel="1" x14ac:dyDescent="0.2">
      <c r="A63" s="34"/>
      <c r="B63" s="147"/>
      <c r="C63" s="148" t="s">
        <v>43</v>
      </c>
      <c r="D63" s="165">
        <v>0</v>
      </c>
      <c r="E63" s="151">
        <v>0</v>
      </c>
      <c r="F63" s="151">
        <v>0</v>
      </c>
      <c r="G63" s="152" t="e">
        <f t="shared" si="0"/>
        <v>#DIV/0!</v>
      </c>
      <c r="H63" s="150" t="e">
        <f t="shared" si="1"/>
        <v>#DIV/0!</v>
      </c>
      <c r="I63" s="222" t="e">
        <f t="shared" si="2"/>
        <v>#DIV/0!</v>
      </c>
      <c r="J63" s="165">
        <v>14.6</v>
      </c>
      <c r="K63" s="151">
        <v>23765</v>
      </c>
      <c r="L63" s="151">
        <v>0</v>
      </c>
      <c r="M63" s="166">
        <v>0</v>
      </c>
      <c r="N63" s="155" t="e">
        <f t="shared" si="23"/>
        <v>#DIV/0!</v>
      </c>
      <c r="O63" s="156">
        <f t="shared" si="4"/>
        <v>0</v>
      </c>
      <c r="P63" s="155" t="e">
        <f t="shared" si="5"/>
        <v>#DIV/0!</v>
      </c>
      <c r="Q63" s="225" t="e">
        <f t="shared" si="6"/>
        <v>#DIV/0!</v>
      </c>
      <c r="R63" s="246">
        <f t="shared" si="22"/>
        <v>0</v>
      </c>
      <c r="S63" s="227" t="e">
        <f t="shared" si="8"/>
        <v>#DIV/0!</v>
      </c>
      <c r="T63" s="160"/>
      <c r="U63" s="160"/>
      <c r="V63" s="160"/>
      <c r="W63" s="160"/>
      <c r="X63" s="1"/>
      <c r="Y63" s="50"/>
      <c r="Z63" s="50"/>
    </row>
    <row r="64" spans="1:26" ht="12.75" hidden="1" outlineLevel="1" x14ac:dyDescent="0.2">
      <c r="A64" s="34"/>
      <c r="B64" s="147"/>
      <c r="C64" s="148" t="s">
        <v>44</v>
      </c>
      <c r="D64" s="247">
        <v>119.9</v>
      </c>
      <c r="E64" s="151">
        <v>2</v>
      </c>
      <c r="F64" s="151">
        <v>2</v>
      </c>
      <c r="G64" s="152">
        <f t="shared" si="0"/>
        <v>1</v>
      </c>
      <c r="H64" s="150">
        <f t="shared" si="1"/>
        <v>59.95</v>
      </c>
      <c r="I64" s="222">
        <f t="shared" si="2"/>
        <v>59.95</v>
      </c>
      <c r="J64" s="247">
        <v>11.24</v>
      </c>
      <c r="K64" s="151">
        <v>7724</v>
      </c>
      <c r="L64" s="151">
        <v>1</v>
      </c>
      <c r="M64" s="248">
        <v>59.95</v>
      </c>
      <c r="N64" s="155">
        <f t="shared" si="23"/>
        <v>0.18748957464553795</v>
      </c>
      <c r="O64" s="156">
        <f t="shared" si="4"/>
        <v>5.3336298932384345</v>
      </c>
      <c r="P64" s="155">
        <f t="shared" si="5"/>
        <v>9.3744787322768974E-2</v>
      </c>
      <c r="Q64" s="225">
        <f t="shared" si="6"/>
        <v>0.5</v>
      </c>
      <c r="R64" s="249">
        <f t="shared" si="22"/>
        <v>59.95</v>
      </c>
      <c r="S64" s="227">
        <f t="shared" si="8"/>
        <v>11.24</v>
      </c>
      <c r="T64" s="160"/>
      <c r="U64" s="160"/>
      <c r="V64" s="160"/>
      <c r="W64" s="160"/>
      <c r="X64" s="1"/>
      <c r="Y64" s="50"/>
      <c r="Z64" s="50"/>
    </row>
    <row r="65" spans="1:26" ht="12.75" hidden="1" outlineLevel="1" x14ac:dyDescent="0.2">
      <c r="A65" s="250"/>
      <c r="B65" s="147"/>
      <c r="C65" s="112" t="s">
        <v>45</v>
      </c>
      <c r="D65" s="149">
        <v>39.9</v>
      </c>
      <c r="E65" s="151">
        <v>2</v>
      </c>
      <c r="F65" s="151">
        <v>1</v>
      </c>
      <c r="G65" s="74">
        <f t="shared" si="0"/>
        <v>2</v>
      </c>
      <c r="H65" s="75">
        <f t="shared" si="1"/>
        <v>19.95</v>
      </c>
      <c r="I65" s="76">
        <f t="shared" si="2"/>
        <v>9.9749999999999996</v>
      </c>
      <c r="J65" s="149">
        <v>0</v>
      </c>
      <c r="K65" s="151">
        <v>0</v>
      </c>
      <c r="L65" s="151">
        <v>0</v>
      </c>
      <c r="M65" s="224">
        <v>0</v>
      </c>
      <c r="N65" s="79" t="e">
        <f t="shared" si="23"/>
        <v>#DIV/0!</v>
      </c>
      <c r="O65" s="80" t="e">
        <f t="shared" si="4"/>
        <v>#DIV/0!</v>
      </c>
      <c r="P65" s="79">
        <f t="shared" si="5"/>
        <v>0</v>
      </c>
      <c r="Q65" s="81">
        <f t="shared" si="6"/>
        <v>0</v>
      </c>
      <c r="R65" s="82">
        <f t="shared" si="22"/>
        <v>39.9</v>
      </c>
      <c r="S65" s="83" t="e">
        <f t="shared" si="8"/>
        <v>#DIV/0!</v>
      </c>
      <c r="T65" s="140"/>
      <c r="U65" s="140"/>
      <c r="V65" s="140"/>
      <c r="W65" s="141"/>
      <c r="X65" s="142"/>
      <c r="Y65" s="50"/>
      <c r="Z65" s="50"/>
    </row>
    <row r="66" spans="1:26" ht="12.75" hidden="1" outlineLevel="1" x14ac:dyDescent="0.2">
      <c r="A66" s="118"/>
      <c r="B66" s="69"/>
      <c r="C66" s="70" t="s">
        <v>46</v>
      </c>
      <c r="D66" s="116">
        <v>258.91000000000003</v>
      </c>
      <c r="E66" s="73">
        <v>7</v>
      </c>
      <c r="F66" s="73">
        <v>8</v>
      </c>
      <c r="G66" s="74">
        <f t="shared" si="0"/>
        <v>0.875</v>
      </c>
      <c r="H66" s="75">
        <f t="shared" si="1"/>
        <v>36.987142857142864</v>
      </c>
      <c r="I66" s="76">
        <f t="shared" si="2"/>
        <v>42.271020408163274</v>
      </c>
      <c r="J66" s="116">
        <v>72.209999999999994</v>
      </c>
      <c r="K66" s="73">
        <v>29832</v>
      </c>
      <c r="L66" s="73">
        <v>1</v>
      </c>
      <c r="M66" s="117">
        <v>35.96</v>
      </c>
      <c r="N66" s="79">
        <f t="shared" si="23"/>
        <v>2.008064516129032</v>
      </c>
      <c r="O66" s="80">
        <f t="shared" si="4"/>
        <v>0.49799196787148597</v>
      </c>
      <c r="P66" s="79">
        <f t="shared" si="5"/>
        <v>0.27890000386234592</v>
      </c>
      <c r="Q66" s="81">
        <f t="shared" si="6"/>
        <v>0.13888996176277471</v>
      </c>
      <c r="R66" s="82">
        <f t="shared" si="22"/>
        <v>222.95000000000002</v>
      </c>
      <c r="S66" s="83">
        <f t="shared" si="8"/>
        <v>72.209999999999994</v>
      </c>
      <c r="T66" s="135"/>
      <c r="U66" s="135"/>
      <c r="V66" s="135"/>
      <c r="W66" s="135"/>
      <c r="X66" s="136"/>
      <c r="Y66" s="50"/>
      <c r="Z66" s="50"/>
    </row>
    <row r="67" spans="1:26" ht="12.75" hidden="1" outlineLevel="1" x14ac:dyDescent="0.2">
      <c r="A67" s="118"/>
      <c r="B67" s="69"/>
      <c r="C67" s="148" t="s">
        <v>49</v>
      </c>
      <c r="D67" s="251">
        <v>0</v>
      </c>
      <c r="E67" s="151">
        <v>0</v>
      </c>
      <c r="F67" s="151">
        <v>0</v>
      </c>
      <c r="G67" s="152" t="e">
        <f t="shared" si="0"/>
        <v>#DIV/0!</v>
      </c>
      <c r="H67" s="150" t="e">
        <f t="shared" si="1"/>
        <v>#DIV/0!</v>
      </c>
      <c r="I67" s="222" t="e">
        <f t="shared" si="2"/>
        <v>#DIV/0!</v>
      </c>
      <c r="J67" s="251">
        <v>2.2400000000000002</v>
      </c>
      <c r="K67" s="151">
        <v>7193</v>
      </c>
      <c r="L67" s="151">
        <v>0</v>
      </c>
      <c r="M67" s="252">
        <v>0</v>
      </c>
      <c r="N67" s="155" t="e">
        <f t="shared" si="23"/>
        <v>#DIV/0!</v>
      </c>
      <c r="O67" s="156">
        <f t="shared" si="4"/>
        <v>0</v>
      </c>
      <c r="P67" s="155" t="e">
        <f t="shared" si="5"/>
        <v>#DIV/0!</v>
      </c>
      <c r="Q67" s="225" t="e">
        <f t="shared" si="6"/>
        <v>#DIV/0!</v>
      </c>
      <c r="R67" s="226">
        <f t="shared" si="22"/>
        <v>0</v>
      </c>
      <c r="S67" s="227" t="e">
        <f t="shared" si="8"/>
        <v>#DIV/0!</v>
      </c>
      <c r="T67" s="135"/>
      <c r="U67" s="135"/>
      <c r="V67" s="135"/>
      <c r="W67" s="135"/>
      <c r="X67" s="136"/>
      <c r="Y67" s="50"/>
      <c r="Z67" s="50"/>
    </row>
    <row r="68" spans="1:26" hidden="1" outlineLevel="1" x14ac:dyDescent="0.25">
      <c r="A68" s="34" t="str">
        <f t="shared" ref="A68:A69" si="24">IFERROR(IF(B68&gt;0,MONTH(B68)&amp;"-"&amp;YEAR(B68),B68),)</f>
        <v>3-2025</v>
      </c>
      <c r="B68" s="147">
        <v>45731</v>
      </c>
      <c r="C68" s="198" t="s">
        <v>64</v>
      </c>
      <c r="D68" s="251">
        <v>0</v>
      </c>
      <c r="E68" s="151">
        <v>0</v>
      </c>
      <c r="F68" s="151">
        <v>0</v>
      </c>
      <c r="G68" s="152" t="e">
        <f t="shared" si="0"/>
        <v>#DIV/0!</v>
      </c>
      <c r="H68" s="150" t="e">
        <f t="shared" si="1"/>
        <v>#DIV/0!</v>
      </c>
      <c r="I68" s="222" t="e">
        <f t="shared" si="2"/>
        <v>#DIV/0!</v>
      </c>
      <c r="J68" s="162">
        <v>92.74</v>
      </c>
      <c r="K68" s="253">
        <v>14061</v>
      </c>
      <c r="L68" s="254"/>
      <c r="M68" s="154">
        <v>1018.9</v>
      </c>
      <c r="N68" s="155">
        <f t="shared" si="23"/>
        <v>9.1019727156737659E-2</v>
      </c>
      <c r="O68" s="156">
        <f t="shared" si="4"/>
        <v>10.986629286176408</v>
      </c>
      <c r="P68" s="155" t="e">
        <f t="shared" si="5"/>
        <v>#DIV/0!</v>
      </c>
      <c r="Q68" s="225" t="e">
        <f t="shared" si="6"/>
        <v>#DIV/0!</v>
      </c>
      <c r="R68" s="226">
        <f t="shared" si="22"/>
        <v>-1018.9</v>
      </c>
      <c r="S68" s="227" t="e">
        <f t="shared" si="8"/>
        <v>#DIV/0!</v>
      </c>
      <c r="T68" s="160"/>
      <c r="U68" s="160"/>
      <c r="V68" s="160"/>
      <c r="W68" s="160"/>
      <c r="X68" s="1"/>
      <c r="Y68" s="50"/>
      <c r="Z68" s="50"/>
    </row>
    <row r="69" spans="1:26" ht="12.75" collapsed="1" x14ac:dyDescent="0.2">
      <c r="A69" s="34">
        <f t="shared" si="24"/>
        <v>0</v>
      </c>
      <c r="B69" s="52" t="s">
        <v>69</v>
      </c>
      <c r="C69" s="53"/>
      <c r="D69" s="54">
        <f t="shared" ref="D69:F69" si="25">SUM(D51:D68)</f>
        <v>7581.3199999999979</v>
      </c>
      <c r="E69" s="56">
        <f t="shared" si="25"/>
        <v>94</v>
      </c>
      <c r="F69" s="56">
        <f t="shared" si="25"/>
        <v>95</v>
      </c>
      <c r="G69" s="57">
        <f t="shared" si="0"/>
        <v>0.98947368421052628</v>
      </c>
      <c r="H69" s="55">
        <f t="shared" si="1"/>
        <v>80.652340425531889</v>
      </c>
      <c r="I69" s="58">
        <f t="shared" si="2"/>
        <v>81.51034404708011</v>
      </c>
      <c r="J69" s="54">
        <f t="shared" ref="J69:M69" si="26">SUM(J51:J68)</f>
        <v>1223.46</v>
      </c>
      <c r="K69" s="56">
        <f t="shared" si="26"/>
        <v>309973</v>
      </c>
      <c r="L69" s="56">
        <f t="shared" si="26"/>
        <v>30</v>
      </c>
      <c r="M69" s="59">
        <f t="shared" si="26"/>
        <v>3493.97</v>
      </c>
      <c r="N69" s="60">
        <f t="shared" si="23"/>
        <v>0.35016328131037189</v>
      </c>
      <c r="O69" s="61">
        <f t="shared" si="4"/>
        <v>2.8558105700227223</v>
      </c>
      <c r="P69" s="60">
        <f t="shared" si="5"/>
        <v>0.1613782296486628</v>
      </c>
      <c r="Q69" s="62">
        <f t="shared" si="6"/>
        <v>0.46086565400220553</v>
      </c>
      <c r="R69" s="171">
        <f>SUM(R51:R68)</f>
        <v>4087.3499999999981</v>
      </c>
      <c r="S69" s="64">
        <f t="shared" si="8"/>
        <v>40.782000000000004</v>
      </c>
      <c r="T69" s="65">
        <f t="shared" ref="T69:U69" si="27">IFERROR((D69-D50)/D69,)</f>
        <v>2.780782238449226E-2</v>
      </c>
      <c r="U69" s="65">
        <f t="shared" si="27"/>
        <v>-0.24468085106382978</v>
      </c>
      <c r="V69" s="66">
        <f t="shared" ref="V69:W69" si="28">IFERROR((D69-#REF!)/D69, )</f>
        <v>0</v>
      </c>
      <c r="W69" s="66">
        <f t="shared" si="28"/>
        <v>0</v>
      </c>
      <c r="X69" s="67"/>
      <c r="Y69" s="50"/>
      <c r="Z69" s="50"/>
    </row>
    <row r="70" spans="1:26" ht="12.75" hidden="1" outlineLevel="1" x14ac:dyDescent="0.2">
      <c r="A70" s="50"/>
      <c r="B70" s="69">
        <v>45732</v>
      </c>
      <c r="C70" s="70" t="s">
        <v>32</v>
      </c>
      <c r="D70" s="71">
        <v>2285.0100000000002</v>
      </c>
      <c r="E70" s="73">
        <v>10</v>
      </c>
      <c r="F70" s="73">
        <v>9</v>
      </c>
      <c r="G70" s="74">
        <f t="shared" si="0"/>
        <v>1.1111111111111112</v>
      </c>
      <c r="H70" s="75">
        <f t="shared" si="1"/>
        <v>228.50100000000003</v>
      </c>
      <c r="I70" s="76">
        <f t="shared" si="2"/>
        <v>205.65090000000001</v>
      </c>
      <c r="J70" s="77">
        <v>367.43</v>
      </c>
      <c r="K70" s="73">
        <v>88929</v>
      </c>
      <c r="L70" s="73">
        <v>5</v>
      </c>
      <c r="M70" s="78">
        <v>1609.38</v>
      </c>
      <c r="N70" s="79">
        <f t="shared" si="23"/>
        <v>0.22830531011942487</v>
      </c>
      <c r="O70" s="80">
        <f t="shared" si="4"/>
        <v>4.3800996108102224</v>
      </c>
      <c r="P70" s="79">
        <f t="shared" si="5"/>
        <v>0.16080017155285972</v>
      </c>
      <c r="Q70" s="81">
        <f t="shared" si="6"/>
        <v>0.70432076883689787</v>
      </c>
      <c r="R70" s="82">
        <f t="shared" ref="R70:R87" si="29">D70-M70</f>
        <v>675.63000000000011</v>
      </c>
      <c r="S70" s="83">
        <f t="shared" si="8"/>
        <v>73.486000000000004</v>
      </c>
      <c r="T70" s="135"/>
      <c r="U70" s="135"/>
      <c r="V70" s="135"/>
      <c r="W70" s="135"/>
      <c r="X70" s="136"/>
      <c r="Y70" s="50"/>
      <c r="Z70" s="50"/>
    </row>
    <row r="71" spans="1:26" ht="12.75" hidden="1" outlineLevel="1" x14ac:dyDescent="0.2">
      <c r="A71" s="50"/>
      <c r="B71" s="137"/>
      <c r="C71" s="70" t="s">
        <v>33</v>
      </c>
      <c r="D71" s="87">
        <v>4824.6000000000004</v>
      </c>
      <c r="E71" s="73">
        <v>37</v>
      </c>
      <c r="F71" s="73">
        <v>41</v>
      </c>
      <c r="G71" s="74">
        <f t="shared" si="0"/>
        <v>0.90243902439024393</v>
      </c>
      <c r="H71" s="75">
        <f t="shared" si="1"/>
        <v>130.39459459459459</v>
      </c>
      <c r="I71" s="76">
        <f t="shared" si="2"/>
        <v>144.49130752373995</v>
      </c>
      <c r="J71" s="87">
        <v>273.04000000000002</v>
      </c>
      <c r="K71" s="73">
        <v>85647</v>
      </c>
      <c r="L71" s="73">
        <v>9</v>
      </c>
      <c r="M71" s="88">
        <v>624.70000000000005</v>
      </c>
      <c r="N71" s="79">
        <f t="shared" si="23"/>
        <v>0.43707379542180247</v>
      </c>
      <c r="O71" s="80">
        <f t="shared" si="4"/>
        <v>2.2879431585115735</v>
      </c>
      <c r="P71" s="79">
        <f t="shared" si="5"/>
        <v>5.6593292708203791E-2</v>
      </c>
      <c r="Q71" s="81">
        <f t="shared" si="6"/>
        <v>0.12948223686937776</v>
      </c>
      <c r="R71" s="89">
        <f t="shared" si="29"/>
        <v>4199.9000000000005</v>
      </c>
      <c r="S71" s="83">
        <f t="shared" si="8"/>
        <v>30.337777777777781</v>
      </c>
      <c r="T71" s="135"/>
      <c r="U71" s="135"/>
      <c r="V71" s="135"/>
      <c r="W71" s="135"/>
      <c r="X71" s="136"/>
      <c r="Y71" s="50"/>
      <c r="Z71" s="50"/>
    </row>
    <row r="72" spans="1:26" ht="12.75" hidden="1" outlineLevel="1" x14ac:dyDescent="0.2">
      <c r="A72" s="50"/>
      <c r="B72" s="137"/>
      <c r="C72" s="70" t="s">
        <v>34</v>
      </c>
      <c r="D72" s="90">
        <v>0</v>
      </c>
      <c r="E72" s="73">
        <v>0</v>
      </c>
      <c r="F72" s="73">
        <v>0</v>
      </c>
      <c r="G72" s="74" t="e">
        <f t="shared" si="0"/>
        <v>#DIV/0!</v>
      </c>
      <c r="H72" s="75" t="e">
        <f t="shared" si="1"/>
        <v>#DIV/0!</v>
      </c>
      <c r="I72" s="76" t="e">
        <f t="shared" si="2"/>
        <v>#DIV/0!</v>
      </c>
      <c r="J72" s="90">
        <v>0</v>
      </c>
      <c r="K72" s="73">
        <v>85</v>
      </c>
      <c r="L72" s="73">
        <v>0</v>
      </c>
      <c r="M72" s="91">
        <v>0</v>
      </c>
      <c r="N72" s="79" t="e">
        <f>(J72/M72)</f>
        <v>#DIV/0!</v>
      </c>
      <c r="O72" s="80" t="e">
        <f t="shared" si="4"/>
        <v>#DIV/0!</v>
      </c>
      <c r="P72" s="79" t="e">
        <f t="shared" si="5"/>
        <v>#DIV/0!</v>
      </c>
      <c r="Q72" s="81" t="e">
        <f t="shared" si="6"/>
        <v>#DIV/0!</v>
      </c>
      <c r="R72" s="92">
        <f t="shared" si="29"/>
        <v>0</v>
      </c>
      <c r="S72" s="83" t="e">
        <f t="shared" si="8"/>
        <v>#DIV/0!</v>
      </c>
      <c r="T72" s="135"/>
      <c r="U72" s="135"/>
      <c r="V72" s="135"/>
      <c r="W72" s="135"/>
      <c r="X72" s="136"/>
      <c r="Y72" s="50"/>
      <c r="Z72" s="50"/>
    </row>
    <row r="73" spans="1:26" ht="12.75" hidden="1" outlineLevel="1" x14ac:dyDescent="0.2">
      <c r="A73" s="50"/>
      <c r="B73" s="137"/>
      <c r="C73" s="70" t="s">
        <v>35</v>
      </c>
      <c r="D73" s="90">
        <v>659.45</v>
      </c>
      <c r="E73" s="73">
        <v>11</v>
      </c>
      <c r="F73" s="73">
        <v>6</v>
      </c>
      <c r="G73" s="74">
        <f t="shared" si="0"/>
        <v>1.8333333333333333</v>
      </c>
      <c r="H73" s="75">
        <f t="shared" si="1"/>
        <v>59.95</v>
      </c>
      <c r="I73" s="76">
        <f t="shared" si="2"/>
        <v>32.700000000000003</v>
      </c>
      <c r="J73" s="90">
        <v>104.48</v>
      </c>
      <c r="K73" s="73">
        <v>7437</v>
      </c>
      <c r="L73" s="73">
        <v>6</v>
      </c>
      <c r="M73" s="91">
        <v>359.7</v>
      </c>
      <c r="N73" s="79">
        <f t="shared" ref="N73:N90" si="30">J73/M73</f>
        <v>0.2904642757853767</v>
      </c>
      <c r="O73" s="80">
        <f t="shared" si="4"/>
        <v>3.4427641653905052</v>
      </c>
      <c r="P73" s="79">
        <f t="shared" si="5"/>
        <v>0.15843505951929637</v>
      </c>
      <c r="Q73" s="81">
        <f t="shared" si="6"/>
        <v>0.54545454545454541</v>
      </c>
      <c r="R73" s="92">
        <f t="shared" si="29"/>
        <v>299.75000000000006</v>
      </c>
      <c r="S73" s="83">
        <f t="shared" si="8"/>
        <v>17.413333333333334</v>
      </c>
      <c r="T73" s="135"/>
      <c r="U73" s="135"/>
      <c r="V73" s="135"/>
      <c r="W73" s="135"/>
      <c r="X73" s="136"/>
      <c r="Y73" s="50"/>
      <c r="Z73" s="50"/>
    </row>
    <row r="74" spans="1:26" ht="12.75" hidden="1" outlineLevel="1" x14ac:dyDescent="0.2">
      <c r="A74" s="50"/>
      <c r="B74" s="137"/>
      <c r="C74" s="70" t="s">
        <v>62</v>
      </c>
      <c r="D74" s="200">
        <v>117</v>
      </c>
      <c r="E74" s="73">
        <v>3</v>
      </c>
      <c r="F74" s="73">
        <v>2</v>
      </c>
      <c r="G74" s="74">
        <f t="shared" si="0"/>
        <v>1.5</v>
      </c>
      <c r="H74" s="75">
        <f t="shared" si="1"/>
        <v>39</v>
      </c>
      <c r="I74" s="76">
        <f t="shared" si="2"/>
        <v>26</v>
      </c>
      <c r="J74" s="200">
        <v>0</v>
      </c>
      <c r="K74" s="73">
        <v>0</v>
      </c>
      <c r="L74" s="73">
        <v>0</v>
      </c>
      <c r="M74" s="200">
        <v>0</v>
      </c>
      <c r="N74" s="79" t="e">
        <f t="shared" si="30"/>
        <v>#DIV/0!</v>
      </c>
      <c r="O74" s="80" t="e">
        <f t="shared" si="4"/>
        <v>#DIV/0!</v>
      </c>
      <c r="P74" s="79">
        <f t="shared" si="5"/>
        <v>0</v>
      </c>
      <c r="Q74" s="81">
        <f t="shared" si="6"/>
        <v>0</v>
      </c>
      <c r="R74" s="92">
        <f t="shared" si="29"/>
        <v>117</v>
      </c>
      <c r="S74" s="83" t="e">
        <f t="shared" si="8"/>
        <v>#DIV/0!</v>
      </c>
      <c r="T74" s="135"/>
      <c r="U74" s="135"/>
      <c r="V74" s="135"/>
      <c r="W74" s="135"/>
      <c r="X74" s="136"/>
      <c r="Y74" s="50"/>
      <c r="Z74" s="50"/>
    </row>
    <row r="75" spans="1:26" ht="12.75" hidden="1" outlineLevel="1" x14ac:dyDescent="0.2">
      <c r="A75" s="50"/>
      <c r="B75" s="137"/>
      <c r="C75" s="70" t="s">
        <v>66</v>
      </c>
      <c r="D75" s="201">
        <v>-64.95</v>
      </c>
      <c r="E75" s="73">
        <v>-1</v>
      </c>
      <c r="F75" s="73">
        <v>1</v>
      </c>
      <c r="G75" s="74">
        <f t="shared" si="0"/>
        <v>-1</v>
      </c>
      <c r="H75" s="75">
        <f t="shared" si="1"/>
        <v>64.95</v>
      </c>
      <c r="I75" s="76">
        <f t="shared" si="2"/>
        <v>-64.95</v>
      </c>
      <c r="J75" s="201">
        <v>42.1</v>
      </c>
      <c r="K75" s="73">
        <v>1937</v>
      </c>
      <c r="L75" s="73">
        <v>0</v>
      </c>
      <c r="M75" s="202">
        <v>0</v>
      </c>
      <c r="N75" s="79" t="e">
        <f t="shared" si="30"/>
        <v>#DIV/0!</v>
      </c>
      <c r="O75" s="80">
        <f t="shared" si="4"/>
        <v>0</v>
      </c>
      <c r="P75" s="79">
        <f t="shared" si="5"/>
        <v>-0.64819091608929946</v>
      </c>
      <c r="Q75" s="81">
        <f t="shared" si="6"/>
        <v>0</v>
      </c>
      <c r="R75" s="203">
        <f t="shared" si="29"/>
        <v>-64.95</v>
      </c>
      <c r="S75" s="83" t="e">
        <f t="shared" si="8"/>
        <v>#DIV/0!</v>
      </c>
      <c r="T75" s="135"/>
      <c r="U75" s="135"/>
      <c r="V75" s="135"/>
      <c r="W75" s="135"/>
      <c r="X75" s="136"/>
      <c r="Y75" s="50"/>
      <c r="Z75" s="50"/>
    </row>
    <row r="76" spans="1:26" ht="12.75" hidden="1" outlineLevel="1" x14ac:dyDescent="0.2">
      <c r="A76" s="50"/>
      <c r="B76" s="137"/>
      <c r="C76" s="70" t="s">
        <v>36</v>
      </c>
      <c r="D76" s="90">
        <v>319.75</v>
      </c>
      <c r="E76" s="73">
        <v>5</v>
      </c>
      <c r="F76" s="73">
        <v>6</v>
      </c>
      <c r="G76" s="74">
        <f t="shared" si="0"/>
        <v>0.83333333333333337</v>
      </c>
      <c r="H76" s="75">
        <f t="shared" si="1"/>
        <v>63.95</v>
      </c>
      <c r="I76" s="76">
        <f t="shared" si="2"/>
        <v>76.739999999999995</v>
      </c>
      <c r="J76" s="90">
        <v>54.36</v>
      </c>
      <c r="K76" s="73">
        <v>9417</v>
      </c>
      <c r="L76" s="73">
        <v>2</v>
      </c>
      <c r="M76" s="91">
        <v>119.9</v>
      </c>
      <c r="N76" s="79">
        <f t="shared" si="30"/>
        <v>0.45337781484570472</v>
      </c>
      <c r="O76" s="80">
        <f t="shared" si="4"/>
        <v>2.2056659308314939</v>
      </c>
      <c r="P76" s="79">
        <f t="shared" si="5"/>
        <v>0.17000781860828773</v>
      </c>
      <c r="Q76" s="81">
        <f t="shared" si="6"/>
        <v>0.37498045347928072</v>
      </c>
      <c r="R76" s="92">
        <f t="shared" si="29"/>
        <v>199.85</v>
      </c>
      <c r="S76" s="83">
        <f t="shared" si="8"/>
        <v>27.18</v>
      </c>
      <c r="T76" s="135"/>
      <c r="U76" s="135"/>
      <c r="V76" s="135"/>
      <c r="W76" s="135"/>
      <c r="X76" s="136"/>
      <c r="Y76" s="50"/>
      <c r="Z76" s="50"/>
    </row>
    <row r="77" spans="1:26" ht="12.75" hidden="1" outlineLevel="1" x14ac:dyDescent="0.2">
      <c r="A77" s="50"/>
      <c r="B77" s="69" t="s">
        <v>37</v>
      </c>
      <c r="C77" s="70" t="s">
        <v>38</v>
      </c>
      <c r="D77" s="93">
        <v>640.36</v>
      </c>
      <c r="E77" s="73">
        <v>12</v>
      </c>
      <c r="F77" s="73">
        <v>13</v>
      </c>
      <c r="G77" s="74">
        <f t="shared" si="0"/>
        <v>0.92307692307692313</v>
      </c>
      <c r="H77" s="75">
        <f t="shared" si="1"/>
        <v>53.363333333333337</v>
      </c>
      <c r="I77" s="76">
        <f t="shared" si="2"/>
        <v>57.810277777777777</v>
      </c>
      <c r="J77" s="93">
        <v>116.03</v>
      </c>
      <c r="K77" s="73">
        <v>14400</v>
      </c>
      <c r="L77" s="73">
        <v>2</v>
      </c>
      <c r="M77" s="94">
        <v>101.51</v>
      </c>
      <c r="N77" s="79">
        <f t="shared" si="30"/>
        <v>1.1430400945719632</v>
      </c>
      <c r="O77" s="80">
        <f t="shared" si="4"/>
        <v>0.87485995001292771</v>
      </c>
      <c r="P77" s="79">
        <f t="shared" si="5"/>
        <v>0.18119495283902803</v>
      </c>
      <c r="Q77" s="81">
        <f t="shared" si="6"/>
        <v>0.15852020738334688</v>
      </c>
      <c r="R77" s="95">
        <f t="shared" si="29"/>
        <v>538.85</v>
      </c>
      <c r="S77" s="83">
        <f t="shared" si="8"/>
        <v>58.015000000000001</v>
      </c>
      <c r="T77" s="135"/>
      <c r="U77" s="135"/>
      <c r="V77" s="135"/>
      <c r="W77" s="135"/>
      <c r="X77" s="136"/>
      <c r="Y77" s="50"/>
      <c r="Z77" s="50"/>
    </row>
    <row r="78" spans="1:26" ht="12.75" hidden="1" outlineLevel="1" x14ac:dyDescent="0.2">
      <c r="A78" s="50"/>
      <c r="B78" s="137"/>
      <c r="C78" s="70" t="s">
        <v>39</v>
      </c>
      <c r="D78" s="96">
        <v>99.95</v>
      </c>
      <c r="E78" s="73">
        <v>1</v>
      </c>
      <c r="F78" s="73">
        <v>1</v>
      </c>
      <c r="G78" s="74">
        <f t="shared" si="0"/>
        <v>1</v>
      </c>
      <c r="H78" s="75">
        <f t="shared" si="1"/>
        <v>99.95</v>
      </c>
      <c r="I78" s="76">
        <f t="shared" si="2"/>
        <v>99.95</v>
      </c>
      <c r="J78" s="96">
        <v>0</v>
      </c>
      <c r="K78" s="73">
        <v>0</v>
      </c>
      <c r="L78" s="73">
        <v>0</v>
      </c>
      <c r="M78" s="97">
        <v>0</v>
      </c>
      <c r="N78" s="79" t="e">
        <f t="shared" si="30"/>
        <v>#DIV/0!</v>
      </c>
      <c r="O78" s="80" t="e">
        <f t="shared" si="4"/>
        <v>#DIV/0!</v>
      </c>
      <c r="P78" s="79">
        <f t="shared" si="5"/>
        <v>0</v>
      </c>
      <c r="Q78" s="81">
        <f t="shared" si="6"/>
        <v>0</v>
      </c>
      <c r="R78" s="98">
        <f t="shared" si="29"/>
        <v>99.95</v>
      </c>
      <c r="S78" s="83" t="e">
        <f t="shared" si="8"/>
        <v>#DIV/0!</v>
      </c>
      <c r="T78" s="135"/>
      <c r="U78" s="135"/>
      <c r="V78" s="135"/>
      <c r="W78" s="135"/>
      <c r="X78" s="136"/>
      <c r="Y78" s="50"/>
      <c r="Z78" s="50"/>
    </row>
    <row r="79" spans="1:26" ht="12.75" hidden="1" outlineLevel="1" x14ac:dyDescent="0.2">
      <c r="A79" s="50"/>
      <c r="B79" s="137"/>
      <c r="C79" s="70" t="s">
        <v>40</v>
      </c>
      <c r="D79" s="99">
        <v>265.70999999999998</v>
      </c>
      <c r="E79" s="73">
        <v>5</v>
      </c>
      <c r="F79" s="73">
        <v>4</v>
      </c>
      <c r="G79" s="74">
        <f t="shared" si="0"/>
        <v>1.25</v>
      </c>
      <c r="H79" s="75">
        <f t="shared" si="1"/>
        <v>53.141999999999996</v>
      </c>
      <c r="I79" s="76">
        <f t="shared" si="2"/>
        <v>42.513599999999997</v>
      </c>
      <c r="J79" s="99">
        <v>0</v>
      </c>
      <c r="K79" s="73">
        <v>0</v>
      </c>
      <c r="L79" s="73">
        <v>0</v>
      </c>
      <c r="M79" s="100">
        <v>0</v>
      </c>
      <c r="N79" s="79" t="e">
        <f t="shared" si="30"/>
        <v>#DIV/0!</v>
      </c>
      <c r="O79" s="80" t="e">
        <f t="shared" si="4"/>
        <v>#DIV/0!</v>
      </c>
      <c r="P79" s="79">
        <f t="shared" si="5"/>
        <v>0</v>
      </c>
      <c r="Q79" s="81">
        <f t="shared" si="6"/>
        <v>0</v>
      </c>
      <c r="R79" s="101">
        <f t="shared" si="29"/>
        <v>265.70999999999998</v>
      </c>
      <c r="S79" s="83" t="e">
        <f t="shared" si="8"/>
        <v>#DIV/0!</v>
      </c>
      <c r="T79" s="135"/>
      <c r="U79" s="135"/>
      <c r="V79" s="135"/>
      <c r="W79" s="135"/>
      <c r="X79" s="136"/>
      <c r="Y79" s="50"/>
      <c r="Z79" s="50"/>
    </row>
    <row r="80" spans="1:26" ht="12.75" hidden="1" outlineLevel="1" x14ac:dyDescent="0.2">
      <c r="A80" s="50"/>
      <c r="B80" s="137"/>
      <c r="C80" s="70" t="s">
        <v>41</v>
      </c>
      <c r="D80" s="102">
        <v>66.989999999999995</v>
      </c>
      <c r="E80" s="73">
        <v>1</v>
      </c>
      <c r="F80" s="73">
        <v>1</v>
      </c>
      <c r="G80" s="74">
        <f t="shared" si="0"/>
        <v>1</v>
      </c>
      <c r="H80" s="75">
        <f t="shared" si="1"/>
        <v>66.989999999999995</v>
      </c>
      <c r="I80" s="76">
        <f t="shared" si="2"/>
        <v>66.989999999999995</v>
      </c>
      <c r="J80" s="102">
        <v>0</v>
      </c>
      <c r="K80" s="73">
        <v>6</v>
      </c>
      <c r="L80" s="73">
        <v>0</v>
      </c>
      <c r="M80" s="103">
        <v>0</v>
      </c>
      <c r="N80" s="79" t="e">
        <f t="shared" si="30"/>
        <v>#DIV/0!</v>
      </c>
      <c r="O80" s="80" t="e">
        <f t="shared" si="4"/>
        <v>#DIV/0!</v>
      </c>
      <c r="P80" s="79">
        <f t="shared" si="5"/>
        <v>0</v>
      </c>
      <c r="Q80" s="81">
        <f t="shared" si="6"/>
        <v>0</v>
      </c>
      <c r="R80" s="104">
        <f t="shared" si="29"/>
        <v>66.989999999999995</v>
      </c>
      <c r="S80" s="83" t="e">
        <f t="shared" si="8"/>
        <v>#DIV/0!</v>
      </c>
      <c r="T80" s="135"/>
      <c r="U80" s="135"/>
      <c r="V80" s="135"/>
      <c r="W80" s="135"/>
      <c r="X80" s="136"/>
      <c r="Y80" s="50"/>
      <c r="Z80" s="50"/>
    </row>
    <row r="81" spans="1:26" ht="12.75" hidden="1" outlineLevel="1" x14ac:dyDescent="0.2">
      <c r="A81" s="50"/>
      <c r="B81" s="137"/>
      <c r="C81" s="70" t="s">
        <v>42</v>
      </c>
      <c r="D81" s="90">
        <v>139.93</v>
      </c>
      <c r="E81" s="73">
        <v>7</v>
      </c>
      <c r="F81" s="73">
        <v>6</v>
      </c>
      <c r="G81" s="74">
        <f t="shared" si="0"/>
        <v>1.1666666666666667</v>
      </c>
      <c r="H81" s="75">
        <f t="shared" si="1"/>
        <v>19.990000000000002</v>
      </c>
      <c r="I81" s="76">
        <f t="shared" si="2"/>
        <v>17.134285714285713</v>
      </c>
      <c r="J81" s="90">
        <v>3</v>
      </c>
      <c r="K81" s="73">
        <v>10710</v>
      </c>
      <c r="L81" s="73">
        <v>0</v>
      </c>
      <c r="M81" s="91">
        <v>0</v>
      </c>
      <c r="N81" s="79" t="e">
        <f t="shared" si="30"/>
        <v>#DIV/0!</v>
      </c>
      <c r="O81" s="80">
        <f t="shared" si="4"/>
        <v>0</v>
      </c>
      <c r="P81" s="79">
        <f t="shared" si="5"/>
        <v>2.1439291074108482E-2</v>
      </c>
      <c r="Q81" s="81">
        <f t="shared" si="6"/>
        <v>0</v>
      </c>
      <c r="R81" s="92">
        <f t="shared" si="29"/>
        <v>139.93</v>
      </c>
      <c r="S81" s="83" t="e">
        <f t="shared" si="8"/>
        <v>#DIV/0!</v>
      </c>
      <c r="T81" s="135"/>
      <c r="U81" s="135"/>
      <c r="V81" s="135"/>
      <c r="W81" s="135"/>
      <c r="X81" s="136"/>
      <c r="Y81" s="50"/>
      <c r="Z81" s="50"/>
    </row>
    <row r="82" spans="1:26" ht="12.75" hidden="1" outlineLevel="1" x14ac:dyDescent="0.2">
      <c r="A82" s="50"/>
      <c r="B82" s="137"/>
      <c r="C82" s="70" t="s">
        <v>43</v>
      </c>
      <c r="D82" s="105">
        <v>0</v>
      </c>
      <c r="E82" s="73">
        <v>0</v>
      </c>
      <c r="F82" s="73">
        <v>0</v>
      </c>
      <c r="G82" s="74" t="e">
        <f t="shared" si="0"/>
        <v>#DIV/0!</v>
      </c>
      <c r="H82" s="75" t="e">
        <f t="shared" si="1"/>
        <v>#DIV/0!</v>
      </c>
      <c r="I82" s="76" t="e">
        <f t="shared" si="2"/>
        <v>#DIV/0!</v>
      </c>
      <c r="J82" s="105">
        <v>19.95</v>
      </c>
      <c r="K82" s="73">
        <v>20397</v>
      </c>
      <c r="L82" s="73">
        <v>0</v>
      </c>
      <c r="M82" s="106">
        <v>0</v>
      </c>
      <c r="N82" s="79" t="e">
        <f t="shared" si="30"/>
        <v>#DIV/0!</v>
      </c>
      <c r="O82" s="80">
        <f t="shared" si="4"/>
        <v>0</v>
      </c>
      <c r="P82" s="79" t="e">
        <f t="shared" si="5"/>
        <v>#DIV/0!</v>
      </c>
      <c r="Q82" s="81" t="e">
        <f t="shared" si="6"/>
        <v>#DIV/0!</v>
      </c>
      <c r="R82" s="107">
        <f t="shared" si="29"/>
        <v>0</v>
      </c>
      <c r="S82" s="83" t="e">
        <f t="shared" si="8"/>
        <v>#DIV/0!</v>
      </c>
      <c r="T82" s="135"/>
      <c r="U82" s="135"/>
      <c r="V82" s="135"/>
      <c r="W82" s="135"/>
      <c r="X82" s="136"/>
      <c r="Y82" s="50"/>
      <c r="Z82" s="50"/>
    </row>
    <row r="83" spans="1:26" ht="12.75" hidden="1" outlineLevel="1" x14ac:dyDescent="0.2">
      <c r="A83" s="50"/>
      <c r="B83" s="137"/>
      <c r="C83" s="70" t="s">
        <v>44</v>
      </c>
      <c r="D83" s="108">
        <v>59.95</v>
      </c>
      <c r="E83" s="73">
        <v>1</v>
      </c>
      <c r="F83" s="73">
        <v>1</v>
      </c>
      <c r="G83" s="74">
        <f t="shared" si="0"/>
        <v>1</v>
      </c>
      <c r="H83" s="75">
        <f t="shared" si="1"/>
        <v>59.95</v>
      </c>
      <c r="I83" s="76">
        <f t="shared" si="2"/>
        <v>59.95</v>
      </c>
      <c r="J83" s="108">
        <v>19.46</v>
      </c>
      <c r="K83" s="73">
        <v>7147</v>
      </c>
      <c r="L83" s="73">
        <v>0</v>
      </c>
      <c r="M83" s="109">
        <v>0</v>
      </c>
      <c r="N83" s="79" t="e">
        <f t="shared" si="30"/>
        <v>#DIV/0!</v>
      </c>
      <c r="O83" s="80">
        <f t="shared" si="4"/>
        <v>0</v>
      </c>
      <c r="P83" s="79">
        <f t="shared" si="5"/>
        <v>0.32460383653044206</v>
      </c>
      <c r="Q83" s="81">
        <f t="shared" si="6"/>
        <v>0</v>
      </c>
      <c r="R83" s="110">
        <f t="shared" si="29"/>
        <v>59.95</v>
      </c>
      <c r="S83" s="83" t="e">
        <f t="shared" si="8"/>
        <v>#DIV/0!</v>
      </c>
      <c r="T83" s="135"/>
      <c r="U83" s="135"/>
      <c r="V83" s="135"/>
      <c r="W83" s="135"/>
      <c r="X83" s="136"/>
      <c r="Y83" s="50"/>
      <c r="Z83" s="50"/>
    </row>
    <row r="84" spans="1:26" ht="12.75" hidden="1" outlineLevel="1" x14ac:dyDescent="0.2">
      <c r="A84" s="139"/>
      <c r="B84" s="137"/>
      <c r="C84" s="112" t="s">
        <v>45</v>
      </c>
      <c r="D84" s="71">
        <v>0</v>
      </c>
      <c r="E84" s="73">
        <v>0</v>
      </c>
      <c r="F84" s="73">
        <v>0</v>
      </c>
      <c r="G84" s="74" t="e">
        <f t="shared" si="0"/>
        <v>#DIV/0!</v>
      </c>
      <c r="H84" s="75" t="e">
        <f t="shared" si="1"/>
        <v>#DIV/0!</v>
      </c>
      <c r="I84" s="76" t="e">
        <f t="shared" si="2"/>
        <v>#DIV/0!</v>
      </c>
      <c r="J84" s="71">
        <v>0</v>
      </c>
      <c r="K84" s="73">
        <v>0</v>
      </c>
      <c r="L84" s="73">
        <v>0</v>
      </c>
      <c r="M84" s="78">
        <v>0</v>
      </c>
      <c r="N84" s="79" t="e">
        <f t="shared" si="30"/>
        <v>#DIV/0!</v>
      </c>
      <c r="O84" s="80" t="e">
        <f t="shared" si="4"/>
        <v>#DIV/0!</v>
      </c>
      <c r="P84" s="79" t="e">
        <f t="shared" si="5"/>
        <v>#DIV/0!</v>
      </c>
      <c r="Q84" s="81" t="e">
        <f t="shared" si="6"/>
        <v>#DIV/0!</v>
      </c>
      <c r="R84" s="82">
        <f t="shared" si="29"/>
        <v>0</v>
      </c>
      <c r="S84" s="83" t="e">
        <f t="shared" si="8"/>
        <v>#DIV/0!</v>
      </c>
      <c r="T84" s="140"/>
      <c r="U84" s="140"/>
      <c r="V84" s="140"/>
      <c r="W84" s="141"/>
      <c r="X84" s="142"/>
      <c r="Y84" s="50"/>
      <c r="Z84" s="50"/>
    </row>
    <row r="85" spans="1:26" ht="12.75" hidden="1" outlineLevel="1" x14ac:dyDescent="0.2">
      <c r="A85" s="50"/>
      <c r="B85" s="137"/>
      <c r="C85" s="70" t="s">
        <v>46</v>
      </c>
      <c r="D85" s="116">
        <v>318.24</v>
      </c>
      <c r="E85" s="73">
        <v>9</v>
      </c>
      <c r="F85" s="73">
        <v>11</v>
      </c>
      <c r="G85" s="74">
        <f t="shared" si="0"/>
        <v>0.81818181818181823</v>
      </c>
      <c r="H85" s="75">
        <f t="shared" si="1"/>
        <v>35.36</v>
      </c>
      <c r="I85" s="76">
        <f t="shared" si="2"/>
        <v>43.217777777777776</v>
      </c>
      <c r="J85" s="116">
        <v>75.23</v>
      </c>
      <c r="K85" s="73">
        <v>22887</v>
      </c>
      <c r="L85" s="73">
        <v>4</v>
      </c>
      <c r="M85" s="117">
        <v>142.04</v>
      </c>
      <c r="N85" s="79">
        <f t="shared" si="30"/>
        <v>0.52963953815826537</v>
      </c>
      <c r="O85" s="80">
        <f t="shared" si="4"/>
        <v>1.8880765652000531</v>
      </c>
      <c r="P85" s="79">
        <f t="shared" si="5"/>
        <v>0.23639391654097536</v>
      </c>
      <c r="Q85" s="81">
        <f t="shared" si="6"/>
        <v>0.44632981397687277</v>
      </c>
      <c r="R85" s="82">
        <f t="shared" si="29"/>
        <v>176.20000000000002</v>
      </c>
      <c r="S85" s="83">
        <f t="shared" si="8"/>
        <v>18.807500000000001</v>
      </c>
      <c r="T85" s="135"/>
      <c r="U85" s="135"/>
      <c r="V85" s="135"/>
      <c r="W85" s="135"/>
      <c r="X85" s="136"/>
      <c r="Y85" s="50"/>
      <c r="Z85" s="50"/>
    </row>
    <row r="86" spans="1:26" ht="12.75" hidden="1" outlineLevel="1" x14ac:dyDescent="0.2">
      <c r="A86" s="50"/>
      <c r="B86" s="137"/>
      <c r="C86" s="70" t="s">
        <v>49</v>
      </c>
      <c r="D86" s="116">
        <v>0</v>
      </c>
      <c r="E86" s="73">
        <v>0</v>
      </c>
      <c r="F86" s="73">
        <v>0</v>
      </c>
      <c r="G86" s="74" t="e">
        <f t="shared" si="0"/>
        <v>#DIV/0!</v>
      </c>
      <c r="H86" s="75" t="e">
        <f t="shared" si="1"/>
        <v>#DIV/0!</v>
      </c>
      <c r="I86" s="76" t="e">
        <f t="shared" si="2"/>
        <v>#DIV/0!</v>
      </c>
      <c r="J86" s="116">
        <v>5.99</v>
      </c>
      <c r="K86" s="73">
        <v>6262</v>
      </c>
      <c r="L86" s="73">
        <v>0</v>
      </c>
      <c r="M86" s="117">
        <v>0</v>
      </c>
      <c r="N86" s="79" t="e">
        <f t="shared" si="30"/>
        <v>#DIV/0!</v>
      </c>
      <c r="O86" s="80">
        <f t="shared" si="4"/>
        <v>0</v>
      </c>
      <c r="P86" s="79" t="e">
        <f t="shared" si="5"/>
        <v>#DIV/0!</v>
      </c>
      <c r="Q86" s="81" t="e">
        <f t="shared" si="6"/>
        <v>#DIV/0!</v>
      </c>
      <c r="R86" s="82">
        <f t="shared" si="29"/>
        <v>0</v>
      </c>
      <c r="S86" s="83" t="e">
        <f t="shared" si="8"/>
        <v>#DIV/0!</v>
      </c>
      <c r="T86" s="135"/>
      <c r="U86" s="135"/>
      <c r="V86" s="135"/>
      <c r="W86" s="135"/>
      <c r="X86" s="136"/>
      <c r="Y86" s="50"/>
      <c r="Z86" s="50"/>
    </row>
    <row r="87" spans="1:26" hidden="1" outlineLevel="1" x14ac:dyDescent="0.25">
      <c r="A87" s="118" t="str">
        <f t="shared" ref="A87:A88" si="31">IFERROR(IF(B87&gt;0,MONTH(B87)&amp;"-"&amp;YEAR(B87),B87),)</f>
        <v>3-2025</v>
      </c>
      <c r="B87" s="69">
        <v>45738</v>
      </c>
      <c r="C87" s="198" t="s">
        <v>64</v>
      </c>
      <c r="D87" s="116">
        <v>0</v>
      </c>
      <c r="E87" s="73">
        <v>0</v>
      </c>
      <c r="F87" s="73">
        <v>0</v>
      </c>
      <c r="G87" s="74" t="e">
        <f t="shared" si="0"/>
        <v>#DIV/0!</v>
      </c>
      <c r="H87" s="75" t="e">
        <f t="shared" si="1"/>
        <v>#DIV/0!</v>
      </c>
      <c r="I87" s="76" t="e">
        <f t="shared" si="2"/>
        <v>#DIV/0!</v>
      </c>
      <c r="J87" s="87">
        <v>128.25</v>
      </c>
      <c r="K87" s="204">
        <v>20661</v>
      </c>
      <c r="L87" s="205"/>
      <c r="M87" s="88">
        <v>64.010000000000005</v>
      </c>
      <c r="N87" s="79">
        <f t="shared" si="30"/>
        <v>2.0035931885642868</v>
      </c>
      <c r="O87" s="80">
        <f t="shared" si="4"/>
        <v>0.49910331384015599</v>
      </c>
      <c r="P87" s="79" t="e">
        <f t="shared" si="5"/>
        <v>#DIV/0!</v>
      </c>
      <c r="Q87" s="81" t="e">
        <f t="shared" si="6"/>
        <v>#DIV/0!</v>
      </c>
      <c r="R87" s="82">
        <f t="shared" si="29"/>
        <v>-64.010000000000005</v>
      </c>
      <c r="S87" s="83" t="e">
        <f t="shared" si="8"/>
        <v>#DIV/0!</v>
      </c>
      <c r="T87" s="135"/>
      <c r="U87" s="135"/>
      <c r="V87" s="135"/>
      <c r="W87" s="135"/>
      <c r="X87" s="136"/>
      <c r="Y87" s="50"/>
      <c r="Z87" s="50"/>
    </row>
    <row r="88" spans="1:26" ht="12.75" collapsed="1" x14ac:dyDescent="0.2">
      <c r="A88" s="50">
        <f t="shared" si="31"/>
        <v>0</v>
      </c>
      <c r="B88" s="52" t="s">
        <v>70</v>
      </c>
      <c r="C88" s="145"/>
      <c r="D88" s="121">
        <f t="shared" ref="D88:F88" si="32">SUM(D70:D87)</f>
        <v>9731.9900000000016</v>
      </c>
      <c r="E88" s="123">
        <f t="shared" si="32"/>
        <v>101</v>
      </c>
      <c r="F88" s="123">
        <f t="shared" si="32"/>
        <v>102</v>
      </c>
      <c r="G88" s="124">
        <f t="shared" si="0"/>
        <v>0.99019607843137258</v>
      </c>
      <c r="H88" s="125">
        <f t="shared" si="1"/>
        <v>96.356336633663389</v>
      </c>
      <c r="I88" s="126">
        <f t="shared" si="2"/>
        <v>97.310359768650159</v>
      </c>
      <c r="J88" s="121">
        <f t="shared" ref="J88:M88" si="33">SUM(J70:J87)</f>
        <v>1209.3200000000002</v>
      </c>
      <c r="K88" s="123">
        <f t="shared" si="33"/>
        <v>295922</v>
      </c>
      <c r="L88" s="123">
        <f t="shared" si="33"/>
        <v>28</v>
      </c>
      <c r="M88" s="127">
        <f t="shared" si="33"/>
        <v>3021.2400000000002</v>
      </c>
      <c r="N88" s="128">
        <f t="shared" si="30"/>
        <v>0.40027273569792537</v>
      </c>
      <c r="O88" s="129">
        <f t="shared" si="4"/>
        <v>2.4982965633579202</v>
      </c>
      <c r="P88" s="128">
        <f t="shared" si="5"/>
        <v>0.12426235538671947</v>
      </c>
      <c r="Q88" s="130">
        <f t="shared" si="6"/>
        <v>0.31044421541740175</v>
      </c>
      <c r="R88" s="131">
        <f>SUM(R70:R87)</f>
        <v>6710.7500000000009</v>
      </c>
      <c r="S88" s="132">
        <f t="shared" si="8"/>
        <v>43.190000000000005</v>
      </c>
      <c r="T88" s="133">
        <f t="shared" ref="T88:U88" si="34">IFERROR((D88-D69)/D88,)</f>
        <v>0.2209897461875735</v>
      </c>
      <c r="U88" s="133">
        <f t="shared" si="34"/>
        <v>6.9306930693069313E-2</v>
      </c>
      <c r="V88" s="271">
        <f t="shared" ref="V88:W88" si="35">IFERROR((D88-#REF!)/D88, )</f>
        <v>0</v>
      </c>
      <c r="W88" s="271">
        <f t="shared" si="35"/>
        <v>0</v>
      </c>
      <c r="X88" s="50"/>
      <c r="Y88" s="50"/>
      <c r="Z88" s="50"/>
    </row>
    <row r="89" spans="1:26" ht="12.75" hidden="1" outlineLevel="1" x14ac:dyDescent="0.2">
      <c r="A89" s="50"/>
      <c r="B89" s="69">
        <v>45739</v>
      </c>
      <c r="C89" s="70" t="s">
        <v>32</v>
      </c>
      <c r="D89" s="71">
        <v>8096.74</v>
      </c>
      <c r="E89" s="73">
        <v>23</v>
      </c>
      <c r="F89" s="73">
        <v>25</v>
      </c>
      <c r="G89" s="74">
        <f t="shared" si="0"/>
        <v>0.92</v>
      </c>
      <c r="H89" s="75">
        <f t="shared" si="1"/>
        <v>352.03217391304349</v>
      </c>
      <c r="I89" s="76">
        <f t="shared" si="2"/>
        <v>382.64366729678636</v>
      </c>
      <c r="J89" s="77">
        <v>508.84</v>
      </c>
      <c r="K89" s="73">
        <v>99126</v>
      </c>
      <c r="L89" s="73">
        <v>5</v>
      </c>
      <c r="M89" s="78">
        <v>900.33</v>
      </c>
      <c r="N89" s="79">
        <f t="shared" si="30"/>
        <v>0.56517054857663296</v>
      </c>
      <c r="O89" s="80">
        <f t="shared" si="4"/>
        <v>1.7693774074365225</v>
      </c>
      <c r="P89" s="79">
        <f t="shared" si="5"/>
        <v>6.2845046277884675E-2</v>
      </c>
      <c r="Q89" s="81">
        <f t="shared" si="6"/>
        <v>0.11119660505339186</v>
      </c>
      <c r="R89" s="82">
        <f t="shared" ref="R89:R106" si="36">D89-M89</f>
        <v>7196.41</v>
      </c>
      <c r="S89" s="83">
        <f t="shared" si="8"/>
        <v>101.768</v>
      </c>
      <c r="T89" s="135"/>
      <c r="U89" s="135"/>
      <c r="V89" s="135"/>
      <c r="W89" s="135"/>
      <c r="X89" s="136"/>
      <c r="Y89" s="50"/>
      <c r="Z89" s="50"/>
    </row>
    <row r="90" spans="1:26" ht="12.75" hidden="1" outlineLevel="1" x14ac:dyDescent="0.2">
      <c r="A90" s="50"/>
      <c r="B90" s="137"/>
      <c r="C90" s="70" t="s">
        <v>33</v>
      </c>
      <c r="D90" s="87">
        <v>9235.01</v>
      </c>
      <c r="E90" s="73">
        <v>47</v>
      </c>
      <c r="F90" s="73">
        <v>46</v>
      </c>
      <c r="G90" s="74">
        <f t="shared" si="0"/>
        <v>1.0217391304347827</v>
      </c>
      <c r="H90" s="75">
        <f t="shared" si="1"/>
        <v>196.48957446808512</v>
      </c>
      <c r="I90" s="76">
        <f t="shared" si="2"/>
        <v>192.30894522408329</v>
      </c>
      <c r="J90" s="87">
        <v>217.32</v>
      </c>
      <c r="K90" s="73">
        <v>91243</v>
      </c>
      <c r="L90" s="73">
        <v>7</v>
      </c>
      <c r="M90" s="88">
        <v>1471.02</v>
      </c>
      <c r="N90" s="79">
        <f t="shared" si="30"/>
        <v>0.14773422523147203</v>
      </c>
      <c r="O90" s="80">
        <f t="shared" si="4"/>
        <v>6.7689122032026505</v>
      </c>
      <c r="P90" s="79">
        <f t="shared" si="5"/>
        <v>2.3532188920206906E-2</v>
      </c>
      <c r="Q90" s="81">
        <f t="shared" si="6"/>
        <v>0.15928732075005875</v>
      </c>
      <c r="R90" s="89">
        <f t="shared" si="36"/>
        <v>7763.99</v>
      </c>
      <c r="S90" s="83">
        <f t="shared" si="8"/>
        <v>31.045714285714286</v>
      </c>
      <c r="T90" s="135"/>
      <c r="U90" s="135"/>
      <c r="V90" s="135"/>
      <c r="W90" s="135"/>
      <c r="X90" s="136"/>
      <c r="Y90" s="50"/>
      <c r="Z90" s="50"/>
    </row>
    <row r="91" spans="1:26" ht="12.75" hidden="1" outlineLevel="1" x14ac:dyDescent="0.2">
      <c r="A91" s="50"/>
      <c r="B91" s="137"/>
      <c r="C91" s="70" t="s">
        <v>34</v>
      </c>
      <c r="D91" s="90">
        <v>139.9</v>
      </c>
      <c r="E91" s="73">
        <v>2</v>
      </c>
      <c r="F91" s="73">
        <v>1</v>
      </c>
      <c r="G91" s="74">
        <f t="shared" si="0"/>
        <v>2</v>
      </c>
      <c r="H91" s="75">
        <f t="shared" si="1"/>
        <v>69.95</v>
      </c>
      <c r="I91" s="76">
        <f t="shared" si="2"/>
        <v>34.975000000000001</v>
      </c>
      <c r="J91" s="90">
        <v>0</v>
      </c>
      <c r="K91" s="73">
        <v>0</v>
      </c>
      <c r="L91" s="73">
        <v>0</v>
      </c>
      <c r="M91" s="91">
        <v>0</v>
      </c>
      <c r="N91" s="79" t="e">
        <f>(J91/M91)</f>
        <v>#DIV/0!</v>
      </c>
      <c r="O91" s="80" t="e">
        <f t="shared" si="4"/>
        <v>#DIV/0!</v>
      </c>
      <c r="P91" s="79">
        <f t="shared" si="5"/>
        <v>0</v>
      </c>
      <c r="Q91" s="81">
        <f t="shared" si="6"/>
        <v>0</v>
      </c>
      <c r="R91" s="92">
        <f t="shared" si="36"/>
        <v>139.9</v>
      </c>
      <c r="S91" s="83" t="e">
        <f t="shared" si="8"/>
        <v>#DIV/0!</v>
      </c>
      <c r="T91" s="135"/>
      <c r="U91" s="135"/>
      <c r="V91" s="135"/>
      <c r="W91" s="135"/>
      <c r="X91" s="136"/>
      <c r="Y91" s="50"/>
      <c r="Z91" s="50"/>
    </row>
    <row r="92" spans="1:26" ht="12.75" hidden="1" outlineLevel="1" x14ac:dyDescent="0.2">
      <c r="A92" s="50"/>
      <c r="B92" s="137"/>
      <c r="C92" s="70" t="s">
        <v>35</v>
      </c>
      <c r="D92" s="90">
        <v>530.54999999999995</v>
      </c>
      <c r="E92" s="73">
        <v>9</v>
      </c>
      <c r="F92" s="73">
        <v>6</v>
      </c>
      <c r="G92" s="74">
        <f t="shared" si="0"/>
        <v>1.5</v>
      </c>
      <c r="H92" s="75">
        <f t="shared" si="1"/>
        <v>58.949999999999996</v>
      </c>
      <c r="I92" s="76">
        <f t="shared" si="2"/>
        <v>39.299999999999997</v>
      </c>
      <c r="J92" s="90">
        <v>88.02</v>
      </c>
      <c r="K92" s="73">
        <v>7631</v>
      </c>
      <c r="L92" s="73">
        <v>2</v>
      </c>
      <c r="M92" s="91">
        <v>119.9</v>
      </c>
      <c r="N92" s="79">
        <f t="shared" ref="N92:N109" si="37">J92/M92</f>
        <v>0.73411175979983312</v>
      </c>
      <c r="O92" s="80">
        <f t="shared" si="4"/>
        <v>1.3621904112701659</v>
      </c>
      <c r="P92" s="79">
        <f t="shared" si="5"/>
        <v>0.16590330788804072</v>
      </c>
      <c r="Q92" s="81">
        <f t="shared" si="6"/>
        <v>0.22599189520309115</v>
      </c>
      <c r="R92" s="92">
        <f t="shared" si="36"/>
        <v>410.65</v>
      </c>
      <c r="S92" s="83">
        <f t="shared" si="8"/>
        <v>44.01</v>
      </c>
      <c r="T92" s="135"/>
      <c r="U92" s="135"/>
      <c r="V92" s="135"/>
      <c r="W92" s="135"/>
      <c r="X92" s="136"/>
      <c r="Y92" s="50"/>
      <c r="Z92" s="50"/>
    </row>
    <row r="93" spans="1:26" ht="12.75" hidden="1" outlineLevel="1" x14ac:dyDescent="0.2">
      <c r="A93" s="50"/>
      <c r="B93" s="137"/>
      <c r="C93" s="70" t="s">
        <v>62</v>
      </c>
      <c r="D93" s="200">
        <v>456</v>
      </c>
      <c r="E93" s="73">
        <v>12</v>
      </c>
      <c r="F93" s="73">
        <v>8</v>
      </c>
      <c r="G93" s="74">
        <f t="shared" si="0"/>
        <v>1.5</v>
      </c>
      <c r="H93" s="75">
        <f t="shared" si="1"/>
        <v>38</v>
      </c>
      <c r="I93" s="76">
        <f t="shared" si="2"/>
        <v>25.333333333333332</v>
      </c>
      <c r="J93" s="200">
        <v>0</v>
      </c>
      <c r="K93" s="73">
        <v>0</v>
      </c>
      <c r="L93" s="73">
        <v>0</v>
      </c>
      <c r="M93" s="200">
        <v>0</v>
      </c>
      <c r="N93" s="79" t="e">
        <f t="shared" si="37"/>
        <v>#DIV/0!</v>
      </c>
      <c r="O93" s="80" t="e">
        <f t="shared" si="4"/>
        <v>#DIV/0!</v>
      </c>
      <c r="P93" s="79">
        <f t="shared" si="5"/>
        <v>0</v>
      </c>
      <c r="Q93" s="81">
        <f t="shared" si="6"/>
        <v>0</v>
      </c>
      <c r="R93" s="92">
        <f t="shared" si="36"/>
        <v>456</v>
      </c>
      <c r="S93" s="83" t="e">
        <f t="shared" si="8"/>
        <v>#DIV/0!</v>
      </c>
      <c r="T93" s="135"/>
      <c r="U93" s="135"/>
      <c r="V93" s="135"/>
      <c r="W93" s="135"/>
      <c r="X93" s="136"/>
      <c r="Y93" s="50"/>
      <c r="Z93" s="50"/>
    </row>
    <row r="94" spans="1:26" ht="12.75" hidden="1" outlineLevel="1" x14ac:dyDescent="0.2">
      <c r="A94" s="50"/>
      <c r="B94" s="137"/>
      <c r="C94" s="70" t="s">
        <v>66</v>
      </c>
      <c r="D94" s="201">
        <v>-64.95</v>
      </c>
      <c r="E94" s="73">
        <v>-1</v>
      </c>
      <c r="F94" s="73">
        <v>1</v>
      </c>
      <c r="G94" s="74">
        <f t="shared" si="0"/>
        <v>-1</v>
      </c>
      <c r="H94" s="75">
        <f t="shared" si="1"/>
        <v>64.95</v>
      </c>
      <c r="I94" s="76">
        <f t="shared" si="2"/>
        <v>-64.95</v>
      </c>
      <c r="J94" s="201">
        <v>3.3</v>
      </c>
      <c r="K94" s="73">
        <v>128</v>
      </c>
      <c r="L94" s="73">
        <v>0</v>
      </c>
      <c r="M94" s="202">
        <v>0</v>
      </c>
      <c r="N94" s="79" t="e">
        <f t="shared" si="37"/>
        <v>#DIV/0!</v>
      </c>
      <c r="O94" s="80">
        <f t="shared" si="4"/>
        <v>0</v>
      </c>
      <c r="P94" s="79">
        <f t="shared" si="5"/>
        <v>-5.0808314087759814E-2</v>
      </c>
      <c r="Q94" s="81">
        <f t="shared" si="6"/>
        <v>0</v>
      </c>
      <c r="R94" s="203">
        <f t="shared" si="36"/>
        <v>-64.95</v>
      </c>
      <c r="S94" s="83" t="e">
        <f t="shared" si="8"/>
        <v>#DIV/0!</v>
      </c>
      <c r="T94" s="135"/>
      <c r="U94" s="135"/>
      <c r="V94" s="135"/>
      <c r="W94" s="135"/>
      <c r="X94" s="136"/>
      <c r="Y94" s="50"/>
      <c r="Z94" s="50"/>
    </row>
    <row r="95" spans="1:26" ht="12.75" hidden="1" outlineLevel="1" x14ac:dyDescent="0.2">
      <c r="A95" s="50"/>
      <c r="B95" s="137"/>
      <c r="C95" s="70" t="s">
        <v>36</v>
      </c>
      <c r="D95" s="90">
        <v>419.7</v>
      </c>
      <c r="E95" s="73">
        <v>6</v>
      </c>
      <c r="F95" s="73">
        <v>6</v>
      </c>
      <c r="G95" s="74">
        <f t="shared" si="0"/>
        <v>1</v>
      </c>
      <c r="H95" s="75">
        <f t="shared" si="1"/>
        <v>69.95</v>
      </c>
      <c r="I95" s="76">
        <f t="shared" si="2"/>
        <v>69.95</v>
      </c>
      <c r="J95" s="90">
        <v>38.65</v>
      </c>
      <c r="K95" s="73">
        <v>4191</v>
      </c>
      <c r="L95" s="73">
        <v>3</v>
      </c>
      <c r="M95" s="91">
        <v>209.85</v>
      </c>
      <c r="N95" s="79">
        <f t="shared" si="37"/>
        <v>0.1841791756016202</v>
      </c>
      <c r="O95" s="80">
        <f t="shared" si="4"/>
        <v>5.4294954721862876</v>
      </c>
      <c r="P95" s="79">
        <f t="shared" si="5"/>
        <v>9.2089587800810099E-2</v>
      </c>
      <c r="Q95" s="81">
        <f t="shared" si="6"/>
        <v>0.5</v>
      </c>
      <c r="R95" s="92">
        <f t="shared" si="36"/>
        <v>209.85</v>
      </c>
      <c r="S95" s="83">
        <f t="shared" si="8"/>
        <v>12.883333333333333</v>
      </c>
      <c r="T95" s="135"/>
      <c r="U95" s="135"/>
      <c r="V95" s="135"/>
      <c r="W95" s="135"/>
      <c r="X95" s="136"/>
      <c r="Y95" s="50"/>
      <c r="Z95" s="50"/>
    </row>
    <row r="96" spans="1:26" ht="12.75" hidden="1" outlineLevel="1" x14ac:dyDescent="0.2">
      <c r="A96" s="50"/>
      <c r="B96" s="69" t="s">
        <v>37</v>
      </c>
      <c r="C96" s="70" t="s">
        <v>38</v>
      </c>
      <c r="D96" s="93">
        <v>21.59</v>
      </c>
      <c r="E96" s="73">
        <v>4</v>
      </c>
      <c r="F96" s="73">
        <v>4</v>
      </c>
      <c r="G96" s="74">
        <f t="shared" si="0"/>
        <v>1</v>
      </c>
      <c r="H96" s="75">
        <f t="shared" si="1"/>
        <v>5.3975</v>
      </c>
      <c r="I96" s="76">
        <f t="shared" si="2"/>
        <v>5.3975</v>
      </c>
      <c r="J96" s="93">
        <v>119.39</v>
      </c>
      <c r="K96" s="73">
        <v>10084</v>
      </c>
      <c r="L96" s="73">
        <v>4</v>
      </c>
      <c r="M96" s="94">
        <v>86.24</v>
      </c>
      <c r="N96" s="79">
        <f t="shared" si="37"/>
        <v>1.3843923933209648</v>
      </c>
      <c r="O96" s="80">
        <f t="shared" si="4"/>
        <v>0.72233855431778204</v>
      </c>
      <c r="P96" s="79">
        <f t="shared" si="5"/>
        <v>5.5298749421028255</v>
      </c>
      <c r="Q96" s="81">
        <f t="shared" si="6"/>
        <v>3.9944418712366834</v>
      </c>
      <c r="R96" s="95">
        <f t="shared" si="36"/>
        <v>-64.649999999999991</v>
      </c>
      <c r="S96" s="83">
        <f t="shared" si="8"/>
        <v>29.8475</v>
      </c>
      <c r="T96" s="135"/>
      <c r="U96" s="135"/>
      <c r="V96" s="135"/>
      <c r="W96" s="135"/>
      <c r="X96" s="136"/>
      <c r="Y96" s="50"/>
      <c r="Z96" s="50"/>
    </row>
    <row r="97" spans="1:26" ht="12.75" hidden="1" outlineLevel="1" x14ac:dyDescent="0.2">
      <c r="A97" s="50"/>
      <c r="B97" s="137"/>
      <c r="C97" s="70" t="s">
        <v>39</v>
      </c>
      <c r="D97" s="96">
        <v>359.89</v>
      </c>
      <c r="E97" s="73">
        <v>3</v>
      </c>
      <c r="F97" s="73">
        <v>3</v>
      </c>
      <c r="G97" s="74">
        <f t="shared" si="0"/>
        <v>1</v>
      </c>
      <c r="H97" s="75">
        <f t="shared" si="1"/>
        <v>119.96333333333332</v>
      </c>
      <c r="I97" s="76">
        <f t="shared" si="2"/>
        <v>119.96333333333332</v>
      </c>
      <c r="J97" s="96">
        <v>0</v>
      </c>
      <c r="K97" s="73">
        <v>0</v>
      </c>
      <c r="L97" s="73">
        <v>0</v>
      </c>
      <c r="M97" s="97">
        <v>0</v>
      </c>
      <c r="N97" s="79" t="e">
        <f t="shared" si="37"/>
        <v>#DIV/0!</v>
      </c>
      <c r="O97" s="80" t="e">
        <f t="shared" si="4"/>
        <v>#DIV/0!</v>
      </c>
      <c r="P97" s="79">
        <f t="shared" si="5"/>
        <v>0</v>
      </c>
      <c r="Q97" s="81">
        <f t="shared" si="6"/>
        <v>0</v>
      </c>
      <c r="R97" s="98">
        <f t="shared" si="36"/>
        <v>359.89</v>
      </c>
      <c r="S97" s="83" t="e">
        <f t="shared" si="8"/>
        <v>#DIV/0!</v>
      </c>
      <c r="T97" s="135"/>
      <c r="U97" s="135"/>
      <c r="V97" s="135"/>
      <c r="W97" s="135"/>
      <c r="X97" s="136"/>
      <c r="Y97" s="50"/>
      <c r="Z97" s="50"/>
    </row>
    <row r="98" spans="1:26" ht="12.75" hidden="1" outlineLevel="1" x14ac:dyDescent="0.2">
      <c r="A98" s="50"/>
      <c r="B98" s="137"/>
      <c r="C98" s="70" t="s">
        <v>40</v>
      </c>
      <c r="D98" s="99">
        <v>1327.09</v>
      </c>
      <c r="E98" s="73">
        <v>27</v>
      </c>
      <c r="F98" s="73">
        <v>13</v>
      </c>
      <c r="G98" s="74">
        <f t="shared" si="0"/>
        <v>2.0769230769230771</v>
      </c>
      <c r="H98" s="75">
        <f t="shared" si="1"/>
        <v>49.151481481481476</v>
      </c>
      <c r="I98" s="76">
        <f t="shared" si="2"/>
        <v>23.665528120713301</v>
      </c>
      <c r="J98" s="99">
        <v>0</v>
      </c>
      <c r="K98" s="73">
        <v>0</v>
      </c>
      <c r="L98" s="73">
        <v>0</v>
      </c>
      <c r="M98" s="100">
        <v>0</v>
      </c>
      <c r="N98" s="79" t="e">
        <f t="shared" si="37"/>
        <v>#DIV/0!</v>
      </c>
      <c r="O98" s="80" t="e">
        <f t="shared" si="4"/>
        <v>#DIV/0!</v>
      </c>
      <c r="P98" s="79">
        <f t="shared" si="5"/>
        <v>0</v>
      </c>
      <c r="Q98" s="81">
        <f t="shared" si="6"/>
        <v>0</v>
      </c>
      <c r="R98" s="101">
        <f t="shared" si="36"/>
        <v>1327.09</v>
      </c>
      <c r="S98" s="83" t="e">
        <f t="shared" si="8"/>
        <v>#DIV/0!</v>
      </c>
      <c r="T98" s="135"/>
      <c r="U98" s="135"/>
      <c r="V98" s="135"/>
      <c r="W98" s="135"/>
      <c r="X98" s="136"/>
      <c r="Y98" s="50"/>
      <c r="Z98" s="50"/>
    </row>
    <row r="99" spans="1:26" ht="12.75" hidden="1" outlineLevel="1" x14ac:dyDescent="0.2">
      <c r="A99" s="50"/>
      <c r="B99" s="137"/>
      <c r="C99" s="70" t="s">
        <v>41</v>
      </c>
      <c r="D99" s="102">
        <v>66.989999999999995</v>
      </c>
      <c r="E99" s="73">
        <v>1</v>
      </c>
      <c r="F99" s="73">
        <v>1</v>
      </c>
      <c r="G99" s="74">
        <f t="shared" si="0"/>
        <v>1</v>
      </c>
      <c r="H99" s="75">
        <f t="shared" si="1"/>
        <v>66.989999999999995</v>
      </c>
      <c r="I99" s="76">
        <f t="shared" si="2"/>
        <v>66.989999999999995</v>
      </c>
      <c r="J99" s="102">
        <v>0</v>
      </c>
      <c r="K99" s="73">
        <v>0</v>
      </c>
      <c r="L99" s="73">
        <v>0</v>
      </c>
      <c r="M99" s="103">
        <v>0</v>
      </c>
      <c r="N99" s="79" t="e">
        <f t="shared" si="37"/>
        <v>#DIV/0!</v>
      </c>
      <c r="O99" s="80" t="e">
        <f t="shared" si="4"/>
        <v>#DIV/0!</v>
      </c>
      <c r="P99" s="79">
        <f t="shared" si="5"/>
        <v>0</v>
      </c>
      <c r="Q99" s="81">
        <f t="shared" si="6"/>
        <v>0</v>
      </c>
      <c r="R99" s="104">
        <f t="shared" si="36"/>
        <v>66.989999999999995</v>
      </c>
      <c r="S99" s="83" t="e">
        <f t="shared" si="8"/>
        <v>#DIV/0!</v>
      </c>
      <c r="T99" s="135"/>
      <c r="U99" s="135"/>
      <c r="V99" s="135"/>
      <c r="W99" s="135"/>
      <c r="X99" s="136"/>
      <c r="Y99" s="50"/>
      <c r="Z99" s="50"/>
    </row>
    <row r="100" spans="1:26" ht="12.75" hidden="1" outlineLevel="1" x14ac:dyDescent="0.2">
      <c r="A100" s="50"/>
      <c r="B100" s="137"/>
      <c r="C100" s="70" t="s">
        <v>42</v>
      </c>
      <c r="D100" s="90">
        <v>159.91999999999999</v>
      </c>
      <c r="E100" s="73">
        <v>8</v>
      </c>
      <c r="F100" s="73">
        <v>6</v>
      </c>
      <c r="G100" s="74">
        <f t="shared" si="0"/>
        <v>1.3333333333333333</v>
      </c>
      <c r="H100" s="75">
        <f t="shared" si="1"/>
        <v>19.989999999999998</v>
      </c>
      <c r="I100" s="76">
        <f t="shared" si="2"/>
        <v>14.9925</v>
      </c>
      <c r="J100" s="90">
        <v>3</v>
      </c>
      <c r="K100" s="73">
        <v>10792</v>
      </c>
      <c r="L100" s="73">
        <v>1</v>
      </c>
      <c r="M100" s="91">
        <v>19.989999999999998</v>
      </c>
      <c r="N100" s="79">
        <f t="shared" si="37"/>
        <v>0.15007503751875939</v>
      </c>
      <c r="O100" s="80">
        <f t="shared" si="4"/>
        <v>6.6633333333333331</v>
      </c>
      <c r="P100" s="79">
        <f t="shared" si="5"/>
        <v>1.8759379689844924E-2</v>
      </c>
      <c r="Q100" s="81">
        <f t="shared" si="6"/>
        <v>0.125</v>
      </c>
      <c r="R100" s="92">
        <f t="shared" si="36"/>
        <v>139.92999999999998</v>
      </c>
      <c r="S100" s="83">
        <f t="shared" si="8"/>
        <v>3</v>
      </c>
      <c r="T100" s="135"/>
      <c r="U100" s="135"/>
      <c r="V100" s="135"/>
      <c r="W100" s="135"/>
      <c r="X100" s="136"/>
      <c r="Y100" s="50"/>
      <c r="Z100" s="50"/>
    </row>
    <row r="101" spans="1:26" ht="12.75" hidden="1" outlineLevel="1" x14ac:dyDescent="0.2">
      <c r="A101" s="50"/>
      <c r="B101" s="137"/>
      <c r="C101" s="70" t="s">
        <v>43</v>
      </c>
      <c r="D101" s="105">
        <v>344</v>
      </c>
      <c r="E101" s="73">
        <v>2</v>
      </c>
      <c r="F101" s="73">
        <v>2</v>
      </c>
      <c r="G101" s="74">
        <f t="shared" si="0"/>
        <v>1</v>
      </c>
      <c r="H101" s="75">
        <f t="shared" si="1"/>
        <v>172</v>
      </c>
      <c r="I101" s="76">
        <f t="shared" si="2"/>
        <v>172</v>
      </c>
      <c r="J101" s="105">
        <v>8.25</v>
      </c>
      <c r="K101" s="73">
        <v>18913</v>
      </c>
      <c r="L101" s="73">
        <v>0</v>
      </c>
      <c r="M101" s="106">
        <v>0</v>
      </c>
      <c r="N101" s="79" t="e">
        <f t="shared" si="37"/>
        <v>#DIV/0!</v>
      </c>
      <c r="O101" s="80">
        <f t="shared" si="4"/>
        <v>0</v>
      </c>
      <c r="P101" s="79">
        <f t="shared" si="5"/>
        <v>2.3982558139534885E-2</v>
      </c>
      <c r="Q101" s="81">
        <f t="shared" si="6"/>
        <v>0</v>
      </c>
      <c r="R101" s="107">
        <f t="shared" si="36"/>
        <v>344</v>
      </c>
      <c r="S101" s="83" t="e">
        <f t="shared" si="8"/>
        <v>#DIV/0!</v>
      </c>
      <c r="T101" s="135"/>
      <c r="U101" s="135"/>
      <c r="V101" s="135"/>
      <c r="W101" s="135"/>
      <c r="X101" s="136"/>
      <c r="Y101" s="50"/>
      <c r="Z101" s="50"/>
    </row>
    <row r="102" spans="1:26" ht="12.75" hidden="1" outlineLevel="1" x14ac:dyDescent="0.2">
      <c r="A102" s="50"/>
      <c r="B102" s="137"/>
      <c r="C102" s="70" t="s">
        <v>44</v>
      </c>
      <c r="D102" s="108">
        <v>50.96</v>
      </c>
      <c r="E102" s="73">
        <v>1</v>
      </c>
      <c r="F102" s="73">
        <v>1</v>
      </c>
      <c r="G102" s="74">
        <f t="shared" si="0"/>
        <v>1</v>
      </c>
      <c r="H102" s="75">
        <f t="shared" si="1"/>
        <v>50.96</v>
      </c>
      <c r="I102" s="76">
        <f t="shared" si="2"/>
        <v>50.96</v>
      </c>
      <c r="J102" s="108">
        <v>26.57</v>
      </c>
      <c r="K102" s="73">
        <v>7414</v>
      </c>
      <c r="L102" s="73">
        <v>0</v>
      </c>
      <c r="M102" s="109">
        <v>0</v>
      </c>
      <c r="N102" s="79" t="e">
        <f t="shared" si="37"/>
        <v>#DIV/0!</v>
      </c>
      <c r="O102" s="80">
        <f t="shared" si="4"/>
        <v>0</v>
      </c>
      <c r="P102" s="79">
        <f t="shared" si="5"/>
        <v>0.52138932496075352</v>
      </c>
      <c r="Q102" s="81">
        <f t="shared" si="6"/>
        <v>0</v>
      </c>
      <c r="R102" s="110">
        <f t="shared" si="36"/>
        <v>50.96</v>
      </c>
      <c r="S102" s="83" t="e">
        <f t="shared" si="8"/>
        <v>#DIV/0!</v>
      </c>
      <c r="T102" s="135"/>
      <c r="U102" s="135"/>
      <c r="V102" s="135"/>
      <c r="W102" s="135"/>
      <c r="X102" s="136"/>
      <c r="Y102" s="50"/>
      <c r="Z102" s="50"/>
    </row>
    <row r="103" spans="1:26" ht="12.75" hidden="1" outlineLevel="1" x14ac:dyDescent="0.2">
      <c r="A103" s="139"/>
      <c r="B103" s="137"/>
      <c r="C103" s="112" t="s">
        <v>45</v>
      </c>
      <c r="D103" s="71">
        <v>79.8</v>
      </c>
      <c r="E103" s="73">
        <v>4</v>
      </c>
      <c r="F103" s="73">
        <v>3</v>
      </c>
      <c r="G103" s="74">
        <f t="shared" si="0"/>
        <v>1.3333333333333333</v>
      </c>
      <c r="H103" s="75">
        <f t="shared" si="1"/>
        <v>19.95</v>
      </c>
      <c r="I103" s="76">
        <f t="shared" si="2"/>
        <v>14.9625</v>
      </c>
      <c r="J103" s="71">
        <v>0</v>
      </c>
      <c r="K103" s="73">
        <v>0</v>
      </c>
      <c r="L103" s="73">
        <v>0</v>
      </c>
      <c r="M103" s="78">
        <v>0</v>
      </c>
      <c r="N103" s="79" t="e">
        <f t="shared" si="37"/>
        <v>#DIV/0!</v>
      </c>
      <c r="O103" s="80" t="e">
        <f t="shared" si="4"/>
        <v>#DIV/0!</v>
      </c>
      <c r="P103" s="79">
        <f t="shared" si="5"/>
        <v>0</v>
      </c>
      <c r="Q103" s="81">
        <f t="shared" si="6"/>
        <v>0</v>
      </c>
      <c r="R103" s="82">
        <f t="shared" si="36"/>
        <v>79.8</v>
      </c>
      <c r="S103" s="83" t="e">
        <f t="shared" si="8"/>
        <v>#DIV/0!</v>
      </c>
      <c r="T103" s="140"/>
      <c r="U103" s="140"/>
      <c r="V103" s="140"/>
      <c r="W103" s="141"/>
      <c r="X103" s="142"/>
      <c r="Y103" s="50"/>
      <c r="Z103" s="50"/>
    </row>
    <row r="104" spans="1:26" ht="12.75" hidden="1" outlineLevel="1" x14ac:dyDescent="0.2">
      <c r="A104" s="50"/>
      <c r="B104" s="137"/>
      <c r="C104" s="70" t="s">
        <v>46</v>
      </c>
      <c r="D104" s="116">
        <v>203.16</v>
      </c>
      <c r="E104" s="73">
        <v>6</v>
      </c>
      <c r="F104" s="73">
        <v>7</v>
      </c>
      <c r="G104" s="74">
        <f t="shared" si="0"/>
        <v>0.8571428571428571</v>
      </c>
      <c r="H104" s="75">
        <f t="shared" si="1"/>
        <v>33.86</v>
      </c>
      <c r="I104" s="76">
        <f t="shared" si="2"/>
        <v>39.503333333333337</v>
      </c>
      <c r="J104" s="116">
        <v>65.790000000000006</v>
      </c>
      <c r="K104" s="73">
        <v>21355</v>
      </c>
      <c r="L104" s="73">
        <v>3</v>
      </c>
      <c r="M104" s="117">
        <v>102.48</v>
      </c>
      <c r="N104" s="79">
        <f t="shared" si="37"/>
        <v>0.64197892271662771</v>
      </c>
      <c r="O104" s="80">
        <f t="shared" si="4"/>
        <v>1.5576835385316916</v>
      </c>
      <c r="P104" s="79">
        <f t="shared" si="5"/>
        <v>0.32383343177790908</v>
      </c>
      <c r="Q104" s="81">
        <f t="shared" si="6"/>
        <v>0.50443000590667453</v>
      </c>
      <c r="R104" s="82">
        <f t="shared" si="36"/>
        <v>100.67999999999999</v>
      </c>
      <c r="S104" s="83">
        <f t="shared" si="8"/>
        <v>21.930000000000003</v>
      </c>
      <c r="T104" s="135"/>
      <c r="U104" s="135"/>
      <c r="V104" s="135"/>
      <c r="W104" s="135"/>
      <c r="X104" s="136"/>
      <c r="Y104" s="50"/>
      <c r="Z104" s="50"/>
    </row>
    <row r="105" spans="1:26" ht="12.75" hidden="1" outlineLevel="1" x14ac:dyDescent="0.2">
      <c r="A105" s="50"/>
      <c r="B105" s="137"/>
      <c r="C105" s="70" t="s">
        <v>49</v>
      </c>
      <c r="D105" s="116">
        <v>0</v>
      </c>
      <c r="E105" s="73">
        <v>0</v>
      </c>
      <c r="F105" s="73">
        <v>0</v>
      </c>
      <c r="G105" s="74" t="e">
        <f t="shared" si="0"/>
        <v>#DIV/0!</v>
      </c>
      <c r="H105" s="75" t="e">
        <f t="shared" si="1"/>
        <v>#DIV/0!</v>
      </c>
      <c r="I105" s="76" t="e">
        <f t="shared" si="2"/>
        <v>#DIV/0!</v>
      </c>
      <c r="J105" s="116">
        <v>9.27</v>
      </c>
      <c r="K105" s="73">
        <v>5256</v>
      </c>
      <c r="L105" s="73">
        <v>0</v>
      </c>
      <c r="M105" s="117">
        <v>0</v>
      </c>
      <c r="N105" s="79" t="e">
        <f t="shared" si="37"/>
        <v>#DIV/0!</v>
      </c>
      <c r="O105" s="80">
        <f t="shared" si="4"/>
        <v>0</v>
      </c>
      <c r="P105" s="79" t="e">
        <f t="shared" si="5"/>
        <v>#DIV/0!</v>
      </c>
      <c r="Q105" s="81" t="e">
        <f t="shared" si="6"/>
        <v>#DIV/0!</v>
      </c>
      <c r="R105" s="82">
        <f t="shared" si="36"/>
        <v>0</v>
      </c>
      <c r="S105" s="83" t="e">
        <f t="shared" si="8"/>
        <v>#DIV/0!</v>
      </c>
      <c r="T105" s="135"/>
      <c r="U105" s="135"/>
      <c r="V105" s="135"/>
      <c r="W105" s="135"/>
      <c r="X105" s="136"/>
      <c r="Y105" s="50"/>
      <c r="Z105" s="50"/>
    </row>
    <row r="106" spans="1:26" hidden="1" outlineLevel="1" x14ac:dyDescent="0.25">
      <c r="A106" s="118" t="str">
        <f t="shared" ref="A106:A107" si="38">IFERROR(IF(B106&gt;0,MONTH(B106)&amp;"-"&amp;YEAR(B106),B106),)</f>
        <v>3-2025</v>
      </c>
      <c r="B106" s="69">
        <v>45745</v>
      </c>
      <c r="C106" s="198" t="s">
        <v>64</v>
      </c>
      <c r="D106" s="116">
        <v>0</v>
      </c>
      <c r="E106" s="73">
        <v>0</v>
      </c>
      <c r="F106" s="73">
        <v>0</v>
      </c>
      <c r="G106" s="74" t="e">
        <f t="shared" si="0"/>
        <v>#DIV/0!</v>
      </c>
      <c r="H106" s="75" t="e">
        <f t="shared" si="1"/>
        <v>#DIV/0!</v>
      </c>
      <c r="I106" s="76" t="e">
        <f t="shared" si="2"/>
        <v>#DIV/0!</v>
      </c>
      <c r="J106" s="87">
        <v>233.19</v>
      </c>
      <c r="K106" s="204">
        <v>44379</v>
      </c>
      <c r="L106" s="272"/>
      <c r="M106" s="88">
        <v>821.14</v>
      </c>
      <c r="N106" s="79">
        <f t="shared" si="37"/>
        <v>0.28398324280877807</v>
      </c>
      <c r="O106" s="80">
        <f t="shared" si="4"/>
        <v>3.5213345340709292</v>
      </c>
      <c r="P106" s="79" t="e">
        <f t="shared" si="5"/>
        <v>#DIV/0!</v>
      </c>
      <c r="Q106" s="81" t="e">
        <f t="shared" si="6"/>
        <v>#DIV/0!</v>
      </c>
      <c r="R106" s="82">
        <f t="shared" si="36"/>
        <v>-821.14</v>
      </c>
      <c r="S106" s="83" t="e">
        <f t="shared" si="8"/>
        <v>#DIV/0!</v>
      </c>
      <c r="T106" s="135"/>
      <c r="U106" s="135"/>
      <c r="V106" s="135"/>
      <c r="W106" s="135"/>
      <c r="X106" s="136"/>
      <c r="Y106" s="50"/>
      <c r="Z106" s="50"/>
    </row>
    <row r="107" spans="1:26" ht="12.75" collapsed="1" x14ac:dyDescent="0.2">
      <c r="A107" s="50">
        <f t="shared" si="38"/>
        <v>0</v>
      </c>
      <c r="B107" s="52" t="s">
        <v>71</v>
      </c>
      <c r="C107" s="145"/>
      <c r="D107" s="121">
        <f t="shared" ref="D107:F107" si="39">SUM(D89:D106)</f>
        <v>21426.35</v>
      </c>
      <c r="E107" s="123">
        <f t="shared" si="39"/>
        <v>154</v>
      </c>
      <c r="F107" s="123">
        <f t="shared" si="39"/>
        <v>133</v>
      </c>
      <c r="G107" s="124">
        <f t="shared" si="0"/>
        <v>1.1578947368421053</v>
      </c>
      <c r="H107" s="125">
        <f t="shared" si="1"/>
        <v>139.13214285714284</v>
      </c>
      <c r="I107" s="126">
        <f t="shared" si="2"/>
        <v>120.1595779220779</v>
      </c>
      <c r="J107" s="121">
        <f t="shared" ref="J107:M107" si="40">SUM(J89:J106)</f>
        <v>1321.59</v>
      </c>
      <c r="K107" s="123">
        <f t="shared" si="40"/>
        <v>320512</v>
      </c>
      <c r="L107" s="123">
        <f t="shared" si="40"/>
        <v>25</v>
      </c>
      <c r="M107" s="127">
        <f t="shared" si="40"/>
        <v>3730.9499999999994</v>
      </c>
      <c r="N107" s="128">
        <f t="shared" si="37"/>
        <v>0.35422345515217307</v>
      </c>
      <c r="O107" s="129">
        <f t="shared" si="4"/>
        <v>2.8230767484620793</v>
      </c>
      <c r="P107" s="128">
        <f t="shared" si="5"/>
        <v>6.1680594221600972E-2</v>
      </c>
      <c r="Q107" s="130">
        <f t="shared" si="6"/>
        <v>0.17412905137832621</v>
      </c>
      <c r="R107" s="131">
        <f>SUM(R89:R106)</f>
        <v>17695.400000000001</v>
      </c>
      <c r="S107" s="132">
        <f t="shared" si="8"/>
        <v>52.863599999999998</v>
      </c>
      <c r="T107" s="133">
        <f t="shared" ref="T107:U107" si="41">IFERROR((D107-D69)/D107,)</f>
        <v>0.64616838612269478</v>
      </c>
      <c r="U107" s="133">
        <f t="shared" si="41"/>
        <v>0.38961038961038963</v>
      </c>
      <c r="V107" s="271">
        <f t="shared" ref="V107:W107" si="42">IFERROR((D107-#REF!)/D107, )</f>
        <v>0</v>
      </c>
      <c r="W107" s="271">
        <f t="shared" si="42"/>
        <v>0</v>
      </c>
      <c r="X107" s="50"/>
      <c r="Y107" s="50"/>
      <c r="Z107" s="50"/>
    </row>
    <row r="108" spans="1:26" ht="12.75" hidden="1" outlineLevel="1" x14ac:dyDescent="0.2">
      <c r="A108" s="50"/>
      <c r="B108" s="69">
        <v>45746</v>
      </c>
      <c r="C108" s="70" t="s">
        <v>32</v>
      </c>
      <c r="D108" s="71">
        <v>1172.95</v>
      </c>
      <c r="E108" s="73">
        <v>6</v>
      </c>
      <c r="F108" s="73">
        <v>7</v>
      </c>
      <c r="G108" s="74">
        <f t="shared" si="0"/>
        <v>0.8571428571428571</v>
      </c>
      <c r="H108" s="75">
        <f t="shared" si="1"/>
        <v>195.49166666666667</v>
      </c>
      <c r="I108" s="76">
        <f t="shared" si="2"/>
        <v>228.07361111111112</v>
      </c>
      <c r="J108" s="77">
        <v>571.66</v>
      </c>
      <c r="K108" s="73">
        <v>92147</v>
      </c>
      <c r="L108" s="73">
        <v>1</v>
      </c>
      <c r="M108" s="78">
        <v>24.95</v>
      </c>
      <c r="N108" s="79">
        <f t="shared" si="37"/>
        <v>22.912224448897796</v>
      </c>
      <c r="O108" s="80">
        <f t="shared" si="4"/>
        <v>4.3644823846342232E-2</v>
      </c>
      <c r="P108" s="79">
        <f t="shared" si="5"/>
        <v>0.48736945308836688</v>
      </c>
      <c r="Q108" s="81">
        <f t="shared" si="6"/>
        <v>2.1271153928129928E-2</v>
      </c>
      <c r="R108" s="82">
        <f t="shared" ref="R108:R125" si="43">D108-M108</f>
        <v>1148</v>
      </c>
      <c r="S108" s="83">
        <f t="shared" si="8"/>
        <v>571.66</v>
      </c>
      <c r="T108" s="135"/>
      <c r="U108" s="135"/>
      <c r="V108" s="135"/>
      <c r="W108" s="135"/>
      <c r="X108" s="136"/>
      <c r="Y108" s="50"/>
      <c r="Z108" s="50"/>
    </row>
    <row r="109" spans="1:26" ht="12.75" hidden="1" outlineLevel="1" x14ac:dyDescent="0.2">
      <c r="A109" s="50"/>
      <c r="B109" s="137"/>
      <c r="C109" s="70" t="s">
        <v>33</v>
      </c>
      <c r="D109" s="87">
        <v>10100.64</v>
      </c>
      <c r="E109" s="73">
        <v>65</v>
      </c>
      <c r="F109" s="73">
        <v>57</v>
      </c>
      <c r="G109" s="74">
        <f t="shared" si="0"/>
        <v>1.1403508771929824</v>
      </c>
      <c r="H109" s="75">
        <f t="shared" si="1"/>
        <v>155.39446153846154</v>
      </c>
      <c r="I109" s="76">
        <f t="shared" si="2"/>
        <v>136.26898934911242</v>
      </c>
      <c r="J109" s="87">
        <v>275.57</v>
      </c>
      <c r="K109" s="73">
        <v>103714</v>
      </c>
      <c r="L109" s="73">
        <v>3</v>
      </c>
      <c r="M109" s="88">
        <v>718.38</v>
      </c>
      <c r="N109" s="79">
        <f t="shared" si="37"/>
        <v>0.38359920933210834</v>
      </c>
      <c r="O109" s="80">
        <f t="shared" si="4"/>
        <v>2.6068875421852886</v>
      </c>
      <c r="P109" s="79">
        <f t="shared" si="5"/>
        <v>2.7282429628221579E-2</v>
      </c>
      <c r="Q109" s="81">
        <f t="shared" si="6"/>
        <v>7.1122225918357651E-2</v>
      </c>
      <c r="R109" s="89">
        <f t="shared" si="43"/>
        <v>9382.26</v>
      </c>
      <c r="S109" s="83">
        <f t="shared" si="8"/>
        <v>91.856666666666669</v>
      </c>
      <c r="T109" s="135"/>
      <c r="U109" s="135"/>
      <c r="V109" s="135"/>
      <c r="W109" s="135"/>
      <c r="X109" s="136"/>
      <c r="Y109" s="50"/>
      <c r="Z109" s="50"/>
    </row>
    <row r="110" spans="1:26" ht="12.75" hidden="1" outlineLevel="1" x14ac:dyDescent="0.2">
      <c r="A110" s="50"/>
      <c r="B110" s="137"/>
      <c r="C110" s="70" t="s">
        <v>34</v>
      </c>
      <c r="D110" s="90">
        <v>0</v>
      </c>
      <c r="E110" s="73">
        <v>0</v>
      </c>
      <c r="F110" s="73">
        <v>0</v>
      </c>
      <c r="G110" s="74" t="e">
        <f t="shared" si="0"/>
        <v>#DIV/0!</v>
      </c>
      <c r="H110" s="75" t="e">
        <f t="shared" si="1"/>
        <v>#DIV/0!</v>
      </c>
      <c r="I110" s="76" t="e">
        <f t="shared" si="2"/>
        <v>#DIV/0!</v>
      </c>
      <c r="J110" s="90">
        <v>0</v>
      </c>
      <c r="K110" s="73">
        <v>1</v>
      </c>
      <c r="L110" s="73">
        <v>0</v>
      </c>
      <c r="M110" s="91">
        <v>0</v>
      </c>
      <c r="N110" s="79" t="e">
        <f>(J110/M110)</f>
        <v>#DIV/0!</v>
      </c>
      <c r="O110" s="80" t="e">
        <f t="shared" si="4"/>
        <v>#DIV/0!</v>
      </c>
      <c r="P110" s="79" t="e">
        <f t="shared" si="5"/>
        <v>#DIV/0!</v>
      </c>
      <c r="Q110" s="81" t="e">
        <f t="shared" si="6"/>
        <v>#DIV/0!</v>
      </c>
      <c r="R110" s="92">
        <f t="shared" si="43"/>
        <v>0</v>
      </c>
      <c r="S110" s="83" t="e">
        <f t="shared" si="8"/>
        <v>#DIV/0!</v>
      </c>
      <c r="T110" s="135"/>
      <c r="U110" s="135"/>
      <c r="V110" s="135"/>
      <c r="W110" s="135"/>
      <c r="X110" s="136"/>
      <c r="Y110" s="50"/>
      <c r="Z110" s="50"/>
    </row>
    <row r="111" spans="1:26" ht="12.75" hidden="1" outlineLevel="1" x14ac:dyDescent="0.2">
      <c r="A111" s="50"/>
      <c r="B111" s="137"/>
      <c r="C111" s="70" t="s">
        <v>35</v>
      </c>
      <c r="D111" s="90">
        <v>359.7</v>
      </c>
      <c r="E111" s="73">
        <v>6</v>
      </c>
      <c r="F111" s="73">
        <v>5</v>
      </c>
      <c r="G111" s="74">
        <f t="shared" si="0"/>
        <v>1.2</v>
      </c>
      <c r="H111" s="75">
        <f t="shared" si="1"/>
        <v>59.949999999999996</v>
      </c>
      <c r="I111" s="76">
        <f t="shared" si="2"/>
        <v>49.958333333333329</v>
      </c>
      <c r="J111" s="90">
        <v>119.65</v>
      </c>
      <c r="K111" s="73">
        <v>7267</v>
      </c>
      <c r="L111" s="73">
        <v>4</v>
      </c>
      <c r="M111" s="91">
        <v>239.8</v>
      </c>
      <c r="N111" s="79">
        <f t="shared" ref="N111:N128" si="44">J111/M111</f>
        <v>0.4989574645537948</v>
      </c>
      <c r="O111" s="80">
        <f t="shared" si="4"/>
        <v>2.0041788549937318</v>
      </c>
      <c r="P111" s="79">
        <f t="shared" si="5"/>
        <v>0.33263830970252989</v>
      </c>
      <c r="Q111" s="81">
        <f t="shared" si="6"/>
        <v>0.66666666666666674</v>
      </c>
      <c r="R111" s="92">
        <f t="shared" si="43"/>
        <v>119.89999999999998</v>
      </c>
      <c r="S111" s="83">
        <f t="shared" si="8"/>
        <v>29.912500000000001</v>
      </c>
      <c r="T111" s="135"/>
      <c r="U111" s="135"/>
      <c r="V111" s="135"/>
      <c r="W111" s="135"/>
      <c r="X111" s="136"/>
      <c r="Y111" s="50"/>
      <c r="Z111" s="50"/>
    </row>
    <row r="112" spans="1:26" ht="12.75" hidden="1" outlineLevel="1" x14ac:dyDescent="0.2">
      <c r="A112" s="50"/>
      <c r="B112" s="137"/>
      <c r="C112" s="70" t="s">
        <v>62</v>
      </c>
      <c r="D112" s="200">
        <v>594</v>
      </c>
      <c r="E112" s="73">
        <v>16</v>
      </c>
      <c r="F112" s="73">
        <v>10</v>
      </c>
      <c r="G112" s="74">
        <f t="shared" si="0"/>
        <v>1.6</v>
      </c>
      <c r="H112" s="75">
        <f t="shared" si="1"/>
        <v>37.125</v>
      </c>
      <c r="I112" s="76">
        <f t="shared" si="2"/>
        <v>23.203125</v>
      </c>
      <c r="J112" s="200">
        <v>0</v>
      </c>
      <c r="K112" s="73">
        <v>0</v>
      </c>
      <c r="L112" s="73">
        <v>0</v>
      </c>
      <c r="M112" s="200">
        <v>0</v>
      </c>
      <c r="N112" s="79" t="e">
        <f t="shared" si="44"/>
        <v>#DIV/0!</v>
      </c>
      <c r="O112" s="80" t="e">
        <f t="shared" si="4"/>
        <v>#DIV/0!</v>
      </c>
      <c r="P112" s="79">
        <f t="shared" si="5"/>
        <v>0</v>
      </c>
      <c r="Q112" s="81">
        <f t="shared" si="6"/>
        <v>0</v>
      </c>
      <c r="R112" s="92">
        <f t="shared" si="43"/>
        <v>594</v>
      </c>
      <c r="S112" s="83" t="e">
        <f t="shared" si="8"/>
        <v>#DIV/0!</v>
      </c>
      <c r="T112" s="135"/>
      <c r="U112" s="135"/>
      <c r="V112" s="135"/>
      <c r="W112" s="135"/>
      <c r="X112" s="136"/>
      <c r="Y112" s="50"/>
      <c r="Z112" s="50"/>
    </row>
    <row r="113" spans="1:26" ht="12.75" hidden="1" outlineLevel="1" x14ac:dyDescent="0.2">
      <c r="A113" s="50"/>
      <c r="B113" s="137"/>
      <c r="C113" s="70" t="s">
        <v>66</v>
      </c>
      <c r="D113" s="201">
        <v>0</v>
      </c>
      <c r="E113" s="73">
        <v>0</v>
      </c>
      <c r="F113" s="73">
        <v>0</v>
      </c>
      <c r="G113" s="74" t="e">
        <f t="shared" si="0"/>
        <v>#DIV/0!</v>
      </c>
      <c r="H113" s="75" t="e">
        <f t="shared" si="1"/>
        <v>#DIV/0!</v>
      </c>
      <c r="I113" s="76" t="e">
        <f t="shared" si="2"/>
        <v>#DIV/0!</v>
      </c>
      <c r="J113" s="201">
        <v>0</v>
      </c>
      <c r="K113" s="73">
        <v>0</v>
      </c>
      <c r="L113" s="73">
        <v>0</v>
      </c>
      <c r="M113" s="202">
        <v>0</v>
      </c>
      <c r="N113" s="79" t="e">
        <f t="shared" si="44"/>
        <v>#DIV/0!</v>
      </c>
      <c r="O113" s="80" t="e">
        <f t="shared" si="4"/>
        <v>#DIV/0!</v>
      </c>
      <c r="P113" s="79" t="e">
        <f t="shared" si="5"/>
        <v>#DIV/0!</v>
      </c>
      <c r="Q113" s="81" t="e">
        <f t="shared" si="6"/>
        <v>#DIV/0!</v>
      </c>
      <c r="R113" s="203">
        <f t="shared" si="43"/>
        <v>0</v>
      </c>
      <c r="S113" s="83" t="e">
        <f t="shared" si="8"/>
        <v>#DIV/0!</v>
      </c>
      <c r="T113" s="135"/>
      <c r="U113" s="135"/>
      <c r="V113" s="135"/>
      <c r="W113" s="135"/>
      <c r="X113" s="136"/>
      <c r="Y113" s="50"/>
      <c r="Z113" s="50"/>
    </row>
    <row r="114" spans="1:26" ht="12.75" hidden="1" outlineLevel="1" x14ac:dyDescent="0.2">
      <c r="A114" s="50"/>
      <c r="B114" s="137"/>
      <c r="C114" s="70" t="s">
        <v>36</v>
      </c>
      <c r="D114" s="90">
        <v>69.95</v>
      </c>
      <c r="E114" s="73">
        <v>1</v>
      </c>
      <c r="F114" s="73">
        <v>1</v>
      </c>
      <c r="G114" s="74">
        <f t="shared" si="0"/>
        <v>1</v>
      </c>
      <c r="H114" s="75">
        <f t="shared" si="1"/>
        <v>69.95</v>
      </c>
      <c r="I114" s="76">
        <f t="shared" si="2"/>
        <v>69.95</v>
      </c>
      <c r="J114" s="90">
        <v>51.89</v>
      </c>
      <c r="K114" s="73">
        <v>7739</v>
      </c>
      <c r="L114" s="73">
        <v>0</v>
      </c>
      <c r="M114" s="91">
        <v>0</v>
      </c>
      <c r="N114" s="79" t="e">
        <f t="shared" si="44"/>
        <v>#DIV/0!</v>
      </c>
      <c r="O114" s="80">
        <f t="shared" si="4"/>
        <v>0</v>
      </c>
      <c r="P114" s="79">
        <f t="shared" si="5"/>
        <v>0.74181558255897062</v>
      </c>
      <c r="Q114" s="81">
        <f t="shared" si="6"/>
        <v>0</v>
      </c>
      <c r="R114" s="92">
        <f t="shared" si="43"/>
        <v>69.95</v>
      </c>
      <c r="S114" s="83" t="e">
        <f t="shared" si="8"/>
        <v>#DIV/0!</v>
      </c>
      <c r="T114" s="135"/>
      <c r="U114" s="135"/>
      <c r="V114" s="135"/>
      <c r="W114" s="135"/>
      <c r="X114" s="136"/>
      <c r="Y114" s="50"/>
      <c r="Z114" s="50"/>
    </row>
    <row r="115" spans="1:26" ht="12.75" hidden="1" outlineLevel="1" x14ac:dyDescent="0.2">
      <c r="A115" s="50"/>
      <c r="B115" s="69" t="s">
        <v>37</v>
      </c>
      <c r="C115" s="70" t="s">
        <v>38</v>
      </c>
      <c r="D115" s="93">
        <v>150.91999999999999</v>
      </c>
      <c r="E115" s="73">
        <v>7</v>
      </c>
      <c r="F115" s="73">
        <v>7</v>
      </c>
      <c r="G115" s="74">
        <f t="shared" si="0"/>
        <v>1</v>
      </c>
      <c r="H115" s="75">
        <f t="shared" si="1"/>
        <v>21.56</v>
      </c>
      <c r="I115" s="76">
        <f t="shared" si="2"/>
        <v>21.56</v>
      </c>
      <c r="J115" s="93">
        <v>168.17</v>
      </c>
      <c r="K115" s="73">
        <v>11725</v>
      </c>
      <c r="L115" s="73">
        <v>5</v>
      </c>
      <c r="M115" s="94">
        <v>107.8</v>
      </c>
      <c r="N115" s="79">
        <f t="shared" si="44"/>
        <v>1.5600185528756956</v>
      </c>
      <c r="O115" s="80">
        <f t="shared" si="4"/>
        <v>0.64101801748230958</v>
      </c>
      <c r="P115" s="79">
        <f t="shared" si="5"/>
        <v>1.1142989663397826</v>
      </c>
      <c r="Q115" s="81">
        <f t="shared" si="6"/>
        <v>0.7142857142857143</v>
      </c>
      <c r="R115" s="95">
        <f t="shared" si="43"/>
        <v>43.11999999999999</v>
      </c>
      <c r="S115" s="83">
        <f t="shared" si="8"/>
        <v>33.634</v>
      </c>
      <c r="T115" s="135"/>
      <c r="U115" s="135"/>
      <c r="V115" s="135"/>
      <c r="W115" s="135"/>
      <c r="X115" s="136"/>
      <c r="Y115" s="50"/>
      <c r="Z115" s="50"/>
    </row>
    <row r="116" spans="1:26" ht="12.75" hidden="1" outlineLevel="1" x14ac:dyDescent="0.2">
      <c r="A116" s="50"/>
      <c r="B116" s="137"/>
      <c r="C116" s="70" t="s">
        <v>39</v>
      </c>
      <c r="D116" s="96">
        <v>0</v>
      </c>
      <c r="E116" s="73">
        <v>0</v>
      </c>
      <c r="F116" s="73">
        <v>0</v>
      </c>
      <c r="G116" s="74" t="e">
        <f t="shared" si="0"/>
        <v>#DIV/0!</v>
      </c>
      <c r="H116" s="75" t="e">
        <f t="shared" si="1"/>
        <v>#DIV/0!</v>
      </c>
      <c r="I116" s="76" t="e">
        <f t="shared" si="2"/>
        <v>#DIV/0!</v>
      </c>
      <c r="J116" s="96">
        <v>0</v>
      </c>
      <c r="K116" s="73">
        <v>0</v>
      </c>
      <c r="L116" s="73">
        <v>0</v>
      </c>
      <c r="M116" s="97">
        <v>0</v>
      </c>
      <c r="N116" s="79" t="e">
        <f t="shared" si="44"/>
        <v>#DIV/0!</v>
      </c>
      <c r="O116" s="80" t="e">
        <f t="shared" si="4"/>
        <v>#DIV/0!</v>
      </c>
      <c r="P116" s="79" t="e">
        <f t="shared" si="5"/>
        <v>#DIV/0!</v>
      </c>
      <c r="Q116" s="81" t="e">
        <f t="shared" si="6"/>
        <v>#DIV/0!</v>
      </c>
      <c r="R116" s="98">
        <f t="shared" si="43"/>
        <v>0</v>
      </c>
      <c r="S116" s="83" t="e">
        <f t="shared" si="8"/>
        <v>#DIV/0!</v>
      </c>
      <c r="T116" s="135"/>
      <c r="U116" s="135"/>
      <c r="V116" s="135"/>
      <c r="W116" s="135"/>
      <c r="X116" s="136"/>
      <c r="Y116" s="50"/>
      <c r="Z116" s="50"/>
    </row>
    <row r="117" spans="1:26" ht="12.75" hidden="1" outlineLevel="1" x14ac:dyDescent="0.2">
      <c r="A117" s="50"/>
      <c r="B117" s="137"/>
      <c r="C117" s="70" t="s">
        <v>40</v>
      </c>
      <c r="D117" s="99">
        <v>1027.6199999999999</v>
      </c>
      <c r="E117" s="73">
        <v>22</v>
      </c>
      <c r="F117" s="73">
        <v>15</v>
      </c>
      <c r="G117" s="74">
        <f t="shared" si="0"/>
        <v>1.4666666666666666</v>
      </c>
      <c r="H117" s="75">
        <f t="shared" si="1"/>
        <v>46.709999999999994</v>
      </c>
      <c r="I117" s="76">
        <f t="shared" si="2"/>
        <v>31.847727272727269</v>
      </c>
      <c r="J117" s="99">
        <v>0</v>
      </c>
      <c r="K117" s="73">
        <v>0</v>
      </c>
      <c r="L117" s="73">
        <v>0</v>
      </c>
      <c r="M117" s="100">
        <v>0</v>
      </c>
      <c r="N117" s="79" t="e">
        <f t="shared" si="44"/>
        <v>#DIV/0!</v>
      </c>
      <c r="O117" s="80" t="e">
        <f t="shared" si="4"/>
        <v>#DIV/0!</v>
      </c>
      <c r="P117" s="79">
        <f t="shared" si="5"/>
        <v>0</v>
      </c>
      <c r="Q117" s="81">
        <f t="shared" si="6"/>
        <v>0</v>
      </c>
      <c r="R117" s="101">
        <f t="shared" si="43"/>
        <v>1027.6199999999999</v>
      </c>
      <c r="S117" s="83" t="e">
        <f t="shared" si="8"/>
        <v>#DIV/0!</v>
      </c>
      <c r="T117" s="135"/>
      <c r="U117" s="135"/>
      <c r="V117" s="135"/>
      <c r="W117" s="135"/>
      <c r="X117" s="136"/>
      <c r="Y117" s="50"/>
      <c r="Z117" s="50"/>
    </row>
    <row r="118" spans="1:26" ht="12.75" hidden="1" outlineLevel="1" x14ac:dyDescent="0.2">
      <c r="A118" s="50"/>
      <c r="B118" s="137"/>
      <c r="C118" s="70" t="s">
        <v>41</v>
      </c>
      <c r="D118" s="102">
        <v>349.97</v>
      </c>
      <c r="E118" s="73">
        <v>4</v>
      </c>
      <c r="F118" s="73">
        <v>4</v>
      </c>
      <c r="G118" s="74">
        <f t="shared" si="0"/>
        <v>1</v>
      </c>
      <c r="H118" s="75">
        <f t="shared" si="1"/>
        <v>87.492500000000007</v>
      </c>
      <c r="I118" s="76">
        <f t="shared" si="2"/>
        <v>87.492500000000007</v>
      </c>
      <c r="J118" s="102">
        <v>0</v>
      </c>
      <c r="K118" s="73">
        <v>0</v>
      </c>
      <c r="L118" s="73">
        <v>0</v>
      </c>
      <c r="M118" s="103">
        <v>0</v>
      </c>
      <c r="N118" s="79" t="e">
        <f t="shared" si="44"/>
        <v>#DIV/0!</v>
      </c>
      <c r="O118" s="80" t="e">
        <f t="shared" si="4"/>
        <v>#DIV/0!</v>
      </c>
      <c r="P118" s="79">
        <f t="shared" si="5"/>
        <v>0</v>
      </c>
      <c r="Q118" s="81">
        <f t="shared" si="6"/>
        <v>0</v>
      </c>
      <c r="R118" s="104">
        <f t="shared" si="43"/>
        <v>349.97</v>
      </c>
      <c r="S118" s="83" t="e">
        <f t="shared" si="8"/>
        <v>#DIV/0!</v>
      </c>
      <c r="T118" s="135"/>
      <c r="U118" s="135"/>
      <c r="V118" s="135"/>
      <c r="W118" s="135"/>
      <c r="X118" s="136"/>
      <c r="Y118" s="50"/>
      <c r="Z118" s="50"/>
    </row>
    <row r="119" spans="1:26" ht="12.75" hidden="1" outlineLevel="1" x14ac:dyDescent="0.2">
      <c r="A119" s="50"/>
      <c r="B119" s="137"/>
      <c r="C119" s="70" t="s">
        <v>42</v>
      </c>
      <c r="D119" s="90">
        <v>59.97</v>
      </c>
      <c r="E119" s="73">
        <v>3</v>
      </c>
      <c r="F119" s="73">
        <v>4</v>
      </c>
      <c r="G119" s="74">
        <f t="shared" si="0"/>
        <v>0.75</v>
      </c>
      <c r="H119" s="75">
        <f t="shared" si="1"/>
        <v>19.989999999999998</v>
      </c>
      <c r="I119" s="76">
        <f t="shared" si="2"/>
        <v>26.653333333333332</v>
      </c>
      <c r="J119" s="90">
        <v>5.72</v>
      </c>
      <c r="K119" s="73">
        <v>15442</v>
      </c>
      <c r="L119" s="73">
        <v>1</v>
      </c>
      <c r="M119" s="91">
        <v>19.989999999999998</v>
      </c>
      <c r="N119" s="79">
        <f t="shared" si="44"/>
        <v>0.2861430715357679</v>
      </c>
      <c r="O119" s="80">
        <f t="shared" si="4"/>
        <v>3.4947552447552446</v>
      </c>
      <c r="P119" s="79">
        <f t="shared" si="5"/>
        <v>9.5381023845255958E-2</v>
      </c>
      <c r="Q119" s="81">
        <f t="shared" si="6"/>
        <v>0.33333333333333331</v>
      </c>
      <c r="R119" s="92">
        <f t="shared" si="43"/>
        <v>39.980000000000004</v>
      </c>
      <c r="S119" s="83">
        <f t="shared" si="8"/>
        <v>5.72</v>
      </c>
      <c r="T119" s="135"/>
      <c r="U119" s="135"/>
      <c r="V119" s="135"/>
      <c r="W119" s="135"/>
      <c r="X119" s="136"/>
      <c r="Y119" s="50"/>
      <c r="Z119" s="50"/>
    </row>
    <row r="120" spans="1:26" ht="12.75" hidden="1" outlineLevel="1" x14ac:dyDescent="0.2">
      <c r="A120" s="50"/>
      <c r="B120" s="137"/>
      <c r="C120" s="70" t="s">
        <v>43</v>
      </c>
      <c r="D120" s="105">
        <v>447.95</v>
      </c>
      <c r="E120" s="73">
        <v>3</v>
      </c>
      <c r="F120" s="73">
        <v>3</v>
      </c>
      <c r="G120" s="74">
        <f t="shared" si="0"/>
        <v>1</v>
      </c>
      <c r="H120" s="75">
        <f t="shared" si="1"/>
        <v>149.31666666666666</v>
      </c>
      <c r="I120" s="76">
        <f t="shared" si="2"/>
        <v>149.31666666666666</v>
      </c>
      <c r="J120" s="105">
        <v>14.28</v>
      </c>
      <c r="K120" s="73">
        <v>20226</v>
      </c>
      <c r="L120" s="73">
        <v>0</v>
      </c>
      <c r="M120" s="106">
        <v>0</v>
      </c>
      <c r="N120" s="79" t="e">
        <f t="shared" si="44"/>
        <v>#DIV/0!</v>
      </c>
      <c r="O120" s="80">
        <f t="shared" si="4"/>
        <v>0</v>
      </c>
      <c r="P120" s="79">
        <f t="shared" si="5"/>
        <v>3.1878557874762806E-2</v>
      </c>
      <c r="Q120" s="81">
        <f t="shared" si="6"/>
        <v>0</v>
      </c>
      <c r="R120" s="107">
        <f t="shared" si="43"/>
        <v>447.95</v>
      </c>
      <c r="S120" s="83" t="e">
        <f t="shared" si="8"/>
        <v>#DIV/0!</v>
      </c>
      <c r="T120" s="135"/>
      <c r="U120" s="135"/>
      <c r="V120" s="135"/>
      <c r="W120" s="135"/>
      <c r="X120" s="136"/>
      <c r="Y120" s="50"/>
      <c r="Z120" s="50"/>
    </row>
    <row r="121" spans="1:26" ht="12.75" hidden="1" outlineLevel="1" x14ac:dyDescent="0.2">
      <c r="A121" s="50"/>
      <c r="B121" s="137"/>
      <c r="C121" s="70" t="s">
        <v>44</v>
      </c>
      <c r="D121" s="108">
        <v>230.81</v>
      </c>
      <c r="E121" s="73">
        <v>4</v>
      </c>
      <c r="F121" s="73">
        <v>4</v>
      </c>
      <c r="G121" s="74">
        <f t="shared" si="0"/>
        <v>1</v>
      </c>
      <c r="H121" s="75">
        <f t="shared" si="1"/>
        <v>57.702500000000001</v>
      </c>
      <c r="I121" s="76">
        <f t="shared" si="2"/>
        <v>57.702500000000001</v>
      </c>
      <c r="J121" s="108">
        <v>38.369999999999997</v>
      </c>
      <c r="K121" s="73">
        <v>10457</v>
      </c>
      <c r="L121" s="73">
        <v>2</v>
      </c>
      <c r="M121" s="109">
        <v>119.9</v>
      </c>
      <c r="N121" s="79">
        <f t="shared" si="44"/>
        <v>0.32001668056713922</v>
      </c>
      <c r="O121" s="80">
        <f t="shared" si="4"/>
        <v>3.1248371123273393</v>
      </c>
      <c r="P121" s="79">
        <f t="shared" si="5"/>
        <v>0.16624063082188811</v>
      </c>
      <c r="Q121" s="81">
        <f t="shared" si="6"/>
        <v>0.51947489276894421</v>
      </c>
      <c r="R121" s="110">
        <f t="shared" si="43"/>
        <v>110.91</v>
      </c>
      <c r="S121" s="83">
        <f t="shared" si="8"/>
        <v>19.184999999999999</v>
      </c>
      <c r="T121" s="135"/>
      <c r="U121" s="135"/>
      <c r="V121" s="135"/>
      <c r="W121" s="135"/>
      <c r="X121" s="136"/>
      <c r="Y121" s="50"/>
      <c r="Z121" s="50"/>
    </row>
    <row r="122" spans="1:26" ht="12.75" hidden="1" outlineLevel="1" x14ac:dyDescent="0.2">
      <c r="A122" s="139"/>
      <c r="B122" s="137"/>
      <c r="C122" s="112" t="s">
        <v>45</v>
      </c>
      <c r="D122" s="71">
        <v>39.9</v>
      </c>
      <c r="E122" s="73">
        <v>2</v>
      </c>
      <c r="F122" s="73">
        <v>1</v>
      </c>
      <c r="G122" s="74">
        <f t="shared" si="0"/>
        <v>2</v>
      </c>
      <c r="H122" s="75">
        <f t="shared" si="1"/>
        <v>19.95</v>
      </c>
      <c r="I122" s="76">
        <f t="shared" si="2"/>
        <v>9.9749999999999996</v>
      </c>
      <c r="J122" s="71">
        <v>0</v>
      </c>
      <c r="K122" s="73">
        <v>0</v>
      </c>
      <c r="L122" s="73">
        <v>0</v>
      </c>
      <c r="M122" s="78">
        <v>0</v>
      </c>
      <c r="N122" s="79" t="e">
        <f t="shared" si="44"/>
        <v>#DIV/0!</v>
      </c>
      <c r="O122" s="80" t="e">
        <f t="shared" si="4"/>
        <v>#DIV/0!</v>
      </c>
      <c r="P122" s="79">
        <f t="shared" si="5"/>
        <v>0</v>
      </c>
      <c r="Q122" s="81">
        <f t="shared" si="6"/>
        <v>0</v>
      </c>
      <c r="R122" s="82">
        <f t="shared" si="43"/>
        <v>39.9</v>
      </c>
      <c r="S122" s="83" t="e">
        <f t="shared" si="8"/>
        <v>#DIV/0!</v>
      </c>
      <c r="T122" s="140"/>
      <c r="U122" s="140"/>
      <c r="V122" s="140"/>
      <c r="W122" s="141"/>
      <c r="X122" s="142"/>
      <c r="Y122" s="50"/>
      <c r="Z122" s="50"/>
    </row>
    <row r="123" spans="1:26" ht="12.75" hidden="1" outlineLevel="1" x14ac:dyDescent="0.2">
      <c r="A123" s="50"/>
      <c r="B123" s="137"/>
      <c r="C123" s="70" t="s">
        <v>46</v>
      </c>
      <c r="D123" s="116">
        <v>654.23</v>
      </c>
      <c r="E123" s="73">
        <v>19</v>
      </c>
      <c r="F123" s="73">
        <v>21</v>
      </c>
      <c r="G123" s="74">
        <f t="shared" si="0"/>
        <v>0.90476190476190477</v>
      </c>
      <c r="H123" s="75">
        <f t="shared" si="1"/>
        <v>34.433157894736844</v>
      </c>
      <c r="I123" s="76">
        <f t="shared" si="2"/>
        <v>38.057700831024931</v>
      </c>
      <c r="J123" s="116">
        <v>101.78</v>
      </c>
      <c r="K123" s="73">
        <v>25729</v>
      </c>
      <c r="L123" s="73">
        <v>8</v>
      </c>
      <c r="M123" s="117">
        <v>273.27999999999997</v>
      </c>
      <c r="N123" s="79">
        <f t="shared" si="44"/>
        <v>0.37243852459016397</v>
      </c>
      <c r="O123" s="80">
        <f t="shared" si="4"/>
        <v>2.6850068775790921</v>
      </c>
      <c r="P123" s="79">
        <f t="shared" si="5"/>
        <v>0.15557219937942313</v>
      </c>
      <c r="Q123" s="81">
        <f t="shared" si="6"/>
        <v>0.41771242529385683</v>
      </c>
      <c r="R123" s="82">
        <f t="shared" si="43"/>
        <v>380.95000000000005</v>
      </c>
      <c r="S123" s="83">
        <f t="shared" si="8"/>
        <v>12.7225</v>
      </c>
      <c r="T123" s="135"/>
      <c r="U123" s="135"/>
      <c r="V123" s="135"/>
      <c r="W123" s="135"/>
      <c r="X123" s="136"/>
      <c r="Y123" s="50"/>
      <c r="Z123" s="50"/>
    </row>
    <row r="124" spans="1:26" ht="12.75" hidden="1" outlineLevel="1" x14ac:dyDescent="0.2">
      <c r="A124" s="50"/>
      <c r="B124" s="137"/>
      <c r="C124" s="70" t="s">
        <v>49</v>
      </c>
      <c r="D124" s="116">
        <v>0</v>
      </c>
      <c r="E124" s="73">
        <v>0</v>
      </c>
      <c r="F124" s="73">
        <v>0</v>
      </c>
      <c r="G124" s="74" t="e">
        <f t="shared" si="0"/>
        <v>#DIV/0!</v>
      </c>
      <c r="H124" s="75" t="e">
        <f t="shared" si="1"/>
        <v>#DIV/0!</v>
      </c>
      <c r="I124" s="76" t="e">
        <f t="shared" si="2"/>
        <v>#DIV/0!</v>
      </c>
      <c r="J124" s="116">
        <v>8.8000000000000007</v>
      </c>
      <c r="K124" s="73">
        <v>6264</v>
      </c>
      <c r="L124" s="73">
        <v>0</v>
      </c>
      <c r="M124" s="117">
        <v>0</v>
      </c>
      <c r="N124" s="79" t="e">
        <f t="shared" si="44"/>
        <v>#DIV/0!</v>
      </c>
      <c r="O124" s="80">
        <f t="shared" si="4"/>
        <v>0</v>
      </c>
      <c r="P124" s="79" t="e">
        <f t="shared" si="5"/>
        <v>#DIV/0!</v>
      </c>
      <c r="Q124" s="81" t="e">
        <f t="shared" si="6"/>
        <v>#DIV/0!</v>
      </c>
      <c r="R124" s="82">
        <f t="shared" si="43"/>
        <v>0</v>
      </c>
      <c r="S124" s="83" t="e">
        <f t="shared" si="8"/>
        <v>#DIV/0!</v>
      </c>
      <c r="T124" s="135"/>
      <c r="U124" s="135"/>
      <c r="V124" s="135"/>
      <c r="W124" s="135"/>
      <c r="X124" s="136"/>
      <c r="Y124" s="50"/>
      <c r="Z124" s="50"/>
    </row>
    <row r="125" spans="1:26" hidden="1" outlineLevel="1" x14ac:dyDescent="0.25">
      <c r="A125" s="118" t="str">
        <f t="shared" ref="A125:A126" si="45">IFERROR(IF(B125&gt;0,MONTH(B125)&amp;"-"&amp;YEAR(B125),B125),)</f>
        <v>4-2025</v>
      </c>
      <c r="B125" s="69">
        <v>45752</v>
      </c>
      <c r="C125" s="198" t="s">
        <v>64</v>
      </c>
      <c r="D125" s="116">
        <v>0</v>
      </c>
      <c r="E125" s="73">
        <v>0</v>
      </c>
      <c r="F125" s="73">
        <v>0</v>
      </c>
      <c r="G125" s="74" t="e">
        <f t="shared" si="0"/>
        <v>#DIV/0!</v>
      </c>
      <c r="H125" s="75" t="e">
        <f t="shared" si="1"/>
        <v>#DIV/0!</v>
      </c>
      <c r="I125" s="76" t="e">
        <f t="shared" si="2"/>
        <v>#DIV/0!</v>
      </c>
      <c r="J125" s="87">
        <v>299.25</v>
      </c>
      <c r="K125" s="204">
        <v>74513</v>
      </c>
      <c r="L125" s="272"/>
      <c r="M125" s="88">
        <v>1286.28</v>
      </c>
      <c r="N125" s="79">
        <f t="shared" si="44"/>
        <v>0.23264763504058214</v>
      </c>
      <c r="O125" s="80">
        <f t="shared" si="4"/>
        <v>4.2983458646616537</v>
      </c>
      <c r="P125" s="79" t="e">
        <f t="shared" si="5"/>
        <v>#DIV/0!</v>
      </c>
      <c r="Q125" s="81" t="e">
        <f t="shared" si="6"/>
        <v>#DIV/0!</v>
      </c>
      <c r="R125" s="82">
        <f t="shared" si="43"/>
        <v>-1286.28</v>
      </c>
      <c r="S125" s="83" t="e">
        <f t="shared" si="8"/>
        <v>#DIV/0!</v>
      </c>
      <c r="T125" s="135"/>
      <c r="U125" s="135"/>
      <c r="V125" s="135"/>
      <c r="W125" s="135"/>
      <c r="X125" s="136"/>
      <c r="Y125" s="50"/>
      <c r="Z125" s="50"/>
    </row>
    <row r="126" spans="1:26" ht="12.75" collapsed="1" x14ac:dyDescent="0.2">
      <c r="A126" s="50">
        <f t="shared" si="45"/>
        <v>0</v>
      </c>
      <c r="B126" s="52" t="s">
        <v>72</v>
      </c>
      <c r="C126" s="145"/>
      <c r="D126" s="121">
        <f t="shared" ref="D126:F126" si="46">SUM(D108:D125)</f>
        <v>15258.61</v>
      </c>
      <c r="E126" s="123">
        <f t="shared" si="46"/>
        <v>158</v>
      </c>
      <c r="F126" s="123">
        <f t="shared" si="46"/>
        <v>139</v>
      </c>
      <c r="G126" s="124">
        <f t="shared" si="0"/>
        <v>1.1366906474820144</v>
      </c>
      <c r="H126" s="125">
        <f t="shared" si="1"/>
        <v>96.573481012658235</v>
      </c>
      <c r="I126" s="126">
        <f t="shared" si="2"/>
        <v>84.960214308604392</v>
      </c>
      <c r="J126" s="121">
        <f t="shared" ref="J126:M126" si="47">SUM(J108:J125)</f>
        <v>1655.1399999999999</v>
      </c>
      <c r="K126" s="123">
        <f t="shared" si="47"/>
        <v>375224</v>
      </c>
      <c r="L126" s="123">
        <f t="shared" si="47"/>
        <v>24</v>
      </c>
      <c r="M126" s="127">
        <f t="shared" si="47"/>
        <v>2790.38</v>
      </c>
      <c r="N126" s="128">
        <f t="shared" si="44"/>
        <v>0.5931593546398698</v>
      </c>
      <c r="O126" s="129">
        <f t="shared" si="4"/>
        <v>1.68588759863214</v>
      </c>
      <c r="P126" s="128">
        <f t="shared" si="5"/>
        <v>0.10847252796945461</v>
      </c>
      <c r="Q126" s="130">
        <f t="shared" si="6"/>
        <v>0.18287248969598149</v>
      </c>
      <c r="R126" s="131">
        <f>SUM(R108:R125)</f>
        <v>12468.230000000001</v>
      </c>
      <c r="S126" s="132">
        <f t="shared" si="8"/>
        <v>68.964166666666657</v>
      </c>
      <c r="T126" s="133">
        <f t="shared" ref="T126:U126" si="48">IFERROR((D126-D69)/D126,)</f>
        <v>0.50314478186414113</v>
      </c>
      <c r="U126" s="133">
        <f t="shared" si="48"/>
        <v>0.4050632911392405</v>
      </c>
      <c r="V126" s="271">
        <f t="shared" ref="V126:W126" si="49">IFERROR((D126-#REF!)/D126, )</f>
        <v>0</v>
      </c>
      <c r="W126" s="271">
        <f t="shared" si="49"/>
        <v>0</v>
      </c>
      <c r="X126" s="50"/>
      <c r="Y126" s="50"/>
      <c r="Z126" s="50"/>
    </row>
    <row r="127" spans="1:26" ht="12.75" hidden="1" outlineLevel="1" x14ac:dyDescent="0.2">
      <c r="A127" s="50"/>
      <c r="B127" s="69">
        <v>45753</v>
      </c>
      <c r="C127" s="70" t="s">
        <v>32</v>
      </c>
      <c r="D127" s="71">
        <v>4611.5600000000004</v>
      </c>
      <c r="E127" s="73">
        <v>12</v>
      </c>
      <c r="F127" s="73">
        <v>13</v>
      </c>
      <c r="G127" s="74">
        <f t="shared" si="0"/>
        <v>0.92307692307692313</v>
      </c>
      <c r="H127" s="75">
        <f t="shared" si="1"/>
        <v>384.29666666666668</v>
      </c>
      <c r="I127" s="76">
        <f t="shared" si="2"/>
        <v>416.32138888888886</v>
      </c>
      <c r="J127" s="77">
        <v>449.95</v>
      </c>
      <c r="K127" s="73">
        <v>96209</v>
      </c>
      <c r="L127" s="73">
        <v>4</v>
      </c>
      <c r="M127" s="78">
        <v>2151.9499999999998</v>
      </c>
      <c r="N127" s="79">
        <f t="shared" si="44"/>
        <v>0.2090894305165083</v>
      </c>
      <c r="O127" s="80">
        <f t="shared" si="4"/>
        <v>4.7826425158350929</v>
      </c>
      <c r="P127" s="79">
        <f t="shared" si="5"/>
        <v>9.7570019689649484E-2</v>
      </c>
      <c r="Q127" s="81">
        <f t="shared" si="6"/>
        <v>0.46664252443858467</v>
      </c>
      <c r="R127" s="82">
        <f t="shared" ref="R127:R144" si="50">D127-M127</f>
        <v>2459.6100000000006</v>
      </c>
      <c r="S127" s="83">
        <f t="shared" si="8"/>
        <v>112.4875</v>
      </c>
      <c r="T127" s="135"/>
      <c r="U127" s="135"/>
      <c r="V127" s="135"/>
      <c r="W127" s="135"/>
      <c r="X127" s="136"/>
      <c r="Y127" s="50"/>
      <c r="Z127" s="50"/>
    </row>
    <row r="128" spans="1:26" ht="12.75" hidden="1" outlineLevel="1" x14ac:dyDescent="0.2">
      <c r="A128" s="50"/>
      <c r="B128" s="137"/>
      <c r="C128" s="70" t="s">
        <v>33</v>
      </c>
      <c r="D128" s="87">
        <v>3422.82</v>
      </c>
      <c r="E128" s="73">
        <v>47</v>
      </c>
      <c r="F128" s="73">
        <v>40</v>
      </c>
      <c r="G128" s="74">
        <f t="shared" si="0"/>
        <v>1.175</v>
      </c>
      <c r="H128" s="75">
        <f t="shared" si="1"/>
        <v>72.825957446808516</v>
      </c>
      <c r="I128" s="76">
        <f t="shared" si="2"/>
        <v>61.979538252602993</v>
      </c>
      <c r="J128" s="87">
        <v>265.33</v>
      </c>
      <c r="K128" s="73">
        <v>104909</v>
      </c>
      <c r="L128" s="73">
        <v>4</v>
      </c>
      <c r="M128" s="88">
        <v>219.85</v>
      </c>
      <c r="N128" s="79">
        <f t="shared" si="44"/>
        <v>1.2068683193086194</v>
      </c>
      <c r="O128" s="80">
        <f t="shared" si="4"/>
        <v>0.8285908114423548</v>
      </c>
      <c r="P128" s="79">
        <f t="shared" si="5"/>
        <v>7.7517953032879311E-2</v>
      </c>
      <c r="Q128" s="81">
        <f t="shared" si="6"/>
        <v>6.4230663604863819E-2</v>
      </c>
      <c r="R128" s="89">
        <f t="shared" si="50"/>
        <v>3202.9700000000003</v>
      </c>
      <c r="S128" s="83">
        <f t="shared" si="8"/>
        <v>66.332499999999996</v>
      </c>
      <c r="T128" s="135"/>
      <c r="U128" s="135"/>
      <c r="V128" s="135"/>
      <c r="W128" s="135"/>
      <c r="X128" s="136"/>
      <c r="Y128" s="50"/>
      <c r="Z128" s="50"/>
    </row>
    <row r="129" spans="1:26" ht="12.75" hidden="1" outlineLevel="1" x14ac:dyDescent="0.2">
      <c r="A129" s="50"/>
      <c r="B129" s="137"/>
      <c r="C129" s="70" t="s">
        <v>34</v>
      </c>
      <c r="D129" s="90">
        <v>0</v>
      </c>
      <c r="E129" s="73">
        <v>0</v>
      </c>
      <c r="F129" s="73">
        <v>0</v>
      </c>
      <c r="G129" s="74" t="e">
        <f t="shared" si="0"/>
        <v>#DIV/0!</v>
      </c>
      <c r="H129" s="75" t="e">
        <f t="shared" si="1"/>
        <v>#DIV/0!</v>
      </c>
      <c r="I129" s="76" t="e">
        <f t="shared" si="2"/>
        <v>#DIV/0!</v>
      </c>
      <c r="J129" s="90">
        <v>0</v>
      </c>
      <c r="K129" s="73">
        <v>1</v>
      </c>
      <c r="L129" s="73">
        <v>0</v>
      </c>
      <c r="M129" s="91">
        <v>0</v>
      </c>
      <c r="N129" s="79" t="e">
        <f>(J129/M129)</f>
        <v>#DIV/0!</v>
      </c>
      <c r="O129" s="80" t="e">
        <f t="shared" si="4"/>
        <v>#DIV/0!</v>
      </c>
      <c r="P129" s="79" t="e">
        <f t="shared" si="5"/>
        <v>#DIV/0!</v>
      </c>
      <c r="Q129" s="81" t="e">
        <f t="shared" si="6"/>
        <v>#DIV/0!</v>
      </c>
      <c r="R129" s="92">
        <f t="shared" si="50"/>
        <v>0</v>
      </c>
      <c r="S129" s="83" t="e">
        <f t="shared" si="8"/>
        <v>#DIV/0!</v>
      </c>
      <c r="T129" s="135"/>
      <c r="U129" s="135"/>
      <c r="V129" s="135"/>
      <c r="W129" s="135"/>
      <c r="X129" s="136"/>
      <c r="Y129" s="50"/>
      <c r="Z129" s="50"/>
    </row>
    <row r="130" spans="1:26" ht="12.75" hidden="1" outlineLevel="1" x14ac:dyDescent="0.2">
      <c r="A130" s="50"/>
      <c r="B130" s="137"/>
      <c r="C130" s="70" t="s">
        <v>35</v>
      </c>
      <c r="D130" s="90">
        <v>239.8</v>
      </c>
      <c r="E130" s="73">
        <v>4</v>
      </c>
      <c r="F130" s="73">
        <v>3</v>
      </c>
      <c r="G130" s="74">
        <f t="shared" si="0"/>
        <v>1.3333333333333333</v>
      </c>
      <c r="H130" s="75">
        <f t="shared" si="1"/>
        <v>59.95</v>
      </c>
      <c r="I130" s="76">
        <f t="shared" si="2"/>
        <v>44.962500000000006</v>
      </c>
      <c r="J130" s="90">
        <v>115.54</v>
      </c>
      <c r="K130" s="73">
        <v>8991</v>
      </c>
      <c r="L130" s="73">
        <v>1</v>
      </c>
      <c r="M130" s="91">
        <v>59.95</v>
      </c>
      <c r="N130" s="79">
        <f t="shared" ref="N130:N147" si="51">J130/M130</f>
        <v>1.9272727272727272</v>
      </c>
      <c r="O130" s="80">
        <f t="shared" si="4"/>
        <v>0.51886792452830188</v>
      </c>
      <c r="P130" s="79">
        <f t="shared" si="5"/>
        <v>0.48181818181818181</v>
      </c>
      <c r="Q130" s="81">
        <f t="shared" si="6"/>
        <v>0.25</v>
      </c>
      <c r="R130" s="92">
        <f t="shared" si="50"/>
        <v>179.85000000000002</v>
      </c>
      <c r="S130" s="83">
        <f t="shared" si="8"/>
        <v>115.54</v>
      </c>
      <c r="T130" s="135"/>
      <c r="U130" s="135"/>
      <c r="V130" s="135"/>
      <c r="W130" s="135"/>
      <c r="X130" s="136"/>
      <c r="Y130" s="50"/>
      <c r="Z130" s="50"/>
    </row>
    <row r="131" spans="1:26" ht="12.75" hidden="1" outlineLevel="1" x14ac:dyDescent="0.2">
      <c r="A131" s="50"/>
      <c r="B131" s="137"/>
      <c r="C131" s="70" t="s">
        <v>62</v>
      </c>
      <c r="D131" s="200">
        <v>180</v>
      </c>
      <c r="E131" s="73">
        <v>5</v>
      </c>
      <c r="F131" s="73">
        <v>4</v>
      </c>
      <c r="G131" s="74">
        <f t="shared" si="0"/>
        <v>1.25</v>
      </c>
      <c r="H131" s="75">
        <f t="shared" si="1"/>
        <v>36</v>
      </c>
      <c r="I131" s="76">
        <f t="shared" si="2"/>
        <v>28.8</v>
      </c>
      <c r="J131" s="200">
        <v>0</v>
      </c>
      <c r="K131" s="73">
        <v>0</v>
      </c>
      <c r="L131" s="73">
        <v>0</v>
      </c>
      <c r="M131" s="200">
        <v>0</v>
      </c>
      <c r="N131" s="79" t="e">
        <f t="shared" si="51"/>
        <v>#DIV/0!</v>
      </c>
      <c r="O131" s="80" t="e">
        <f t="shared" si="4"/>
        <v>#DIV/0!</v>
      </c>
      <c r="P131" s="79">
        <f t="shared" si="5"/>
        <v>0</v>
      </c>
      <c r="Q131" s="81">
        <f t="shared" si="6"/>
        <v>0</v>
      </c>
      <c r="R131" s="92">
        <f t="shared" si="50"/>
        <v>180</v>
      </c>
      <c r="S131" s="83" t="e">
        <f t="shared" si="8"/>
        <v>#DIV/0!</v>
      </c>
      <c r="T131" s="135"/>
      <c r="U131" s="135"/>
      <c r="V131" s="135"/>
      <c r="W131" s="135"/>
      <c r="X131" s="136"/>
      <c r="Y131" s="50"/>
      <c r="Z131" s="50"/>
    </row>
    <row r="132" spans="1:26" ht="12.75" hidden="1" outlineLevel="1" x14ac:dyDescent="0.2">
      <c r="A132" s="50"/>
      <c r="B132" s="137"/>
      <c r="C132" s="70" t="s">
        <v>66</v>
      </c>
      <c r="D132" s="201">
        <v>0</v>
      </c>
      <c r="E132" s="73">
        <v>0</v>
      </c>
      <c r="F132" s="73">
        <v>0</v>
      </c>
      <c r="G132" s="74" t="e">
        <f t="shared" si="0"/>
        <v>#DIV/0!</v>
      </c>
      <c r="H132" s="75" t="e">
        <f t="shared" si="1"/>
        <v>#DIV/0!</v>
      </c>
      <c r="I132" s="76" t="e">
        <f t="shared" si="2"/>
        <v>#DIV/0!</v>
      </c>
      <c r="J132" s="201">
        <v>32.549999999999997</v>
      </c>
      <c r="K132" s="73">
        <v>683</v>
      </c>
      <c r="L132" s="73">
        <v>0</v>
      </c>
      <c r="M132" s="202">
        <v>0</v>
      </c>
      <c r="N132" s="79" t="e">
        <f t="shared" si="51"/>
        <v>#DIV/0!</v>
      </c>
      <c r="O132" s="80">
        <f t="shared" si="4"/>
        <v>0</v>
      </c>
      <c r="P132" s="79" t="e">
        <f t="shared" si="5"/>
        <v>#DIV/0!</v>
      </c>
      <c r="Q132" s="81" t="e">
        <f t="shared" si="6"/>
        <v>#DIV/0!</v>
      </c>
      <c r="R132" s="203">
        <f t="shared" si="50"/>
        <v>0</v>
      </c>
      <c r="S132" s="83" t="e">
        <f t="shared" si="8"/>
        <v>#DIV/0!</v>
      </c>
      <c r="T132" s="135"/>
      <c r="U132" s="135"/>
      <c r="V132" s="135"/>
      <c r="W132" s="135"/>
      <c r="X132" s="136"/>
      <c r="Y132" s="50"/>
      <c r="Z132" s="50"/>
    </row>
    <row r="133" spans="1:26" ht="12.75" hidden="1" outlineLevel="1" x14ac:dyDescent="0.2">
      <c r="A133" s="50"/>
      <c r="B133" s="137"/>
      <c r="C133" s="70" t="s">
        <v>36</v>
      </c>
      <c r="D133" s="90">
        <v>519.6</v>
      </c>
      <c r="E133" s="73">
        <v>8</v>
      </c>
      <c r="F133" s="73">
        <v>6</v>
      </c>
      <c r="G133" s="74">
        <f t="shared" si="0"/>
        <v>1.3333333333333333</v>
      </c>
      <c r="H133" s="75">
        <f t="shared" si="1"/>
        <v>64.95</v>
      </c>
      <c r="I133" s="76">
        <f t="shared" si="2"/>
        <v>48.712500000000006</v>
      </c>
      <c r="J133" s="90">
        <v>16.13</v>
      </c>
      <c r="K133" s="73">
        <v>2628</v>
      </c>
      <c r="L133" s="73">
        <v>2</v>
      </c>
      <c r="M133" s="91">
        <v>139.9</v>
      </c>
      <c r="N133" s="79">
        <f t="shared" si="51"/>
        <v>0.11529664045746961</v>
      </c>
      <c r="O133" s="80">
        <f t="shared" si="4"/>
        <v>8.6732796032238078</v>
      </c>
      <c r="P133" s="79">
        <f t="shared" si="5"/>
        <v>3.1043110084680522E-2</v>
      </c>
      <c r="Q133" s="81">
        <f t="shared" si="6"/>
        <v>0.26924557351809086</v>
      </c>
      <c r="R133" s="92">
        <f t="shared" si="50"/>
        <v>379.70000000000005</v>
      </c>
      <c r="S133" s="83">
        <f t="shared" si="8"/>
        <v>8.0649999999999995</v>
      </c>
      <c r="T133" s="135"/>
      <c r="U133" s="135"/>
      <c r="V133" s="135"/>
      <c r="W133" s="135"/>
      <c r="X133" s="136"/>
      <c r="Y133" s="50"/>
      <c r="Z133" s="50"/>
    </row>
    <row r="134" spans="1:26" ht="12.75" hidden="1" outlineLevel="1" x14ac:dyDescent="0.2">
      <c r="A134" s="50"/>
      <c r="B134" s="69" t="s">
        <v>37</v>
      </c>
      <c r="C134" s="70" t="s">
        <v>38</v>
      </c>
      <c r="D134" s="93">
        <v>119.23</v>
      </c>
      <c r="E134" s="73">
        <v>5</v>
      </c>
      <c r="F134" s="73">
        <v>6</v>
      </c>
      <c r="G134" s="74">
        <f t="shared" si="0"/>
        <v>0.83333333333333337</v>
      </c>
      <c r="H134" s="75">
        <f t="shared" si="1"/>
        <v>23.846</v>
      </c>
      <c r="I134" s="76">
        <f t="shared" si="2"/>
        <v>28.615199999999998</v>
      </c>
      <c r="J134" s="93">
        <v>0</v>
      </c>
      <c r="K134" s="73">
        <v>0</v>
      </c>
      <c r="L134" s="73">
        <v>0</v>
      </c>
      <c r="M134" s="94">
        <v>0</v>
      </c>
      <c r="N134" s="79" t="e">
        <f t="shared" si="51"/>
        <v>#DIV/0!</v>
      </c>
      <c r="O134" s="80" t="e">
        <f t="shared" si="4"/>
        <v>#DIV/0!</v>
      </c>
      <c r="P134" s="79">
        <f t="shared" si="5"/>
        <v>0</v>
      </c>
      <c r="Q134" s="81">
        <f t="shared" si="6"/>
        <v>0</v>
      </c>
      <c r="R134" s="95">
        <f t="shared" si="50"/>
        <v>119.23</v>
      </c>
      <c r="S134" s="83" t="e">
        <f t="shared" si="8"/>
        <v>#DIV/0!</v>
      </c>
      <c r="T134" s="135"/>
      <c r="U134" s="135"/>
      <c r="V134" s="135"/>
      <c r="W134" s="135"/>
      <c r="X134" s="136"/>
      <c r="Y134" s="50"/>
      <c r="Z134" s="50"/>
    </row>
    <row r="135" spans="1:26" ht="12.75" hidden="1" outlineLevel="1" x14ac:dyDescent="0.2">
      <c r="A135" s="50"/>
      <c r="B135" s="137"/>
      <c r="C135" s="70" t="s">
        <v>39</v>
      </c>
      <c r="D135" s="96">
        <v>359.89</v>
      </c>
      <c r="E135" s="73">
        <v>3</v>
      </c>
      <c r="F135" s="73">
        <v>3</v>
      </c>
      <c r="G135" s="74">
        <f t="shared" si="0"/>
        <v>1</v>
      </c>
      <c r="H135" s="75">
        <f t="shared" si="1"/>
        <v>119.96333333333332</v>
      </c>
      <c r="I135" s="76">
        <f t="shared" si="2"/>
        <v>119.96333333333332</v>
      </c>
      <c r="J135" s="96">
        <v>0</v>
      </c>
      <c r="K135" s="73">
        <v>0</v>
      </c>
      <c r="L135" s="73">
        <v>0</v>
      </c>
      <c r="M135" s="97">
        <v>0</v>
      </c>
      <c r="N135" s="79" t="e">
        <f t="shared" si="51"/>
        <v>#DIV/0!</v>
      </c>
      <c r="O135" s="80" t="e">
        <f t="shared" si="4"/>
        <v>#DIV/0!</v>
      </c>
      <c r="P135" s="79">
        <f t="shared" si="5"/>
        <v>0</v>
      </c>
      <c r="Q135" s="81">
        <f t="shared" si="6"/>
        <v>0</v>
      </c>
      <c r="R135" s="98">
        <f t="shared" si="50"/>
        <v>359.89</v>
      </c>
      <c r="S135" s="83" t="e">
        <f t="shared" si="8"/>
        <v>#DIV/0!</v>
      </c>
      <c r="T135" s="135"/>
      <c r="U135" s="135"/>
      <c r="V135" s="135"/>
      <c r="W135" s="135"/>
      <c r="X135" s="136"/>
      <c r="Y135" s="50"/>
      <c r="Z135" s="50"/>
    </row>
    <row r="136" spans="1:26" ht="12.75" hidden="1" outlineLevel="1" x14ac:dyDescent="0.2">
      <c r="A136" s="50"/>
      <c r="B136" s="137"/>
      <c r="C136" s="70" t="s">
        <v>40</v>
      </c>
      <c r="D136" s="99">
        <v>461.59</v>
      </c>
      <c r="E136" s="73">
        <v>9</v>
      </c>
      <c r="F136" s="73">
        <v>6</v>
      </c>
      <c r="G136" s="74">
        <f t="shared" si="0"/>
        <v>1.5</v>
      </c>
      <c r="H136" s="75">
        <f t="shared" si="1"/>
        <v>51.287777777777777</v>
      </c>
      <c r="I136" s="76">
        <f t="shared" si="2"/>
        <v>34.191851851851851</v>
      </c>
      <c r="J136" s="99">
        <v>0</v>
      </c>
      <c r="K136" s="73">
        <v>0</v>
      </c>
      <c r="L136" s="73">
        <v>0</v>
      </c>
      <c r="M136" s="100">
        <v>0</v>
      </c>
      <c r="N136" s="79" t="e">
        <f t="shared" si="51"/>
        <v>#DIV/0!</v>
      </c>
      <c r="O136" s="80" t="e">
        <f t="shared" si="4"/>
        <v>#DIV/0!</v>
      </c>
      <c r="P136" s="79">
        <f t="shared" si="5"/>
        <v>0</v>
      </c>
      <c r="Q136" s="81">
        <f t="shared" si="6"/>
        <v>0</v>
      </c>
      <c r="R136" s="101">
        <f t="shared" si="50"/>
        <v>461.59</v>
      </c>
      <c r="S136" s="83" t="e">
        <f t="shared" si="8"/>
        <v>#DIV/0!</v>
      </c>
      <c r="T136" s="135"/>
      <c r="U136" s="135"/>
      <c r="V136" s="135"/>
      <c r="W136" s="135"/>
      <c r="X136" s="136"/>
      <c r="Y136" s="50"/>
      <c r="Z136" s="50"/>
    </row>
    <row r="137" spans="1:26" ht="12.75" hidden="1" outlineLevel="1" x14ac:dyDescent="0.2">
      <c r="A137" s="50"/>
      <c r="B137" s="137"/>
      <c r="C137" s="70" t="s">
        <v>41</v>
      </c>
      <c r="D137" s="102">
        <v>0</v>
      </c>
      <c r="E137" s="73">
        <v>0</v>
      </c>
      <c r="F137" s="73">
        <v>0</v>
      </c>
      <c r="G137" s="74" t="e">
        <f t="shared" si="0"/>
        <v>#DIV/0!</v>
      </c>
      <c r="H137" s="75" t="e">
        <f t="shared" si="1"/>
        <v>#DIV/0!</v>
      </c>
      <c r="I137" s="76" t="e">
        <f t="shared" si="2"/>
        <v>#DIV/0!</v>
      </c>
      <c r="J137" s="102">
        <v>5.36</v>
      </c>
      <c r="K137" s="73">
        <v>708</v>
      </c>
      <c r="L137" s="73">
        <v>0</v>
      </c>
      <c r="M137" s="103">
        <v>0</v>
      </c>
      <c r="N137" s="79" t="e">
        <f t="shared" si="51"/>
        <v>#DIV/0!</v>
      </c>
      <c r="O137" s="80">
        <f t="shared" si="4"/>
        <v>0</v>
      </c>
      <c r="P137" s="79" t="e">
        <f t="shared" si="5"/>
        <v>#DIV/0!</v>
      </c>
      <c r="Q137" s="81" t="e">
        <f t="shared" si="6"/>
        <v>#DIV/0!</v>
      </c>
      <c r="R137" s="104">
        <f t="shared" si="50"/>
        <v>0</v>
      </c>
      <c r="S137" s="83" t="e">
        <f t="shared" si="8"/>
        <v>#DIV/0!</v>
      </c>
      <c r="T137" s="135"/>
      <c r="U137" s="135"/>
      <c r="V137" s="135"/>
      <c r="W137" s="135"/>
      <c r="X137" s="136"/>
      <c r="Y137" s="50"/>
      <c r="Z137" s="50"/>
    </row>
    <row r="138" spans="1:26" ht="12.75" hidden="1" outlineLevel="1" x14ac:dyDescent="0.2">
      <c r="A138" s="50"/>
      <c r="B138" s="137"/>
      <c r="C138" s="70" t="s">
        <v>42</v>
      </c>
      <c r="D138" s="90">
        <v>79.959999999999994</v>
      </c>
      <c r="E138" s="73">
        <v>4</v>
      </c>
      <c r="F138" s="73">
        <v>0</v>
      </c>
      <c r="G138" s="74" t="e">
        <f t="shared" si="0"/>
        <v>#DIV/0!</v>
      </c>
      <c r="H138" s="75">
        <f t="shared" si="1"/>
        <v>19.989999999999998</v>
      </c>
      <c r="I138" s="76" t="e">
        <f t="shared" si="2"/>
        <v>#DIV/0!</v>
      </c>
      <c r="J138" s="90">
        <v>5.9</v>
      </c>
      <c r="K138" s="73">
        <v>15360</v>
      </c>
      <c r="L138" s="73">
        <v>1</v>
      </c>
      <c r="M138" s="91">
        <v>19.989999999999998</v>
      </c>
      <c r="N138" s="79">
        <f t="shared" si="51"/>
        <v>0.29514757378689349</v>
      </c>
      <c r="O138" s="80">
        <f t="shared" si="4"/>
        <v>3.3881355932203383</v>
      </c>
      <c r="P138" s="79">
        <f t="shared" si="5"/>
        <v>7.3786893446723373E-2</v>
      </c>
      <c r="Q138" s="81">
        <f t="shared" si="6"/>
        <v>0.25</v>
      </c>
      <c r="R138" s="92">
        <f t="shared" si="50"/>
        <v>59.97</v>
      </c>
      <c r="S138" s="83">
        <f t="shared" si="8"/>
        <v>5.9</v>
      </c>
      <c r="T138" s="135"/>
      <c r="U138" s="135"/>
      <c r="V138" s="135"/>
      <c r="W138" s="135"/>
      <c r="X138" s="136"/>
      <c r="Y138" s="50"/>
      <c r="Z138" s="50"/>
    </row>
    <row r="139" spans="1:26" ht="12.75" hidden="1" outlineLevel="1" x14ac:dyDescent="0.2">
      <c r="A139" s="50"/>
      <c r="B139" s="137"/>
      <c r="C139" s="70" t="s">
        <v>43</v>
      </c>
      <c r="D139" s="105">
        <v>195</v>
      </c>
      <c r="E139" s="73">
        <v>1</v>
      </c>
      <c r="F139" s="73">
        <v>1</v>
      </c>
      <c r="G139" s="74">
        <f t="shared" si="0"/>
        <v>1</v>
      </c>
      <c r="H139" s="75">
        <f t="shared" si="1"/>
        <v>195</v>
      </c>
      <c r="I139" s="76">
        <f t="shared" si="2"/>
        <v>195</v>
      </c>
      <c r="J139" s="105">
        <v>97.03</v>
      </c>
      <c r="K139" s="73">
        <v>31817</v>
      </c>
      <c r="L139" s="73">
        <v>2</v>
      </c>
      <c r="M139" s="106">
        <v>119.9</v>
      </c>
      <c r="N139" s="79">
        <f t="shared" si="51"/>
        <v>0.80925771476230191</v>
      </c>
      <c r="O139" s="80">
        <f t="shared" si="4"/>
        <v>1.2357002988766361</v>
      </c>
      <c r="P139" s="79">
        <f t="shared" si="5"/>
        <v>0.49758974358974362</v>
      </c>
      <c r="Q139" s="81">
        <f t="shared" si="6"/>
        <v>0.61487179487179489</v>
      </c>
      <c r="R139" s="107">
        <f t="shared" si="50"/>
        <v>75.099999999999994</v>
      </c>
      <c r="S139" s="83">
        <f t="shared" si="8"/>
        <v>48.515000000000001</v>
      </c>
      <c r="T139" s="135"/>
      <c r="U139" s="135"/>
      <c r="V139" s="135"/>
      <c r="W139" s="135"/>
      <c r="X139" s="136"/>
      <c r="Y139" s="50"/>
      <c r="Z139" s="50"/>
    </row>
    <row r="140" spans="1:26" ht="12.75" hidden="1" outlineLevel="1" x14ac:dyDescent="0.2">
      <c r="A140" s="50"/>
      <c r="B140" s="137"/>
      <c r="C140" s="70" t="s">
        <v>44</v>
      </c>
      <c r="D140" s="108">
        <v>90.91</v>
      </c>
      <c r="E140" s="73">
        <v>2</v>
      </c>
      <c r="F140" s="73">
        <v>2</v>
      </c>
      <c r="G140" s="74">
        <f t="shared" si="0"/>
        <v>1</v>
      </c>
      <c r="H140" s="75">
        <f t="shared" si="1"/>
        <v>45.454999999999998</v>
      </c>
      <c r="I140" s="76">
        <f t="shared" si="2"/>
        <v>45.454999999999998</v>
      </c>
      <c r="J140" s="108">
        <v>125.48</v>
      </c>
      <c r="K140" s="73">
        <v>24053</v>
      </c>
      <c r="L140" s="73">
        <v>4</v>
      </c>
      <c r="M140" s="109">
        <v>64.680000000000007</v>
      </c>
      <c r="N140" s="79">
        <f t="shared" si="51"/>
        <v>1.9400123685837971</v>
      </c>
      <c r="O140" s="80">
        <f t="shared" si="4"/>
        <v>0.51546063117628316</v>
      </c>
      <c r="P140" s="79">
        <f t="shared" si="5"/>
        <v>1.3802661973380268</v>
      </c>
      <c r="Q140" s="81">
        <f t="shared" si="6"/>
        <v>0.71147288527114738</v>
      </c>
      <c r="R140" s="110">
        <f t="shared" si="50"/>
        <v>26.22999999999999</v>
      </c>
      <c r="S140" s="83">
        <f t="shared" si="8"/>
        <v>31.37</v>
      </c>
      <c r="T140" s="135"/>
      <c r="U140" s="135"/>
      <c r="V140" s="135"/>
      <c r="W140" s="135"/>
      <c r="X140" s="136"/>
      <c r="Y140" s="50"/>
      <c r="Z140" s="50"/>
    </row>
    <row r="141" spans="1:26" ht="12.75" hidden="1" outlineLevel="1" x14ac:dyDescent="0.2">
      <c r="A141" s="139"/>
      <c r="B141" s="137"/>
      <c r="C141" s="112" t="s">
        <v>45</v>
      </c>
      <c r="D141" s="71">
        <v>0</v>
      </c>
      <c r="E141" s="73">
        <v>0</v>
      </c>
      <c r="F141" s="73">
        <v>0</v>
      </c>
      <c r="G141" s="74" t="e">
        <f t="shared" si="0"/>
        <v>#DIV/0!</v>
      </c>
      <c r="H141" s="75" t="e">
        <f t="shared" si="1"/>
        <v>#DIV/0!</v>
      </c>
      <c r="I141" s="76" t="e">
        <f t="shared" si="2"/>
        <v>#DIV/0!</v>
      </c>
      <c r="J141" s="71">
        <v>0</v>
      </c>
      <c r="K141" s="73">
        <v>0</v>
      </c>
      <c r="L141" s="73">
        <v>0</v>
      </c>
      <c r="M141" s="78">
        <v>0</v>
      </c>
      <c r="N141" s="79" t="e">
        <f t="shared" si="51"/>
        <v>#DIV/0!</v>
      </c>
      <c r="O141" s="80" t="e">
        <f t="shared" si="4"/>
        <v>#DIV/0!</v>
      </c>
      <c r="P141" s="79" t="e">
        <f t="shared" si="5"/>
        <v>#DIV/0!</v>
      </c>
      <c r="Q141" s="81" t="e">
        <f t="shared" si="6"/>
        <v>#DIV/0!</v>
      </c>
      <c r="R141" s="82">
        <f t="shared" si="50"/>
        <v>0</v>
      </c>
      <c r="S141" s="83" t="e">
        <f t="shared" si="8"/>
        <v>#DIV/0!</v>
      </c>
      <c r="T141" s="140"/>
      <c r="U141" s="140"/>
      <c r="V141" s="140"/>
      <c r="W141" s="141"/>
      <c r="X141" s="142"/>
      <c r="Y141" s="50"/>
      <c r="Z141" s="50"/>
    </row>
    <row r="142" spans="1:26" ht="12.75" hidden="1" outlineLevel="1" x14ac:dyDescent="0.2">
      <c r="A142" s="50"/>
      <c r="B142" s="137"/>
      <c r="C142" s="70" t="s">
        <v>46</v>
      </c>
      <c r="D142" s="116">
        <v>563.91999999999996</v>
      </c>
      <c r="E142" s="73">
        <v>15</v>
      </c>
      <c r="F142" s="73">
        <v>16</v>
      </c>
      <c r="G142" s="74">
        <f t="shared" si="0"/>
        <v>0.9375</v>
      </c>
      <c r="H142" s="75">
        <f t="shared" si="1"/>
        <v>37.594666666666662</v>
      </c>
      <c r="I142" s="76">
        <f t="shared" si="2"/>
        <v>40.100977777777771</v>
      </c>
      <c r="J142" s="116">
        <v>148.76</v>
      </c>
      <c r="K142" s="73">
        <v>37784</v>
      </c>
      <c r="L142" s="73">
        <v>10</v>
      </c>
      <c r="M142" s="117">
        <v>341.6</v>
      </c>
      <c r="N142" s="79">
        <f t="shared" si="51"/>
        <v>0.43548009367681495</v>
      </c>
      <c r="O142" s="80">
        <f t="shared" si="4"/>
        <v>2.2963162140360316</v>
      </c>
      <c r="P142" s="79">
        <f t="shared" si="5"/>
        <v>0.263796283160732</v>
      </c>
      <c r="Q142" s="81">
        <f t="shared" si="6"/>
        <v>0.60575968222442911</v>
      </c>
      <c r="R142" s="82">
        <f t="shared" si="50"/>
        <v>222.31999999999994</v>
      </c>
      <c r="S142" s="83">
        <f t="shared" si="8"/>
        <v>14.875999999999999</v>
      </c>
      <c r="T142" s="135"/>
      <c r="U142" s="135"/>
      <c r="V142" s="135"/>
      <c r="W142" s="135"/>
      <c r="X142" s="136"/>
      <c r="Y142" s="50"/>
      <c r="Z142" s="50"/>
    </row>
    <row r="143" spans="1:26" ht="12.75" hidden="1" outlineLevel="1" x14ac:dyDescent="0.2">
      <c r="A143" s="50"/>
      <c r="B143" s="137"/>
      <c r="C143" s="70" t="s">
        <v>49</v>
      </c>
      <c r="D143" s="116">
        <v>0</v>
      </c>
      <c r="E143" s="73">
        <v>0</v>
      </c>
      <c r="F143" s="73">
        <v>0</v>
      </c>
      <c r="G143" s="74" t="e">
        <f t="shared" si="0"/>
        <v>#DIV/0!</v>
      </c>
      <c r="H143" s="75" t="e">
        <f t="shared" si="1"/>
        <v>#DIV/0!</v>
      </c>
      <c r="I143" s="76" t="e">
        <f t="shared" si="2"/>
        <v>#DIV/0!</v>
      </c>
      <c r="J143" s="116">
        <v>3.16</v>
      </c>
      <c r="K143" s="73">
        <v>7285</v>
      </c>
      <c r="L143" s="73">
        <v>0</v>
      </c>
      <c r="M143" s="117">
        <v>0</v>
      </c>
      <c r="N143" s="79" t="e">
        <f t="shared" si="51"/>
        <v>#DIV/0!</v>
      </c>
      <c r="O143" s="80">
        <f t="shared" si="4"/>
        <v>0</v>
      </c>
      <c r="P143" s="79" t="e">
        <f t="shared" si="5"/>
        <v>#DIV/0!</v>
      </c>
      <c r="Q143" s="81" t="e">
        <f t="shared" si="6"/>
        <v>#DIV/0!</v>
      </c>
      <c r="R143" s="82">
        <f t="shared" si="50"/>
        <v>0</v>
      </c>
      <c r="S143" s="83" t="e">
        <f t="shared" si="8"/>
        <v>#DIV/0!</v>
      </c>
      <c r="T143" s="135"/>
      <c r="U143" s="135"/>
      <c r="V143" s="135"/>
      <c r="W143" s="135"/>
      <c r="X143" s="136"/>
      <c r="Y143" s="50"/>
      <c r="Z143" s="50"/>
    </row>
    <row r="144" spans="1:26" hidden="1" outlineLevel="1" x14ac:dyDescent="0.25">
      <c r="A144" s="118" t="str">
        <f t="shared" ref="A144:A145" si="52">IFERROR(IF(B144&gt;0,MONTH(B144)&amp;"-"&amp;YEAR(B144),B144),)</f>
        <v>4-2025</v>
      </c>
      <c r="B144" s="69">
        <v>45759</v>
      </c>
      <c r="C144" s="198" t="s">
        <v>64</v>
      </c>
      <c r="D144" s="116">
        <v>0</v>
      </c>
      <c r="E144" s="73">
        <v>0</v>
      </c>
      <c r="F144" s="73">
        <v>0</v>
      </c>
      <c r="G144" s="74" t="e">
        <f t="shared" si="0"/>
        <v>#DIV/0!</v>
      </c>
      <c r="H144" s="75" t="e">
        <f t="shared" si="1"/>
        <v>#DIV/0!</v>
      </c>
      <c r="I144" s="76" t="e">
        <f t="shared" si="2"/>
        <v>#DIV/0!</v>
      </c>
      <c r="J144" s="87">
        <v>330.89000000000004</v>
      </c>
      <c r="K144" s="204">
        <v>90272</v>
      </c>
      <c r="L144" s="205">
        <v>0</v>
      </c>
      <c r="M144" s="88">
        <v>472.69</v>
      </c>
      <c r="N144" s="79">
        <f t="shared" si="51"/>
        <v>0.70001480885992939</v>
      </c>
      <c r="O144" s="80">
        <f t="shared" si="4"/>
        <v>1.4285412070476591</v>
      </c>
      <c r="P144" s="79" t="e">
        <f t="shared" si="5"/>
        <v>#DIV/0!</v>
      </c>
      <c r="Q144" s="81" t="e">
        <f t="shared" si="6"/>
        <v>#DIV/0!</v>
      </c>
      <c r="R144" s="82">
        <f t="shared" si="50"/>
        <v>-472.69</v>
      </c>
      <c r="S144" s="83" t="e">
        <f t="shared" si="8"/>
        <v>#DIV/0!</v>
      </c>
      <c r="T144" s="135"/>
      <c r="U144" s="135"/>
      <c r="V144" s="135"/>
      <c r="W144" s="135"/>
      <c r="X144" s="136"/>
      <c r="Y144" s="50"/>
      <c r="Z144" s="50"/>
    </row>
    <row r="145" spans="1:26" ht="12.75" collapsed="1" x14ac:dyDescent="0.2">
      <c r="A145" s="50">
        <f t="shared" si="52"/>
        <v>0</v>
      </c>
      <c r="B145" s="52" t="s">
        <v>73</v>
      </c>
      <c r="C145" s="145"/>
      <c r="D145" s="121">
        <f t="shared" ref="D145:F145" si="53">SUM(D127:D144)</f>
        <v>10844.279999999999</v>
      </c>
      <c r="E145" s="123">
        <f t="shared" si="53"/>
        <v>115</v>
      </c>
      <c r="F145" s="123">
        <f t="shared" si="53"/>
        <v>100</v>
      </c>
      <c r="G145" s="124">
        <f t="shared" si="0"/>
        <v>1.1499999999999999</v>
      </c>
      <c r="H145" s="125">
        <f t="shared" si="1"/>
        <v>94.298086956521729</v>
      </c>
      <c r="I145" s="126">
        <f t="shared" si="2"/>
        <v>81.998336483931951</v>
      </c>
      <c r="J145" s="121">
        <f t="shared" ref="J145:M145" si="54">SUM(J127:J144)</f>
        <v>1596.08</v>
      </c>
      <c r="K145" s="123">
        <f t="shared" si="54"/>
        <v>420700</v>
      </c>
      <c r="L145" s="123">
        <f t="shared" si="54"/>
        <v>28</v>
      </c>
      <c r="M145" s="127">
        <f t="shared" si="54"/>
        <v>3590.5099999999993</v>
      </c>
      <c r="N145" s="128">
        <f t="shared" si="51"/>
        <v>0.44452737911884388</v>
      </c>
      <c r="O145" s="129">
        <f t="shared" si="4"/>
        <v>2.2495802215427796</v>
      </c>
      <c r="P145" s="128">
        <f t="shared" si="5"/>
        <v>0.1471817400509762</v>
      </c>
      <c r="Q145" s="130">
        <f t="shared" si="6"/>
        <v>0.33109713139092678</v>
      </c>
      <c r="R145" s="131">
        <f>SUM(R127:R144)</f>
        <v>7253.7700000000013</v>
      </c>
      <c r="S145" s="132">
        <f t="shared" si="8"/>
        <v>57.002857142857138</v>
      </c>
      <c r="T145" s="133">
        <f t="shared" ref="T145:U145" si="55">IFERROR((D145-D69)/D145,)</f>
        <v>0.30089226762864857</v>
      </c>
      <c r="U145" s="133">
        <f t="shared" si="55"/>
        <v>0.18260869565217391</v>
      </c>
      <c r="V145" s="271">
        <f t="shared" ref="V145:W145" si="56">IFERROR((D145-#REF!)/D145, )</f>
        <v>0</v>
      </c>
      <c r="W145" s="271">
        <f t="shared" si="56"/>
        <v>0</v>
      </c>
      <c r="X145" s="50"/>
      <c r="Y145" s="50"/>
      <c r="Z145" s="50"/>
    </row>
    <row r="146" spans="1:26" ht="12.75" hidden="1" outlineLevel="1" x14ac:dyDescent="0.2">
      <c r="A146" s="50"/>
      <c r="B146" s="69">
        <v>45760</v>
      </c>
      <c r="C146" s="70" t="s">
        <v>32</v>
      </c>
      <c r="D146" s="71">
        <v>4694.88</v>
      </c>
      <c r="E146" s="73">
        <v>19</v>
      </c>
      <c r="F146" s="73">
        <v>17</v>
      </c>
      <c r="G146" s="74">
        <f t="shared" si="0"/>
        <v>1.1176470588235294</v>
      </c>
      <c r="H146" s="75">
        <f t="shared" si="1"/>
        <v>247.09894736842105</v>
      </c>
      <c r="I146" s="76">
        <f t="shared" si="2"/>
        <v>221.08853185595567</v>
      </c>
      <c r="J146" s="77">
        <v>421.79</v>
      </c>
      <c r="K146" s="73">
        <v>69532</v>
      </c>
      <c r="L146" s="73">
        <v>8</v>
      </c>
      <c r="M146" s="78">
        <v>2757.39</v>
      </c>
      <c r="N146" s="79">
        <f t="shared" si="51"/>
        <v>0.15296711745527475</v>
      </c>
      <c r="O146" s="80">
        <f t="shared" si="4"/>
        <v>6.5373527110647469</v>
      </c>
      <c r="P146" s="79">
        <f t="shared" si="5"/>
        <v>8.9840421906417209E-2</v>
      </c>
      <c r="Q146" s="81">
        <f t="shared" si="6"/>
        <v>0.58731852571311727</v>
      </c>
      <c r="R146" s="82">
        <f t="shared" ref="R146:R163" si="57">D146-M146</f>
        <v>1937.4900000000002</v>
      </c>
      <c r="S146" s="83">
        <f t="shared" si="8"/>
        <v>52.723750000000003</v>
      </c>
      <c r="T146" s="135"/>
      <c r="U146" s="135"/>
      <c r="V146" s="135"/>
      <c r="W146" s="135"/>
      <c r="X146" s="136"/>
      <c r="Y146" s="50"/>
      <c r="Z146" s="50"/>
    </row>
    <row r="147" spans="1:26" ht="12.75" hidden="1" outlineLevel="1" x14ac:dyDescent="0.2">
      <c r="A147" s="50"/>
      <c r="B147" s="137"/>
      <c r="C147" s="70" t="s">
        <v>33</v>
      </c>
      <c r="D147" s="87">
        <v>2464.65</v>
      </c>
      <c r="E147" s="73">
        <v>26</v>
      </c>
      <c r="F147" s="73">
        <v>23</v>
      </c>
      <c r="G147" s="74">
        <f t="shared" si="0"/>
        <v>1.1304347826086956</v>
      </c>
      <c r="H147" s="75">
        <f t="shared" si="1"/>
        <v>94.794230769230779</v>
      </c>
      <c r="I147" s="76">
        <f t="shared" si="2"/>
        <v>83.856434911242616</v>
      </c>
      <c r="J147" s="87">
        <v>223.07</v>
      </c>
      <c r="K147" s="73">
        <v>85387</v>
      </c>
      <c r="L147" s="73">
        <v>3</v>
      </c>
      <c r="M147" s="88">
        <v>113.9</v>
      </c>
      <c r="N147" s="79">
        <f t="shared" si="51"/>
        <v>1.958472344161545</v>
      </c>
      <c r="O147" s="80">
        <f t="shared" si="4"/>
        <v>0.51060205316716734</v>
      </c>
      <c r="P147" s="79">
        <f t="shared" si="5"/>
        <v>9.0507780009331948E-2</v>
      </c>
      <c r="Q147" s="81">
        <f t="shared" si="6"/>
        <v>4.6213458300367195E-2</v>
      </c>
      <c r="R147" s="89">
        <f t="shared" si="57"/>
        <v>2350.75</v>
      </c>
      <c r="S147" s="83">
        <f t="shared" si="8"/>
        <v>74.356666666666669</v>
      </c>
      <c r="T147" s="135"/>
      <c r="U147" s="135"/>
      <c r="V147" s="135"/>
      <c r="W147" s="135"/>
      <c r="X147" s="136"/>
      <c r="Y147" s="50"/>
      <c r="Z147" s="50"/>
    </row>
    <row r="148" spans="1:26" ht="12.75" hidden="1" outlineLevel="1" x14ac:dyDescent="0.2">
      <c r="A148" s="50"/>
      <c r="B148" s="137"/>
      <c r="C148" s="70" t="s">
        <v>34</v>
      </c>
      <c r="D148" s="90">
        <v>0</v>
      </c>
      <c r="E148" s="73">
        <v>0</v>
      </c>
      <c r="F148" s="73">
        <v>0</v>
      </c>
      <c r="G148" s="74" t="e">
        <f t="shared" si="0"/>
        <v>#DIV/0!</v>
      </c>
      <c r="H148" s="75" t="e">
        <f t="shared" si="1"/>
        <v>#DIV/0!</v>
      </c>
      <c r="I148" s="76" t="e">
        <f t="shared" si="2"/>
        <v>#DIV/0!</v>
      </c>
      <c r="J148" s="90">
        <v>0</v>
      </c>
      <c r="K148" s="73">
        <v>0</v>
      </c>
      <c r="L148" s="73">
        <v>0</v>
      </c>
      <c r="M148" s="91">
        <v>0</v>
      </c>
      <c r="N148" s="79" t="e">
        <f>(J148/M148)</f>
        <v>#DIV/0!</v>
      </c>
      <c r="O148" s="80" t="e">
        <f t="shared" si="4"/>
        <v>#DIV/0!</v>
      </c>
      <c r="P148" s="79" t="e">
        <f t="shared" si="5"/>
        <v>#DIV/0!</v>
      </c>
      <c r="Q148" s="81" t="e">
        <f t="shared" si="6"/>
        <v>#DIV/0!</v>
      </c>
      <c r="R148" s="92">
        <f t="shared" si="57"/>
        <v>0</v>
      </c>
      <c r="S148" s="83" t="e">
        <f t="shared" si="8"/>
        <v>#DIV/0!</v>
      </c>
      <c r="T148" s="135"/>
      <c r="U148" s="135"/>
      <c r="V148" s="135"/>
      <c r="W148" s="135"/>
      <c r="X148" s="136"/>
      <c r="Y148" s="50"/>
      <c r="Z148" s="50"/>
    </row>
    <row r="149" spans="1:26" ht="12.75" hidden="1" outlineLevel="1" x14ac:dyDescent="0.2">
      <c r="A149" s="50"/>
      <c r="B149" s="137"/>
      <c r="C149" s="70" t="s">
        <v>35</v>
      </c>
      <c r="D149" s="90">
        <v>305.75</v>
      </c>
      <c r="E149" s="73">
        <v>5</v>
      </c>
      <c r="F149" s="73">
        <v>4</v>
      </c>
      <c r="G149" s="74">
        <f t="shared" si="0"/>
        <v>1.25</v>
      </c>
      <c r="H149" s="75">
        <f t="shared" si="1"/>
        <v>61.15</v>
      </c>
      <c r="I149" s="76">
        <f t="shared" si="2"/>
        <v>48.92</v>
      </c>
      <c r="J149" s="90">
        <v>59.97</v>
      </c>
      <c r="K149" s="73">
        <v>6063</v>
      </c>
      <c r="L149" s="73">
        <v>2</v>
      </c>
      <c r="M149" s="91">
        <v>119.9</v>
      </c>
      <c r="N149" s="79">
        <f t="shared" ref="N149:N166" si="58">J149/M149</f>
        <v>0.50016680567139282</v>
      </c>
      <c r="O149" s="80">
        <f t="shared" si="4"/>
        <v>1.9993329998332501</v>
      </c>
      <c r="P149" s="79">
        <f t="shared" si="5"/>
        <v>0.19614063777596075</v>
      </c>
      <c r="Q149" s="81">
        <f t="shared" si="6"/>
        <v>0.39215044971381852</v>
      </c>
      <c r="R149" s="92">
        <f t="shared" si="57"/>
        <v>185.85</v>
      </c>
      <c r="S149" s="83">
        <f t="shared" si="8"/>
        <v>29.984999999999999</v>
      </c>
      <c r="T149" s="135"/>
      <c r="U149" s="135"/>
      <c r="V149" s="135"/>
      <c r="W149" s="135"/>
      <c r="X149" s="136"/>
      <c r="Y149" s="50"/>
      <c r="Z149" s="50"/>
    </row>
    <row r="150" spans="1:26" ht="12.75" hidden="1" outlineLevel="1" x14ac:dyDescent="0.2">
      <c r="A150" s="50"/>
      <c r="B150" s="137"/>
      <c r="C150" s="70" t="s">
        <v>62</v>
      </c>
      <c r="D150" s="200">
        <v>288</v>
      </c>
      <c r="E150" s="73">
        <v>8</v>
      </c>
      <c r="F150" s="73">
        <v>5</v>
      </c>
      <c r="G150" s="74">
        <f t="shared" si="0"/>
        <v>1.6</v>
      </c>
      <c r="H150" s="75">
        <f t="shared" si="1"/>
        <v>36</v>
      </c>
      <c r="I150" s="76">
        <f t="shared" si="2"/>
        <v>22.5</v>
      </c>
      <c r="J150" s="200">
        <v>0</v>
      </c>
      <c r="K150" s="73">
        <v>0</v>
      </c>
      <c r="L150" s="73">
        <v>0</v>
      </c>
      <c r="M150" s="200">
        <v>0</v>
      </c>
      <c r="N150" s="79" t="e">
        <f t="shared" si="58"/>
        <v>#DIV/0!</v>
      </c>
      <c r="O150" s="80" t="e">
        <f t="shared" si="4"/>
        <v>#DIV/0!</v>
      </c>
      <c r="P150" s="79">
        <f t="shared" si="5"/>
        <v>0</v>
      </c>
      <c r="Q150" s="81">
        <f t="shared" si="6"/>
        <v>0</v>
      </c>
      <c r="R150" s="92">
        <f t="shared" si="57"/>
        <v>288</v>
      </c>
      <c r="S150" s="83" t="e">
        <f t="shared" si="8"/>
        <v>#DIV/0!</v>
      </c>
      <c r="T150" s="135"/>
      <c r="U150" s="135"/>
      <c r="V150" s="135"/>
      <c r="W150" s="135"/>
      <c r="X150" s="136"/>
      <c r="Y150" s="50"/>
      <c r="Z150" s="50"/>
    </row>
    <row r="151" spans="1:26" ht="12.75" hidden="1" outlineLevel="1" x14ac:dyDescent="0.2">
      <c r="A151" s="50"/>
      <c r="B151" s="137"/>
      <c r="C151" s="70" t="s">
        <v>66</v>
      </c>
      <c r="D151" s="201">
        <v>0</v>
      </c>
      <c r="E151" s="73">
        <v>0</v>
      </c>
      <c r="F151" s="73">
        <v>0</v>
      </c>
      <c r="G151" s="74" t="e">
        <f t="shared" si="0"/>
        <v>#DIV/0!</v>
      </c>
      <c r="H151" s="75" t="e">
        <f t="shared" si="1"/>
        <v>#DIV/0!</v>
      </c>
      <c r="I151" s="76" t="e">
        <f t="shared" si="2"/>
        <v>#DIV/0!</v>
      </c>
      <c r="J151" s="201">
        <v>0</v>
      </c>
      <c r="K151" s="73">
        <v>0</v>
      </c>
      <c r="L151" s="73">
        <v>0</v>
      </c>
      <c r="M151" s="202">
        <v>0</v>
      </c>
      <c r="N151" s="79" t="e">
        <f t="shared" si="58"/>
        <v>#DIV/0!</v>
      </c>
      <c r="O151" s="80" t="e">
        <f t="shared" si="4"/>
        <v>#DIV/0!</v>
      </c>
      <c r="P151" s="79" t="e">
        <f t="shared" si="5"/>
        <v>#DIV/0!</v>
      </c>
      <c r="Q151" s="81" t="e">
        <f t="shared" si="6"/>
        <v>#DIV/0!</v>
      </c>
      <c r="R151" s="203">
        <f t="shared" si="57"/>
        <v>0</v>
      </c>
      <c r="S151" s="83" t="e">
        <f t="shared" si="8"/>
        <v>#DIV/0!</v>
      </c>
      <c r="T151" s="135"/>
      <c r="U151" s="135"/>
      <c r="V151" s="135"/>
      <c r="W151" s="135"/>
      <c r="X151" s="136"/>
      <c r="Y151" s="50"/>
      <c r="Z151" s="50"/>
    </row>
    <row r="152" spans="1:26" ht="12.75" hidden="1" outlineLevel="1" x14ac:dyDescent="0.2">
      <c r="A152" s="50"/>
      <c r="B152" s="137"/>
      <c r="C152" s="70" t="s">
        <v>36</v>
      </c>
      <c r="D152" s="90">
        <v>339.75</v>
      </c>
      <c r="E152" s="73">
        <v>5</v>
      </c>
      <c r="F152" s="73">
        <v>5</v>
      </c>
      <c r="G152" s="74">
        <f t="shared" si="0"/>
        <v>1</v>
      </c>
      <c r="H152" s="75">
        <f t="shared" si="1"/>
        <v>67.95</v>
      </c>
      <c r="I152" s="76">
        <f t="shared" si="2"/>
        <v>67.95</v>
      </c>
      <c r="J152" s="90">
        <v>73.209999999999994</v>
      </c>
      <c r="K152" s="73">
        <v>13658</v>
      </c>
      <c r="L152" s="73">
        <v>2</v>
      </c>
      <c r="M152" s="91">
        <v>129.9</v>
      </c>
      <c r="N152" s="79">
        <f t="shared" si="58"/>
        <v>0.56358737490377209</v>
      </c>
      <c r="O152" s="80">
        <f t="shared" si="4"/>
        <v>1.7743477666985388</v>
      </c>
      <c r="P152" s="79">
        <f t="shared" si="5"/>
        <v>0.21548197203826341</v>
      </c>
      <c r="Q152" s="81">
        <f t="shared" si="6"/>
        <v>0.38233995584988967</v>
      </c>
      <c r="R152" s="92">
        <f t="shared" si="57"/>
        <v>209.85</v>
      </c>
      <c r="S152" s="83">
        <f t="shared" si="8"/>
        <v>36.604999999999997</v>
      </c>
      <c r="T152" s="135"/>
      <c r="U152" s="135"/>
      <c r="V152" s="135"/>
      <c r="W152" s="135"/>
      <c r="X152" s="136"/>
      <c r="Y152" s="50"/>
      <c r="Z152" s="50"/>
    </row>
    <row r="153" spans="1:26" ht="12.75" hidden="1" outlineLevel="1" x14ac:dyDescent="0.2">
      <c r="A153" s="50"/>
      <c r="B153" s="69" t="s">
        <v>37</v>
      </c>
      <c r="C153" s="70" t="s">
        <v>38</v>
      </c>
      <c r="D153" s="93">
        <v>164.32</v>
      </c>
      <c r="E153" s="73">
        <v>3</v>
      </c>
      <c r="F153" s="73">
        <v>4</v>
      </c>
      <c r="G153" s="74">
        <f t="shared" si="0"/>
        <v>0.75</v>
      </c>
      <c r="H153" s="75">
        <f t="shared" si="1"/>
        <v>54.773333333333333</v>
      </c>
      <c r="I153" s="76">
        <f t="shared" si="2"/>
        <v>73.031111111111116</v>
      </c>
      <c r="J153" s="93">
        <v>117.82</v>
      </c>
      <c r="K153" s="73">
        <v>14122</v>
      </c>
      <c r="L153" s="73">
        <v>0</v>
      </c>
      <c r="M153" s="94">
        <v>0</v>
      </c>
      <c r="N153" s="79" t="e">
        <f t="shared" si="58"/>
        <v>#DIV/0!</v>
      </c>
      <c r="O153" s="80">
        <f t="shared" si="4"/>
        <v>0</v>
      </c>
      <c r="P153" s="79">
        <f t="shared" si="5"/>
        <v>0.7170155793573515</v>
      </c>
      <c r="Q153" s="81">
        <f t="shared" si="6"/>
        <v>0</v>
      </c>
      <c r="R153" s="95">
        <f t="shared" si="57"/>
        <v>164.32</v>
      </c>
      <c r="S153" s="83" t="e">
        <f t="shared" si="8"/>
        <v>#DIV/0!</v>
      </c>
      <c r="T153" s="135"/>
      <c r="U153" s="135"/>
      <c r="V153" s="135"/>
      <c r="W153" s="135"/>
      <c r="X153" s="136"/>
      <c r="Y153" s="50"/>
      <c r="Z153" s="50"/>
    </row>
    <row r="154" spans="1:26" ht="12.75" hidden="1" outlineLevel="1" x14ac:dyDescent="0.2">
      <c r="A154" s="50"/>
      <c r="B154" s="137"/>
      <c r="C154" s="70" t="s">
        <v>39</v>
      </c>
      <c r="D154" s="96">
        <v>1059.8900000000001</v>
      </c>
      <c r="E154" s="73">
        <v>7</v>
      </c>
      <c r="F154" s="73">
        <v>2</v>
      </c>
      <c r="G154" s="74">
        <f t="shared" si="0"/>
        <v>3.5</v>
      </c>
      <c r="H154" s="75">
        <f t="shared" si="1"/>
        <v>151.41285714285715</v>
      </c>
      <c r="I154" s="76">
        <f t="shared" si="2"/>
        <v>43.260816326530616</v>
      </c>
      <c r="J154" s="96">
        <v>0</v>
      </c>
      <c r="K154" s="73">
        <v>0</v>
      </c>
      <c r="L154" s="73">
        <v>0</v>
      </c>
      <c r="M154" s="97">
        <v>0</v>
      </c>
      <c r="N154" s="79" t="e">
        <f t="shared" si="58"/>
        <v>#DIV/0!</v>
      </c>
      <c r="O154" s="80" t="e">
        <f t="shared" si="4"/>
        <v>#DIV/0!</v>
      </c>
      <c r="P154" s="79">
        <f t="shared" si="5"/>
        <v>0</v>
      </c>
      <c r="Q154" s="81">
        <f t="shared" si="6"/>
        <v>0</v>
      </c>
      <c r="R154" s="98">
        <f t="shared" si="57"/>
        <v>1059.8900000000001</v>
      </c>
      <c r="S154" s="83" t="e">
        <f t="shared" si="8"/>
        <v>#DIV/0!</v>
      </c>
      <c r="T154" s="135"/>
      <c r="U154" s="135"/>
      <c r="V154" s="135"/>
      <c r="W154" s="135"/>
      <c r="X154" s="136"/>
      <c r="Y154" s="50"/>
      <c r="Z154" s="50"/>
    </row>
    <row r="155" spans="1:26" ht="12.75" hidden="1" outlineLevel="1" x14ac:dyDescent="0.2">
      <c r="A155" s="50"/>
      <c r="B155" s="137"/>
      <c r="C155" s="70" t="s">
        <v>40</v>
      </c>
      <c r="D155" s="99">
        <v>549.5</v>
      </c>
      <c r="E155" s="73">
        <v>10</v>
      </c>
      <c r="F155" s="73">
        <v>6</v>
      </c>
      <c r="G155" s="74">
        <f t="shared" si="0"/>
        <v>1.6666666666666667</v>
      </c>
      <c r="H155" s="75">
        <f t="shared" si="1"/>
        <v>54.95</v>
      </c>
      <c r="I155" s="76">
        <f t="shared" si="2"/>
        <v>32.97</v>
      </c>
      <c r="J155" s="99">
        <v>0</v>
      </c>
      <c r="K155" s="73">
        <v>0</v>
      </c>
      <c r="L155" s="73">
        <v>0</v>
      </c>
      <c r="M155" s="100">
        <v>0</v>
      </c>
      <c r="N155" s="79" t="e">
        <f t="shared" si="58"/>
        <v>#DIV/0!</v>
      </c>
      <c r="O155" s="80" t="e">
        <f t="shared" si="4"/>
        <v>#DIV/0!</v>
      </c>
      <c r="P155" s="79">
        <f t="shared" si="5"/>
        <v>0</v>
      </c>
      <c r="Q155" s="81">
        <f t="shared" si="6"/>
        <v>0</v>
      </c>
      <c r="R155" s="101">
        <f t="shared" si="57"/>
        <v>549.5</v>
      </c>
      <c r="S155" s="83" t="e">
        <f t="shared" si="8"/>
        <v>#DIV/0!</v>
      </c>
      <c r="T155" s="135"/>
      <c r="U155" s="135"/>
      <c r="V155" s="135"/>
      <c r="W155" s="135"/>
      <c r="X155" s="136"/>
      <c r="Y155" s="50"/>
      <c r="Z155" s="50"/>
    </row>
    <row r="156" spans="1:26" ht="12.75" hidden="1" outlineLevel="1" x14ac:dyDescent="0.2">
      <c r="A156" s="50"/>
      <c r="B156" s="137"/>
      <c r="C156" s="70" t="s">
        <v>41</v>
      </c>
      <c r="D156" s="102">
        <v>0</v>
      </c>
      <c r="E156" s="73">
        <v>0</v>
      </c>
      <c r="F156" s="73">
        <v>0</v>
      </c>
      <c r="G156" s="74" t="e">
        <f t="shared" si="0"/>
        <v>#DIV/0!</v>
      </c>
      <c r="H156" s="75" t="e">
        <f t="shared" si="1"/>
        <v>#DIV/0!</v>
      </c>
      <c r="I156" s="76" t="e">
        <f t="shared" si="2"/>
        <v>#DIV/0!</v>
      </c>
      <c r="J156" s="102">
        <v>0</v>
      </c>
      <c r="K156" s="73">
        <v>0</v>
      </c>
      <c r="L156" s="73">
        <v>0</v>
      </c>
      <c r="M156" s="103">
        <v>0</v>
      </c>
      <c r="N156" s="79" t="e">
        <f t="shared" si="58"/>
        <v>#DIV/0!</v>
      </c>
      <c r="O156" s="80" t="e">
        <f t="shared" si="4"/>
        <v>#DIV/0!</v>
      </c>
      <c r="P156" s="79" t="e">
        <f t="shared" si="5"/>
        <v>#DIV/0!</v>
      </c>
      <c r="Q156" s="81" t="e">
        <f t="shared" si="6"/>
        <v>#DIV/0!</v>
      </c>
      <c r="R156" s="104">
        <f t="shared" si="57"/>
        <v>0</v>
      </c>
      <c r="S156" s="83" t="e">
        <f t="shared" si="8"/>
        <v>#DIV/0!</v>
      </c>
      <c r="T156" s="135"/>
      <c r="U156" s="135"/>
      <c r="V156" s="135"/>
      <c r="W156" s="135"/>
      <c r="X156" s="136"/>
      <c r="Y156" s="50"/>
      <c r="Z156" s="50"/>
    </row>
    <row r="157" spans="1:26" ht="12.75" hidden="1" outlineLevel="1" x14ac:dyDescent="0.2">
      <c r="A157" s="50"/>
      <c r="B157" s="137"/>
      <c r="C157" s="70" t="s">
        <v>42</v>
      </c>
      <c r="D157" s="90">
        <v>139.93</v>
      </c>
      <c r="E157" s="73">
        <v>7</v>
      </c>
      <c r="F157" s="73">
        <v>7</v>
      </c>
      <c r="G157" s="74">
        <f t="shared" si="0"/>
        <v>1</v>
      </c>
      <c r="H157" s="75">
        <f t="shared" si="1"/>
        <v>19.990000000000002</v>
      </c>
      <c r="I157" s="76">
        <f t="shared" si="2"/>
        <v>19.990000000000002</v>
      </c>
      <c r="J157" s="90">
        <v>6.4</v>
      </c>
      <c r="K157" s="73">
        <v>15801</v>
      </c>
      <c r="L157" s="73">
        <v>8</v>
      </c>
      <c r="M157" s="91">
        <v>159.91999999999999</v>
      </c>
      <c r="N157" s="79">
        <f t="shared" si="58"/>
        <v>4.0020010005002507E-2</v>
      </c>
      <c r="O157" s="80">
        <f t="shared" si="4"/>
        <v>24.987499999999997</v>
      </c>
      <c r="P157" s="79">
        <f t="shared" si="5"/>
        <v>4.573715429143143E-2</v>
      </c>
      <c r="Q157" s="81">
        <f t="shared" si="6"/>
        <v>1.1428571428571428</v>
      </c>
      <c r="R157" s="92">
        <f t="shared" si="57"/>
        <v>-19.989999999999981</v>
      </c>
      <c r="S157" s="83">
        <f t="shared" si="8"/>
        <v>0.8</v>
      </c>
      <c r="T157" s="135"/>
      <c r="U157" s="135"/>
      <c r="V157" s="135"/>
      <c r="W157" s="135"/>
      <c r="X157" s="136"/>
      <c r="Y157" s="50"/>
      <c r="Z157" s="50"/>
    </row>
    <row r="158" spans="1:26" ht="12.75" hidden="1" outlineLevel="1" x14ac:dyDescent="0.2">
      <c r="A158" s="50"/>
      <c r="B158" s="137"/>
      <c r="C158" s="70" t="s">
        <v>43</v>
      </c>
      <c r="D158" s="105">
        <v>344</v>
      </c>
      <c r="E158" s="73">
        <v>2</v>
      </c>
      <c r="F158" s="73">
        <v>2</v>
      </c>
      <c r="G158" s="74">
        <f t="shared" si="0"/>
        <v>1</v>
      </c>
      <c r="H158" s="75">
        <f t="shared" si="1"/>
        <v>172</v>
      </c>
      <c r="I158" s="76">
        <f t="shared" si="2"/>
        <v>172</v>
      </c>
      <c r="J158" s="105">
        <v>12.67</v>
      </c>
      <c r="K158" s="73">
        <v>23602</v>
      </c>
      <c r="L158" s="73">
        <v>1</v>
      </c>
      <c r="M158" s="106">
        <v>195</v>
      </c>
      <c r="N158" s="79">
        <f t="shared" si="58"/>
        <v>6.4974358974358978E-2</v>
      </c>
      <c r="O158" s="80">
        <f t="shared" si="4"/>
        <v>15.390686661404894</v>
      </c>
      <c r="P158" s="79">
        <f t="shared" si="5"/>
        <v>3.6831395348837212E-2</v>
      </c>
      <c r="Q158" s="81">
        <f t="shared" si="6"/>
        <v>0.56686046511627908</v>
      </c>
      <c r="R158" s="107">
        <f t="shared" si="57"/>
        <v>149</v>
      </c>
      <c r="S158" s="83">
        <f t="shared" si="8"/>
        <v>12.67</v>
      </c>
      <c r="T158" s="135"/>
      <c r="U158" s="135"/>
      <c r="V158" s="135"/>
      <c r="W158" s="135"/>
      <c r="X158" s="136"/>
      <c r="Y158" s="50"/>
      <c r="Z158" s="50"/>
    </row>
    <row r="159" spans="1:26" ht="12.75" hidden="1" outlineLevel="1" x14ac:dyDescent="0.2">
      <c r="A159" s="50"/>
      <c r="B159" s="137"/>
      <c r="C159" s="70" t="s">
        <v>44</v>
      </c>
      <c r="D159" s="108">
        <v>159.80000000000001</v>
      </c>
      <c r="E159" s="73">
        <v>4</v>
      </c>
      <c r="F159" s="73">
        <v>4</v>
      </c>
      <c r="G159" s="74">
        <f t="shared" si="0"/>
        <v>1</v>
      </c>
      <c r="H159" s="75">
        <f t="shared" si="1"/>
        <v>39.950000000000003</v>
      </c>
      <c r="I159" s="76">
        <f t="shared" si="2"/>
        <v>39.950000000000003</v>
      </c>
      <c r="J159" s="108">
        <v>49.37</v>
      </c>
      <c r="K159" s="73">
        <v>13331</v>
      </c>
      <c r="L159" s="73">
        <v>1</v>
      </c>
      <c r="M159" s="109">
        <v>39.950000000000003</v>
      </c>
      <c r="N159" s="79">
        <f t="shared" si="58"/>
        <v>1.2357947434292864</v>
      </c>
      <c r="O159" s="80">
        <f t="shared" si="4"/>
        <v>0.80919586793599363</v>
      </c>
      <c r="P159" s="79">
        <f t="shared" si="5"/>
        <v>0.3089486858573216</v>
      </c>
      <c r="Q159" s="81">
        <f t="shared" si="6"/>
        <v>0.25</v>
      </c>
      <c r="R159" s="110">
        <f t="shared" si="57"/>
        <v>119.85000000000001</v>
      </c>
      <c r="S159" s="83">
        <f t="shared" si="8"/>
        <v>49.37</v>
      </c>
      <c r="T159" s="135"/>
      <c r="U159" s="135"/>
      <c r="V159" s="135"/>
      <c r="W159" s="135"/>
      <c r="X159" s="136"/>
      <c r="Y159" s="50"/>
      <c r="Z159" s="50"/>
    </row>
    <row r="160" spans="1:26" ht="12.75" hidden="1" outlineLevel="1" x14ac:dyDescent="0.2">
      <c r="A160" s="139"/>
      <c r="B160" s="137"/>
      <c r="C160" s="112" t="s">
        <v>45</v>
      </c>
      <c r="D160" s="71">
        <v>0</v>
      </c>
      <c r="E160" s="73">
        <v>0</v>
      </c>
      <c r="F160" s="73">
        <v>0</v>
      </c>
      <c r="G160" s="74" t="e">
        <f t="shared" si="0"/>
        <v>#DIV/0!</v>
      </c>
      <c r="H160" s="75" t="e">
        <f t="shared" si="1"/>
        <v>#DIV/0!</v>
      </c>
      <c r="I160" s="76" t="e">
        <f t="shared" si="2"/>
        <v>#DIV/0!</v>
      </c>
      <c r="J160" s="71">
        <v>0</v>
      </c>
      <c r="K160" s="73">
        <v>0</v>
      </c>
      <c r="L160" s="73">
        <v>0</v>
      </c>
      <c r="M160" s="78">
        <v>0</v>
      </c>
      <c r="N160" s="79" t="e">
        <f t="shared" si="58"/>
        <v>#DIV/0!</v>
      </c>
      <c r="O160" s="80" t="e">
        <f t="shared" si="4"/>
        <v>#DIV/0!</v>
      </c>
      <c r="P160" s="79" t="e">
        <f t="shared" si="5"/>
        <v>#DIV/0!</v>
      </c>
      <c r="Q160" s="81" t="e">
        <f t="shared" si="6"/>
        <v>#DIV/0!</v>
      </c>
      <c r="R160" s="82">
        <f t="shared" si="57"/>
        <v>0</v>
      </c>
      <c r="S160" s="83" t="e">
        <f t="shared" si="8"/>
        <v>#DIV/0!</v>
      </c>
      <c r="T160" s="140"/>
      <c r="U160" s="140"/>
      <c r="V160" s="140"/>
      <c r="W160" s="141"/>
      <c r="X160" s="142"/>
      <c r="Y160" s="50"/>
      <c r="Z160" s="50"/>
    </row>
    <row r="161" spans="1:26" ht="12.75" hidden="1" outlineLevel="1" x14ac:dyDescent="0.2">
      <c r="A161" s="50"/>
      <c r="B161" s="137"/>
      <c r="C161" s="70" t="s">
        <v>46</v>
      </c>
      <c r="D161" s="116">
        <v>581.27</v>
      </c>
      <c r="E161" s="73">
        <v>14</v>
      </c>
      <c r="F161" s="73">
        <v>16</v>
      </c>
      <c r="G161" s="74">
        <f t="shared" si="0"/>
        <v>0.875</v>
      </c>
      <c r="H161" s="75">
        <f t="shared" si="1"/>
        <v>41.519285714285715</v>
      </c>
      <c r="I161" s="76">
        <f t="shared" si="2"/>
        <v>47.450612244897961</v>
      </c>
      <c r="J161" s="116">
        <v>104.02</v>
      </c>
      <c r="K161" s="73">
        <v>38358</v>
      </c>
      <c r="L161" s="73">
        <v>4</v>
      </c>
      <c r="M161" s="117">
        <v>159.80000000000001</v>
      </c>
      <c r="N161" s="79">
        <f t="shared" si="58"/>
        <v>0.65093867334167699</v>
      </c>
      <c r="O161" s="80">
        <f t="shared" si="4"/>
        <v>1.5362430301865027</v>
      </c>
      <c r="P161" s="79">
        <f t="shared" si="5"/>
        <v>0.1789529822629759</v>
      </c>
      <c r="Q161" s="81">
        <f t="shared" si="6"/>
        <v>0.27491527173258556</v>
      </c>
      <c r="R161" s="82">
        <f t="shared" si="57"/>
        <v>421.46999999999997</v>
      </c>
      <c r="S161" s="83">
        <f t="shared" si="8"/>
        <v>26.004999999999999</v>
      </c>
      <c r="T161" s="135"/>
      <c r="U161" s="135"/>
      <c r="V161" s="135"/>
      <c r="W161" s="135"/>
      <c r="X161" s="136"/>
      <c r="Y161" s="50"/>
      <c r="Z161" s="50"/>
    </row>
    <row r="162" spans="1:26" ht="12.75" hidden="1" outlineLevel="1" x14ac:dyDescent="0.2">
      <c r="A162" s="50"/>
      <c r="B162" s="137"/>
      <c r="C162" s="70" t="s">
        <v>49</v>
      </c>
      <c r="D162" s="116">
        <v>0</v>
      </c>
      <c r="E162" s="73">
        <v>0</v>
      </c>
      <c r="F162" s="73">
        <v>0</v>
      </c>
      <c r="G162" s="74" t="e">
        <f t="shared" si="0"/>
        <v>#DIV/0!</v>
      </c>
      <c r="H162" s="75" t="e">
        <f t="shared" si="1"/>
        <v>#DIV/0!</v>
      </c>
      <c r="I162" s="76" t="e">
        <f t="shared" si="2"/>
        <v>#DIV/0!</v>
      </c>
      <c r="J162" s="116">
        <v>4.55</v>
      </c>
      <c r="K162" s="73">
        <v>6332</v>
      </c>
      <c r="L162" s="73">
        <v>0</v>
      </c>
      <c r="M162" s="117">
        <v>0</v>
      </c>
      <c r="N162" s="79" t="e">
        <f t="shared" si="58"/>
        <v>#DIV/0!</v>
      </c>
      <c r="O162" s="80">
        <f t="shared" si="4"/>
        <v>0</v>
      </c>
      <c r="P162" s="79" t="e">
        <f t="shared" si="5"/>
        <v>#DIV/0!</v>
      </c>
      <c r="Q162" s="81" t="e">
        <f t="shared" si="6"/>
        <v>#DIV/0!</v>
      </c>
      <c r="R162" s="82">
        <f t="shared" si="57"/>
        <v>0</v>
      </c>
      <c r="S162" s="83" t="e">
        <f t="shared" si="8"/>
        <v>#DIV/0!</v>
      </c>
      <c r="T162" s="135"/>
      <c r="U162" s="135"/>
      <c r="V162" s="135"/>
      <c r="W162" s="135"/>
      <c r="X162" s="136"/>
      <c r="Y162" s="50"/>
      <c r="Z162" s="50"/>
    </row>
    <row r="163" spans="1:26" hidden="1" outlineLevel="1" x14ac:dyDescent="0.25">
      <c r="A163" s="118" t="str">
        <f t="shared" ref="A163:A164" si="59">IFERROR(IF(B163&gt;0,MONTH(B163)&amp;"-"&amp;YEAR(B163),B163),)</f>
        <v>4-2025</v>
      </c>
      <c r="B163" s="69">
        <v>45766</v>
      </c>
      <c r="C163" s="198" t="s">
        <v>64</v>
      </c>
      <c r="D163" s="116">
        <v>0</v>
      </c>
      <c r="E163" s="73">
        <v>0</v>
      </c>
      <c r="F163" s="73">
        <v>0</v>
      </c>
      <c r="G163" s="74" t="e">
        <f t="shared" si="0"/>
        <v>#DIV/0!</v>
      </c>
      <c r="H163" s="75" t="e">
        <f t="shared" si="1"/>
        <v>#DIV/0!</v>
      </c>
      <c r="I163" s="76" t="e">
        <f t="shared" si="2"/>
        <v>#DIV/0!</v>
      </c>
      <c r="J163" s="87">
        <v>356.58000000000004</v>
      </c>
      <c r="K163" s="204">
        <v>74458</v>
      </c>
      <c r="L163" s="205">
        <v>0</v>
      </c>
      <c r="M163" s="88">
        <v>411.28</v>
      </c>
      <c r="N163" s="79">
        <f t="shared" si="58"/>
        <v>0.86700058354405773</v>
      </c>
      <c r="O163" s="80">
        <f t="shared" si="4"/>
        <v>1.1534017611756127</v>
      </c>
      <c r="P163" s="79" t="e">
        <f t="shared" si="5"/>
        <v>#DIV/0!</v>
      </c>
      <c r="Q163" s="81" t="e">
        <f t="shared" si="6"/>
        <v>#DIV/0!</v>
      </c>
      <c r="R163" s="82">
        <f t="shared" si="57"/>
        <v>-411.28</v>
      </c>
      <c r="S163" s="83" t="e">
        <f t="shared" si="8"/>
        <v>#DIV/0!</v>
      </c>
      <c r="T163" s="135"/>
      <c r="U163" s="135"/>
      <c r="V163" s="135"/>
      <c r="W163" s="135"/>
      <c r="X163" s="136"/>
      <c r="Y163" s="50"/>
      <c r="Z163" s="50"/>
    </row>
    <row r="164" spans="1:26" ht="12.75" collapsed="1" x14ac:dyDescent="0.2">
      <c r="A164" s="50">
        <f t="shared" si="59"/>
        <v>0</v>
      </c>
      <c r="B164" s="52" t="s">
        <v>74</v>
      </c>
      <c r="C164" s="145"/>
      <c r="D164" s="121">
        <f t="shared" ref="D164:F164" si="60">SUM(D146:D163)</f>
        <v>11091.74</v>
      </c>
      <c r="E164" s="123">
        <f t="shared" si="60"/>
        <v>110</v>
      </c>
      <c r="F164" s="123">
        <f t="shared" si="60"/>
        <v>95</v>
      </c>
      <c r="G164" s="124">
        <f t="shared" si="0"/>
        <v>1.1578947368421053</v>
      </c>
      <c r="H164" s="125">
        <f t="shared" si="1"/>
        <v>100.834</v>
      </c>
      <c r="I164" s="126">
        <f t="shared" si="2"/>
        <v>87.083909090909088</v>
      </c>
      <c r="J164" s="121">
        <f t="shared" ref="J164:M164" si="61">SUM(J146:J163)</f>
        <v>1429.4500000000003</v>
      </c>
      <c r="K164" s="123">
        <f t="shared" si="61"/>
        <v>360644</v>
      </c>
      <c r="L164" s="123">
        <f t="shared" si="61"/>
        <v>29</v>
      </c>
      <c r="M164" s="127">
        <f t="shared" si="61"/>
        <v>4087.04</v>
      </c>
      <c r="N164" s="128">
        <f t="shared" si="58"/>
        <v>0.3497518986846227</v>
      </c>
      <c r="O164" s="129">
        <f t="shared" si="4"/>
        <v>2.8591696106894253</v>
      </c>
      <c r="P164" s="128">
        <f t="shared" si="5"/>
        <v>0.12887518099053893</v>
      </c>
      <c r="Q164" s="130">
        <f t="shared" si="6"/>
        <v>0.36847600106024841</v>
      </c>
      <c r="R164" s="131">
        <f>SUM(R146:R163)</f>
        <v>7004.7000000000016</v>
      </c>
      <c r="S164" s="132">
        <f t="shared" si="8"/>
        <v>49.291379310344837</v>
      </c>
      <c r="T164" s="133">
        <f t="shared" ref="T164:U164" si="62">IFERROR((D164-D69)/D164,)</f>
        <v>0.31648956791269917</v>
      </c>
      <c r="U164" s="133">
        <f t="shared" si="62"/>
        <v>0.14545454545454545</v>
      </c>
      <c r="V164" s="271">
        <f t="shared" ref="V164:W164" si="63">IFERROR((D164-#REF!)/D164, )</f>
        <v>0</v>
      </c>
      <c r="W164" s="271">
        <f t="shared" si="63"/>
        <v>0</v>
      </c>
      <c r="X164" s="50"/>
      <c r="Y164" s="50"/>
      <c r="Z164" s="50"/>
    </row>
    <row r="165" spans="1:26" ht="12.75" hidden="1" outlineLevel="1" x14ac:dyDescent="0.2">
      <c r="A165" s="50"/>
      <c r="B165" s="69">
        <v>45767</v>
      </c>
      <c r="C165" s="70" t="s">
        <v>32</v>
      </c>
      <c r="D165" s="71">
        <v>1342.64</v>
      </c>
      <c r="E165" s="73">
        <v>9</v>
      </c>
      <c r="F165" s="73">
        <v>11</v>
      </c>
      <c r="G165" s="74">
        <f t="shared" si="0"/>
        <v>0.81818181818181823</v>
      </c>
      <c r="H165" s="75">
        <f t="shared" si="1"/>
        <v>149.18222222222224</v>
      </c>
      <c r="I165" s="76">
        <f t="shared" si="2"/>
        <v>182.33382716049383</v>
      </c>
      <c r="J165" s="77">
        <v>269.19</v>
      </c>
      <c r="K165" s="73">
        <v>73735</v>
      </c>
      <c r="L165" s="73">
        <v>4</v>
      </c>
      <c r="M165" s="78">
        <v>124.95</v>
      </c>
      <c r="N165" s="79">
        <f t="shared" si="58"/>
        <v>2.1543817527010805</v>
      </c>
      <c r="O165" s="80">
        <f t="shared" si="4"/>
        <v>0.46417028864370891</v>
      </c>
      <c r="P165" s="79">
        <f t="shared" si="5"/>
        <v>0.20049305845200499</v>
      </c>
      <c r="Q165" s="81">
        <f t="shared" si="6"/>
        <v>9.3062920812727157E-2</v>
      </c>
      <c r="R165" s="82">
        <f t="shared" ref="R165:R182" si="64">D165-M165</f>
        <v>1217.69</v>
      </c>
      <c r="S165" s="83">
        <f t="shared" si="8"/>
        <v>67.297499999999999</v>
      </c>
      <c r="T165" s="135"/>
      <c r="U165" s="135"/>
      <c r="V165" s="135"/>
      <c r="W165" s="135"/>
      <c r="X165" s="136"/>
      <c r="Y165" s="50"/>
      <c r="Z165" s="50"/>
    </row>
    <row r="166" spans="1:26" ht="12.75" hidden="1" outlineLevel="1" x14ac:dyDescent="0.2">
      <c r="A166" s="50"/>
      <c r="B166" s="137"/>
      <c r="C166" s="70" t="s">
        <v>33</v>
      </c>
      <c r="D166" s="87">
        <v>3154.67</v>
      </c>
      <c r="E166" s="73">
        <v>16</v>
      </c>
      <c r="F166" s="73">
        <v>18</v>
      </c>
      <c r="G166" s="74">
        <f t="shared" si="0"/>
        <v>0.88888888888888884</v>
      </c>
      <c r="H166" s="75">
        <f t="shared" si="1"/>
        <v>197.166875</v>
      </c>
      <c r="I166" s="76">
        <f t="shared" si="2"/>
        <v>221.81273437500002</v>
      </c>
      <c r="J166" s="87">
        <v>323.88</v>
      </c>
      <c r="K166" s="73">
        <v>85355</v>
      </c>
      <c r="L166" s="73">
        <v>4</v>
      </c>
      <c r="M166" s="88">
        <v>937.9</v>
      </c>
      <c r="N166" s="79">
        <f t="shared" si="58"/>
        <v>0.34532466147776947</v>
      </c>
      <c r="O166" s="80">
        <f t="shared" si="4"/>
        <v>2.8958256144250956</v>
      </c>
      <c r="P166" s="79">
        <f t="shared" si="5"/>
        <v>0.10266683995473377</v>
      </c>
      <c r="Q166" s="81">
        <f t="shared" si="6"/>
        <v>0.29730526489299991</v>
      </c>
      <c r="R166" s="89">
        <f t="shared" si="64"/>
        <v>2216.77</v>
      </c>
      <c r="S166" s="83">
        <f t="shared" si="8"/>
        <v>80.97</v>
      </c>
      <c r="T166" s="135"/>
      <c r="U166" s="135"/>
      <c r="V166" s="135"/>
      <c r="W166" s="135"/>
      <c r="X166" s="136"/>
      <c r="Y166" s="50"/>
      <c r="Z166" s="50"/>
    </row>
    <row r="167" spans="1:26" ht="12.75" hidden="1" outlineLevel="1" x14ac:dyDescent="0.2">
      <c r="A167" s="50"/>
      <c r="B167" s="137"/>
      <c r="C167" s="70" t="s">
        <v>34</v>
      </c>
      <c r="D167" s="90">
        <v>69.95</v>
      </c>
      <c r="E167" s="73">
        <v>1</v>
      </c>
      <c r="F167" s="73">
        <v>1</v>
      </c>
      <c r="G167" s="74">
        <f t="shared" si="0"/>
        <v>1</v>
      </c>
      <c r="H167" s="75">
        <f t="shared" si="1"/>
        <v>69.95</v>
      </c>
      <c r="I167" s="76">
        <f t="shared" si="2"/>
        <v>69.95</v>
      </c>
      <c r="J167" s="90">
        <v>0</v>
      </c>
      <c r="K167" s="73">
        <v>0</v>
      </c>
      <c r="L167" s="73">
        <v>0</v>
      </c>
      <c r="M167" s="91">
        <v>0</v>
      </c>
      <c r="N167" s="79" t="e">
        <f>(J167/M167)</f>
        <v>#DIV/0!</v>
      </c>
      <c r="O167" s="80" t="e">
        <f t="shared" si="4"/>
        <v>#DIV/0!</v>
      </c>
      <c r="P167" s="79">
        <f t="shared" si="5"/>
        <v>0</v>
      </c>
      <c r="Q167" s="81">
        <f t="shared" si="6"/>
        <v>0</v>
      </c>
      <c r="R167" s="92">
        <f t="shared" si="64"/>
        <v>69.95</v>
      </c>
      <c r="S167" s="83" t="e">
        <f t="shared" si="8"/>
        <v>#DIV/0!</v>
      </c>
      <c r="T167" s="135"/>
      <c r="U167" s="135"/>
      <c r="V167" s="135"/>
      <c r="W167" s="135"/>
      <c r="X167" s="136"/>
      <c r="Y167" s="50"/>
      <c r="Z167" s="50"/>
    </row>
    <row r="168" spans="1:26" ht="12.75" hidden="1" outlineLevel="1" x14ac:dyDescent="0.2">
      <c r="A168" s="50"/>
      <c r="B168" s="137"/>
      <c r="C168" s="70" t="s">
        <v>35</v>
      </c>
      <c r="D168" s="90">
        <v>188.85</v>
      </c>
      <c r="E168" s="73">
        <v>3</v>
      </c>
      <c r="F168" s="73">
        <v>3</v>
      </c>
      <c r="G168" s="74">
        <f t="shared" si="0"/>
        <v>1</v>
      </c>
      <c r="H168" s="75">
        <f t="shared" si="1"/>
        <v>62.949999999999996</v>
      </c>
      <c r="I168" s="76">
        <f t="shared" si="2"/>
        <v>62.949999999999996</v>
      </c>
      <c r="J168" s="90">
        <v>0</v>
      </c>
      <c r="K168" s="73">
        <v>0</v>
      </c>
      <c r="L168" s="73">
        <v>0</v>
      </c>
      <c r="M168" s="91">
        <v>0</v>
      </c>
      <c r="N168" s="79" t="e">
        <f t="shared" ref="N168:N185" si="65">J168/M168</f>
        <v>#DIV/0!</v>
      </c>
      <c r="O168" s="80" t="e">
        <f t="shared" si="4"/>
        <v>#DIV/0!</v>
      </c>
      <c r="P168" s="79">
        <f t="shared" si="5"/>
        <v>0</v>
      </c>
      <c r="Q168" s="81">
        <f t="shared" si="6"/>
        <v>0</v>
      </c>
      <c r="R168" s="92">
        <f t="shared" si="64"/>
        <v>188.85</v>
      </c>
      <c r="S168" s="83" t="e">
        <f t="shared" si="8"/>
        <v>#DIV/0!</v>
      </c>
      <c r="T168" s="135"/>
      <c r="U168" s="135"/>
      <c r="V168" s="135"/>
      <c r="W168" s="135"/>
      <c r="X168" s="136"/>
      <c r="Y168" s="50"/>
      <c r="Z168" s="50"/>
    </row>
    <row r="169" spans="1:26" ht="12.75" hidden="1" outlineLevel="1" x14ac:dyDescent="0.2">
      <c r="A169" s="50"/>
      <c r="B169" s="137"/>
      <c r="C169" s="70" t="s">
        <v>62</v>
      </c>
      <c r="D169" s="200">
        <v>540</v>
      </c>
      <c r="E169" s="73">
        <v>15</v>
      </c>
      <c r="F169" s="73">
        <v>9</v>
      </c>
      <c r="G169" s="74">
        <f t="shared" si="0"/>
        <v>1.6666666666666667</v>
      </c>
      <c r="H169" s="75">
        <f t="shared" si="1"/>
        <v>36</v>
      </c>
      <c r="I169" s="76">
        <f t="shared" si="2"/>
        <v>21.599999999999998</v>
      </c>
      <c r="J169" s="200">
        <v>0</v>
      </c>
      <c r="K169" s="73">
        <v>0</v>
      </c>
      <c r="L169" s="73">
        <v>0</v>
      </c>
      <c r="M169" s="200">
        <v>0</v>
      </c>
      <c r="N169" s="79" t="e">
        <f t="shared" si="65"/>
        <v>#DIV/0!</v>
      </c>
      <c r="O169" s="80" t="e">
        <f t="shared" si="4"/>
        <v>#DIV/0!</v>
      </c>
      <c r="P169" s="79">
        <f t="shared" si="5"/>
        <v>0</v>
      </c>
      <c r="Q169" s="81">
        <f t="shared" si="6"/>
        <v>0</v>
      </c>
      <c r="R169" s="92">
        <f t="shared" si="64"/>
        <v>540</v>
      </c>
      <c r="S169" s="83" t="e">
        <f t="shared" si="8"/>
        <v>#DIV/0!</v>
      </c>
      <c r="T169" s="135"/>
      <c r="U169" s="135"/>
      <c r="V169" s="135"/>
      <c r="W169" s="135"/>
      <c r="X169" s="136"/>
      <c r="Y169" s="50"/>
      <c r="Z169" s="50"/>
    </row>
    <row r="170" spans="1:26" ht="12.75" hidden="1" outlineLevel="1" x14ac:dyDescent="0.2">
      <c r="A170" s="50"/>
      <c r="B170" s="137"/>
      <c r="C170" s="70" t="s">
        <v>66</v>
      </c>
      <c r="D170" s="201">
        <v>0</v>
      </c>
      <c r="E170" s="73">
        <v>0</v>
      </c>
      <c r="F170" s="73">
        <v>0</v>
      </c>
      <c r="G170" s="74" t="e">
        <f t="shared" si="0"/>
        <v>#DIV/0!</v>
      </c>
      <c r="H170" s="75" t="e">
        <f t="shared" si="1"/>
        <v>#DIV/0!</v>
      </c>
      <c r="I170" s="76" t="e">
        <f t="shared" si="2"/>
        <v>#DIV/0!</v>
      </c>
      <c r="J170" s="201">
        <v>0</v>
      </c>
      <c r="K170" s="73">
        <v>0</v>
      </c>
      <c r="L170" s="73">
        <v>0</v>
      </c>
      <c r="M170" s="202">
        <v>0</v>
      </c>
      <c r="N170" s="79" t="e">
        <f t="shared" si="65"/>
        <v>#DIV/0!</v>
      </c>
      <c r="O170" s="80" t="e">
        <f t="shared" si="4"/>
        <v>#DIV/0!</v>
      </c>
      <c r="P170" s="79" t="e">
        <f t="shared" si="5"/>
        <v>#DIV/0!</v>
      </c>
      <c r="Q170" s="81" t="e">
        <f t="shared" si="6"/>
        <v>#DIV/0!</v>
      </c>
      <c r="R170" s="203">
        <f t="shared" si="64"/>
        <v>0</v>
      </c>
      <c r="S170" s="83" t="e">
        <f t="shared" si="8"/>
        <v>#DIV/0!</v>
      </c>
      <c r="T170" s="135"/>
      <c r="U170" s="135"/>
      <c r="V170" s="135"/>
      <c r="W170" s="135"/>
      <c r="X170" s="136"/>
      <c r="Y170" s="50"/>
      <c r="Z170" s="50"/>
    </row>
    <row r="171" spans="1:26" ht="12.75" hidden="1" outlineLevel="1" x14ac:dyDescent="0.2">
      <c r="A171" s="50"/>
      <c r="B171" s="137"/>
      <c r="C171" s="70" t="s">
        <v>36</v>
      </c>
      <c r="D171" s="90">
        <v>69.95</v>
      </c>
      <c r="E171" s="73">
        <v>1</v>
      </c>
      <c r="F171" s="73">
        <v>1</v>
      </c>
      <c r="G171" s="74">
        <f t="shared" si="0"/>
        <v>1</v>
      </c>
      <c r="H171" s="75">
        <f t="shared" si="1"/>
        <v>69.95</v>
      </c>
      <c r="I171" s="76">
        <f t="shared" si="2"/>
        <v>69.95</v>
      </c>
      <c r="J171" s="90">
        <v>37.909999999999997</v>
      </c>
      <c r="K171" s="73">
        <v>5071</v>
      </c>
      <c r="L171" s="73">
        <v>0</v>
      </c>
      <c r="M171" s="91">
        <v>0</v>
      </c>
      <c r="N171" s="79" t="e">
        <f t="shared" si="65"/>
        <v>#DIV/0!</v>
      </c>
      <c r="O171" s="80">
        <f t="shared" si="4"/>
        <v>0</v>
      </c>
      <c r="P171" s="79">
        <f t="shared" si="5"/>
        <v>0.54195854181558245</v>
      </c>
      <c r="Q171" s="81">
        <f t="shared" si="6"/>
        <v>0</v>
      </c>
      <c r="R171" s="92">
        <f t="shared" si="64"/>
        <v>69.95</v>
      </c>
      <c r="S171" s="83" t="e">
        <f t="shared" si="8"/>
        <v>#DIV/0!</v>
      </c>
      <c r="T171" s="135"/>
      <c r="U171" s="135"/>
      <c r="V171" s="135"/>
      <c r="W171" s="135"/>
      <c r="X171" s="136"/>
      <c r="Y171" s="50"/>
      <c r="Z171" s="50"/>
    </row>
    <row r="172" spans="1:26" ht="12.75" hidden="1" outlineLevel="1" x14ac:dyDescent="0.2">
      <c r="A172" s="50"/>
      <c r="B172" s="69" t="s">
        <v>37</v>
      </c>
      <c r="C172" s="70" t="s">
        <v>38</v>
      </c>
      <c r="D172" s="93">
        <v>214.75</v>
      </c>
      <c r="E172" s="73">
        <v>5</v>
      </c>
      <c r="F172" s="73">
        <v>6</v>
      </c>
      <c r="G172" s="74">
        <f t="shared" si="0"/>
        <v>0.83333333333333337</v>
      </c>
      <c r="H172" s="75">
        <f t="shared" si="1"/>
        <v>42.95</v>
      </c>
      <c r="I172" s="76">
        <f t="shared" si="2"/>
        <v>51.54</v>
      </c>
      <c r="J172" s="93">
        <v>90.03</v>
      </c>
      <c r="K172" s="73">
        <v>12745</v>
      </c>
      <c r="L172" s="73">
        <v>0</v>
      </c>
      <c r="M172" s="94">
        <v>0</v>
      </c>
      <c r="N172" s="79" t="e">
        <f t="shared" si="65"/>
        <v>#DIV/0!</v>
      </c>
      <c r="O172" s="80">
        <f t="shared" si="4"/>
        <v>0</v>
      </c>
      <c r="P172" s="79">
        <f t="shared" si="5"/>
        <v>0.41923166472642609</v>
      </c>
      <c r="Q172" s="81">
        <f t="shared" si="6"/>
        <v>0</v>
      </c>
      <c r="R172" s="95">
        <f t="shared" si="64"/>
        <v>214.75</v>
      </c>
      <c r="S172" s="83" t="e">
        <f t="shared" si="8"/>
        <v>#DIV/0!</v>
      </c>
      <c r="T172" s="135"/>
      <c r="U172" s="135"/>
      <c r="V172" s="135"/>
      <c r="W172" s="135"/>
      <c r="X172" s="136"/>
      <c r="Y172" s="50"/>
      <c r="Z172" s="50"/>
    </row>
    <row r="173" spans="1:26" ht="12.75" hidden="1" outlineLevel="1" x14ac:dyDescent="0.2">
      <c r="A173" s="50"/>
      <c r="B173" s="137"/>
      <c r="C173" s="70" t="s">
        <v>39</v>
      </c>
      <c r="D173" s="96">
        <v>199.9</v>
      </c>
      <c r="E173" s="73">
        <v>2</v>
      </c>
      <c r="F173" s="73">
        <v>2</v>
      </c>
      <c r="G173" s="74">
        <f t="shared" si="0"/>
        <v>1</v>
      </c>
      <c r="H173" s="75">
        <f t="shared" si="1"/>
        <v>99.95</v>
      </c>
      <c r="I173" s="76">
        <f t="shared" si="2"/>
        <v>99.95</v>
      </c>
      <c r="J173" s="96">
        <v>0</v>
      </c>
      <c r="K173" s="73">
        <v>0</v>
      </c>
      <c r="L173" s="73">
        <v>0</v>
      </c>
      <c r="M173" s="97">
        <v>0</v>
      </c>
      <c r="N173" s="79" t="e">
        <f t="shared" si="65"/>
        <v>#DIV/0!</v>
      </c>
      <c r="O173" s="80" t="e">
        <f t="shared" si="4"/>
        <v>#DIV/0!</v>
      </c>
      <c r="P173" s="79">
        <f t="shared" si="5"/>
        <v>0</v>
      </c>
      <c r="Q173" s="81">
        <f t="shared" si="6"/>
        <v>0</v>
      </c>
      <c r="R173" s="98">
        <f t="shared" si="64"/>
        <v>199.9</v>
      </c>
      <c r="S173" s="83" t="e">
        <f t="shared" si="8"/>
        <v>#DIV/0!</v>
      </c>
      <c r="T173" s="135"/>
      <c r="U173" s="135"/>
      <c r="V173" s="135"/>
      <c r="W173" s="135"/>
      <c r="X173" s="136"/>
      <c r="Y173" s="50"/>
      <c r="Z173" s="50"/>
    </row>
    <row r="174" spans="1:26" ht="12.75" hidden="1" outlineLevel="1" x14ac:dyDescent="0.2">
      <c r="A174" s="50"/>
      <c r="B174" s="137"/>
      <c r="C174" s="70" t="s">
        <v>40</v>
      </c>
      <c r="D174" s="99">
        <v>659.4</v>
      </c>
      <c r="E174" s="73">
        <v>12</v>
      </c>
      <c r="F174" s="73">
        <v>3</v>
      </c>
      <c r="G174" s="74">
        <f t="shared" si="0"/>
        <v>4</v>
      </c>
      <c r="H174" s="75">
        <f t="shared" si="1"/>
        <v>54.949999999999996</v>
      </c>
      <c r="I174" s="76">
        <f t="shared" si="2"/>
        <v>13.737499999999999</v>
      </c>
      <c r="J174" s="99">
        <v>0</v>
      </c>
      <c r="K174" s="73">
        <v>0</v>
      </c>
      <c r="L174" s="73">
        <v>0</v>
      </c>
      <c r="M174" s="100">
        <v>0</v>
      </c>
      <c r="N174" s="79" t="e">
        <f t="shared" si="65"/>
        <v>#DIV/0!</v>
      </c>
      <c r="O174" s="80" t="e">
        <f t="shared" si="4"/>
        <v>#DIV/0!</v>
      </c>
      <c r="P174" s="79">
        <f t="shared" si="5"/>
        <v>0</v>
      </c>
      <c r="Q174" s="81">
        <f t="shared" si="6"/>
        <v>0</v>
      </c>
      <c r="R174" s="101">
        <f t="shared" si="64"/>
        <v>659.4</v>
      </c>
      <c r="S174" s="83" t="e">
        <f t="shared" si="8"/>
        <v>#DIV/0!</v>
      </c>
      <c r="T174" s="135"/>
      <c r="U174" s="135"/>
      <c r="V174" s="135"/>
      <c r="W174" s="135"/>
      <c r="X174" s="136"/>
      <c r="Y174" s="50"/>
      <c r="Z174" s="50"/>
    </row>
    <row r="175" spans="1:26" ht="12.75" hidden="1" outlineLevel="1" x14ac:dyDescent="0.2">
      <c r="A175" s="50"/>
      <c r="B175" s="137"/>
      <c r="C175" s="70" t="s">
        <v>41</v>
      </c>
      <c r="D175" s="102">
        <v>0</v>
      </c>
      <c r="E175" s="73">
        <v>0</v>
      </c>
      <c r="F175" s="73">
        <v>0</v>
      </c>
      <c r="G175" s="74" t="e">
        <f t="shared" si="0"/>
        <v>#DIV/0!</v>
      </c>
      <c r="H175" s="75" t="e">
        <f t="shared" si="1"/>
        <v>#DIV/0!</v>
      </c>
      <c r="I175" s="76" t="e">
        <f t="shared" si="2"/>
        <v>#DIV/0!</v>
      </c>
      <c r="J175" s="102">
        <v>0</v>
      </c>
      <c r="K175" s="73">
        <v>14</v>
      </c>
      <c r="L175" s="73">
        <v>0</v>
      </c>
      <c r="M175" s="103">
        <v>0</v>
      </c>
      <c r="N175" s="79" t="e">
        <f t="shared" si="65"/>
        <v>#DIV/0!</v>
      </c>
      <c r="O175" s="80" t="e">
        <f t="shared" si="4"/>
        <v>#DIV/0!</v>
      </c>
      <c r="P175" s="79" t="e">
        <f t="shared" si="5"/>
        <v>#DIV/0!</v>
      </c>
      <c r="Q175" s="81" t="e">
        <f t="shared" si="6"/>
        <v>#DIV/0!</v>
      </c>
      <c r="R175" s="104">
        <f t="shared" si="64"/>
        <v>0</v>
      </c>
      <c r="S175" s="83" t="e">
        <f t="shared" si="8"/>
        <v>#DIV/0!</v>
      </c>
      <c r="T175" s="135"/>
      <c r="U175" s="135"/>
      <c r="V175" s="135"/>
      <c r="W175" s="135"/>
      <c r="X175" s="136"/>
      <c r="Y175" s="50"/>
      <c r="Z175" s="50"/>
    </row>
    <row r="176" spans="1:26" ht="12.75" hidden="1" outlineLevel="1" x14ac:dyDescent="0.2">
      <c r="A176" s="50"/>
      <c r="B176" s="137"/>
      <c r="C176" s="70" t="s">
        <v>42</v>
      </c>
      <c r="D176" s="90">
        <v>79.959999999999994</v>
      </c>
      <c r="E176" s="73">
        <v>4</v>
      </c>
      <c r="F176" s="73">
        <v>2</v>
      </c>
      <c r="G176" s="74">
        <f t="shared" si="0"/>
        <v>2</v>
      </c>
      <c r="H176" s="75">
        <f t="shared" si="1"/>
        <v>19.989999999999998</v>
      </c>
      <c r="I176" s="76">
        <f t="shared" si="2"/>
        <v>9.9949999999999992</v>
      </c>
      <c r="J176" s="90">
        <v>6</v>
      </c>
      <c r="K176" s="73">
        <v>14379</v>
      </c>
      <c r="L176" s="73">
        <v>0</v>
      </c>
      <c r="M176" s="91">
        <v>0</v>
      </c>
      <c r="N176" s="79" t="e">
        <f t="shared" si="65"/>
        <v>#DIV/0!</v>
      </c>
      <c r="O176" s="80">
        <f t="shared" si="4"/>
        <v>0</v>
      </c>
      <c r="P176" s="79">
        <f t="shared" si="5"/>
        <v>7.5037518759379696E-2</v>
      </c>
      <c r="Q176" s="81">
        <f t="shared" si="6"/>
        <v>0</v>
      </c>
      <c r="R176" s="92">
        <f t="shared" si="64"/>
        <v>79.959999999999994</v>
      </c>
      <c r="S176" s="83" t="e">
        <f t="shared" si="8"/>
        <v>#DIV/0!</v>
      </c>
      <c r="T176" s="135"/>
      <c r="U176" s="135"/>
      <c r="V176" s="135"/>
      <c r="W176" s="135"/>
      <c r="X176" s="136"/>
      <c r="Y176" s="50"/>
      <c r="Z176" s="50"/>
    </row>
    <row r="177" spans="1:26" ht="12.75" hidden="1" outlineLevel="1" x14ac:dyDescent="0.2">
      <c r="A177" s="50"/>
      <c r="B177" s="137"/>
      <c r="C177" s="70" t="s">
        <v>43</v>
      </c>
      <c r="D177" s="105">
        <v>0</v>
      </c>
      <c r="E177" s="73">
        <v>0</v>
      </c>
      <c r="F177" s="73">
        <v>0</v>
      </c>
      <c r="G177" s="74" t="e">
        <f t="shared" si="0"/>
        <v>#DIV/0!</v>
      </c>
      <c r="H177" s="75" t="e">
        <f t="shared" si="1"/>
        <v>#DIV/0!</v>
      </c>
      <c r="I177" s="76" t="e">
        <f t="shared" si="2"/>
        <v>#DIV/0!</v>
      </c>
      <c r="J177" s="105">
        <v>14.56</v>
      </c>
      <c r="K177" s="73">
        <v>21997</v>
      </c>
      <c r="L177" s="73">
        <v>0</v>
      </c>
      <c r="M177" s="106">
        <v>0</v>
      </c>
      <c r="N177" s="79" t="e">
        <f t="shared" si="65"/>
        <v>#DIV/0!</v>
      </c>
      <c r="O177" s="80">
        <f t="shared" si="4"/>
        <v>0</v>
      </c>
      <c r="P177" s="79" t="e">
        <f t="shared" si="5"/>
        <v>#DIV/0!</v>
      </c>
      <c r="Q177" s="81" t="e">
        <f t="shared" si="6"/>
        <v>#DIV/0!</v>
      </c>
      <c r="R177" s="107">
        <f t="shared" si="64"/>
        <v>0</v>
      </c>
      <c r="S177" s="83" t="e">
        <f t="shared" si="8"/>
        <v>#DIV/0!</v>
      </c>
      <c r="T177" s="135"/>
      <c r="U177" s="135"/>
      <c r="V177" s="135"/>
      <c r="W177" s="135"/>
      <c r="X177" s="136"/>
      <c r="Y177" s="50"/>
      <c r="Z177" s="50"/>
    </row>
    <row r="178" spans="1:26" ht="12.75" hidden="1" outlineLevel="1" x14ac:dyDescent="0.2">
      <c r="A178" s="50"/>
      <c r="B178" s="137"/>
      <c r="C178" s="70" t="s">
        <v>44</v>
      </c>
      <c r="D178" s="108">
        <v>159.80000000000001</v>
      </c>
      <c r="E178" s="73">
        <v>4</v>
      </c>
      <c r="F178" s="73">
        <v>4</v>
      </c>
      <c r="G178" s="74">
        <f t="shared" si="0"/>
        <v>1</v>
      </c>
      <c r="H178" s="75">
        <f t="shared" si="1"/>
        <v>39.950000000000003</v>
      </c>
      <c r="I178" s="76">
        <f t="shared" si="2"/>
        <v>39.950000000000003</v>
      </c>
      <c r="J178" s="108">
        <v>54.38</v>
      </c>
      <c r="K178" s="73">
        <v>11920</v>
      </c>
      <c r="L178" s="73">
        <v>2</v>
      </c>
      <c r="M178" s="109">
        <v>79.900000000000006</v>
      </c>
      <c r="N178" s="79">
        <f t="shared" si="65"/>
        <v>0.68060075093867334</v>
      </c>
      <c r="O178" s="80">
        <f t="shared" si="4"/>
        <v>1.4692901802133138</v>
      </c>
      <c r="P178" s="79">
        <f t="shared" si="5"/>
        <v>0.34030037546933667</v>
      </c>
      <c r="Q178" s="81">
        <f t="shared" si="6"/>
        <v>0.5</v>
      </c>
      <c r="R178" s="110">
        <f t="shared" si="64"/>
        <v>79.900000000000006</v>
      </c>
      <c r="S178" s="83">
        <f t="shared" si="8"/>
        <v>27.19</v>
      </c>
      <c r="T178" s="135"/>
      <c r="U178" s="135"/>
      <c r="V178" s="135"/>
      <c r="W178" s="135"/>
      <c r="X178" s="136"/>
      <c r="Y178" s="50"/>
      <c r="Z178" s="50"/>
    </row>
    <row r="179" spans="1:26" ht="12.75" hidden="1" outlineLevel="1" x14ac:dyDescent="0.2">
      <c r="A179" s="139"/>
      <c r="B179" s="137"/>
      <c r="C179" s="112" t="s">
        <v>45</v>
      </c>
      <c r="D179" s="71">
        <v>0</v>
      </c>
      <c r="E179" s="73">
        <v>0</v>
      </c>
      <c r="F179" s="73">
        <v>0</v>
      </c>
      <c r="G179" s="74" t="e">
        <f t="shared" si="0"/>
        <v>#DIV/0!</v>
      </c>
      <c r="H179" s="75" t="e">
        <f t="shared" si="1"/>
        <v>#DIV/0!</v>
      </c>
      <c r="I179" s="76" t="e">
        <f t="shared" si="2"/>
        <v>#DIV/0!</v>
      </c>
      <c r="J179" s="71">
        <v>0</v>
      </c>
      <c r="K179" s="73">
        <v>0</v>
      </c>
      <c r="L179" s="73">
        <v>0</v>
      </c>
      <c r="M179" s="78">
        <v>0</v>
      </c>
      <c r="N179" s="79" t="e">
        <f t="shared" si="65"/>
        <v>#DIV/0!</v>
      </c>
      <c r="O179" s="80" t="e">
        <f t="shared" si="4"/>
        <v>#DIV/0!</v>
      </c>
      <c r="P179" s="79" t="e">
        <f t="shared" si="5"/>
        <v>#DIV/0!</v>
      </c>
      <c r="Q179" s="81" t="e">
        <f t="shared" si="6"/>
        <v>#DIV/0!</v>
      </c>
      <c r="R179" s="82">
        <f t="shared" si="64"/>
        <v>0</v>
      </c>
      <c r="S179" s="83" t="e">
        <f t="shared" si="8"/>
        <v>#DIV/0!</v>
      </c>
      <c r="T179" s="140"/>
      <c r="U179" s="140"/>
      <c r="V179" s="140"/>
      <c r="W179" s="141"/>
      <c r="X179" s="142"/>
      <c r="Y179" s="50"/>
      <c r="Z179" s="50"/>
    </row>
    <row r="180" spans="1:26" ht="12.75" hidden="1" outlineLevel="1" x14ac:dyDescent="0.2">
      <c r="A180" s="50"/>
      <c r="B180" s="137"/>
      <c r="C180" s="70" t="s">
        <v>46</v>
      </c>
      <c r="D180" s="116">
        <v>755.16</v>
      </c>
      <c r="E180" s="73">
        <v>17</v>
      </c>
      <c r="F180" s="73">
        <v>17</v>
      </c>
      <c r="G180" s="74">
        <f t="shared" si="0"/>
        <v>1</v>
      </c>
      <c r="H180" s="75">
        <f t="shared" si="1"/>
        <v>44.421176470588236</v>
      </c>
      <c r="I180" s="76">
        <f t="shared" si="2"/>
        <v>44.421176470588236</v>
      </c>
      <c r="J180" s="116">
        <v>85.03</v>
      </c>
      <c r="K180" s="73">
        <v>29388</v>
      </c>
      <c r="L180" s="73">
        <v>7</v>
      </c>
      <c r="M180" s="117">
        <v>314.64999999999998</v>
      </c>
      <c r="N180" s="79">
        <f t="shared" si="65"/>
        <v>0.27023677101541399</v>
      </c>
      <c r="O180" s="80">
        <f t="shared" si="4"/>
        <v>3.7004586616488293</v>
      </c>
      <c r="P180" s="79">
        <f t="shared" si="5"/>
        <v>0.11259865458975582</v>
      </c>
      <c r="Q180" s="81">
        <f t="shared" si="6"/>
        <v>0.41666666666666663</v>
      </c>
      <c r="R180" s="82">
        <f t="shared" si="64"/>
        <v>440.51</v>
      </c>
      <c r="S180" s="83">
        <f t="shared" si="8"/>
        <v>12.147142857142857</v>
      </c>
      <c r="T180" s="135"/>
      <c r="U180" s="135"/>
      <c r="V180" s="135"/>
      <c r="W180" s="135"/>
      <c r="X180" s="136"/>
      <c r="Y180" s="50"/>
      <c r="Z180" s="50"/>
    </row>
    <row r="181" spans="1:26" ht="12.75" hidden="1" outlineLevel="1" x14ac:dyDescent="0.2">
      <c r="A181" s="50"/>
      <c r="B181" s="137"/>
      <c r="C181" s="70" t="s">
        <v>49</v>
      </c>
      <c r="D181" s="116">
        <v>0</v>
      </c>
      <c r="E181" s="73">
        <v>0</v>
      </c>
      <c r="F181" s="73">
        <v>0</v>
      </c>
      <c r="G181" s="74" t="e">
        <f t="shared" si="0"/>
        <v>#DIV/0!</v>
      </c>
      <c r="H181" s="75" t="e">
        <f t="shared" si="1"/>
        <v>#DIV/0!</v>
      </c>
      <c r="I181" s="76" t="e">
        <f t="shared" si="2"/>
        <v>#DIV/0!</v>
      </c>
      <c r="J181" s="116">
        <v>4.28</v>
      </c>
      <c r="K181" s="73">
        <v>8057</v>
      </c>
      <c r="L181" s="73">
        <v>0</v>
      </c>
      <c r="M181" s="117">
        <v>0</v>
      </c>
      <c r="N181" s="79" t="e">
        <f t="shared" si="65"/>
        <v>#DIV/0!</v>
      </c>
      <c r="O181" s="80">
        <f t="shared" si="4"/>
        <v>0</v>
      </c>
      <c r="P181" s="79" t="e">
        <f t="shared" si="5"/>
        <v>#DIV/0!</v>
      </c>
      <c r="Q181" s="81" t="e">
        <f t="shared" si="6"/>
        <v>#DIV/0!</v>
      </c>
      <c r="R181" s="82">
        <f t="shared" si="64"/>
        <v>0</v>
      </c>
      <c r="S181" s="83" t="e">
        <f t="shared" si="8"/>
        <v>#DIV/0!</v>
      </c>
      <c r="T181" s="135"/>
      <c r="U181" s="135"/>
      <c r="V181" s="135"/>
      <c r="W181" s="135"/>
      <c r="X181" s="136"/>
      <c r="Y181" s="50"/>
      <c r="Z181" s="50"/>
    </row>
    <row r="182" spans="1:26" hidden="1" outlineLevel="1" x14ac:dyDescent="0.25">
      <c r="A182" s="118" t="str">
        <f t="shared" ref="A182:A183" si="66">IFERROR(IF(B182&gt;0,MONTH(B182)&amp;"-"&amp;YEAR(B182),B182),)</f>
        <v>4-2025</v>
      </c>
      <c r="B182" s="69">
        <v>45773</v>
      </c>
      <c r="C182" s="198" t="s">
        <v>64</v>
      </c>
      <c r="D182" s="116">
        <v>0</v>
      </c>
      <c r="E182" s="73">
        <v>0</v>
      </c>
      <c r="F182" s="73">
        <v>0</v>
      </c>
      <c r="G182" s="74" t="e">
        <f t="shared" si="0"/>
        <v>#DIV/0!</v>
      </c>
      <c r="H182" s="75" t="e">
        <f t="shared" si="1"/>
        <v>#DIV/0!</v>
      </c>
      <c r="I182" s="76" t="e">
        <f t="shared" si="2"/>
        <v>#DIV/0!</v>
      </c>
      <c r="J182" s="87">
        <v>275.54000000000002</v>
      </c>
      <c r="K182" s="204">
        <v>51956</v>
      </c>
      <c r="L182" s="205">
        <v>0</v>
      </c>
      <c r="M182" s="88">
        <v>315.92</v>
      </c>
      <c r="N182" s="79">
        <f t="shared" si="65"/>
        <v>0.87218283109648009</v>
      </c>
      <c r="O182" s="80">
        <f t="shared" si="4"/>
        <v>1.146548595485229</v>
      </c>
      <c r="P182" s="79" t="e">
        <f t="shared" si="5"/>
        <v>#DIV/0!</v>
      </c>
      <c r="Q182" s="81" t="e">
        <f t="shared" si="6"/>
        <v>#DIV/0!</v>
      </c>
      <c r="R182" s="82">
        <f t="shared" si="64"/>
        <v>-315.92</v>
      </c>
      <c r="S182" s="83" t="e">
        <f t="shared" si="8"/>
        <v>#DIV/0!</v>
      </c>
      <c r="T182" s="135"/>
      <c r="U182" s="135"/>
      <c r="V182" s="135"/>
      <c r="W182" s="135"/>
      <c r="X182" s="136"/>
      <c r="Y182" s="50"/>
      <c r="Z182" s="50"/>
    </row>
    <row r="183" spans="1:26" ht="12.75" collapsed="1" x14ac:dyDescent="0.2">
      <c r="A183" s="50">
        <f t="shared" si="66"/>
        <v>0</v>
      </c>
      <c r="B183" s="52" t="s">
        <v>75</v>
      </c>
      <c r="C183" s="145"/>
      <c r="D183" s="121">
        <f t="shared" ref="D183:F183" si="67">SUM(D165:D182)</f>
        <v>7435.03</v>
      </c>
      <c r="E183" s="123">
        <f t="shared" si="67"/>
        <v>89</v>
      </c>
      <c r="F183" s="123">
        <f t="shared" si="67"/>
        <v>77</v>
      </c>
      <c r="G183" s="124">
        <f t="shared" si="0"/>
        <v>1.1558441558441559</v>
      </c>
      <c r="H183" s="125">
        <f t="shared" si="1"/>
        <v>83.53966292134831</v>
      </c>
      <c r="I183" s="126">
        <f t="shared" si="2"/>
        <v>72.27588814543617</v>
      </c>
      <c r="J183" s="121">
        <f t="shared" ref="J183:M183" si="68">SUM(J165:J182)</f>
        <v>1160.7999999999997</v>
      </c>
      <c r="K183" s="123">
        <f t="shared" si="68"/>
        <v>314617</v>
      </c>
      <c r="L183" s="123">
        <f t="shared" si="68"/>
        <v>17</v>
      </c>
      <c r="M183" s="127">
        <f t="shared" si="68"/>
        <v>1773.3200000000002</v>
      </c>
      <c r="N183" s="128">
        <f t="shared" si="65"/>
        <v>0.65459138790517202</v>
      </c>
      <c r="O183" s="129">
        <f t="shared" si="4"/>
        <v>1.5276705720192976</v>
      </c>
      <c r="P183" s="128">
        <f t="shared" si="5"/>
        <v>0.15612579908890747</v>
      </c>
      <c r="Q183" s="130">
        <f t="shared" si="6"/>
        <v>0.2385087888011212</v>
      </c>
      <c r="R183" s="131">
        <f>SUM(R165:R182)</f>
        <v>5661.7099999999991</v>
      </c>
      <c r="S183" s="132">
        <f t="shared" si="8"/>
        <v>68.282352941176455</v>
      </c>
      <c r="T183" s="273">
        <f t="shared" ref="T183:U183" si="69">IFERROR((D183-D69)/D183,)</f>
        <v>-1.967577803990006E-2</v>
      </c>
      <c r="U183" s="273">
        <f t="shared" si="69"/>
        <v>-5.6179775280898875E-2</v>
      </c>
      <c r="V183" s="271">
        <f t="shared" ref="V183:W183" si="70">IFERROR((D183-#REF!)/D183, )</f>
        <v>0</v>
      </c>
      <c r="W183" s="271">
        <f t="shared" si="70"/>
        <v>0</v>
      </c>
      <c r="X183" s="50"/>
      <c r="Y183" s="50"/>
      <c r="Z183" s="50"/>
    </row>
    <row r="184" spans="1:26" ht="12.75" hidden="1" outlineLevel="1" x14ac:dyDescent="0.2">
      <c r="A184" s="50"/>
      <c r="B184" s="69">
        <v>45774</v>
      </c>
      <c r="C184" s="70" t="s">
        <v>32</v>
      </c>
      <c r="D184" s="71">
        <v>1667.12</v>
      </c>
      <c r="E184" s="73">
        <v>16</v>
      </c>
      <c r="F184" s="73">
        <v>17</v>
      </c>
      <c r="G184" s="74">
        <f t="shared" si="0"/>
        <v>0.94117647058823528</v>
      </c>
      <c r="H184" s="75">
        <f t="shared" si="1"/>
        <v>104.19499999999999</v>
      </c>
      <c r="I184" s="76">
        <f t="shared" si="2"/>
        <v>110.70718749999999</v>
      </c>
      <c r="J184" s="77">
        <v>259.54000000000002</v>
      </c>
      <c r="K184" s="73">
        <v>83285</v>
      </c>
      <c r="L184" s="73">
        <v>9</v>
      </c>
      <c r="M184" s="78">
        <v>578.79999999999995</v>
      </c>
      <c r="N184" s="79">
        <f t="shared" si="65"/>
        <v>0.44841050449205261</v>
      </c>
      <c r="O184" s="80">
        <f t="shared" si="4"/>
        <v>2.230099406642521</v>
      </c>
      <c r="P184" s="79">
        <f t="shared" si="5"/>
        <v>0.15568165458995156</v>
      </c>
      <c r="Q184" s="81">
        <f t="shared" si="6"/>
        <v>0.34718556552617685</v>
      </c>
      <c r="R184" s="82">
        <f t="shared" ref="R184:R201" si="71">D184-M184</f>
        <v>1088.32</v>
      </c>
      <c r="S184" s="83">
        <f t="shared" si="8"/>
        <v>28.837777777777781</v>
      </c>
      <c r="T184" s="135"/>
      <c r="U184" s="135"/>
      <c r="V184" s="135"/>
      <c r="W184" s="135"/>
      <c r="X184" s="136"/>
      <c r="Y184" s="50"/>
      <c r="Z184" s="50"/>
    </row>
    <row r="185" spans="1:26" ht="12.75" hidden="1" outlineLevel="1" x14ac:dyDescent="0.2">
      <c r="A185" s="50"/>
      <c r="B185" s="137"/>
      <c r="C185" s="70" t="s">
        <v>33</v>
      </c>
      <c r="D185" s="87">
        <v>3548.15</v>
      </c>
      <c r="E185" s="73">
        <v>31</v>
      </c>
      <c r="F185" s="73">
        <v>32</v>
      </c>
      <c r="G185" s="74">
        <f t="shared" si="0"/>
        <v>0.96875</v>
      </c>
      <c r="H185" s="75">
        <f t="shared" si="1"/>
        <v>114.45645161290322</v>
      </c>
      <c r="I185" s="76">
        <f t="shared" si="2"/>
        <v>118.14859521331945</v>
      </c>
      <c r="J185" s="87">
        <v>184.46</v>
      </c>
      <c r="K185" s="73">
        <v>71041</v>
      </c>
      <c r="L185" s="73">
        <v>2</v>
      </c>
      <c r="M185" s="88">
        <v>59.95</v>
      </c>
      <c r="N185" s="79">
        <f t="shared" si="65"/>
        <v>3.0768974145120933</v>
      </c>
      <c r="O185" s="80">
        <f t="shared" si="4"/>
        <v>0.32500271061476743</v>
      </c>
      <c r="P185" s="79">
        <f t="shared" si="5"/>
        <v>5.1987655538801913E-2</v>
      </c>
      <c r="Q185" s="81">
        <f t="shared" si="6"/>
        <v>1.689612896861745E-2</v>
      </c>
      <c r="R185" s="89">
        <f t="shared" si="71"/>
        <v>3488.2000000000003</v>
      </c>
      <c r="S185" s="83">
        <f t="shared" si="8"/>
        <v>92.23</v>
      </c>
      <c r="T185" s="135"/>
      <c r="U185" s="135"/>
      <c r="V185" s="135"/>
      <c r="W185" s="135"/>
      <c r="X185" s="136"/>
      <c r="Y185" s="50"/>
      <c r="Z185" s="50"/>
    </row>
    <row r="186" spans="1:26" ht="12.75" hidden="1" outlineLevel="1" x14ac:dyDescent="0.2">
      <c r="A186" s="50"/>
      <c r="B186" s="137"/>
      <c r="C186" s="70" t="s">
        <v>34</v>
      </c>
      <c r="D186" s="90">
        <v>0</v>
      </c>
      <c r="E186" s="73">
        <v>0</v>
      </c>
      <c r="F186" s="73">
        <v>0</v>
      </c>
      <c r="G186" s="74" t="e">
        <f t="shared" si="0"/>
        <v>#DIV/0!</v>
      </c>
      <c r="H186" s="75" t="e">
        <f t="shared" si="1"/>
        <v>#DIV/0!</v>
      </c>
      <c r="I186" s="76" t="e">
        <f t="shared" si="2"/>
        <v>#DIV/0!</v>
      </c>
      <c r="J186" s="90">
        <v>0</v>
      </c>
      <c r="K186" s="73">
        <v>0</v>
      </c>
      <c r="L186" s="73">
        <v>0</v>
      </c>
      <c r="M186" s="91">
        <v>0</v>
      </c>
      <c r="N186" s="79" t="e">
        <f>(J186/M186)</f>
        <v>#DIV/0!</v>
      </c>
      <c r="O186" s="80" t="e">
        <f t="shared" si="4"/>
        <v>#DIV/0!</v>
      </c>
      <c r="P186" s="79" t="e">
        <f t="shared" si="5"/>
        <v>#DIV/0!</v>
      </c>
      <c r="Q186" s="81" t="e">
        <f t="shared" si="6"/>
        <v>#DIV/0!</v>
      </c>
      <c r="R186" s="92">
        <f t="shared" si="71"/>
        <v>0</v>
      </c>
      <c r="S186" s="83" t="e">
        <f t="shared" si="8"/>
        <v>#DIV/0!</v>
      </c>
      <c r="T186" s="135"/>
      <c r="U186" s="135"/>
      <c r="V186" s="135"/>
      <c r="W186" s="135"/>
      <c r="X186" s="136"/>
      <c r="Y186" s="50"/>
      <c r="Z186" s="50"/>
    </row>
    <row r="187" spans="1:26" ht="12.75" hidden="1" outlineLevel="1" x14ac:dyDescent="0.2">
      <c r="A187" s="50"/>
      <c r="B187" s="137"/>
      <c r="C187" s="70" t="s">
        <v>35</v>
      </c>
      <c r="D187" s="90">
        <v>0</v>
      </c>
      <c r="E187" s="73">
        <v>0</v>
      </c>
      <c r="F187" s="73">
        <v>0</v>
      </c>
      <c r="G187" s="74" t="e">
        <f t="shared" si="0"/>
        <v>#DIV/0!</v>
      </c>
      <c r="H187" s="75" t="e">
        <f t="shared" si="1"/>
        <v>#DIV/0!</v>
      </c>
      <c r="I187" s="76" t="e">
        <f t="shared" si="2"/>
        <v>#DIV/0!</v>
      </c>
      <c r="J187" s="90">
        <v>0</v>
      </c>
      <c r="K187" s="73">
        <v>0</v>
      </c>
      <c r="L187" s="73">
        <v>0</v>
      </c>
      <c r="M187" s="91">
        <v>0</v>
      </c>
      <c r="N187" s="79" t="e">
        <f t="shared" ref="N187:N204" si="72">J187/M187</f>
        <v>#DIV/0!</v>
      </c>
      <c r="O187" s="80" t="e">
        <f t="shared" si="4"/>
        <v>#DIV/0!</v>
      </c>
      <c r="P187" s="79" t="e">
        <f t="shared" si="5"/>
        <v>#DIV/0!</v>
      </c>
      <c r="Q187" s="81" t="e">
        <f t="shared" si="6"/>
        <v>#DIV/0!</v>
      </c>
      <c r="R187" s="92">
        <f t="shared" si="71"/>
        <v>0</v>
      </c>
      <c r="S187" s="83" t="e">
        <f t="shared" si="8"/>
        <v>#DIV/0!</v>
      </c>
      <c r="T187" s="135"/>
      <c r="U187" s="135"/>
      <c r="V187" s="135"/>
      <c r="W187" s="135"/>
      <c r="X187" s="136"/>
      <c r="Y187" s="50"/>
      <c r="Z187" s="50"/>
    </row>
    <row r="188" spans="1:26" ht="12.75" hidden="1" outlineLevel="1" x14ac:dyDescent="0.2">
      <c r="A188" s="50"/>
      <c r="B188" s="137"/>
      <c r="C188" s="70" t="s">
        <v>62</v>
      </c>
      <c r="D188" s="200">
        <v>0</v>
      </c>
      <c r="E188" s="73">
        <v>0</v>
      </c>
      <c r="F188" s="73">
        <v>0</v>
      </c>
      <c r="G188" s="74" t="e">
        <f t="shared" si="0"/>
        <v>#DIV/0!</v>
      </c>
      <c r="H188" s="75" t="e">
        <f t="shared" si="1"/>
        <v>#DIV/0!</v>
      </c>
      <c r="I188" s="76" t="e">
        <f t="shared" si="2"/>
        <v>#DIV/0!</v>
      </c>
      <c r="J188" s="200">
        <v>0</v>
      </c>
      <c r="K188" s="73">
        <v>0</v>
      </c>
      <c r="L188" s="73">
        <v>0</v>
      </c>
      <c r="M188" s="200">
        <v>0</v>
      </c>
      <c r="N188" s="79" t="e">
        <f t="shared" si="72"/>
        <v>#DIV/0!</v>
      </c>
      <c r="O188" s="80" t="e">
        <f t="shared" si="4"/>
        <v>#DIV/0!</v>
      </c>
      <c r="P188" s="79" t="e">
        <f t="shared" si="5"/>
        <v>#DIV/0!</v>
      </c>
      <c r="Q188" s="81" t="e">
        <f t="shared" si="6"/>
        <v>#DIV/0!</v>
      </c>
      <c r="R188" s="92">
        <f t="shared" si="71"/>
        <v>0</v>
      </c>
      <c r="S188" s="83" t="e">
        <f t="shared" si="8"/>
        <v>#DIV/0!</v>
      </c>
      <c r="T188" s="135"/>
      <c r="U188" s="135"/>
      <c r="V188" s="135"/>
      <c r="W188" s="135"/>
      <c r="X188" s="136"/>
      <c r="Y188" s="50"/>
      <c r="Z188" s="50"/>
    </row>
    <row r="189" spans="1:26" ht="12.75" hidden="1" outlineLevel="1" x14ac:dyDescent="0.2">
      <c r="A189" s="50"/>
      <c r="B189" s="137"/>
      <c r="C189" s="70" t="s">
        <v>66</v>
      </c>
      <c r="D189" s="201">
        <v>0</v>
      </c>
      <c r="E189" s="73">
        <v>0</v>
      </c>
      <c r="F189" s="73">
        <v>0</v>
      </c>
      <c r="G189" s="74" t="e">
        <f t="shared" si="0"/>
        <v>#DIV/0!</v>
      </c>
      <c r="H189" s="75" t="e">
        <f t="shared" si="1"/>
        <v>#DIV/0!</v>
      </c>
      <c r="I189" s="76" t="e">
        <f t="shared" si="2"/>
        <v>#DIV/0!</v>
      </c>
      <c r="J189" s="201">
        <v>0</v>
      </c>
      <c r="K189" s="73">
        <v>0</v>
      </c>
      <c r="L189" s="73">
        <v>0</v>
      </c>
      <c r="M189" s="202">
        <v>0</v>
      </c>
      <c r="N189" s="79" t="e">
        <f t="shared" si="72"/>
        <v>#DIV/0!</v>
      </c>
      <c r="O189" s="80" t="e">
        <f t="shared" si="4"/>
        <v>#DIV/0!</v>
      </c>
      <c r="P189" s="79" t="e">
        <f t="shared" si="5"/>
        <v>#DIV/0!</v>
      </c>
      <c r="Q189" s="81" t="e">
        <f t="shared" si="6"/>
        <v>#DIV/0!</v>
      </c>
      <c r="R189" s="203">
        <f t="shared" si="71"/>
        <v>0</v>
      </c>
      <c r="S189" s="83" t="e">
        <f t="shared" si="8"/>
        <v>#DIV/0!</v>
      </c>
      <c r="T189" s="135"/>
      <c r="U189" s="135"/>
      <c r="V189" s="135"/>
      <c r="W189" s="135"/>
      <c r="X189" s="136"/>
      <c r="Y189" s="50"/>
      <c r="Z189" s="50"/>
    </row>
    <row r="190" spans="1:26" ht="12.75" hidden="1" outlineLevel="1" x14ac:dyDescent="0.2">
      <c r="A190" s="50"/>
      <c r="B190" s="137"/>
      <c r="C190" s="70" t="s">
        <v>36</v>
      </c>
      <c r="D190" s="90">
        <v>209.85</v>
      </c>
      <c r="E190" s="73">
        <v>3</v>
      </c>
      <c r="F190" s="73">
        <v>3</v>
      </c>
      <c r="G190" s="74">
        <f t="shared" si="0"/>
        <v>1</v>
      </c>
      <c r="H190" s="75">
        <f t="shared" si="1"/>
        <v>69.95</v>
      </c>
      <c r="I190" s="76">
        <f t="shared" si="2"/>
        <v>69.95</v>
      </c>
      <c r="J190" s="90">
        <v>31.45</v>
      </c>
      <c r="K190" s="73">
        <v>5187</v>
      </c>
      <c r="L190" s="73">
        <v>1</v>
      </c>
      <c r="M190" s="91">
        <v>69.95</v>
      </c>
      <c r="N190" s="79">
        <f t="shared" si="72"/>
        <v>0.44960686204431732</v>
      </c>
      <c r="O190" s="80">
        <f t="shared" si="4"/>
        <v>2.2241653418124008</v>
      </c>
      <c r="P190" s="79">
        <f t="shared" si="5"/>
        <v>0.14986895401477246</v>
      </c>
      <c r="Q190" s="81">
        <f t="shared" si="6"/>
        <v>0.33333333333333337</v>
      </c>
      <c r="R190" s="92">
        <f t="shared" si="71"/>
        <v>139.89999999999998</v>
      </c>
      <c r="S190" s="83">
        <f t="shared" si="8"/>
        <v>31.45</v>
      </c>
      <c r="T190" s="135"/>
      <c r="U190" s="135"/>
      <c r="V190" s="135"/>
      <c r="W190" s="135"/>
      <c r="X190" s="136"/>
      <c r="Y190" s="50"/>
      <c r="Z190" s="50"/>
    </row>
    <row r="191" spans="1:26" ht="12.75" hidden="1" outlineLevel="1" x14ac:dyDescent="0.2">
      <c r="A191" s="50"/>
      <c r="B191" s="69" t="s">
        <v>37</v>
      </c>
      <c r="C191" s="70" t="s">
        <v>38</v>
      </c>
      <c r="D191" s="93">
        <v>-50.22</v>
      </c>
      <c r="E191" s="73">
        <v>0</v>
      </c>
      <c r="F191" s="73">
        <v>1</v>
      </c>
      <c r="G191" s="74">
        <f t="shared" si="0"/>
        <v>0</v>
      </c>
      <c r="H191" s="75" t="e">
        <f t="shared" si="1"/>
        <v>#DIV/0!</v>
      </c>
      <c r="I191" s="76" t="e">
        <f t="shared" si="2"/>
        <v>#DIV/0!</v>
      </c>
      <c r="J191" s="93">
        <v>83.6</v>
      </c>
      <c r="K191" s="73">
        <v>10037</v>
      </c>
      <c r="L191" s="73">
        <v>1</v>
      </c>
      <c r="M191" s="94">
        <v>35.99</v>
      </c>
      <c r="N191" s="79">
        <f t="shared" si="72"/>
        <v>2.3228674631842177</v>
      </c>
      <c r="O191" s="80">
        <f t="shared" si="4"/>
        <v>0.43050239234449766</v>
      </c>
      <c r="P191" s="79">
        <f t="shared" si="5"/>
        <v>-1.6646754281162883</v>
      </c>
      <c r="Q191" s="81">
        <f t="shared" si="6"/>
        <v>-0.71664675428116298</v>
      </c>
      <c r="R191" s="95">
        <f t="shared" si="71"/>
        <v>-86.210000000000008</v>
      </c>
      <c r="S191" s="83">
        <f t="shared" si="8"/>
        <v>83.6</v>
      </c>
      <c r="T191" s="135"/>
      <c r="U191" s="135"/>
      <c r="V191" s="135"/>
      <c r="W191" s="135"/>
      <c r="X191" s="136"/>
      <c r="Y191" s="50"/>
      <c r="Z191" s="50"/>
    </row>
    <row r="192" spans="1:26" ht="12.75" hidden="1" outlineLevel="1" x14ac:dyDescent="0.2">
      <c r="A192" s="50"/>
      <c r="B192" s="137"/>
      <c r="C192" s="70" t="s">
        <v>39</v>
      </c>
      <c r="D192" s="96">
        <v>-99.95</v>
      </c>
      <c r="E192" s="73">
        <v>-1</v>
      </c>
      <c r="F192" s="73">
        <v>0</v>
      </c>
      <c r="G192" s="74" t="e">
        <f t="shared" si="0"/>
        <v>#DIV/0!</v>
      </c>
      <c r="H192" s="75">
        <f t="shared" si="1"/>
        <v>99.95</v>
      </c>
      <c r="I192" s="76" t="e">
        <f t="shared" si="2"/>
        <v>#DIV/0!</v>
      </c>
      <c r="J192" s="96">
        <v>0</v>
      </c>
      <c r="K192" s="73">
        <v>0</v>
      </c>
      <c r="L192" s="73">
        <v>0</v>
      </c>
      <c r="M192" s="97">
        <v>0</v>
      </c>
      <c r="N192" s="79" t="e">
        <f t="shared" si="72"/>
        <v>#DIV/0!</v>
      </c>
      <c r="O192" s="80" t="e">
        <f t="shared" si="4"/>
        <v>#DIV/0!</v>
      </c>
      <c r="P192" s="79">
        <f t="shared" si="5"/>
        <v>0</v>
      </c>
      <c r="Q192" s="81">
        <f t="shared" si="6"/>
        <v>0</v>
      </c>
      <c r="R192" s="98">
        <f t="shared" si="71"/>
        <v>-99.95</v>
      </c>
      <c r="S192" s="83" t="e">
        <f t="shared" si="8"/>
        <v>#DIV/0!</v>
      </c>
      <c r="T192" s="135"/>
      <c r="U192" s="135"/>
      <c r="V192" s="135"/>
      <c r="W192" s="135"/>
      <c r="X192" s="136"/>
      <c r="Y192" s="50"/>
      <c r="Z192" s="50"/>
    </row>
    <row r="193" spans="1:26" ht="12.75" hidden="1" outlineLevel="1" x14ac:dyDescent="0.2">
      <c r="A193" s="50"/>
      <c r="B193" s="137"/>
      <c r="C193" s="70" t="s">
        <v>40</v>
      </c>
      <c r="D193" s="99">
        <v>0</v>
      </c>
      <c r="E193" s="73">
        <v>0</v>
      </c>
      <c r="F193" s="73">
        <v>0</v>
      </c>
      <c r="G193" s="74" t="e">
        <f t="shared" si="0"/>
        <v>#DIV/0!</v>
      </c>
      <c r="H193" s="75" t="e">
        <f t="shared" si="1"/>
        <v>#DIV/0!</v>
      </c>
      <c r="I193" s="76" t="e">
        <f t="shared" si="2"/>
        <v>#DIV/0!</v>
      </c>
      <c r="J193" s="99">
        <v>0</v>
      </c>
      <c r="K193" s="73">
        <v>0</v>
      </c>
      <c r="L193" s="73">
        <v>0</v>
      </c>
      <c r="M193" s="100">
        <v>0</v>
      </c>
      <c r="N193" s="79" t="e">
        <f t="shared" si="72"/>
        <v>#DIV/0!</v>
      </c>
      <c r="O193" s="80" t="e">
        <f t="shared" si="4"/>
        <v>#DIV/0!</v>
      </c>
      <c r="P193" s="79" t="e">
        <f t="shared" si="5"/>
        <v>#DIV/0!</v>
      </c>
      <c r="Q193" s="81" t="e">
        <f t="shared" si="6"/>
        <v>#DIV/0!</v>
      </c>
      <c r="R193" s="101">
        <f t="shared" si="71"/>
        <v>0</v>
      </c>
      <c r="S193" s="83" t="e">
        <f t="shared" si="8"/>
        <v>#DIV/0!</v>
      </c>
      <c r="T193" s="135"/>
      <c r="U193" s="135"/>
      <c r="V193" s="135"/>
      <c r="W193" s="135"/>
      <c r="X193" s="136"/>
      <c r="Y193" s="50"/>
      <c r="Z193" s="50"/>
    </row>
    <row r="194" spans="1:26" ht="12.75" hidden="1" outlineLevel="1" x14ac:dyDescent="0.2">
      <c r="A194" s="50"/>
      <c r="B194" s="137"/>
      <c r="C194" s="70" t="s">
        <v>41</v>
      </c>
      <c r="D194" s="102">
        <v>0</v>
      </c>
      <c r="E194" s="73">
        <v>0</v>
      </c>
      <c r="F194" s="73">
        <v>0</v>
      </c>
      <c r="G194" s="74" t="e">
        <f t="shared" si="0"/>
        <v>#DIV/0!</v>
      </c>
      <c r="H194" s="75" t="e">
        <f t="shared" si="1"/>
        <v>#DIV/0!</v>
      </c>
      <c r="I194" s="76" t="e">
        <f t="shared" si="2"/>
        <v>#DIV/0!</v>
      </c>
      <c r="J194" s="102">
        <v>0</v>
      </c>
      <c r="K194" s="73">
        <v>0</v>
      </c>
      <c r="L194" s="73">
        <v>0</v>
      </c>
      <c r="M194" s="103">
        <v>0</v>
      </c>
      <c r="N194" s="79" t="e">
        <f t="shared" si="72"/>
        <v>#DIV/0!</v>
      </c>
      <c r="O194" s="80" t="e">
        <f t="shared" si="4"/>
        <v>#DIV/0!</v>
      </c>
      <c r="P194" s="79" t="e">
        <f t="shared" si="5"/>
        <v>#DIV/0!</v>
      </c>
      <c r="Q194" s="81" t="e">
        <f t="shared" si="6"/>
        <v>#DIV/0!</v>
      </c>
      <c r="R194" s="104">
        <f t="shared" si="71"/>
        <v>0</v>
      </c>
      <c r="S194" s="83" t="e">
        <f t="shared" si="8"/>
        <v>#DIV/0!</v>
      </c>
      <c r="T194" s="135"/>
      <c r="U194" s="135"/>
      <c r="V194" s="135"/>
      <c r="W194" s="135"/>
      <c r="X194" s="136"/>
      <c r="Y194" s="50"/>
      <c r="Z194" s="50"/>
    </row>
    <row r="195" spans="1:26" ht="12.75" hidden="1" outlineLevel="1" x14ac:dyDescent="0.2">
      <c r="A195" s="50"/>
      <c r="B195" s="137"/>
      <c r="C195" s="70" t="s">
        <v>42</v>
      </c>
      <c r="D195" s="90">
        <v>0</v>
      </c>
      <c r="E195" s="73">
        <v>0</v>
      </c>
      <c r="F195" s="73">
        <v>0</v>
      </c>
      <c r="G195" s="74" t="e">
        <f t="shared" si="0"/>
        <v>#DIV/0!</v>
      </c>
      <c r="H195" s="75" t="e">
        <f t="shared" si="1"/>
        <v>#DIV/0!</v>
      </c>
      <c r="I195" s="76" t="e">
        <f t="shared" si="2"/>
        <v>#DIV/0!</v>
      </c>
      <c r="J195" s="90">
        <v>8.4700000000000006</v>
      </c>
      <c r="K195" s="73">
        <v>15222</v>
      </c>
      <c r="L195" s="73">
        <v>0</v>
      </c>
      <c r="M195" s="91">
        <v>0</v>
      </c>
      <c r="N195" s="79" t="e">
        <f t="shared" si="72"/>
        <v>#DIV/0!</v>
      </c>
      <c r="O195" s="80">
        <f t="shared" si="4"/>
        <v>0</v>
      </c>
      <c r="P195" s="79" t="e">
        <f t="shared" si="5"/>
        <v>#DIV/0!</v>
      </c>
      <c r="Q195" s="81" t="e">
        <f t="shared" si="6"/>
        <v>#DIV/0!</v>
      </c>
      <c r="R195" s="92">
        <f t="shared" si="71"/>
        <v>0</v>
      </c>
      <c r="S195" s="83" t="e">
        <f t="shared" si="8"/>
        <v>#DIV/0!</v>
      </c>
      <c r="T195" s="135"/>
      <c r="U195" s="135"/>
      <c r="V195" s="135"/>
      <c r="W195" s="135"/>
      <c r="X195" s="136"/>
      <c r="Y195" s="50"/>
      <c r="Z195" s="50"/>
    </row>
    <row r="196" spans="1:26" ht="12.75" hidden="1" outlineLevel="1" x14ac:dyDescent="0.2">
      <c r="A196" s="50"/>
      <c r="B196" s="137"/>
      <c r="C196" s="70" t="s">
        <v>43</v>
      </c>
      <c r="D196" s="105">
        <v>154.94999999999999</v>
      </c>
      <c r="E196" s="73">
        <v>1</v>
      </c>
      <c r="F196" s="73">
        <v>2</v>
      </c>
      <c r="G196" s="74">
        <f t="shared" si="0"/>
        <v>0.5</v>
      </c>
      <c r="H196" s="75">
        <f t="shared" si="1"/>
        <v>154.94999999999999</v>
      </c>
      <c r="I196" s="76">
        <f t="shared" si="2"/>
        <v>309.89999999999998</v>
      </c>
      <c r="J196" s="105">
        <v>17.46</v>
      </c>
      <c r="K196" s="73">
        <v>22425</v>
      </c>
      <c r="L196" s="73">
        <v>1</v>
      </c>
      <c r="M196" s="106">
        <v>0</v>
      </c>
      <c r="N196" s="79" t="e">
        <f t="shared" si="72"/>
        <v>#DIV/0!</v>
      </c>
      <c r="O196" s="80">
        <f t="shared" si="4"/>
        <v>0</v>
      </c>
      <c r="P196" s="79">
        <f t="shared" si="5"/>
        <v>0.11268151016456923</v>
      </c>
      <c r="Q196" s="81">
        <f t="shared" si="6"/>
        <v>0</v>
      </c>
      <c r="R196" s="107">
        <f t="shared" si="71"/>
        <v>154.94999999999999</v>
      </c>
      <c r="S196" s="83">
        <f t="shared" si="8"/>
        <v>17.46</v>
      </c>
      <c r="T196" s="135"/>
      <c r="U196" s="135"/>
      <c r="V196" s="135"/>
      <c r="W196" s="135"/>
      <c r="X196" s="136"/>
      <c r="Y196" s="50"/>
      <c r="Z196" s="50"/>
    </row>
    <row r="197" spans="1:26" ht="12.75" hidden="1" outlineLevel="1" x14ac:dyDescent="0.2">
      <c r="A197" s="50"/>
      <c r="B197" s="137"/>
      <c r="C197" s="70" t="s">
        <v>44</v>
      </c>
      <c r="D197" s="108">
        <v>281.64</v>
      </c>
      <c r="E197" s="73">
        <v>7</v>
      </c>
      <c r="F197" s="73">
        <v>9</v>
      </c>
      <c r="G197" s="74">
        <f t="shared" si="0"/>
        <v>0.77777777777777779</v>
      </c>
      <c r="H197" s="75">
        <f t="shared" si="1"/>
        <v>40.234285714285711</v>
      </c>
      <c r="I197" s="76">
        <f t="shared" si="2"/>
        <v>51.729795918367344</v>
      </c>
      <c r="J197" s="108">
        <v>29.75</v>
      </c>
      <c r="K197" s="73">
        <v>11811</v>
      </c>
      <c r="L197" s="73">
        <v>5</v>
      </c>
      <c r="M197" s="109">
        <v>199.75</v>
      </c>
      <c r="N197" s="79">
        <f t="shared" si="72"/>
        <v>0.14893617021276595</v>
      </c>
      <c r="O197" s="80">
        <f t="shared" si="4"/>
        <v>6.7142857142857144</v>
      </c>
      <c r="P197" s="79">
        <f t="shared" si="5"/>
        <v>0.10563130237182219</v>
      </c>
      <c r="Q197" s="81">
        <f t="shared" si="6"/>
        <v>0.70923874449652047</v>
      </c>
      <c r="R197" s="110">
        <f t="shared" si="71"/>
        <v>81.889999999999986</v>
      </c>
      <c r="S197" s="83">
        <f t="shared" si="8"/>
        <v>5.95</v>
      </c>
      <c r="T197" s="135"/>
      <c r="U197" s="135"/>
      <c r="V197" s="135"/>
      <c r="W197" s="135"/>
      <c r="X197" s="136"/>
      <c r="Y197" s="50"/>
      <c r="Z197" s="50"/>
    </row>
    <row r="198" spans="1:26" ht="12.75" hidden="1" outlineLevel="1" x14ac:dyDescent="0.2">
      <c r="A198" s="139"/>
      <c r="B198" s="137"/>
      <c r="C198" s="112" t="s">
        <v>45</v>
      </c>
      <c r="D198" s="71">
        <v>0</v>
      </c>
      <c r="E198" s="73">
        <v>0</v>
      </c>
      <c r="F198" s="73">
        <v>0</v>
      </c>
      <c r="G198" s="74" t="e">
        <f t="shared" si="0"/>
        <v>#DIV/0!</v>
      </c>
      <c r="H198" s="75" t="e">
        <f t="shared" si="1"/>
        <v>#DIV/0!</v>
      </c>
      <c r="I198" s="76" t="e">
        <f t="shared" si="2"/>
        <v>#DIV/0!</v>
      </c>
      <c r="J198" s="71">
        <v>0</v>
      </c>
      <c r="K198" s="73">
        <v>0</v>
      </c>
      <c r="L198" s="73">
        <v>0</v>
      </c>
      <c r="M198" s="78">
        <v>0</v>
      </c>
      <c r="N198" s="79" t="e">
        <f t="shared" si="72"/>
        <v>#DIV/0!</v>
      </c>
      <c r="O198" s="80" t="e">
        <f t="shared" si="4"/>
        <v>#DIV/0!</v>
      </c>
      <c r="P198" s="79" t="e">
        <f t="shared" si="5"/>
        <v>#DIV/0!</v>
      </c>
      <c r="Q198" s="81" t="e">
        <f t="shared" si="6"/>
        <v>#DIV/0!</v>
      </c>
      <c r="R198" s="82">
        <f t="shared" si="71"/>
        <v>0</v>
      </c>
      <c r="S198" s="83" t="e">
        <f t="shared" si="8"/>
        <v>#DIV/0!</v>
      </c>
      <c r="T198" s="140"/>
      <c r="U198" s="140"/>
      <c r="V198" s="140"/>
      <c r="W198" s="141"/>
      <c r="X198" s="142"/>
      <c r="Y198" s="50"/>
      <c r="Z198" s="50"/>
    </row>
    <row r="199" spans="1:26" ht="12.75" hidden="1" outlineLevel="1" x14ac:dyDescent="0.2">
      <c r="A199" s="50"/>
      <c r="B199" s="137"/>
      <c r="C199" s="70" t="s">
        <v>46</v>
      </c>
      <c r="D199" s="116">
        <v>404.55</v>
      </c>
      <c r="E199" s="73">
        <v>9</v>
      </c>
      <c r="F199" s="73">
        <v>10</v>
      </c>
      <c r="G199" s="74">
        <f t="shared" si="0"/>
        <v>0.9</v>
      </c>
      <c r="H199" s="75">
        <f t="shared" si="1"/>
        <v>44.95</v>
      </c>
      <c r="I199" s="76">
        <f t="shared" si="2"/>
        <v>49.944444444444443</v>
      </c>
      <c r="J199" s="116">
        <v>75.45</v>
      </c>
      <c r="K199" s="73">
        <v>33347</v>
      </c>
      <c r="L199" s="73">
        <v>2</v>
      </c>
      <c r="M199" s="117">
        <v>89.9</v>
      </c>
      <c r="N199" s="79">
        <f t="shared" si="72"/>
        <v>0.839265850945495</v>
      </c>
      <c r="O199" s="80">
        <f t="shared" si="4"/>
        <v>1.1915175612988735</v>
      </c>
      <c r="P199" s="79">
        <f t="shared" si="5"/>
        <v>0.18650352243233223</v>
      </c>
      <c r="Q199" s="81">
        <f t="shared" si="6"/>
        <v>0.22222222222222224</v>
      </c>
      <c r="R199" s="82">
        <f t="shared" si="71"/>
        <v>314.64999999999998</v>
      </c>
      <c r="S199" s="83">
        <f t="shared" si="8"/>
        <v>37.725000000000001</v>
      </c>
      <c r="T199" s="135"/>
      <c r="U199" s="135"/>
      <c r="V199" s="135"/>
      <c r="W199" s="135"/>
      <c r="X199" s="136"/>
      <c r="Y199" s="50"/>
      <c r="Z199" s="50"/>
    </row>
    <row r="200" spans="1:26" ht="12.75" hidden="1" outlineLevel="1" x14ac:dyDescent="0.2">
      <c r="A200" s="50"/>
      <c r="B200" s="137"/>
      <c r="C200" s="70" t="s">
        <v>49</v>
      </c>
      <c r="D200" s="116">
        <v>0</v>
      </c>
      <c r="E200" s="73">
        <v>0</v>
      </c>
      <c r="F200" s="73">
        <v>0</v>
      </c>
      <c r="G200" s="74" t="e">
        <f t="shared" si="0"/>
        <v>#DIV/0!</v>
      </c>
      <c r="H200" s="75" t="e">
        <f t="shared" si="1"/>
        <v>#DIV/0!</v>
      </c>
      <c r="I200" s="76" t="e">
        <f t="shared" si="2"/>
        <v>#DIV/0!</v>
      </c>
      <c r="J200" s="116">
        <v>10.06</v>
      </c>
      <c r="K200" s="73">
        <v>8353</v>
      </c>
      <c r="L200" s="73">
        <v>0</v>
      </c>
      <c r="M200" s="117">
        <v>0</v>
      </c>
      <c r="N200" s="79" t="e">
        <f t="shared" si="72"/>
        <v>#DIV/0!</v>
      </c>
      <c r="O200" s="80">
        <f t="shared" si="4"/>
        <v>0</v>
      </c>
      <c r="P200" s="79" t="e">
        <f t="shared" si="5"/>
        <v>#DIV/0!</v>
      </c>
      <c r="Q200" s="81" t="e">
        <f t="shared" si="6"/>
        <v>#DIV/0!</v>
      </c>
      <c r="R200" s="82">
        <f t="shared" si="71"/>
        <v>0</v>
      </c>
      <c r="S200" s="83" t="e">
        <f t="shared" si="8"/>
        <v>#DIV/0!</v>
      </c>
      <c r="T200" s="135"/>
      <c r="U200" s="135"/>
      <c r="V200" s="135"/>
      <c r="W200" s="135"/>
      <c r="X200" s="136"/>
      <c r="Y200" s="50"/>
      <c r="Z200" s="50"/>
    </row>
    <row r="201" spans="1:26" hidden="1" outlineLevel="1" x14ac:dyDescent="0.25">
      <c r="A201" s="118" t="str">
        <f t="shared" ref="A201:A202" si="73">IFERROR(IF(B201&gt;0,MONTH(B201)&amp;"-"&amp;YEAR(B201),B201),)</f>
        <v>5-2025</v>
      </c>
      <c r="B201" s="69">
        <v>45780</v>
      </c>
      <c r="C201" s="198" t="s">
        <v>64</v>
      </c>
      <c r="D201" s="116">
        <v>0</v>
      </c>
      <c r="E201" s="73">
        <v>0</v>
      </c>
      <c r="F201" s="73">
        <v>0</v>
      </c>
      <c r="G201" s="74" t="e">
        <f t="shared" si="0"/>
        <v>#DIV/0!</v>
      </c>
      <c r="H201" s="75" t="e">
        <f t="shared" si="1"/>
        <v>#DIV/0!</v>
      </c>
      <c r="I201" s="76" t="e">
        <f t="shared" si="2"/>
        <v>#DIV/0!</v>
      </c>
      <c r="J201" s="87">
        <v>136.22999999999999</v>
      </c>
      <c r="K201" s="204">
        <v>30732</v>
      </c>
      <c r="L201" s="205">
        <v>0</v>
      </c>
      <c r="M201" s="88">
        <v>334.84999999999997</v>
      </c>
      <c r="N201" s="79">
        <f t="shared" si="72"/>
        <v>0.40683888308197702</v>
      </c>
      <c r="O201" s="80">
        <f t="shared" si="4"/>
        <v>2.4579754826396534</v>
      </c>
      <c r="P201" s="79" t="e">
        <f t="shared" si="5"/>
        <v>#DIV/0!</v>
      </c>
      <c r="Q201" s="81" t="e">
        <f t="shared" si="6"/>
        <v>#DIV/0!</v>
      </c>
      <c r="R201" s="82">
        <f t="shared" si="71"/>
        <v>-334.84999999999997</v>
      </c>
      <c r="S201" s="83" t="e">
        <f t="shared" si="8"/>
        <v>#DIV/0!</v>
      </c>
      <c r="T201" s="135"/>
      <c r="U201" s="135"/>
      <c r="V201" s="135"/>
      <c r="W201" s="135"/>
      <c r="X201" s="136"/>
      <c r="Y201" s="50"/>
      <c r="Z201" s="50"/>
    </row>
    <row r="202" spans="1:26" ht="12.75" collapsed="1" x14ac:dyDescent="0.2">
      <c r="A202" s="50">
        <f t="shared" si="73"/>
        <v>0</v>
      </c>
      <c r="B202" s="52" t="s">
        <v>76</v>
      </c>
      <c r="C202" s="145"/>
      <c r="D202" s="121">
        <f t="shared" ref="D202:F202" si="74">SUM(D184:D201)</f>
        <v>6116.0900000000011</v>
      </c>
      <c r="E202" s="123">
        <f t="shared" si="74"/>
        <v>66</v>
      </c>
      <c r="F202" s="123">
        <f t="shared" si="74"/>
        <v>74</v>
      </c>
      <c r="G202" s="124">
        <f t="shared" si="0"/>
        <v>0.89189189189189189</v>
      </c>
      <c r="H202" s="125">
        <f t="shared" si="1"/>
        <v>92.668030303030321</v>
      </c>
      <c r="I202" s="126">
        <f t="shared" si="2"/>
        <v>103.90051882460975</v>
      </c>
      <c r="J202" s="121">
        <f t="shared" ref="J202:M202" si="75">SUM(J184:J201)</f>
        <v>836.47</v>
      </c>
      <c r="K202" s="123">
        <f t="shared" si="75"/>
        <v>291440</v>
      </c>
      <c r="L202" s="123">
        <f t="shared" si="75"/>
        <v>21</v>
      </c>
      <c r="M202" s="127">
        <f t="shared" si="75"/>
        <v>1369.19</v>
      </c>
      <c r="N202" s="128">
        <f t="shared" si="72"/>
        <v>0.61092324659105013</v>
      </c>
      <c r="O202" s="129">
        <f t="shared" si="4"/>
        <v>1.6368668332396858</v>
      </c>
      <c r="P202" s="128">
        <f t="shared" si="5"/>
        <v>0.13676548252233042</v>
      </c>
      <c r="Q202" s="130">
        <f t="shared" si="6"/>
        <v>0.22386688227282461</v>
      </c>
      <c r="R202" s="131">
        <f>SUM(R184:R201)</f>
        <v>4746.8999999999996</v>
      </c>
      <c r="S202" s="132">
        <f t="shared" si="8"/>
        <v>39.831904761904767</v>
      </c>
      <c r="T202" s="273">
        <f t="shared" ref="T202:U202" si="76">IFERROR((D202-D69)/D202,)</f>
        <v>-0.23956972510214802</v>
      </c>
      <c r="U202" s="273">
        <f t="shared" si="76"/>
        <v>-0.42424242424242425</v>
      </c>
      <c r="V202" s="271">
        <f t="shared" ref="V202:W202" si="77">IFERROR((D202-#REF!)/D202, )</f>
        <v>0</v>
      </c>
      <c r="W202" s="271">
        <f t="shared" si="77"/>
        <v>0</v>
      </c>
      <c r="X202" s="50"/>
      <c r="Y202" s="50"/>
      <c r="Z202" s="50"/>
    </row>
    <row r="203" spans="1:26" ht="12.75" hidden="1" outlineLevel="1" x14ac:dyDescent="0.2">
      <c r="A203" s="50"/>
      <c r="B203" s="69">
        <v>45781</v>
      </c>
      <c r="C203" s="70" t="s">
        <v>32</v>
      </c>
      <c r="D203" s="71">
        <v>342.79</v>
      </c>
      <c r="E203" s="73">
        <v>3</v>
      </c>
      <c r="F203" s="73">
        <v>9</v>
      </c>
      <c r="G203" s="74">
        <f t="shared" si="0"/>
        <v>0.33333333333333331</v>
      </c>
      <c r="H203" s="75">
        <f t="shared" si="1"/>
        <v>114.26333333333334</v>
      </c>
      <c r="I203" s="76">
        <f t="shared" si="2"/>
        <v>342.79</v>
      </c>
      <c r="J203" s="77">
        <v>242.37</v>
      </c>
      <c r="K203" s="73">
        <v>71806</v>
      </c>
      <c r="L203" s="73">
        <v>2</v>
      </c>
      <c r="M203" s="78">
        <v>194.9</v>
      </c>
      <c r="N203" s="79">
        <f t="shared" si="72"/>
        <v>1.2435608004104668</v>
      </c>
      <c r="O203" s="80">
        <f t="shared" si="4"/>
        <v>0.80414242686801174</v>
      </c>
      <c r="P203" s="79">
        <f t="shared" si="5"/>
        <v>0.70705096414714541</v>
      </c>
      <c r="Q203" s="81">
        <f t="shared" si="6"/>
        <v>0.56856967822865312</v>
      </c>
      <c r="R203" s="82">
        <f t="shared" ref="R203:R220" si="78">D203-M203</f>
        <v>147.89000000000001</v>
      </c>
      <c r="S203" s="83">
        <f t="shared" si="8"/>
        <v>121.185</v>
      </c>
      <c r="T203" s="135"/>
      <c r="U203" s="135"/>
      <c r="V203" s="135"/>
      <c r="W203" s="135"/>
      <c r="X203" s="136"/>
      <c r="Y203" s="50"/>
      <c r="Z203" s="50"/>
    </row>
    <row r="204" spans="1:26" ht="12.75" hidden="1" outlineLevel="1" x14ac:dyDescent="0.2">
      <c r="A204" s="50"/>
      <c r="B204" s="137"/>
      <c r="C204" s="70" t="s">
        <v>33</v>
      </c>
      <c r="D204" s="87">
        <v>384.65</v>
      </c>
      <c r="E204" s="73">
        <v>7</v>
      </c>
      <c r="F204" s="73">
        <v>9</v>
      </c>
      <c r="G204" s="74">
        <f t="shared" si="0"/>
        <v>0.77777777777777779</v>
      </c>
      <c r="H204" s="75">
        <f t="shared" si="1"/>
        <v>54.949999999999996</v>
      </c>
      <c r="I204" s="76">
        <f t="shared" si="2"/>
        <v>70.649999999999991</v>
      </c>
      <c r="J204" s="87">
        <v>227.73</v>
      </c>
      <c r="K204" s="73">
        <v>80914</v>
      </c>
      <c r="L204" s="73">
        <v>3</v>
      </c>
      <c r="M204" s="88">
        <v>99.9</v>
      </c>
      <c r="N204" s="79">
        <f t="shared" si="72"/>
        <v>2.2795795795795795</v>
      </c>
      <c r="O204" s="80">
        <f t="shared" si="4"/>
        <v>0.43867738110920834</v>
      </c>
      <c r="P204" s="79">
        <f t="shared" si="5"/>
        <v>0.59204471597556219</v>
      </c>
      <c r="Q204" s="81">
        <f t="shared" si="6"/>
        <v>0.25971662550370472</v>
      </c>
      <c r="R204" s="89">
        <f t="shared" si="78"/>
        <v>284.75</v>
      </c>
      <c r="S204" s="83">
        <f t="shared" si="8"/>
        <v>75.91</v>
      </c>
      <c r="T204" s="135"/>
      <c r="U204" s="135"/>
      <c r="V204" s="135"/>
      <c r="W204" s="135"/>
      <c r="X204" s="136"/>
      <c r="Y204" s="50"/>
      <c r="Z204" s="50"/>
    </row>
    <row r="205" spans="1:26" ht="12.75" hidden="1" outlineLevel="1" x14ac:dyDescent="0.2">
      <c r="A205" s="50"/>
      <c r="B205" s="137"/>
      <c r="C205" s="70" t="s">
        <v>34</v>
      </c>
      <c r="D205" s="90">
        <v>0</v>
      </c>
      <c r="E205" s="73">
        <v>0</v>
      </c>
      <c r="F205" s="73">
        <v>0</v>
      </c>
      <c r="G205" s="74" t="e">
        <f t="shared" si="0"/>
        <v>#DIV/0!</v>
      </c>
      <c r="H205" s="75" t="e">
        <f t="shared" si="1"/>
        <v>#DIV/0!</v>
      </c>
      <c r="I205" s="76" t="e">
        <f t="shared" si="2"/>
        <v>#DIV/0!</v>
      </c>
      <c r="J205" s="90">
        <v>0</v>
      </c>
      <c r="K205" s="73">
        <v>0</v>
      </c>
      <c r="L205" s="73">
        <v>0</v>
      </c>
      <c r="M205" s="91">
        <v>0</v>
      </c>
      <c r="N205" s="79" t="e">
        <f>(J205/M205)</f>
        <v>#DIV/0!</v>
      </c>
      <c r="O205" s="80" t="e">
        <f t="shared" si="4"/>
        <v>#DIV/0!</v>
      </c>
      <c r="P205" s="79" t="e">
        <f t="shared" si="5"/>
        <v>#DIV/0!</v>
      </c>
      <c r="Q205" s="81" t="e">
        <f t="shared" si="6"/>
        <v>#DIV/0!</v>
      </c>
      <c r="R205" s="92">
        <f t="shared" si="78"/>
        <v>0</v>
      </c>
      <c r="S205" s="83" t="e">
        <f t="shared" si="8"/>
        <v>#DIV/0!</v>
      </c>
      <c r="T205" s="135"/>
      <c r="U205" s="135"/>
      <c r="V205" s="135"/>
      <c r="W205" s="135"/>
      <c r="X205" s="136"/>
      <c r="Y205" s="50"/>
      <c r="Z205" s="50"/>
    </row>
    <row r="206" spans="1:26" ht="12.75" hidden="1" outlineLevel="1" x14ac:dyDescent="0.2">
      <c r="A206" s="50"/>
      <c r="B206" s="137"/>
      <c r="C206" s="70" t="s">
        <v>35</v>
      </c>
      <c r="D206" s="90">
        <v>188.85</v>
      </c>
      <c r="E206" s="73">
        <v>3</v>
      </c>
      <c r="F206" s="73">
        <v>3</v>
      </c>
      <c r="G206" s="74">
        <f t="shared" si="0"/>
        <v>1</v>
      </c>
      <c r="H206" s="75">
        <f t="shared" si="1"/>
        <v>62.949999999999996</v>
      </c>
      <c r="I206" s="76">
        <f t="shared" si="2"/>
        <v>62.949999999999996</v>
      </c>
      <c r="J206" s="90">
        <v>0</v>
      </c>
      <c r="K206" s="73">
        <v>0</v>
      </c>
      <c r="L206" s="73">
        <v>0</v>
      </c>
      <c r="M206" s="91">
        <v>0</v>
      </c>
      <c r="N206" s="79" t="e">
        <f t="shared" ref="N206:N223" si="79">J206/M206</f>
        <v>#DIV/0!</v>
      </c>
      <c r="O206" s="80" t="e">
        <f t="shared" si="4"/>
        <v>#DIV/0!</v>
      </c>
      <c r="P206" s="79">
        <f t="shared" si="5"/>
        <v>0</v>
      </c>
      <c r="Q206" s="81">
        <f t="shared" si="6"/>
        <v>0</v>
      </c>
      <c r="R206" s="92">
        <f t="shared" si="78"/>
        <v>188.85</v>
      </c>
      <c r="S206" s="83" t="e">
        <f t="shared" si="8"/>
        <v>#DIV/0!</v>
      </c>
      <c r="T206" s="135"/>
      <c r="U206" s="135"/>
      <c r="V206" s="135"/>
      <c r="W206" s="135"/>
      <c r="X206" s="136"/>
      <c r="Y206" s="50"/>
      <c r="Z206" s="50"/>
    </row>
    <row r="207" spans="1:26" ht="12.75" hidden="1" outlineLevel="1" x14ac:dyDescent="0.2">
      <c r="A207" s="50"/>
      <c r="B207" s="137"/>
      <c r="C207" s="70" t="s">
        <v>62</v>
      </c>
      <c r="D207" s="200">
        <v>0</v>
      </c>
      <c r="E207" s="73">
        <v>0</v>
      </c>
      <c r="F207" s="73">
        <v>0</v>
      </c>
      <c r="G207" s="74" t="e">
        <f t="shared" si="0"/>
        <v>#DIV/0!</v>
      </c>
      <c r="H207" s="75" t="e">
        <f t="shared" si="1"/>
        <v>#DIV/0!</v>
      </c>
      <c r="I207" s="76" t="e">
        <f t="shared" si="2"/>
        <v>#DIV/0!</v>
      </c>
      <c r="J207" s="200">
        <v>0</v>
      </c>
      <c r="K207" s="73">
        <v>0</v>
      </c>
      <c r="L207" s="73">
        <v>0</v>
      </c>
      <c r="M207" s="200">
        <v>0</v>
      </c>
      <c r="N207" s="79" t="e">
        <f t="shared" si="79"/>
        <v>#DIV/0!</v>
      </c>
      <c r="O207" s="80" t="e">
        <f t="shared" si="4"/>
        <v>#DIV/0!</v>
      </c>
      <c r="P207" s="79" t="e">
        <f t="shared" si="5"/>
        <v>#DIV/0!</v>
      </c>
      <c r="Q207" s="81" t="e">
        <f t="shared" si="6"/>
        <v>#DIV/0!</v>
      </c>
      <c r="R207" s="92">
        <f t="shared" si="78"/>
        <v>0</v>
      </c>
      <c r="S207" s="83" t="e">
        <f t="shared" si="8"/>
        <v>#DIV/0!</v>
      </c>
      <c r="T207" s="135"/>
      <c r="U207" s="135"/>
      <c r="V207" s="135"/>
      <c r="W207" s="135"/>
      <c r="X207" s="136"/>
      <c r="Y207" s="50"/>
      <c r="Z207" s="50"/>
    </row>
    <row r="208" spans="1:26" ht="12.75" hidden="1" outlineLevel="1" x14ac:dyDescent="0.2">
      <c r="A208" s="50"/>
      <c r="B208" s="137"/>
      <c r="C208" s="70" t="s">
        <v>66</v>
      </c>
      <c r="D208" s="201">
        <v>0</v>
      </c>
      <c r="E208" s="73">
        <v>0</v>
      </c>
      <c r="F208" s="73">
        <v>0</v>
      </c>
      <c r="G208" s="74" t="e">
        <f t="shared" si="0"/>
        <v>#DIV/0!</v>
      </c>
      <c r="H208" s="75" t="e">
        <f t="shared" si="1"/>
        <v>#DIV/0!</v>
      </c>
      <c r="I208" s="76" t="e">
        <f t="shared" si="2"/>
        <v>#DIV/0!</v>
      </c>
      <c r="J208" s="201">
        <v>0</v>
      </c>
      <c r="K208" s="73">
        <v>0</v>
      </c>
      <c r="L208" s="73">
        <v>0</v>
      </c>
      <c r="M208" s="202">
        <v>0</v>
      </c>
      <c r="N208" s="79" t="e">
        <f t="shared" si="79"/>
        <v>#DIV/0!</v>
      </c>
      <c r="O208" s="80" t="e">
        <f t="shared" si="4"/>
        <v>#DIV/0!</v>
      </c>
      <c r="P208" s="79" t="e">
        <f t="shared" si="5"/>
        <v>#DIV/0!</v>
      </c>
      <c r="Q208" s="81" t="e">
        <f t="shared" si="6"/>
        <v>#DIV/0!</v>
      </c>
      <c r="R208" s="203">
        <f t="shared" si="78"/>
        <v>0</v>
      </c>
      <c r="S208" s="83" t="e">
        <f t="shared" si="8"/>
        <v>#DIV/0!</v>
      </c>
      <c r="T208" s="135"/>
      <c r="U208" s="135"/>
      <c r="V208" s="135"/>
      <c r="W208" s="135"/>
      <c r="X208" s="136"/>
      <c r="Y208" s="50"/>
      <c r="Z208" s="50"/>
    </row>
    <row r="209" spans="1:26" ht="12.75" hidden="1" outlineLevel="1" x14ac:dyDescent="0.2">
      <c r="A209" s="50"/>
      <c r="B209" s="137"/>
      <c r="C209" s="70" t="s">
        <v>36</v>
      </c>
      <c r="D209" s="90">
        <v>139.9</v>
      </c>
      <c r="E209" s="73">
        <v>2</v>
      </c>
      <c r="F209" s="73">
        <v>2</v>
      </c>
      <c r="G209" s="74">
        <f t="shared" si="0"/>
        <v>1</v>
      </c>
      <c r="H209" s="75">
        <f t="shared" si="1"/>
        <v>69.95</v>
      </c>
      <c r="I209" s="76">
        <f t="shared" si="2"/>
        <v>69.95</v>
      </c>
      <c r="J209" s="90">
        <v>20.34</v>
      </c>
      <c r="K209" s="73">
        <v>4695</v>
      </c>
      <c r="L209" s="73">
        <v>0</v>
      </c>
      <c r="M209" s="91">
        <v>0</v>
      </c>
      <c r="N209" s="79" t="e">
        <f t="shared" si="79"/>
        <v>#DIV/0!</v>
      </c>
      <c r="O209" s="80">
        <f t="shared" si="4"/>
        <v>0</v>
      </c>
      <c r="P209" s="79">
        <f t="shared" si="5"/>
        <v>0.14538956397426733</v>
      </c>
      <c r="Q209" s="81">
        <f t="shared" si="6"/>
        <v>0</v>
      </c>
      <c r="R209" s="92">
        <f t="shared" si="78"/>
        <v>139.9</v>
      </c>
      <c r="S209" s="83" t="e">
        <f t="shared" si="8"/>
        <v>#DIV/0!</v>
      </c>
      <c r="T209" s="135"/>
      <c r="U209" s="135"/>
      <c r="V209" s="135"/>
      <c r="W209" s="135"/>
      <c r="X209" s="136"/>
      <c r="Y209" s="50"/>
      <c r="Z209" s="50"/>
    </row>
    <row r="210" spans="1:26" ht="12.75" hidden="1" outlineLevel="1" x14ac:dyDescent="0.2">
      <c r="A210" s="50"/>
      <c r="B210" s="69" t="s">
        <v>37</v>
      </c>
      <c r="C210" s="70" t="s">
        <v>38</v>
      </c>
      <c r="D210" s="93">
        <v>144.85</v>
      </c>
      <c r="E210" s="73">
        <v>3</v>
      </c>
      <c r="F210" s="73">
        <v>2</v>
      </c>
      <c r="G210" s="74">
        <f t="shared" si="0"/>
        <v>1.5</v>
      </c>
      <c r="H210" s="75">
        <f t="shared" si="1"/>
        <v>48.283333333333331</v>
      </c>
      <c r="I210" s="76">
        <f t="shared" si="2"/>
        <v>32.18888888888889</v>
      </c>
      <c r="J210" s="93">
        <v>45.33</v>
      </c>
      <c r="K210" s="73">
        <v>9084</v>
      </c>
      <c r="L210" s="73">
        <v>2</v>
      </c>
      <c r="M210" s="94">
        <v>59.9</v>
      </c>
      <c r="N210" s="79">
        <f t="shared" si="79"/>
        <v>0.75676126878130212</v>
      </c>
      <c r="O210" s="80">
        <f t="shared" si="4"/>
        <v>1.3214206926979926</v>
      </c>
      <c r="P210" s="79">
        <f t="shared" si="5"/>
        <v>0.31294442526751814</v>
      </c>
      <c r="Q210" s="81">
        <f t="shared" si="6"/>
        <v>0.41353123921297896</v>
      </c>
      <c r="R210" s="95">
        <f t="shared" si="78"/>
        <v>84.949999999999989</v>
      </c>
      <c r="S210" s="83">
        <f t="shared" si="8"/>
        <v>22.664999999999999</v>
      </c>
      <c r="T210" s="135"/>
      <c r="U210" s="135"/>
      <c r="V210" s="135"/>
      <c r="W210" s="135"/>
      <c r="X210" s="136"/>
      <c r="Y210" s="50"/>
      <c r="Z210" s="50"/>
    </row>
    <row r="211" spans="1:26" ht="12.75" hidden="1" outlineLevel="1" x14ac:dyDescent="0.2">
      <c r="A211" s="50"/>
      <c r="B211" s="137"/>
      <c r="C211" s="70" t="s">
        <v>39</v>
      </c>
      <c r="D211" s="96">
        <v>284.89</v>
      </c>
      <c r="E211" s="73">
        <v>3</v>
      </c>
      <c r="F211" s="73">
        <v>3</v>
      </c>
      <c r="G211" s="74">
        <f t="shared" si="0"/>
        <v>1</v>
      </c>
      <c r="H211" s="75">
        <f t="shared" si="1"/>
        <v>94.963333333333324</v>
      </c>
      <c r="I211" s="76">
        <f t="shared" si="2"/>
        <v>94.963333333333324</v>
      </c>
      <c r="J211" s="96">
        <v>0</v>
      </c>
      <c r="K211" s="73">
        <v>0</v>
      </c>
      <c r="L211" s="73">
        <v>0</v>
      </c>
      <c r="M211" s="97">
        <v>0</v>
      </c>
      <c r="N211" s="79" t="e">
        <f t="shared" si="79"/>
        <v>#DIV/0!</v>
      </c>
      <c r="O211" s="80" t="e">
        <f t="shared" si="4"/>
        <v>#DIV/0!</v>
      </c>
      <c r="P211" s="79">
        <f t="shared" si="5"/>
        <v>0</v>
      </c>
      <c r="Q211" s="81">
        <f t="shared" si="6"/>
        <v>0</v>
      </c>
      <c r="R211" s="98">
        <f t="shared" si="78"/>
        <v>284.89</v>
      </c>
      <c r="S211" s="83" t="e">
        <f t="shared" si="8"/>
        <v>#DIV/0!</v>
      </c>
      <c r="T211" s="135"/>
      <c r="U211" s="135"/>
      <c r="V211" s="135"/>
      <c r="W211" s="135"/>
      <c r="X211" s="136"/>
      <c r="Y211" s="50"/>
      <c r="Z211" s="50"/>
    </row>
    <row r="212" spans="1:26" ht="12.75" hidden="1" outlineLevel="1" x14ac:dyDescent="0.2">
      <c r="A212" s="50"/>
      <c r="B212" s="137"/>
      <c r="C212" s="70" t="s">
        <v>40</v>
      </c>
      <c r="D212" s="99">
        <v>0</v>
      </c>
      <c r="E212" s="73">
        <v>0</v>
      </c>
      <c r="F212" s="73">
        <v>0</v>
      </c>
      <c r="G212" s="74" t="e">
        <f t="shared" si="0"/>
        <v>#DIV/0!</v>
      </c>
      <c r="H212" s="75" t="e">
        <f t="shared" si="1"/>
        <v>#DIV/0!</v>
      </c>
      <c r="I212" s="76" t="e">
        <f t="shared" si="2"/>
        <v>#DIV/0!</v>
      </c>
      <c r="J212" s="99">
        <v>0</v>
      </c>
      <c r="K212" s="73">
        <v>0</v>
      </c>
      <c r="L212" s="73">
        <v>0</v>
      </c>
      <c r="M212" s="100">
        <v>0</v>
      </c>
      <c r="N212" s="79" t="e">
        <f t="shared" si="79"/>
        <v>#DIV/0!</v>
      </c>
      <c r="O212" s="80" t="e">
        <f t="shared" si="4"/>
        <v>#DIV/0!</v>
      </c>
      <c r="P212" s="79" t="e">
        <f t="shared" si="5"/>
        <v>#DIV/0!</v>
      </c>
      <c r="Q212" s="81" t="e">
        <f t="shared" si="6"/>
        <v>#DIV/0!</v>
      </c>
      <c r="R212" s="101">
        <f t="shared" si="78"/>
        <v>0</v>
      </c>
      <c r="S212" s="83" t="e">
        <f t="shared" si="8"/>
        <v>#DIV/0!</v>
      </c>
      <c r="T212" s="135"/>
      <c r="U212" s="135"/>
      <c r="V212" s="135"/>
      <c r="W212" s="135"/>
      <c r="X212" s="136"/>
      <c r="Y212" s="50"/>
      <c r="Z212" s="50"/>
    </row>
    <row r="213" spans="1:26" ht="12.75" hidden="1" outlineLevel="1" x14ac:dyDescent="0.2">
      <c r="A213" s="50"/>
      <c r="B213" s="137"/>
      <c r="C213" s="70" t="s">
        <v>41</v>
      </c>
      <c r="D213" s="102">
        <v>0</v>
      </c>
      <c r="E213" s="73">
        <v>0</v>
      </c>
      <c r="F213" s="73">
        <v>0</v>
      </c>
      <c r="G213" s="74" t="e">
        <f t="shared" si="0"/>
        <v>#DIV/0!</v>
      </c>
      <c r="H213" s="75" t="e">
        <f t="shared" si="1"/>
        <v>#DIV/0!</v>
      </c>
      <c r="I213" s="76" t="e">
        <f t="shared" si="2"/>
        <v>#DIV/0!</v>
      </c>
      <c r="J213" s="102">
        <v>0</v>
      </c>
      <c r="K213" s="73">
        <v>0</v>
      </c>
      <c r="L213" s="73">
        <v>0</v>
      </c>
      <c r="M213" s="103">
        <v>0</v>
      </c>
      <c r="N213" s="79" t="e">
        <f t="shared" si="79"/>
        <v>#DIV/0!</v>
      </c>
      <c r="O213" s="80" t="e">
        <f t="shared" si="4"/>
        <v>#DIV/0!</v>
      </c>
      <c r="P213" s="79" t="e">
        <f t="shared" si="5"/>
        <v>#DIV/0!</v>
      </c>
      <c r="Q213" s="81" t="e">
        <f t="shared" si="6"/>
        <v>#DIV/0!</v>
      </c>
      <c r="R213" s="104">
        <f t="shared" si="78"/>
        <v>0</v>
      </c>
      <c r="S213" s="83" t="e">
        <f t="shared" si="8"/>
        <v>#DIV/0!</v>
      </c>
      <c r="T213" s="135"/>
      <c r="U213" s="135"/>
      <c r="V213" s="135"/>
      <c r="W213" s="135"/>
      <c r="X213" s="136"/>
      <c r="Y213" s="50"/>
      <c r="Z213" s="50"/>
    </row>
    <row r="214" spans="1:26" ht="12.75" hidden="1" outlineLevel="1" x14ac:dyDescent="0.2">
      <c r="A214" s="50"/>
      <c r="B214" s="137"/>
      <c r="C214" s="70" t="s">
        <v>42</v>
      </c>
      <c r="D214" s="90">
        <v>0</v>
      </c>
      <c r="E214" s="73">
        <v>0</v>
      </c>
      <c r="F214" s="73">
        <v>0</v>
      </c>
      <c r="G214" s="74" t="e">
        <f t="shared" si="0"/>
        <v>#DIV/0!</v>
      </c>
      <c r="H214" s="75" t="e">
        <f t="shared" si="1"/>
        <v>#DIV/0!</v>
      </c>
      <c r="I214" s="76" t="e">
        <f t="shared" si="2"/>
        <v>#DIV/0!</v>
      </c>
      <c r="J214" s="90">
        <v>4.5</v>
      </c>
      <c r="K214" s="73">
        <v>13522</v>
      </c>
      <c r="L214" s="73">
        <v>0</v>
      </c>
      <c r="M214" s="91">
        <v>0</v>
      </c>
      <c r="N214" s="79" t="e">
        <f t="shared" si="79"/>
        <v>#DIV/0!</v>
      </c>
      <c r="O214" s="80">
        <f t="shared" si="4"/>
        <v>0</v>
      </c>
      <c r="P214" s="79" t="e">
        <f t="shared" si="5"/>
        <v>#DIV/0!</v>
      </c>
      <c r="Q214" s="81" t="e">
        <f t="shared" si="6"/>
        <v>#DIV/0!</v>
      </c>
      <c r="R214" s="92">
        <f t="shared" si="78"/>
        <v>0</v>
      </c>
      <c r="S214" s="83" t="e">
        <f t="shared" si="8"/>
        <v>#DIV/0!</v>
      </c>
      <c r="T214" s="135"/>
      <c r="U214" s="135"/>
      <c r="V214" s="135"/>
      <c r="W214" s="135"/>
      <c r="X214" s="136"/>
      <c r="Y214" s="50"/>
      <c r="Z214" s="50"/>
    </row>
    <row r="215" spans="1:26" ht="12.75" hidden="1" outlineLevel="1" x14ac:dyDescent="0.2">
      <c r="A215" s="50"/>
      <c r="B215" s="137"/>
      <c r="C215" s="70" t="s">
        <v>43</v>
      </c>
      <c r="D215" s="105">
        <v>154.94999999999999</v>
      </c>
      <c r="E215" s="73">
        <v>1</v>
      </c>
      <c r="F215" s="73">
        <v>1</v>
      </c>
      <c r="G215" s="74">
        <f t="shared" si="0"/>
        <v>1</v>
      </c>
      <c r="H215" s="75">
        <f t="shared" si="1"/>
        <v>154.94999999999999</v>
      </c>
      <c r="I215" s="76">
        <f t="shared" si="2"/>
        <v>154.94999999999999</v>
      </c>
      <c r="J215" s="105">
        <v>11.4</v>
      </c>
      <c r="K215" s="73">
        <v>21520</v>
      </c>
      <c r="L215" s="73">
        <v>0</v>
      </c>
      <c r="M215" s="106">
        <v>0</v>
      </c>
      <c r="N215" s="79" t="e">
        <f t="shared" si="79"/>
        <v>#DIV/0!</v>
      </c>
      <c r="O215" s="80">
        <f t="shared" si="4"/>
        <v>0</v>
      </c>
      <c r="P215" s="79">
        <f t="shared" si="5"/>
        <v>7.3572120038722183E-2</v>
      </c>
      <c r="Q215" s="81">
        <f t="shared" si="6"/>
        <v>0</v>
      </c>
      <c r="R215" s="107">
        <f t="shared" si="78"/>
        <v>154.94999999999999</v>
      </c>
      <c r="S215" s="83" t="e">
        <f t="shared" si="8"/>
        <v>#DIV/0!</v>
      </c>
      <c r="T215" s="135"/>
      <c r="U215" s="135"/>
      <c r="V215" s="135"/>
      <c r="W215" s="135"/>
      <c r="X215" s="136"/>
      <c r="Y215" s="50"/>
      <c r="Z215" s="50"/>
    </row>
    <row r="216" spans="1:26" ht="12.75" hidden="1" outlineLevel="1" x14ac:dyDescent="0.2">
      <c r="A216" s="50"/>
      <c r="B216" s="137"/>
      <c r="C216" s="70" t="s">
        <v>44</v>
      </c>
      <c r="D216" s="108">
        <v>279.64999999999998</v>
      </c>
      <c r="E216" s="73">
        <v>7</v>
      </c>
      <c r="F216" s="73">
        <v>8</v>
      </c>
      <c r="G216" s="74">
        <f t="shared" si="0"/>
        <v>0.875</v>
      </c>
      <c r="H216" s="75">
        <f t="shared" si="1"/>
        <v>39.949999999999996</v>
      </c>
      <c r="I216" s="76">
        <f t="shared" si="2"/>
        <v>45.657142857142851</v>
      </c>
      <c r="J216" s="108">
        <v>26.9</v>
      </c>
      <c r="K216" s="73">
        <v>10786</v>
      </c>
      <c r="L216" s="73">
        <v>5</v>
      </c>
      <c r="M216" s="109">
        <v>199.75</v>
      </c>
      <c r="N216" s="79">
        <f t="shared" si="79"/>
        <v>0.13466833541927409</v>
      </c>
      <c r="O216" s="80">
        <f t="shared" si="4"/>
        <v>7.425650557620818</v>
      </c>
      <c r="P216" s="79">
        <f t="shared" si="5"/>
        <v>9.619166815662436E-2</v>
      </c>
      <c r="Q216" s="81">
        <f t="shared" si="6"/>
        <v>0.7142857142857143</v>
      </c>
      <c r="R216" s="110">
        <f t="shared" si="78"/>
        <v>79.899999999999977</v>
      </c>
      <c r="S216" s="83">
        <f t="shared" si="8"/>
        <v>5.38</v>
      </c>
      <c r="T216" s="135"/>
      <c r="U216" s="135"/>
      <c r="V216" s="135"/>
      <c r="W216" s="135"/>
      <c r="X216" s="136"/>
      <c r="Y216" s="50"/>
      <c r="Z216" s="50"/>
    </row>
    <row r="217" spans="1:26" ht="12.75" hidden="1" outlineLevel="1" x14ac:dyDescent="0.2">
      <c r="A217" s="139"/>
      <c r="B217" s="137"/>
      <c r="C217" s="112" t="s">
        <v>45</v>
      </c>
      <c r="D217" s="71">
        <v>0</v>
      </c>
      <c r="E217" s="73">
        <v>0</v>
      </c>
      <c r="F217" s="73">
        <v>0</v>
      </c>
      <c r="G217" s="74" t="e">
        <f t="shared" si="0"/>
        <v>#DIV/0!</v>
      </c>
      <c r="H217" s="75" t="e">
        <f t="shared" si="1"/>
        <v>#DIV/0!</v>
      </c>
      <c r="I217" s="76" t="e">
        <f t="shared" si="2"/>
        <v>#DIV/0!</v>
      </c>
      <c r="J217" s="71">
        <v>0</v>
      </c>
      <c r="K217" s="73">
        <v>0</v>
      </c>
      <c r="L217" s="73">
        <v>0</v>
      </c>
      <c r="M217" s="78">
        <v>0</v>
      </c>
      <c r="N217" s="79" t="e">
        <f t="shared" si="79"/>
        <v>#DIV/0!</v>
      </c>
      <c r="O217" s="80" t="e">
        <f t="shared" si="4"/>
        <v>#DIV/0!</v>
      </c>
      <c r="P217" s="79" t="e">
        <f t="shared" si="5"/>
        <v>#DIV/0!</v>
      </c>
      <c r="Q217" s="81" t="e">
        <f t="shared" si="6"/>
        <v>#DIV/0!</v>
      </c>
      <c r="R217" s="82">
        <f t="shared" si="78"/>
        <v>0</v>
      </c>
      <c r="S217" s="83" t="e">
        <f t="shared" si="8"/>
        <v>#DIV/0!</v>
      </c>
      <c r="T217" s="140"/>
      <c r="U217" s="140"/>
      <c r="V217" s="140"/>
      <c r="W217" s="141"/>
      <c r="X217" s="142"/>
      <c r="Y217" s="50"/>
      <c r="Z217" s="50"/>
    </row>
    <row r="218" spans="1:26" ht="12.75" hidden="1" outlineLevel="1" x14ac:dyDescent="0.2">
      <c r="A218" s="50"/>
      <c r="B218" s="137"/>
      <c r="C218" s="70" t="s">
        <v>46</v>
      </c>
      <c r="D218" s="116">
        <v>544.4</v>
      </c>
      <c r="E218" s="73">
        <v>12</v>
      </c>
      <c r="F218" s="73">
        <v>12</v>
      </c>
      <c r="G218" s="74">
        <f t="shared" si="0"/>
        <v>1</v>
      </c>
      <c r="H218" s="75">
        <f t="shared" si="1"/>
        <v>45.366666666666667</v>
      </c>
      <c r="I218" s="76">
        <f t="shared" si="2"/>
        <v>45.366666666666667</v>
      </c>
      <c r="J218" s="116">
        <v>87.2</v>
      </c>
      <c r="K218" s="73">
        <v>30155</v>
      </c>
      <c r="L218" s="73">
        <v>5</v>
      </c>
      <c r="M218" s="117">
        <v>224.75</v>
      </c>
      <c r="N218" s="79">
        <f t="shared" si="79"/>
        <v>0.38798665183537268</v>
      </c>
      <c r="O218" s="80">
        <f t="shared" si="4"/>
        <v>2.5774082568807337</v>
      </c>
      <c r="P218" s="79">
        <f t="shared" si="5"/>
        <v>0.16017634092578986</v>
      </c>
      <c r="Q218" s="81">
        <f t="shared" si="6"/>
        <v>0.41283982365907423</v>
      </c>
      <c r="R218" s="82">
        <f t="shared" si="78"/>
        <v>319.64999999999998</v>
      </c>
      <c r="S218" s="83">
        <f t="shared" si="8"/>
        <v>17.440000000000001</v>
      </c>
      <c r="T218" s="135"/>
      <c r="U218" s="135"/>
      <c r="V218" s="135"/>
      <c r="W218" s="135"/>
      <c r="X218" s="136"/>
      <c r="Y218" s="50"/>
      <c r="Z218" s="50"/>
    </row>
    <row r="219" spans="1:26" ht="12.75" hidden="1" outlineLevel="1" x14ac:dyDescent="0.2">
      <c r="A219" s="50"/>
      <c r="B219" s="137"/>
      <c r="C219" s="70" t="s">
        <v>49</v>
      </c>
      <c r="D219" s="116">
        <v>0</v>
      </c>
      <c r="E219" s="73">
        <v>0</v>
      </c>
      <c r="F219" s="73">
        <v>0</v>
      </c>
      <c r="G219" s="74" t="e">
        <f t="shared" si="0"/>
        <v>#DIV/0!</v>
      </c>
      <c r="H219" s="75" t="e">
        <f t="shared" si="1"/>
        <v>#DIV/0!</v>
      </c>
      <c r="I219" s="76" t="e">
        <f t="shared" si="2"/>
        <v>#DIV/0!</v>
      </c>
      <c r="J219" s="116">
        <v>1.37</v>
      </c>
      <c r="K219" s="73">
        <v>7445</v>
      </c>
      <c r="L219" s="73">
        <v>0</v>
      </c>
      <c r="M219" s="117">
        <v>0</v>
      </c>
      <c r="N219" s="79" t="e">
        <f t="shared" si="79"/>
        <v>#DIV/0!</v>
      </c>
      <c r="O219" s="80">
        <f t="shared" si="4"/>
        <v>0</v>
      </c>
      <c r="P219" s="79" t="e">
        <f t="shared" si="5"/>
        <v>#DIV/0!</v>
      </c>
      <c r="Q219" s="81" t="e">
        <f t="shared" si="6"/>
        <v>#DIV/0!</v>
      </c>
      <c r="R219" s="82">
        <f t="shared" si="78"/>
        <v>0</v>
      </c>
      <c r="S219" s="83" t="e">
        <f t="shared" si="8"/>
        <v>#DIV/0!</v>
      </c>
      <c r="T219" s="135"/>
      <c r="U219" s="135"/>
      <c r="V219" s="135"/>
      <c r="W219" s="135"/>
      <c r="X219" s="136"/>
      <c r="Y219" s="50"/>
      <c r="Z219" s="50"/>
    </row>
    <row r="220" spans="1:26" hidden="1" outlineLevel="1" x14ac:dyDescent="0.25">
      <c r="A220" s="118" t="str">
        <f t="shared" ref="A220:A221" si="80">IFERROR(IF(B220&gt;0,MONTH(B220)&amp;"-"&amp;YEAR(B220),B220),)</f>
        <v>5-2025</v>
      </c>
      <c r="B220" s="69">
        <v>45787</v>
      </c>
      <c r="C220" s="198" t="s">
        <v>64</v>
      </c>
      <c r="D220" s="116">
        <v>0</v>
      </c>
      <c r="E220" s="73">
        <v>0</v>
      </c>
      <c r="F220" s="73">
        <v>0</v>
      </c>
      <c r="G220" s="74" t="e">
        <f t="shared" si="0"/>
        <v>#DIV/0!</v>
      </c>
      <c r="H220" s="75" t="e">
        <f t="shared" si="1"/>
        <v>#DIV/0!</v>
      </c>
      <c r="I220" s="76" t="e">
        <f t="shared" si="2"/>
        <v>#DIV/0!</v>
      </c>
      <c r="J220" s="87">
        <v>69.97</v>
      </c>
      <c r="K220" s="204">
        <v>18060</v>
      </c>
      <c r="L220" s="205">
        <v>0</v>
      </c>
      <c r="M220" s="88">
        <v>598.75</v>
      </c>
      <c r="N220" s="79">
        <f t="shared" si="79"/>
        <v>0.11686012526096033</v>
      </c>
      <c r="O220" s="80">
        <f t="shared" si="4"/>
        <v>8.5572388166357012</v>
      </c>
      <c r="P220" s="79" t="e">
        <f t="shared" si="5"/>
        <v>#DIV/0!</v>
      </c>
      <c r="Q220" s="81" t="e">
        <f t="shared" si="6"/>
        <v>#DIV/0!</v>
      </c>
      <c r="R220" s="82">
        <f t="shared" si="78"/>
        <v>-598.75</v>
      </c>
      <c r="S220" s="83" t="e">
        <f t="shared" si="8"/>
        <v>#DIV/0!</v>
      </c>
      <c r="T220" s="135"/>
      <c r="U220" s="135"/>
      <c r="V220" s="135"/>
      <c r="W220" s="135"/>
      <c r="X220" s="136"/>
      <c r="Y220" s="50"/>
      <c r="Z220" s="50"/>
    </row>
    <row r="221" spans="1:26" ht="12.75" collapsed="1" x14ac:dyDescent="0.2">
      <c r="A221" s="50">
        <f t="shared" si="80"/>
        <v>0</v>
      </c>
      <c r="B221" s="52" t="s">
        <v>77</v>
      </c>
      <c r="C221" s="145"/>
      <c r="D221" s="121">
        <f t="shared" ref="D221:F221" si="81">SUM(D203:D220)</f>
        <v>2464.9299999999998</v>
      </c>
      <c r="E221" s="123">
        <f t="shared" si="81"/>
        <v>41</v>
      </c>
      <c r="F221" s="123">
        <f t="shared" si="81"/>
        <v>49</v>
      </c>
      <c r="G221" s="124">
        <f t="shared" si="0"/>
        <v>0.83673469387755106</v>
      </c>
      <c r="H221" s="125">
        <f t="shared" si="1"/>
        <v>60.120243902439022</v>
      </c>
      <c r="I221" s="126">
        <f t="shared" si="2"/>
        <v>71.851023200475893</v>
      </c>
      <c r="J221" s="121">
        <f t="shared" ref="J221:M221" si="82">SUM(J203:J220)</f>
        <v>737.11</v>
      </c>
      <c r="K221" s="123">
        <f t="shared" si="82"/>
        <v>267987</v>
      </c>
      <c r="L221" s="123">
        <f t="shared" si="82"/>
        <v>17</v>
      </c>
      <c r="M221" s="127">
        <f t="shared" si="82"/>
        <v>1377.95</v>
      </c>
      <c r="N221" s="128">
        <f t="shared" si="79"/>
        <v>0.53493232700751114</v>
      </c>
      <c r="O221" s="129">
        <f t="shared" si="4"/>
        <v>1.8693953412652116</v>
      </c>
      <c r="P221" s="128">
        <f t="shared" si="5"/>
        <v>0.29903891794087462</v>
      </c>
      <c r="Q221" s="130">
        <f t="shared" si="6"/>
        <v>0.55902196005566085</v>
      </c>
      <c r="R221" s="131">
        <f>SUM(R203:R220)</f>
        <v>1086.98</v>
      </c>
      <c r="S221" s="132">
        <f t="shared" si="8"/>
        <v>43.359411764705882</v>
      </c>
      <c r="T221" s="273">
        <f t="shared" ref="T221:U221" si="83">IFERROR((D221-D69)/D221,)</f>
        <v>-2.0756735485389028</v>
      </c>
      <c r="U221" s="273">
        <f t="shared" si="83"/>
        <v>-1.2926829268292683</v>
      </c>
      <c r="V221" s="271" t="s">
        <v>139</v>
      </c>
      <c r="W221" s="271" t="s">
        <v>139</v>
      </c>
      <c r="X221" s="50"/>
      <c r="Y221" s="50"/>
      <c r="Z221" s="50"/>
    </row>
    <row r="222" spans="1:26" ht="12.75" hidden="1" outlineLevel="1" x14ac:dyDescent="0.2">
      <c r="A222" s="50"/>
      <c r="B222" s="69">
        <v>45788</v>
      </c>
      <c r="C222" s="70" t="s">
        <v>32</v>
      </c>
      <c r="D222" s="71">
        <v>953</v>
      </c>
      <c r="E222" s="73">
        <v>2</v>
      </c>
      <c r="F222" s="73">
        <v>7</v>
      </c>
      <c r="G222" s="74">
        <f t="shared" si="0"/>
        <v>0.2857142857142857</v>
      </c>
      <c r="H222" s="75">
        <f t="shared" si="1"/>
        <v>476.5</v>
      </c>
      <c r="I222" s="76">
        <f t="shared" si="2"/>
        <v>1667.75</v>
      </c>
      <c r="J222" s="77">
        <v>225</v>
      </c>
      <c r="K222" s="73">
        <v>75399</v>
      </c>
      <c r="L222" s="73">
        <v>3</v>
      </c>
      <c r="M222" s="78">
        <v>543.9</v>
      </c>
      <c r="N222" s="79">
        <f t="shared" si="79"/>
        <v>0.41367898510755657</v>
      </c>
      <c r="O222" s="80">
        <f t="shared" si="4"/>
        <v>2.4173333333333331</v>
      </c>
      <c r="P222" s="79">
        <f t="shared" si="5"/>
        <v>0.236096537250787</v>
      </c>
      <c r="Q222" s="81">
        <f t="shared" si="6"/>
        <v>0.57072402938090239</v>
      </c>
      <c r="R222" s="82">
        <f t="shared" ref="R222:R239" si="84">D222-M222</f>
        <v>409.1</v>
      </c>
      <c r="S222" s="83">
        <f t="shared" si="8"/>
        <v>75</v>
      </c>
      <c r="T222" s="135"/>
      <c r="U222" s="135"/>
      <c r="V222" s="135"/>
      <c r="W222" s="135"/>
      <c r="X222" s="136"/>
      <c r="Y222" s="50"/>
      <c r="Z222" s="50"/>
    </row>
    <row r="223" spans="1:26" ht="12.75" hidden="1" outlineLevel="1" x14ac:dyDescent="0.2">
      <c r="A223" s="50"/>
      <c r="B223" s="137"/>
      <c r="C223" s="70" t="s">
        <v>33</v>
      </c>
      <c r="D223" s="87">
        <v>1383.61</v>
      </c>
      <c r="E223" s="73">
        <v>8</v>
      </c>
      <c r="F223" s="73">
        <v>11</v>
      </c>
      <c r="G223" s="74">
        <f t="shared" si="0"/>
        <v>0.72727272727272729</v>
      </c>
      <c r="H223" s="75">
        <f t="shared" si="1"/>
        <v>172.95124999999999</v>
      </c>
      <c r="I223" s="76">
        <f t="shared" si="2"/>
        <v>237.80796874999999</v>
      </c>
      <c r="J223" s="87">
        <v>169.45</v>
      </c>
      <c r="K223" s="73">
        <v>87225</v>
      </c>
      <c r="L223" s="73">
        <v>1</v>
      </c>
      <c r="M223" s="88">
        <v>495</v>
      </c>
      <c r="N223" s="79">
        <f t="shared" si="79"/>
        <v>0.34232323232323231</v>
      </c>
      <c r="O223" s="80">
        <f t="shared" si="4"/>
        <v>2.9212156978459727</v>
      </c>
      <c r="P223" s="79">
        <f t="shared" si="5"/>
        <v>0.12246948200721301</v>
      </c>
      <c r="Q223" s="81">
        <f t="shared" si="6"/>
        <v>0.35775977334653553</v>
      </c>
      <c r="R223" s="89">
        <f t="shared" si="84"/>
        <v>888.6099999999999</v>
      </c>
      <c r="S223" s="83">
        <f t="shared" si="8"/>
        <v>169.45</v>
      </c>
      <c r="T223" s="135"/>
      <c r="U223" s="135"/>
      <c r="V223" s="135"/>
      <c r="W223" s="135"/>
      <c r="X223" s="136"/>
      <c r="Y223" s="50"/>
      <c r="Z223" s="50"/>
    </row>
    <row r="224" spans="1:26" ht="12.75" hidden="1" outlineLevel="1" x14ac:dyDescent="0.2">
      <c r="A224" s="50"/>
      <c r="B224" s="137"/>
      <c r="C224" s="70" t="s">
        <v>34</v>
      </c>
      <c r="D224" s="90">
        <v>0</v>
      </c>
      <c r="E224" s="73">
        <v>0</v>
      </c>
      <c r="F224" s="73">
        <v>0</v>
      </c>
      <c r="G224" s="74" t="e">
        <f t="shared" si="0"/>
        <v>#DIV/0!</v>
      </c>
      <c r="H224" s="75" t="e">
        <f t="shared" si="1"/>
        <v>#DIV/0!</v>
      </c>
      <c r="I224" s="76" t="e">
        <f t="shared" si="2"/>
        <v>#DIV/0!</v>
      </c>
      <c r="J224" s="90">
        <v>0</v>
      </c>
      <c r="K224" s="73">
        <v>0</v>
      </c>
      <c r="L224" s="73">
        <v>0</v>
      </c>
      <c r="M224" s="91">
        <v>0</v>
      </c>
      <c r="N224" s="79" t="e">
        <f>(J224/M224)</f>
        <v>#DIV/0!</v>
      </c>
      <c r="O224" s="80" t="e">
        <f t="shared" si="4"/>
        <v>#DIV/0!</v>
      </c>
      <c r="P224" s="79" t="e">
        <f t="shared" si="5"/>
        <v>#DIV/0!</v>
      </c>
      <c r="Q224" s="81" t="e">
        <f t="shared" si="6"/>
        <v>#DIV/0!</v>
      </c>
      <c r="R224" s="92">
        <f t="shared" si="84"/>
        <v>0</v>
      </c>
      <c r="S224" s="83" t="e">
        <f t="shared" si="8"/>
        <v>#DIV/0!</v>
      </c>
      <c r="T224" s="135"/>
      <c r="U224" s="135"/>
      <c r="V224" s="135"/>
      <c r="W224" s="135"/>
      <c r="X224" s="136"/>
      <c r="Y224" s="50"/>
      <c r="Z224" s="50"/>
    </row>
    <row r="225" spans="1:26" ht="12.75" hidden="1" outlineLevel="1" x14ac:dyDescent="0.2">
      <c r="A225" s="50"/>
      <c r="B225" s="137"/>
      <c r="C225" s="70" t="s">
        <v>35</v>
      </c>
      <c r="D225" s="90">
        <v>188.85</v>
      </c>
      <c r="E225" s="73">
        <v>3</v>
      </c>
      <c r="F225" s="73">
        <v>4</v>
      </c>
      <c r="G225" s="74">
        <f t="shared" si="0"/>
        <v>0.75</v>
      </c>
      <c r="H225" s="75">
        <f t="shared" si="1"/>
        <v>62.949999999999996</v>
      </c>
      <c r="I225" s="76">
        <f t="shared" si="2"/>
        <v>83.933333333333323</v>
      </c>
      <c r="J225" s="90">
        <v>0</v>
      </c>
      <c r="K225" s="73">
        <v>0</v>
      </c>
      <c r="L225" s="73">
        <v>0</v>
      </c>
      <c r="M225" s="91">
        <v>0</v>
      </c>
      <c r="N225" s="79" t="e">
        <f t="shared" ref="N225:N242" si="85">J225/M225</f>
        <v>#DIV/0!</v>
      </c>
      <c r="O225" s="80" t="e">
        <f t="shared" si="4"/>
        <v>#DIV/0!</v>
      </c>
      <c r="P225" s="79">
        <f t="shared" si="5"/>
        <v>0</v>
      </c>
      <c r="Q225" s="81">
        <f t="shared" si="6"/>
        <v>0</v>
      </c>
      <c r="R225" s="92">
        <f t="shared" si="84"/>
        <v>188.85</v>
      </c>
      <c r="S225" s="83" t="e">
        <f t="shared" si="8"/>
        <v>#DIV/0!</v>
      </c>
      <c r="T225" s="135"/>
      <c r="U225" s="135"/>
      <c r="V225" s="135"/>
      <c r="W225" s="135"/>
      <c r="X225" s="136"/>
      <c r="Y225" s="50"/>
      <c r="Z225" s="50"/>
    </row>
    <row r="226" spans="1:26" ht="12.75" hidden="1" outlineLevel="1" x14ac:dyDescent="0.2">
      <c r="A226" s="50"/>
      <c r="B226" s="137"/>
      <c r="C226" s="70" t="s">
        <v>62</v>
      </c>
      <c r="D226" s="200">
        <v>0</v>
      </c>
      <c r="E226" s="73">
        <v>0</v>
      </c>
      <c r="F226" s="73">
        <v>0</v>
      </c>
      <c r="G226" s="74" t="e">
        <f t="shared" si="0"/>
        <v>#DIV/0!</v>
      </c>
      <c r="H226" s="75" t="e">
        <f t="shared" si="1"/>
        <v>#DIV/0!</v>
      </c>
      <c r="I226" s="76" t="e">
        <f t="shared" si="2"/>
        <v>#DIV/0!</v>
      </c>
      <c r="J226" s="200">
        <v>0</v>
      </c>
      <c r="K226" s="73">
        <v>0</v>
      </c>
      <c r="L226" s="73">
        <v>0</v>
      </c>
      <c r="M226" s="200">
        <v>0</v>
      </c>
      <c r="N226" s="79" t="e">
        <f t="shared" si="85"/>
        <v>#DIV/0!</v>
      </c>
      <c r="O226" s="80" t="e">
        <f t="shared" si="4"/>
        <v>#DIV/0!</v>
      </c>
      <c r="P226" s="79" t="e">
        <f t="shared" si="5"/>
        <v>#DIV/0!</v>
      </c>
      <c r="Q226" s="81" t="e">
        <f t="shared" si="6"/>
        <v>#DIV/0!</v>
      </c>
      <c r="R226" s="92">
        <f t="shared" si="84"/>
        <v>0</v>
      </c>
      <c r="S226" s="83" t="e">
        <f t="shared" si="8"/>
        <v>#DIV/0!</v>
      </c>
      <c r="T226" s="135"/>
      <c r="U226" s="135"/>
      <c r="V226" s="135"/>
      <c r="W226" s="135"/>
      <c r="X226" s="136"/>
      <c r="Y226" s="50"/>
      <c r="Z226" s="50"/>
    </row>
    <row r="227" spans="1:26" ht="12.75" hidden="1" outlineLevel="1" x14ac:dyDescent="0.2">
      <c r="A227" s="50"/>
      <c r="B227" s="137"/>
      <c r="C227" s="70" t="s">
        <v>66</v>
      </c>
      <c r="D227" s="201">
        <v>0</v>
      </c>
      <c r="E227" s="73">
        <v>0</v>
      </c>
      <c r="F227" s="73">
        <v>0</v>
      </c>
      <c r="G227" s="74" t="e">
        <f t="shared" si="0"/>
        <v>#DIV/0!</v>
      </c>
      <c r="H227" s="75" t="e">
        <f t="shared" si="1"/>
        <v>#DIV/0!</v>
      </c>
      <c r="I227" s="76" t="e">
        <f t="shared" si="2"/>
        <v>#DIV/0!</v>
      </c>
      <c r="J227" s="201">
        <v>0</v>
      </c>
      <c r="K227" s="73">
        <v>0</v>
      </c>
      <c r="L227" s="73">
        <v>0</v>
      </c>
      <c r="M227" s="202">
        <v>0</v>
      </c>
      <c r="N227" s="79" t="e">
        <f t="shared" si="85"/>
        <v>#DIV/0!</v>
      </c>
      <c r="O227" s="80" t="e">
        <f t="shared" si="4"/>
        <v>#DIV/0!</v>
      </c>
      <c r="P227" s="79" t="e">
        <f t="shared" si="5"/>
        <v>#DIV/0!</v>
      </c>
      <c r="Q227" s="81" t="e">
        <f t="shared" si="6"/>
        <v>#DIV/0!</v>
      </c>
      <c r="R227" s="203">
        <f t="shared" si="84"/>
        <v>0</v>
      </c>
      <c r="S227" s="83" t="e">
        <f t="shared" si="8"/>
        <v>#DIV/0!</v>
      </c>
      <c r="T227" s="135"/>
      <c r="U227" s="135"/>
      <c r="V227" s="135"/>
      <c r="W227" s="135"/>
      <c r="X227" s="136"/>
      <c r="Y227" s="50"/>
      <c r="Z227" s="50"/>
    </row>
    <row r="228" spans="1:26" ht="12.75" hidden="1" outlineLevel="1" x14ac:dyDescent="0.2">
      <c r="A228" s="50"/>
      <c r="B228" s="137"/>
      <c r="C228" s="70" t="s">
        <v>36</v>
      </c>
      <c r="D228" s="90">
        <v>69.95</v>
      </c>
      <c r="E228" s="73">
        <v>1</v>
      </c>
      <c r="F228" s="73">
        <v>1</v>
      </c>
      <c r="G228" s="74">
        <f t="shared" si="0"/>
        <v>1</v>
      </c>
      <c r="H228" s="75">
        <f t="shared" si="1"/>
        <v>69.95</v>
      </c>
      <c r="I228" s="76">
        <f t="shared" si="2"/>
        <v>69.95</v>
      </c>
      <c r="J228" s="90">
        <v>16.190000000000001</v>
      </c>
      <c r="K228" s="73">
        <v>3961</v>
      </c>
      <c r="L228" s="73">
        <v>0</v>
      </c>
      <c r="M228" s="91">
        <v>0</v>
      </c>
      <c r="N228" s="79" t="e">
        <f t="shared" si="85"/>
        <v>#DIV/0!</v>
      </c>
      <c r="O228" s="80">
        <f t="shared" si="4"/>
        <v>0</v>
      </c>
      <c r="P228" s="79">
        <f t="shared" si="5"/>
        <v>0.23145103645461043</v>
      </c>
      <c r="Q228" s="81">
        <f t="shared" si="6"/>
        <v>0</v>
      </c>
      <c r="R228" s="92">
        <f t="shared" si="84"/>
        <v>69.95</v>
      </c>
      <c r="S228" s="83" t="e">
        <f t="shared" si="8"/>
        <v>#DIV/0!</v>
      </c>
      <c r="T228" s="135"/>
      <c r="U228" s="135"/>
      <c r="V228" s="135"/>
      <c r="W228" s="135"/>
      <c r="X228" s="136"/>
      <c r="Y228" s="50"/>
      <c r="Z228" s="50"/>
    </row>
    <row r="229" spans="1:26" ht="12.75" hidden="1" outlineLevel="1" x14ac:dyDescent="0.2">
      <c r="A229" s="50"/>
      <c r="B229" s="69" t="s">
        <v>37</v>
      </c>
      <c r="C229" s="70" t="s">
        <v>38</v>
      </c>
      <c r="D229" s="93">
        <v>94.85</v>
      </c>
      <c r="E229" s="73">
        <v>3</v>
      </c>
      <c r="F229" s="73">
        <v>3</v>
      </c>
      <c r="G229" s="74">
        <f t="shared" si="0"/>
        <v>1</v>
      </c>
      <c r="H229" s="75">
        <f t="shared" si="1"/>
        <v>31.616666666666664</v>
      </c>
      <c r="I229" s="76">
        <f t="shared" si="2"/>
        <v>31.616666666666664</v>
      </c>
      <c r="J229" s="93">
        <v>32.71</v>
      </c>
      <c r="K229" s="73">
        <v>7853</v>
      </c>
      <c r="L229" s="73">
        <v>2</v>
      </c>
      <c r="M229" s="94">
        <v>59.9</v>
      </c>
      <c r="N229" s="79">
        <f t="shared" si="85"/>
        <v>0.54607679465776293</v>
      </c>
      <c r="O229" s="80">
        <f t="shared" si="4"/>
        <v>1.8312442678080096</v>
      </c>
      <c r="P229" s="79">
        <f t="shared" si="5"/>
        <v>0.34486030574591464</v>
      </c>
      <c r="Q229" s="81">
        <f t="shared" si="6"/>
        <v>0.63152345809172383</v>
      </c>
      <c r="R229" s="95">
        <f t="shared" si="84"/>
        <v>34.949999999999996</v>
      </c>
      <c r="S229" s="83">
        <f t="shared" si="8"/>
        <v>16.355</v>
      </c>
      <c r="T229" s="135"/>
      <c r="U229" s="135"/>
      <c r="V229" s="135"/>
      <c r="W229" s="135"/>
      <c r="X229" s="136"/>
      <c r="Y229" s="50"/>
      <c r="Z229" s="50"/>
    </row>
    <row r="230" spans="1:26" ht="12.75" hidden="1" outlineLevel="1" x14ac:dyDescent="0.2">
      <c r="A230" s="50"/>
      <c r="B230" s="137"/>
      <c r="C230" s="70" t="s">
        <v>39</v>
      </c>
      <c r="D230" s="96">
        <v>99.95</v>
      </c>
      <c r="E230" s="73">
        <v>1</v>
      </c>
      <c r="F230" s="73">
        <v>1</v>
      </c>
      <c r="G230" s="74">
        <f t="shared" si="0"/>
        <v>1</v>
      </c>
      <c r="H230" s="75">
        <f t="shared" si="1"/>
        <v>99.95</v>
      </c>
      <c r="I230" s="76">
        <f t="shared" si="2"/>
        <v>99.95</v>
      </c>
      <c r="J230" s="96">
        <v>0</v>
      </c>
      <c r="K230" s="73">
        <v>0</v>
      </c>
      <c r="L230" s="73">
        <v>0</v>
      </c>
      <c r="M230" s="97">
        <v>0</v>
      </c>
      <c r="N230" s="79" t="e">
        <f t="shared" si="85"/>
        <v>#DIV/0!</v>
      </c>
      <c r="O230" s="80" t="e">
        <f t="shared" si="4"/>
        <v>#DIV/0!</v>
      </c>
      <c r="P230" s="79">
        <f t="shared" si="5"/>
        <v>0</v>
      </c>
      <c r="Q230" s="81">
        <f t="shared" si="6"/>
        <v>0</v>
      </c>
      <c r="R230" s="98">
        <f t="shared" si="84"/>
        <v>99.95</v>
      </c>
      <c r="S230" s="83" t="e">
        <f t="shared" si="8"/>
        <v>#DIV/0!</v>
      </c>
      <c r="T230" s="135"/>
      <c r="U230" s="135"/>
      <c r="V230" s="135"/>
      <c r="W230" s="135"/>
      <c r="X230" s="136"/>
      <c r="Y230" s="50"/>
      <c r="Z230" s="50"/>
    </row>
    <row r="231" spans="1:26" ht="12.75" hidden="1" outlineLevel="1" x14ac:dyDescent="0.2">
      <c r="A231" s="50"/>
      <c r="B231" s="137"/>
      <c r="C231" s="70" t="s">
        <v>40</v>
      </c>
      <c r="D231" s="99">
        <v>0</v>
      </c>
      <c r="E231" s="73">
        <v>0</v>
      </c>
      <c r="F231" s="73">
        <v>0</v>
      </c>
      <c r="G231" s="74" t="e">
        <f t="shared" si="0"/>
        <v>#DIV/0!</v>
      </c>
      <c r="H231" s="75" t="e">
        <f t="shared" si="1"/>
        <v>#DIV/0!</v>
      </c>
      <c r="I231" s="76" t="e">
        <f t="shared" si="2"/>
        <v>#DIV/0!</v>
      </c>
      <c r="J231" s="99">
        <v>0</v>
      </c>
      <c r="K231" s="73">
        <v>0</v>
      </c>
      <c r="L231" s="73">
        <v>0</v>
      </c>
      <c r="M231" s="100">
        <v>0</v>
      </c>
      <c r="N231" s="79" t="e">
        <f t="shared" si="85"/>
        <v>#DIV/0!</v>
      </c>
      <c r="O231" s="80" t="e">
        <f t="shared" si="4"/>
        <v>#DIV/0!</v>
      </c>
      <c r="P231" s="79" t="e">
        <f t="shared" si="5"/>
        <v>#DIV/0!</v>
      </c>
      <c r="Q231" s="81" t="e">
        <f t="shared" si="6"/>
        <v>#DIV/0!</v>
      </c>
      <c r="R231" s="101">
        <f t="shared" si="84"/>
        <v>0</v>
      </c>
      <c r="S231" s="83" t="e">
        <f t="shared" si="8"/>
        <v>#DIV/0!</v>
      </c>
      <c r="T231" s="135"/>
      <c r="U231" s="135"/>
      <c r="V231" s="135"/>
      <c r="W231" s="135"/>
      <c r="X231" s="136"/>
      <c r="Y231" s="50"/>
      <c r="Z231" s="50"/>
    </row>
    <row r="232" spans="1:26" ht="12.75" hidden="1" outlineLevel="1" x14ac:dyDescent="0.2">
      <c r="A232" s="50"/>
      <c r="B232" s="137"/>
      <c r="C232" s="70" t="s">
        <v>41</v>
      </c>
      <c r="D232" s="102">
        <v>0</v>
      </c>
      <c r="E232" s="73">
        <v>0</v>
      </c>
      <c r="F232" s="73">
        <v>0</v>
      </c>
      <c r="G232" s="74" t="e">
        <f t="shared" si="0"/>
        <v>#DIV/0!</v>
      </c>
      <c r="H232" s="75" t="e">
        <f t="shared" si="1"/>
        <v>#DIV/0!</v>
      </c>
      <c r="I232" s="76" t="e">
        <f t="shared" si="2"/>
        <v>#DIV/0!</v>
      </c>
      <c r="J232" s="102">
        <v>0</v>
      </c>
      <c r="K232" s="73">
        <v>0</v>
      </c>
      <c r="L232" s="73">
        <v>0</v>
      </c>
      <c r="M232" s="103">
        <v>0</v>
      </c>
      <c r="N232" s="79" t="e">
        <f t="shared" si="85"/>
        <v>#DIV/0!</v>
      </c>
      <c r="O232" s="80" t="e">
        <f t="shared" si="4"/>
        <v>#DIV/0!</v>
      </c>
      <c r="P232" s="79" t="e">
        <f t="shared" si="5"/>
        <v>#DIV/0!</v>
      </c>
      <c r="Q232" s="81" t="e">
        <f t="shared" si="6"/>
        <v>#DIV/0!</v>
      </c>
      <c r="R232" s="104">
        <f t="shared" si="84"/>
        <v>0</v>
      </c>
      <c r="S232" s="83" t="e">
        <f t="shared" si="8"/>
        <v>#DIV/0!</v>
      </c>
      <c r="T232" s="135"/>
      <c r="U232" s="135"/>
      <c r="V232" s="135"/>
      <c r="W232" s="135"/>
      <c r="X232" s="136"/>
      <c r="Y232" s="50"/>
      <c r="Z232" s="50"/>
    </row>
    <row r="233" spans="1:26" ht="12.75" hidden="1" outlineLevel="1" x14ac:dyDescent="0.2">
      <c r="A233" s="50"/>
      <c r="B233" s="137"/>
      <c r="C233" s="70" t="s">
        <v>42</v>
      </c>
      <c r="D233" s="90">
        <v>89.95</v>
      </c>
      <c r="E233" s="73">
        <v>5</v>
      </c>
      <c r="F233" s="73">
        <v>6</v>
      </c>
      <c r="G233" s="74">
        <f t="shared" si="0"/>
        <v>0.83333333333333337</v>
      </c>
      <c r="H233" s="75">
        <f t="shared" si="1"/>
        <v>17.990000000000002</v>
      </c>
      <c r="I233" s="76">
        <f t="shared" si="2"/>
        <v>21.588000000000001</v>
      </c>
      <c r="J233" s="90">
        <v>2.2000000000000002</v>
      </c>
      <c r="K233" s="73">
        <v>10936</v>
      </c>
      <c r="L233" s="73">
        <v>1</v>
      </c>
      <c r="M233" s="91">
        <v>19.989999999999998</v>
      </c>
      <c r="N233" s="79">
        <f t="shared" si="85"/>
        <v>0.1100550275137569</v>
      </c>
      <c r="O233" s="80">
        <f t="shared" si="4"/>
        <v>9.0863636363636342</v>
      </c>
      <c r="P233" s="79">
        <f t="shared" si="5"/>
        <v>2.4458032240133407E-2</v>
      </c>
      <c r="Q233" s="81">
        <f t="shared" si="6"/>
        <v>0.22223457476375763</v>
      </c>
      <c r="R233" s="92">
        <f t="shared" si="84"/>
        <v>69.960000000000008</v>
      </c>
      <c r="S233" s="83">
        <f t="shared" si="8"/>
        <v>2.2000000000000002</v>
      </c>
      <c r="T233" s="135"/>
      <c r="U233" s="135"/>
      <c r="V233" s="135"/>
      <c r="W233" s="135"/>
      <c r="X233" s="136"/>
      <c r="Y233" s="50"/>
      <c r="Z233" s="50"/>
    </row>
    <row r="234" spans="1:26" ht="12.75" hidden="1" outlineLevel="1" x14ac:dyDescent="0.2">
      <c r="A234" s="50"/>
      <c r="B234" s="137"/>
      <c r="C234" s="70" t="s">
        <v>43</v>
      </c>
      <c r="D234" s="105">
        <v>503.95</v>
      </c>
      <c r="E234" s="73">
        <v>3</v>
      </c>
      <c r="F234" s="73">
        <v>3</v>
      </c>
      <c r="G234" s="74">
        <f t="shared" si="0"/>
        <v>1</v>
      </c>
      <c r="H234" s="75">
        <f t="shared" si="1"/>
        <v>167.98333333333332</v>
      </c>
      <c r="I234" s="76">
        <f t="shared" si="2"/>
        <v>167.98333333333332</v>
      </c>
      <c r="J234" s="105">
        <v>16.27</v>
      </c>
      <c r="K234" s="73">
        <v>21623</v>
      </c>
      <c r="L234" s="73">
        <v>0</v>
      </c>
      <c r="M234" s="106">
        <v>0</v>
      </c>
      <c r="N234" s="79" t="e">
        <f t="shared" si="85"/>
        <v>#DIV/0!</v>
      </c>
      <c r="O234" s="80">
        <f t="shared" si="4"/>
        <v>0</v>
      </c>
      <c r="P234" s="79">
        <f t="shared" si="5"/>
        <v>3.2284948903661077E-2</v>
      </c>
      <c r="Q234" s="81">
        <f t="shared" si="6"/>
        <v>0</v>
      </c>
      <c r="R234" s="107">
        <f t="shared" si="84"/>
        <v>503.95</v>
      </c>
      <c r="S234" s="83" t="e">
        <f t="shared" si="8"/>
        <v>#DIV/0!</v>
      </c>
      <c r="T234" s="135"/>
      <c r="U234" s="135"/>
      <c r="V234" s="135"/>
      <c r="W234" s="135"/>
      <c r="X234" s="136"/>
      <c r="Y234" s="50"/>
      <c r="Z234" s="50"/>
    </row>
    <row r="235" spans="1:26" ht="12.75" hidden="1" outlineLevel="1" x14ac:dyDescent="0.2">
      <c r="A235" s="50"/>
      <c r="B235" s="137"/>
      <c r="C235" s="70" t="s">
        <v>44</v>
      </c>
      <c r="D235" s="108">
        <v>234.75</v>
      </c>
      <c r="E235" s="73">
        <v>5</v>
      </c>
      <c r="F235" s="73">
        <v>6</v>
      </c>
      <c r="G235" s="74">
        <f t="shared" si="0"/>
        <v>0.83333333333333337</v>
      </c>
      <c r="H235" s="75">
        <f t="shared" si="1"/>
        <v>46.95</v>
      </c>
      <c r="I235" s="76">
        <f t="shared" si="2"/>
        <v>56.34</v>
      </c>
      <c r="J235" s="108">
        <v>35.75</v>
      </c>
      <c r="K235" s="73">
        <v>10309</v>
      </c>
      <c r="L235" s="73">
        <v>5</v>
      </c>
      <c r="M235" s="109">
        <v>234.75</v>
      </c>
      <c r="N235" s="79">
        <f t="shared" si="85"/>
        <v>0.15228966986155484</v>
      </c>
      <c r="O235" s="80">
        <f t="shared" si="4"/>
        <v>6.5664335664335667</v>
      </c>
      <c r="P235" s="79">
        <f t="shared" si="5"/>
        <v>0.15228966986155484</v>
      </c>
      <c r="Q235" s="81">
        <f t="shared" si="6"/>
        <v>1</v>
      </c>
      <c r="R235" s="110">
        <f t="shared" si="84"/>
        <v>0</v>
      </c>
      <c r="S235" s="83">
        <f t="shared" si="8"/>
        <v>7.15</v>
      </c>
      <c r="T235" s="135"/>
      <c r="U235" s="135"/>
      <c r="V235" s="135"/>
      <c r="W235" s="135"/>
      <c r="X235" s="136"/>
      <c r="Y235" s="50"/>
      <c r="Z235" s="50"/>
    </row>
    <row r="236" spans="1:26" ht="12.75" hidden="1" outlineLevel="1" x14ac:dyDescent="0.2">
      <c r="A236" s="139"/>
      <c r="B236" s="137"/>
      <c r="C236" s="112" t="s">
        <v>45</v>
      </c>
      <c r="D236" s="71">
        <v>0</v>
      </c>
      <c r="E236" s="73">
        <v>0</v>
      </c>
      <c r="F236" s="73">
        <v>0</v>
      </c>
      <c r="G236" s="74" t="e">
        <f t="shared" si="0"/>
        <v>#DIV/0!</v>
      </c>
      <c r="H236" s="75" t="e">
        <f t="shared" si="1"/>
        <v>#DIV/0!</v>
      </c>
      <c r="I236" s="76" t="e">
        <f t="shared" si="2"/>
        <v>#DIV/0!</v>
      </c>
      <c r="J236" s="71">
        <v>0</v>
      </c>
      <c r="K236" s="73">
        <v>0</v>
      </c>
      <c r="L236" s="73">
        <v>0</v>
      </c>
      <c r="M236" s="78">
        <v>0</v>
      </c>
      <c r="N236" s="79" t="e">
        <f t="shared" si="85"/>
        <v>#DIV/0!</v>
      </c>
      <c r="O236" s="80" t="e">
        <f t="shared" si="4"/>
        <v>#DIV/0!</v>
      </c>
      <c r="P236" s="79" t="e">
        <f t="shared" si="5"/>
        <v>#DIV/0!</v>
      </c>
      <c r="Q236" s="81" t="e">
        <f t="shared" si="6"/>
        <v>#DIV/0!</v>
      </c>
      <c r="R236" s="82">
        <f t="shared" si="84"/>
        <v>0</v>
      </c>
      <c r="S236" s="83" t="e">
        <f t="shared" si="8"/>
        <v>#DIV/0!</v>
      </c>
      <c r="T236" s="140"/>
      <c r="U236" s="140"/>
      <c r="V236" s="140"/>
      <c r="W236" s="141"/>
      <c r="X236" s="142"/>
      <c r="Y236" s="50"/>
      <c r="Z236" s="50"/>
    </row>
    <row r="237" spans="1:26" ht="12.75" hidden="1" outlineLevel="1" x14ac:dyDescent="0.2">
      <c r="A237" s="50"/>
      <c r="B237" s="137"/>
      <c r="C237" s="70" t="s">
        <v>46</v>
      </c>
      <c r="D237" s="116">
        <v>539.4</v>
      </c>
      <c r="E237" s="73">
        <v>12</v>
      </c>
      <c r="F237" s="73">
        <v>11</v>
      </c>
      <c r="G237" s="74">
        <f t="shared" si="0"/>
        <v>1.0909090909090908</v>
      </c>
      <c r="H237" s="75">
        <f t="shared" si="1"/>
        <v>44.949999999999996</v>
      </c>
      <c r="I237" s="76">
        <f t="shared" si="2"/>
        <v>41.204166666666666</v>
      </c>
      <c r="J237" s="116">
        <v>72.540000000000006</v>
      </c>
      <c r="K237" s="73">
        <v>29062</v>
      </c>
      <c r="L237" s="73">
        <v>11</v>
      </c>
      <c r="M237" s="117">
        <v>494.45</v>
      </c>
      <c r="N237" s="79">
        <f t="shared" si="85"/>
        <v>0.14670846394984327</v>
      </c>
      <c r="O237" s="80">
        <f t="shared" si="4"/>
        <v>6.8162393162393151</v>
      </c>
      <c r="P237" s="79">
        <f t="shared" si="5"/>
        <v>0.13448275862068967</v>
      </c>
      <c r="Q237" s="81">
        <f t="shared" si="6"/>
        <v>0.91666666666666663</v>
      </c>
      <c r="R237" s="82">
        <f t="shared" si="84"/>
        <v>44.949999999999989</v>
      </c>
      <c r="S237" s="83">
        <f t="shared" si="8"/>
        <v>6.5945454545454547</v>
      </c>
      <c r="T237" s="135"/>
      <c r="U237" s="135"/>
      <c r="V237" s="135"/>
      <c r="W237" s="135"/>
      <c r="X237" s="136"/>
      <c r="Y237" s="50"/>
      <c r="Z237" s="50"/>
    </row>
    <row r="238" spans="1:26" ht="12.75" hidden="1" outlineLevel="1" x14ac:dyDescent="0.2">
      <c r="A238" s="50"/>
      <c r="B238" s="137"/>
      <c r="C238" s="70" t="s">
        <v>49</v>
      </c>
      <c r="D238" s="116">
        <v>0</v>
      </c>
      <c r="E238" s="73">
        <v>0</v>
      </c>
      <c r="F238" s="73">
        <v>0</v>
      </c>
      <c r="G238" s="74" t="e">
        <f t="shared" si="0"/>
        <v>#DIV/0!</v>
      </c>
      <c r="H238" s="75" t="e">
        <f t="shared" si="1"/>
        <v>#DIV/0!</v>
      </c>
      <c r="I238" s="76" t="e">
        <f t="shared" si="2"/>
        <v>#DIV/0!</v>
      </c>
      <c r="J238" s="116">
        <v>1.1399999999999999</v>
      </c>
      <c r="K238" s="73">
        <v>5553</v>
      </c>
      <c r="L238" s="73">
        <v>0</v>
      </c>
      <c r="M238" s="117">
        <v>0</v>
      </c>
      <c r="N238" s="79" t="e">
        <f t="shared" si="85"/>
        <v>#DIV/0!</v>
      </c>
      <c r="O238" s="80">
        <f t="shared" si="4"/>
        <v>0</v>
      </c>
      <c r="P238" s="79" t="e">
        <f t="shared" si="5"/>
        <v>#DIV/0!</v>
      </c>
      <c r="Q238" s="81" t="e">
        <f t="shared" si="6"/>
        <v>#DIV/0!</v>
      </c>
      <c r="R238" s="82">
        <f t="shared" si="84"/>
        <v>0</v>
      </c>
      <c r="S238" s="83" t="e">
        <f t="shared" si="8"/>
        <v>#DIV/0!</v>
      </c>
      <c r="T238" s="135"/>
      <c r="U238" s="135"/>
      <c r="V238" s="135"/>
      <c r="W238" s="135"/>
      <c r="X238" s="136"/>
      <c r="Y238" s="50"/>
      <c r="Z238" s="50"/>
    </row>
    <row r="239" spans="1:26" hidden="1" outlineLevel="1" x14ac:dyDescent="0.25">
      <c r="A239" s="118" t="str">
        <f t="shared" ref="A239:A240" si="86">IFERROR(IF(B239&gt;0,MONTH(B239)&amp;"-"&amp;YEAR(B239),B239),)</f>
        <v>5-2025</v>
      </c>
      <c r="B239" s="69">
        <v>45794</v>
      </c>
      <c r="C239" s="198" t="s">
        <v>64</v>
      </c>
      <c r="D239" s="116">
        <v>0</v>
      </c>
      <c r="E239" s="73">
        <v>0</v>
      </c>
      <c r="F239" s="73">
        <v>0</v>
      </c>
      <c r="G239" s="74" t="e">
        <f t="shared" si="0"/>
        <v>#DIV/0!</v>
      </c>
      <c r="H239" s="75" t="e">
        <f t="shared" si="1"/>
        <v>#DIV/0!</v>
      </c>
      <c r="I239" s="76" t="e">
        <f t="shared" si="2"/>
        <v>#DIV/0!</v>
      </c>
      <c r="J239" s="87">
        <v>53.78</v>
      </c>
      <c r="K239" s="204">
        <v>13367</v>
      </c>
      <c r="L239" s="205">
        <v>0</v>
      </c>
      <c r="M239" s="88">
        <v>264.8</v>
      </c>
      <c r="N239" s="79">
        <f t="shared" si="85"/>
        <v>0.20309667673716011</v>
      </c>
      <c r="O239" s="80">
        <f t="shared" si="4"/>
        <v>4.9237634808478994</v>
      </c>
      <c r="P239" s="79" t="e">
        <f t="shared" si="5"/>
        <v>#DIV/0!</v>
      </c>
      <c r="Q239" s="81" t="e">
        <f t="shared" si="6"/>
        <v>#DIV/0!</v>
      </c>
      <c r="R239" s="82">
        <f t="shared" si="84"/>
        <v>-264.8</v>
      </c>
      <c r="S239" s="83" t="e">
        <f t="shared" si="8"/>
        <v>#DIV/0!</v>
      </c>
      <c r="T239" s="135"/>
      <c r="U239" s="135"/>
      <c r="V239" s="135"/>
      <c r="W239" s="135"/>
      <c r="X239" s="136"/>
      <c r="Y239" s="50"/>
      <c r="Z239" s="50"/>
    </row>
    <row r="240" spans="1:26" ht="12.75" collapsed="1" x14ac:dyDescent="0.2">
      <c r="A240" s="50">
        <f t="shared" si="86"/>
        <v>0</v>
      </c>
      <c r="B240" s="52" t="s">
        <v>78</v>
      </c>
      <c r="C240" s="145"/>
      <c r="D240" s="121">
        <f t="shared" ref="D240:F240" si="87">SUM(D222:D239)</f>
        <v>4158.2599999999984</v>
      </c>
      <c r="E240" s="123">
        <f t="shared" si="87"/>
        <v>43</v>
      </c>
      <c r="F240" s="123">
        <f t="shared" si="87"/>
        <v>53</v>
      </c>
      <c r="G240" s="124">
        <f t="shared" si="0"/>
        <v>0.81132075471698117</v>
      </c>
      <c r="H240" s="125">
        <f t="shared" si="1"/>
        <v>96.703720930232521</v>
      </c>
      <c r="I240" s="126">
        <f t="shared" si="2"/>
        <v>119.19295835586799</v>
      </c>
      <c r="J240" s="121">
        <f t="shared" ref="J240:M240" si="88">SUM(J222:J239)</f>
        <v>625.02999999999986</v>
      </c>
      <c r="K240" s="123">
        <f t="shared" si="88"/>
        <v>265288</v>
      </c>
      <c r="L240" s="123">
        <f t="shared" si="88"/>
        <v>23</v>
      </c>
      <c r="M240" s="127">
        <f t="shared" si="88"/>
        <v>2112.7900000000004</v>
      </c>
      <c r="N240" s="128">
        <f t="shared" si="85"/>
        <v>0.29583157815021832</v>
      </c>
      <c r="O240" s="129">
        <f t="shared" si="4"/>
        <v>3.3803017455162165</v>
      </c>
      <c r="P240" s="128">
        <f t="shared" si="5"/>
        <v>0.15031046639700263</v>
      </c>
      <c r="Q240" s="130">
        <f t="shared" si="6"/>
        <v>0.50809473193114463</v>
      </c>
      <c r="R240" s="131">
        <f>SUM(R222:R239)</f>
        <v>2045.47</v>
      </c>
      <c r="S240" s="132">
        <f t="shared" si="8"/>
        <v>27.17521739130434</v>
      </c>
      <c r="T240" s="273">
        <f t="shared" ref="T240:U240" si="89">IFERROR((D240-D69)/D240,)</f>
        <v>-0.82319527879449594</v>
      </c>
      <c r="U240" s="273">
        <f t="shared" si="89"/>
        <v>-1.1860465116279071</v>
      </c>
      <c r="V240" s="271" t="s">
        <v>139</v>
      </c>
      <c r="W240" s="271" t="s">
        <v>139</v>
      </c>
      <c r="X240" s="50"/>
      <c r="Y240" s="50"/>
      <c r="Z240" s="50"/>
    </row>
    <row r="241" spans="1:26" ht="12.75" hidden="1" outlineLevel="1" x14ac:dyDescent="0.2">
      <c r="A241" s="50"/>
      <c r="B241" s="69">
        <v>45795</v>
      </c>
      <c r="C241" s="70" t="s">
        <v>32</v>
      </c>
      <c r="D241" s="71">
        <v>2645.88</v>
      </c>
      <c r="E241" s="73">
        <v>13</v>
      </c>
      <c r="F241" s="73">
        <v>15</v>
      </c>
      <c r="G241" s="74">
        <f t="shared" si="0"/>
        <v>0.8666666666666667</v>
      </c>
      <c r="H241" s="75">
        <f t="shared" si="1"/>
        <v>203.52923076923076</v>
      </c>
      <c r="I241" s="76">
        <f t="shared" si="2"/>
        <v>234.84142011834319</v>
      </c>
      <c r="J241" s="77">
        <v>245.75</v>
      </c>
      <c r="K241" s="73">
        <v>84992</v>
      </c>
      <c r="L241" s="73">
        <v>6</v>
      </c>
      <c r="M241" s="78">
        <v>2178.85</v>
      </c>
      <c r="N241" s="79">
        <f t="shared" si="85"/>
        <v>0.1127888565068729</v>
      </c>
      <c r="O241" s="80">
        <f t="shared" si="4"/>
        <v>8.8661241098677515</v>
      </c>
      <c r="P241" s="79">
        <f t="shared" si="5"/>
        <v>9.2880251560917351E-2</v>
      </c>
      <c r="Q241" s="81">
        <f t="shared" si="6"/>
        <v>0.82348783769483114</v>
      </c>
      <c r="R241" s="82">
        <f t="shared" ref="R241:R258" si="90">D241-M241</f>
        <v>467.0300000000002</v>
      </c>
      <c r="S241" s="83">
        <f t="shared" si="8"/>
        <v>40.958333333333336</v>
      </c>
      <c r="T241" s="135"/>
      <c r="U241" s="135"/>
      <c r="V241" s="135"/>
      <c r="W241" s="135"/>
      <c r="X241" s="136"/>
      <c r="Y241" s="50"/>
      <c r="Z241" s="50"/>
    </row>
    <row r="242" spans="1:26" ht="12.75" hidden="1" outlineLevel="1" x14ac:dyDescent="0.2">
      <c r="A242" s="50"/>
      <c r="B242" s="137"/>
      <c r="C242" s="70" t="s">
        <v>33</v>
      </c>
      <c r="D242" s="87">
        <v>2429.4</v>
      </c>
      <c r="E242" s="73">
        <v>22</v>
      </c>
      <c r="F242" s="73">
        <v>19</v>
      </c>
      <c r="G242" s="74">
        <f t="shared" si="0"/>
        <v>1.1578947368421053</v>
      </c>
      <c r="H242" s="75">
        <f t="shared" si="1"/>
        <v>110.42727272727274</v>
      </c>
      <c r="I242" s="76">
        <f t="shared" si="2"/>
        <v>95.369008264462821</v>
      </c>
      <c r="J242" s="87">
        <v>225.91</v>
      </c>
      <c r="K242" s="73">
        <v>82622</v>
      </c>
      <c r="L242" s="73">
        <v>3</v>
      </c>
      <c r="M242" s="88">
        <v>770</v>
      </c>
      <c r="N242" s="79">
        <f t="shared" si="85"/>
        <v>0.29338961038961037</v>
      </c>
      <c r="O242" s="80">
        <f t="shared" si="4"/>
        <v>3.4084369881811343</v>
      </c>
      <c r="P242" s="79">
        <f t="shared" si="5"/>
        <v>9.2990038692681312E-2</v>
      </c>
      <c r="Q242" s="81">
        <f t="shared" si="6"/>
        <v>0.31695068741252985</v>
      </c>
      <c r="R242" s="89">
        <f t="shared" si="90"/>
        <v>1659.4</v>
      </c>
      <c r="S242" s="83">
        <f t="shared" si="8"/>
        <v>75.303333333333327</v>
      </c>
      <c r="T242" s="135"/>
      <c r="U242" s="135"/>
      <c r="V242" s="135"/>
      <c r="W242" s="135"/>
      <c r="X242" s="136"/>
      <c r="Y242" s="50"/>
      <c r="Z242" s="50"/>
    </row>
    <row r="243" spans="1:26" ht="12.75" hidden="1" outlineLevel="1" x14ac:dyDescent="0.2">
      <c r="A243" s="50"/>
      <c r="B243" s="137"/>
      <c r="C243" s="70" t="s">
        <v>34</v>
      </c>
      <c r="D243" s="90">
        <v>0</v>
      </c>
      <c r="E243" s="73">
        <v>0</v>
      </c>
      <c r="F243" s="73">
        <v>0</v>
      </c>
      <c r="G243" s="74" t="e">
        <f t="shared" si="0"/>
        <v>#DIV/0!</v>
      </c>
      <c r="H243" s="75" t="e">
        <f t="shared" si="1"/>
        <v>#DIV/0!</v>
      </c>
      <c r="I243" s="76" t="e">
        <f t="shared" si="2"/>
        <v>#DIV/0!</v>
      </c>
      <c r="J243" s="90">
        <v>0</v>
      </c>
      <c r="K243" s="73">
        <v>0</v>
      </c>
      <c r="L243" s="73">
        <v>0</v>
      </c>
      <c r="M243" s="91">
        <v>0</v>
      </c>
      <c r="N243" s="79" t="e">
        <f>(J243/M243)</f>
        <v>#DIV/0!</v>
      </c>
      <c r="O243" s="80" t="e">
        <f t="shared" si="4"/>
        <v>#DIV/0!</v>
      </c>
      <c r="P243" s="79" t="e">
        <f t="shared" si="5"/>
        <v>#DIV/0!</v>
      </c>
      <c r="Q243" s="81" t="e">
        <f t="shared" si="6"/>
        <v>#DIV/0!</v>
      </c>
      <c r="R243" s="92">
        <f t="shared" si="90"/>
        <v>0</v>
      </c>
      <c r="S243" s="83" t="e">
        <f t="shared" si="8"/>
        <v>#DIV/0!</v>
      </c>
      <c r="T243" s="135"/>
      <c r="U243" s="135"/>
      <c r="V243" s="135"/>
      <c r="W243" s="135"/>
      <c r="X243" s="136"/>
      <c r="Y243" s="50"/>
      <c r="Z243" s="50"/>
    </row>
    <row r="244" spans="1:26" ht="12.75" hidden="1" outlineLevel="1" x14ac:dyDescent="0.2">
      <c r="A244" s="50"/>
      <c r="B244" s="137"/>
      <c r="C244" s="70" t="s">
        <v>35</v>
      </c>
      <c r="D244" s="90">
        <v>0</v>
      </c>
      <c r="E244" s="73">
        <v>0</v>
      </c>
      <c r="F244" s="73">
        <v>0</v>
      </c>
      <c r="G244" s="74" t="e">
        <f t="shared" si="0"/>
        <v>#DIV/0!</v>
      </c>
      <c r="H244" s="75" t="e">
        <f t="shared" si="1"/>
        <v>#DIV/0!</v>
      </c>
      <c r="I244" s="76" t="e">
        <f t="shared" si="2"/>
        <v>#DIV/0!</v>
      </c>
      <c r="J244" s="90">
        <v>0</v>
      </c>
      <c r="K244" s="73">
        <v>0</v>
      </c>
      <c r="L244" s="73">
        <v>0</v>
      </c>
      <c r="M244" s="91">
        <v>0</v>
      </c>
      <c r="N244" s="79" t="e">
        <f t="shared" ref="N244:N261" si="91">J244/M244</f>
        <v>#DIV/0!</v>
      </c>
      <c r="O244" s="80" t="e">
        <f t="shared" si="4"/>
        <v>#DIV/0!</v>
      </c>
      <c r="P244" s="79" t="e">
        <f t="shared" si="5"/>
        <v>#DIV/0!</v>
      </c>
      <c r="Q244" s="81" t="e">
        <f t="shared" si="6"/>
        <v>#DIV/0!</v>
      </c>
      <c r="R244" s="92">
        <f t="shared" si="90"/>
        <v>0</v>
      </c>
      <c r="S244" s="83" t="e">
        <f t="shared" si="8"/>
        <v>#DIV/0!</v>
      </c>
      <c r="T244" s="135"/>
      <c r="U244" s="135"/>
      <c r="V244" s="135"/>
      <c r="W244" s="135"/>
      <c r="X244" s="136"/>
      <c r="Y244" s="50"/>
      <c r="Z244" s="50"/>
    </row>
    <row r="245" spans="1:26" ht="12.75" hidden="1" outlineLevel="1" x14ac:dyDescent="0.2">
      <c r="A245" s="50"/>
      <c r="B245" s="137"/>
      <c r="C245" s="70" t="s">
        <v>62</v>
      </c>
      <c r="D245" s="200">
        <v>0</v>
      </c>
      <c r="E245" s="73">
        <v>0</v>
      </c>
      <c r="F245" s="73">
        <v>0</v>
      </c>
      <c r="G245" s="74" t="e">
        <f t="shared" si="0"/>
        <v>#DIV/0!</v>
      </c>
      <c r="H245" s="75" t="e">
        <f t="shared" si="1"/>
        <v>#DIV/0!</v>
      </c>
      <c r="I245" s="76" t="e">
        <f t="shared" si="2"/>
        <v>#DIV/0!</v>
      </c>
      <c r="J245" s="200">
        <v>0</v>
      </c>
      <c r="K245" s="73">
        <v>0</v>
      </c>
      <c r="L245" s="73">
        <v>0</v>
      </c>
      <c r="M245" s="200">
        <v>0</v>
      </c>
      <c r="N245" s="79" t="e">
        <f t="shared" si="91"/>
        <v>#DIV/0!</v>
      </c>
      <c r="O245" s="80" t="e">
        <f t="shared" si="4"/>
        <v>#DIV/0!</v>
      </c>
      <c r="P245" s="79" t="e">
        <f t="shared" si="5"/>
        <v>#DIV/0!</v>
      </c>
      <c r="Q245" s="81" t="e">
        <f t="shared" si="6"/>
        <v>#DIV/0!</v>
      </c>
      <c r="R245" s="92">
        <f t="shared" si="90"/>
        <v>0</v>
      </c>
      <c r="S245" s="83" t="e">
        <f t="shared" si="8"/>
        <v>#DIV/0!</v>
      </c>
      <c r="T245" s="135"/>
      <c r="U245" s="135"/>
      <c r="V245" s="135"/>
      <c r="W245" s="135"/>
      <c r="X245" s="136"/>
      <c r="Y245" s="50"/>
      <c r="Z245" s="50"/>
    </row>
    <row r="246" spans="1:26" ht="12.75" hidden="1" outlineLevel="1" x14ac:dyDescent="0.2">
      <c r="A246" s="50"/>
      <c r="B246" s="137"/>
      <c r="C246" s="70" t="s">
        <v>66</v>
      </c>
      <c r="D246" s="201">
        <v>0</v>
      </c>
      <c r="E246" s="73">
        <v>0</v>
      </c>
      <c r="F246" s="73">
        <v>0</v>
      </c>
      <c r="G246" s="74" t="e">
        <f t="shared" si="0"/>
        <v>#DIV/0!</v>
      </c>
      <c r="H246" s="75" t="e">
        <f t="shared" si="1"/>
        <v>#DIV/0!</v>
      </c>
      <c r="I246" s="76" t="e">
        <f t="shared" si="2"/>
        <v>#DIV/0!</v>
      </c>
      <c r="J246" s="201">
        <v>0</v>
      </c>
      <c r="K246" s="73">
        <v>0</v>
      </c>
      <c r="L246" s="73">
        <v>0</v>
      </c>
      <c r="M246" s="202">
        <v>0</v>
      </c>
      <c r="N246" s="79" t="e">
        <f t="shared" si="91"/>
        <v>#DIV/0!</v>
      </c>
      <c r="O246" s="80" t="e">
        <f t="shared" si="4"/>
        <v>#DIV/0!</v>
      </c>
      <c r="P246" s="79" t="e">
        <f t="shared" si="5"/>
        <v>#DIV/0!</v>
      </c>
      <c r="Q246" s="81" t="e">
        <f t="shared" si="6"/>
        <v>#DIV/0!</v>
      </c>
      <c r="R246" s="203">
        <f t="shared" si="90"/>
        <v>0</v>
      </c>
      <c r="S246" s="83" t="e">
        <f t="shared" si="8"/>
        <v>#DIV/0!</v>
      </c>
      <c r="T246" s="135"/>
      <c r="U246" s="135"/>
      <c r="V246" s="135"/>
      <c r="W246" s="135"/>
      <c r="X246" s="136"/>
      <c r="Y246" s="50"/>
      <c r="Z246" s="50"/>
    </row>
    <row r="247" spans="1:26" ht="12.75" hidden="1" outlineLevel="1" x14ac:dyDescent="0.2">
      <c r="A247" s="50"/>
      <c r="B247" s="137"/>
      <c r="C247" s="70" t="s">
        <v>36</v>
      </c>
      <c r="D247" s="90">
        <v>279.8</v>
      </c>
      <c r="E247" s="73">
        <v>4</v>
      </c>
      <c r="F247" s="73">
        <v>5</v>
      </c>
      <c r="G247" s="74">
        <f t="shared" si="0"/>
        <v>0.8</v>
      </c>
      <c r="H247" s="75">
        <f t="shared" si="1"/>
        <v>69.95</v>
      </c>
      <c r="I247" s="76">
        <f t="shared" si="2"/>
        <v>87.4375</v>
      </c>
      <c r="J247" s="90">
        <v>14.08</v>
      </c>
      <c r="K247" s="73">
        <v>1814</v>
      </c>
      <c r="L247" s="73">
        <v>1</v>
      </c>
      <c r="M247" s="91">
        <v>69.95</v>
      </c>
      <c r="N247" s="79">
        <f t="shared" si="91"/>
        <v>0.20128663330950677</v>
      </c>
      <c r="O247" s="80">
        <f t="shared" si="4"/>
        <v>4.9680397727272725</v>
      </c>
      <c r="P247" s="79">
        <f t="shared" si="5"/>
        <v>5.0321658327376693E-2</v>
      </c>
      <c r="Q247" s="81">
        <f t="shared" si="6"/>
        <v>0.25</v>
      </c>
      <c r="R247" s="92">
        <f t="shared" si="90"/>
        <v>209.85000000000002</v>
      </c>
      <c r="S247" s="83">
        <f t="shared" si="8"/>
        <v>14.08</v>
      </c>
      <c r="T247" s="135"/>
      <c r="U247" s="135"/>
      <c r="V247" s="135"/>
      <c r="W247" s="135"/>
      <c r="X247" s="136"/>
      <c r="Y247" s="50"/>
      <c r="Z247" s="50"/>
    </row>
    <row r="248" spans="1:26" ht="12.75" hidden="1" outlineLevel="1" x14ac:dyDescent="0.2">
      <c r="A248" s="50"/>
      <c r="B248" s="69" t="s">
        <v>37</v>
      </c>
      <c r="C248" s="70" t="s">
        <v>38</v>
      </c>
      <c r="D248" s="93">
        <v>29.95</v>
      </c>
      <c r="E248" s="73">
        <v>1</v>
      </c>
      <c r="F248" s="73">
        <v>1</v>
      </c>
      <c r="G248" s="74">
        <f t="shared" si="0"/>
        <v>1</v>
      </c>
      <c r="H248" s="75">
        <f t="shared" si="1"/>
        <v>29.95</v>
      </c>
      <c r="I248" s="76">
        <f t="shared" si="2"/>
        <v>29.95</v>
      </c>
      <c r="J248" s="93">
        <v>40.409999999999997</v>
      </c>
      <c r="K248" s="73">
        <v>15078</v>
      </c>
      <c r="L248" s="73">
        <v>1</v>
      </c>
      <c r="M248" s="94">
        <v>29.95</v>
      </c>
      <c r="N248" s="79">
        <f t="shared" si="91"/>
        <v>1.3492487479131885</v>
      </c>
      <c r="O248" s="80">
        <f t="shared" si="4"/>
        <v>0.74115317990596397</v>
      </c>
      <c r="P248" s="79">
        <f t="shared" si="5"/>
        <v>1.3492487479131885</v>
      </c>
      <c r="Q248" s="81">
        <f t="shared" si="6"/>
        <v>1</v>
      </c>
      <c r="R248" s="95">
        <f t="shared" si="90"/>
        <v>0</v>
      </c>
      <c r="S248" s="83">
        <f t="shared" si="8"/>
        <v>40.409999999999997</v>
      </c>
      <c r="T248" s="135"/>
      <c r="U248" s="135"/>
      <c r="V248" s="135"/>
      <c r="W248" s="135"/>
      <c r="X248" s="136"/>
      <c r="Y248" s="50"/>
      <c r="Z248" s="50"/>
    </row>
    <row r="249" spans="1:26" ht="12.75" hidden="1" outlineLevel="1" x14ac:dyDescent="0.2">
      <c r="A249" s="50"/>
      <c r="B249" s="137"/>
      <c r="C249" s="70" t="s">
        <v>39</v>
      </c>
      <c r="D249" s="96">
        <v>24.95</v>
      </c>
      <c r="E249" s="73">
        <v>1</v>
      </c>
      <c r="F249" s="73">
        <v>1</v>
      </c>
      <c r="G249" s="74">
        <f t="shared" si="0"/>
        <v>1</v>
      </c>
      <c r="H249" s="75">
        <f t="shared" si="1"/>
        <v>24.95</v>
      </c>
      <c r="I249" s="76">
        <f t="shared" si="2"/>
        <v>24.95</v>
      </c>
      <c r="J249" s="96">
        <v>0</v>
      </c>
      <c r="K249" s="73">
        <v>0</v>
      </c>
      <c r="L249" s="73">
        <v>0</v>
      </c>
      <c r="M249" s="97">
        <v>0</v>
      </c>
      <c r="N249" s="79" t="e">
        <f t="shared" si="91"/>
        <v>#DIV/0!</v>
      </c>
      <c r="O249" s="80" t="e">
        <f t="shared" si="4"/>
        <v>#DIV/0!</v>
      </c>
      <c r="P249" s="79">
        <f t="shared" si="5"/>
        <v>0</v>
      </c>
      <c r="Q249" s="81">
        <f t="shared" si="6"/>
        <v>0</v>
      </c>
      <c r="R249" s="98">
        <f t="shared" si="90"/>
        <v>24.95</v>
      </c>
      <c r="S249" s="83" t="e">
        <f t="shared" si="8"/>
        <v>#DIV/0!</v>
      </c>
      <c r="T249" s="135"/>
      <c r="U249" s="135"/>
      <c r="V249" s="135"/>
      <c r="W249" s="135"/>
      <c r="X249" s="136"/>
      <c r="Y249" s="50"/>
      <c r="Z249" s="50"/>
    </row>
    <row r="250" spans="1:26" ht="12.75" hidden="1" outlineLevel="1" x14ac:dyDescent="0.2">
      <c r="A250" s="50"/>
      <c r="B250" s="137"/>
      <c r="C250" s="70" t="s">
        <v>40</v>
      </c>
      <c r="D250" s="99">
        <v>0</v>
      </c>
      <c r="E250" s="73">
        <v>0</v>
      </c>
      <c r="F250" s="73">
        <v>0</v>
      </c>
      <c r="G250" s="74" t="e">
        <f t="shared" si="0"/>
        <v>#DIV/0!</v>
      </c>
      <c r="H250" s="75" t="e">
        <f t="shared" si="1"/>
        <v>#DIV/0!</v>
      </c>
      <c r="I250" s="76" t="e">
        <f t="shared" si="2"/>
        <v>#DIV/0!</v>
      </c>
      <c r="J250" s="99">
        <v>0</v>
      </c>
      <c r="K250" s="73">
        <v>0</v>
      </c>
      <c r="L250" s="73">
        <v>0</v>
      </c>
      <c r="M250" s="100">
        <v>0</v>
      </c>
      <c r="N250" s="79" t="e">
        <f t="shared" si="91"/>
        <v>#DIV/0!</v>
      </c>
      <c r="O250" s="80" t="e">
        <f t="shared" si="4"/>
        <v>#DIV/0!</v>
      </c>
      <c r="P250" s="79" t="e">
        <f t="shared" si="5"/>
        <v>#DIV/0!</v>
      </c>
      <c r="Q250" s="81" t="e">
        <f t="shared" si="6"/>
        <v>#DIV/0!</v>
      </c>
      <c r="R250" s="101">
        <f t="shared" si="90"/>
        <v>0</v>
      </c>
      <c r="S250" s="83" t="e">
        <f t="shared" si="8"/>
        <v>#DIV/0!</v>
      </c>
      <c r="T250" s="135"/>
      <c r="U250" s="135"/>
      <c r="V250" s="135"/>
      <c r="W250" s="135"/>
      <c r="X250" s="136"/>
      <c r="Y250" s="50"/>
      <c r="Z250" s="50"/>
    </row>
    <row r="251" spans="1:26" ht="12.75" hidden="1" outlineLevel="1" x14ac:dyDescent="0.2">
      <c r="A251" s="50"/>
      <c r="B251" s="137"/>
      <c r="C251" s="70" t="s">
        <v>41</v>
      </c>
      <c r="D251" s="102">
        <v>0</v>
      </c>
      <c r="E251" s="73">
        <v>0</v>
      </c>
      <c r="F251" s="73">
        <v>0</v>
      </c>
      <c r="G251" s="74" t="e">
        <f t="shared" si="0"/>
        <v>#DIV/0!</v>
      </c>
      <c r="H251" s="75" t="e">
        <f t="shared" si="1"/>
        <v>#DIV/0!</v>
      </c>
      <c r="I251" s="76" t="e">
        <f t="shared" si="2"/>
        <v>#DIV/0!</v>
      </c>
      <c r="J251" s="102">
        <v>0</v>
      </c>
      <c r="K251" s="73">
        <v>0</v>
      </c>
      <c r="L251" s="73">
        <v>0</v>
      </c>
      <c r="M251" s="103">
        <v>0</v>
      </c>
      <c r="N251" s="79" t="e">
        <f t="shared" si="91"/>
        <v>#DIV/0!</v>
      </c>
      <c r="O251" s="80" t="e">
        <f t="shared" si="4"/>
        <v>#DIV/0!</v>
      </c>
      <c r="P251" s="79" t="e">
        <f t="shared" si="5"/>
        <v>#DIV/0!</v>
      </c>
      <c r="Q251" s="81" t="e">
        <f t="shared" si="6"/>
        <v>#DIV/0!</v>
      </c>
      <c r="R251" s="104">
        <f t="shared" si="90"/>
        <v>0</v>
      </c>
      <c r="S251" s="83" t="e">
        <f t="shared" si="8"/>
        <v>#DIV/0!</v>
      </c>
      <c r="T251" s="135"/>
      <c r="U251" s="135"/>
      <c r="V251" s="135"/>
      <c r="W251" s="135"/>
      <c r="X251" s="136"/>
      <c r="Y251" s="50"/>
      <c r="Z251" s="50"/>
    </row>
    <row r="252" spans="1:26" ht="12.75" hidden="1" outlineLevel="1" x14ac:dyDescent="0.2">
      <c r="A252" s="50"/>
      <c r="B252" s="137"/>
      <c r="C252" s="70" t="s">
        <v>42</v>
      </c>
      <c r="D252" s="90">
        <v>0</v>
      </c>
      <c r="E252" s="73">
        <v>0</v>
      </c>
      <c r="F252" s="73">
        <v>0</v>
      </c>
      <c r="G252" s="74" t="e">
        <f t="shared" si="0"/>
        <v>#DIV/0!</v>
      </c>
      <c r="H252" s="75" t="e">
        <f t="shared" si="1"/>
        <v>#DIV/0!</v>
      </c>
      <c r="I252" s="76" t="e">
        <f t="shared" si="2"/>
        <v>#DIV/0!</v>
      </c>
      <c r="J252" s="90">
        <v>3.2</v>
      </c>
      <c r="K252" s="73">
        <v>13667</v>
      </c>
      <c r="L252" s="73">
        <v>0</v>
      </c>
      <c r="M252" s="91">
        <v>0</v>
      </c>
      <c r="N252" s="79" t="e">
        <f t="shared" si="91"/>
        <v>#DIV/0!</v>
      </c>
      <c r="O252" s="80">
        <f t="shared" si="4"/>
        <v>0</v>
      </c>
      <c r="P252" s="79" t="e">
        <f t="shared" si="5"/>
        <v>#DIV/0!</v>
      </c>
      <c r="Q252" s="81" t="e">
        <f t="shared" si="6"/>
        <v>#DIV/0!</v>
      </c>
      <c r="R252" s="92">
        <f t="shared" si="90"/>
        <v>0</v>
      </c>
      <c r="S252" s="83" t="e">
        <f t="shared" si="8"/>
        <v>#DIV/0!</v>
      </c>
      <c r="T252" s="135"/>
      <c r="U252" s="135"/>
      <c r="V252" s="135"/>
      <c r="W252" s="135"/>
      <c r="X252" s="136"/>
      <c r="Y252" s="50"/>
      <c r="Z252" s="50"/>
    </row>
    <row r="253" spans="1:26" ht="12.75" hidden="1" outlineLevel="1" x14ac:dyDescent="0.2">
      <c r="A253" s="50"/>
      <c r="B253" s="137"/>
      <c r="C253" s="70" t="s">
        <v>43</v>
      </c>
      <c r="D253" s="105">
        <v>0</v>
      </c>
      <c r="E253" s="73">
        <v>0</v>
      </c>
      <c r="F253" s="73">
        <v>0</v>
      </c>
      <c r="G253" s="74" t="e">
        <f t="shared" si="0"/>
        <v>#DIV/0!</v>
      </c>
      <c r="H253" s="75" t="e">
        <f t="shared" si="1"/>
        <v>#DIV/0!</v>
      </c>
      <c r="I253" s="76" t="e">
        <f t="shared" si="2"/>
        <v>#DIV/0!</v>
      </c>
      <c r="J253" s="105">
        <v>10.17</v>
      </c>
      <c r="K253" s="73">
        <v>24031</v>
      </c>
      <c r="L253" s="73">
        <v>0</v>
      </c>
      <c r="M253" s="106">
        <v>0</v>
      </c>
      <c r="N253" s="79" t="e">
        <f t="shared" si="91"/>
        <v>#DIV/0!</v>
      </c>
      <c r="O253" s="80">
        <f t="shared" si="4"/>
        <v>0</v>
      </c>
      <c r="P253" s="79" t="e">
        <f t="shared" si="5"/>
        <v>#DIV/0!</v>
      </c>
      <c r="Q253" s="81" t="e">
        <f t="shared" si="6"/>
        <v>#DIV/0!</v>
      </c>
      <c r="R253" s="107">
        <f t="shared" si="90"/>
        <v>0</v>
      </c>
      <c r="S253" s="83" t="e">
        <f t="shared" si="8"/>
        <v>#DIV/0!</v>
      </c>
      <c r="T253" s="135"/>
      <c r="U253" s="135"/>
      <c r="V253" s="135"/>
      <c r="W253" s="135"/>
      <c r="X253" s="136"/>
      <c r="Y253" s="50"/>
      <c r="Z253" s="50"/>
    </row>
    <row r="254" spans="1:26" ht="12.75" hidden="1" outlineLevel="1" x14ac:dyDescent="0.2">
      <c r="A254" s="50"/>
      <c r="B254" s="137"/>
      <c r="C254" s="70" t="s">
        <v>44</v>
      </c>
      <c r="D254" s="108">
        <v>44.95</v>
      </c>
      <c r="E254" s="73">
        <v>1</v>
      </c>
      <c r="F254" s="73">
        <v>1</v>
      </c>
      <c r="G254" s="74">
        <f t="shared" si="0"/>
        <v>1</v>
      </c>
      <c r="H254" s="75">
        <f t="shared" si="1"/>
        <v>44.95</v>
      </c>
      <c r="I254" s="76">
        <f t="shared" si="2"/>
        <v>44.95</v>
      </c>
      <c r="J254" s="108">
        <v>31.07</v>
      </c>
      <c r="K254" s="73">
        <v>10216</v>
      </c>
      <c r="L254" s="73">
        <v>0</v>
      </c>
      <c r="M254" s="109">
        <v>0</v>
      </c>
      <c r="N254" s="79" t="e">
        <f t="shared" si="91"/>
        <v>#DIV/0!</v>
      </c>
      <c r="O254" s="80">
        <f t="shared" si="4"/>
        <v>0</v>
      </c>
      <c r="P254" s="79">
        <f t="shared" si="5"/>
        <v>0.69121245828698552</v>
      </c>
      <c r="Q254" s="81">
        <f t="shared" si="6"/>
        <v>0</v>
      </c>
      <c r="R254" s="110">
        <f t="shared" si="90"/>
        <v>44.95</v>
      </c>
      <c r="S254" s="83" t="e">
        <f t="shared" si="8"/>
        <v>#DIV/0!</v>
      </c>
      <c r="T254" s="135"/>
      <c r="U254" s="135"/>
      <c r="V254" s="135"/>
      <c r="W254" s="135"/>
      <c r="X254" s="136"/>
      <c r="Y254" s="50"/>
      <c r="Z254" s="50"/>
    </row>
    <row r="255" spans="1:26" ht="12.75" hidden="1" outlineLevel="1" x14ac:dyDescent="0.2">
      <c r="A255" s="139"/>
      <c r="B255" s="137"/>
      <c r="C255" s="112" t="s">
        <v>45</v>
      </c>
      <c r="D255" s="71">
        <v>0</v>
      </c>
      <c r="E255" s="73">
        <v>0</v>
      </c>
      <c r="F255" s="73">
        <v>0</v>
      </c>
      <c r="G255" s="74" t="e">
        <f t="shared" si="0"/>
        <v>#DIV/0!</v>
      </c>
      <c r="H255" s="75" t="e">
        <f t="shared" si="1"/>
        <v>#DIV/0!</v>
      </c>
      <c r="I255" s="76" t="e">
        <f t="shared" si="2"/>
        <v>#DIV/0!</v>
      </c>
      <c r="J255" s="71">
        <v>0</v>
      </c>
      <c r="K255" s="73">
        <v>0</v>
      </c>
      <c r="L255" s="73">
        <v>0</v>
      </c>
      <c r="M255" s="78">
        <v>0</v>
      </c>
      <c r="N255" s="79" t="e">
        <f t="shared" si="91"/>
        <v>#DIV/0!</v>
      </c>
      <c r="O255" s="80" t="e">
        <f t="shared" si="4"/>
        <v>#DIV/0!</v>
      </c>
      <c r="P255" s="79" t="e">
        <f t="shared" si="5"/>
        <v>#DIV/0!</v>
      </c>
      <c r="Q255" s="81" t="e">
        <f t="shared" si="6"/>
        <v>#DIV/0!</v>
      </c>
      <c r="R255" s="82">
        <f t="shared" si="90"/>
        <v>0</v>
      </c>
      <c r="S255" s="83" t="e">
        <f t="shared" si="8"/>
        <v>#DIV/0!</v>
      </c>
      <c r="T255" s="140"/>
      <c r="U255" s="140"/>
      <c r="V255" s="140"/>
      <c r="W255" s="141"/>
      <c r="X255" s="142"/>
      <c r="Y255" s="50"/>
      <c r="Z255" s="50"/>
    </row>
    <row r="256" spans="1:26" ht="12.75" hidden="1" outlineLevel="1" x14ac:dyDescent="0.2">
      <c r="A256" s="50"/>
      <c r="B256" s="137"/>
      <c r="C256" s="70" t="s">
        <v>46</v>
      </c>
      <c r="D256" s="116">
        <v>539.4</v>
      </c>
      <c r="E256" s="73">
        <v>12</v>
      </c>
      <c r="F256" s="73">
        <v>13</v>
      </c>
      <c r="G256" s="74">
        <f t="shared" si="0"/>
        <v>0.92307692307692313</v>
      </c>
      <c r="H256" s="75">
        <f t="shared" si="1"/>
        <v>44.949999999999996</v>
      </c>
      <c r="I256" s="76">
        <f t="shared" si="2"/>
        <v>48.695833333333326</v>
      </c>
      <c r="J256" s="116">
        <v>89.44</v>
      </c>
      <c r="K256" s="73">
        <v>31575</v>
      </c>
      <c r="L256" s="73">
        <v>4</v>
      </c>
      <c r="M256" s="117">
        <v>179.8</v>
      </c>
      <c r="N256" s="79">
        <f t="shared" si="91"/>
        <v>0.49744160177975522</v>
      </c>
      <c r="O256" s="80">
        <f t="shared" si="4"/>
        <v>2.0102862254025045</v>
      </c>
      <c r="P256" s="79">
        <f t="shared" si="5"/>
        <v>0.16581386725991842</v>
      </c>
      <c r="Q256" s="81">
        <f t="shared" si="6"/>
        <v>0.33333333333333337</v>
      </c>
      <c r="R256" s="82">
        <f t="shared" si="90"/>
        <v>359.59999999999997</v>
      </c>
      <c r="S256" s="83">
        <f t="shared" si="8"/>
        <v>22.36</v>
      </c>
      <c r="T256" s="135"/>
      <c r="U256" s="135"/>
      <c r="V256" s="135"/>
      <c r="W256" s="135"/>
      <c r="X256" s="136"/>
      <c r="Y256" s="50"/>
      <c r="Z256" s="50"/>
    </row>
    <row r="257" spans="1:26" ht="12.75" hidden="1" outlineLevel="1" x14ac:dyDescent="0.2">
      <c r="A257" s="50"/>
      <c r="B257" s="137"/>
      <c r="C257" s="70" t="s">
        <v>49</v>
      </c>
      <c r="D257" s="116">
        <v>0</v>
      </c>
      <c r="E257" s="73">
        <v>0</v>
      </c>
      <c r="F257" s="73">
        <v>0</v>
      </c>
      <c r="G257" s="74" t="e">
        <f t="shared" si="0"/>
        <v>#DIV/0!</v>
      </c>
      <c r="H257" s="75" t="e">
        <f t="shared" si="1"/>
        <v>#DIV/0!</v>
      </c>
      <c r="I257" s="76" t="e">
        <f t="shared" si="2"/>
        <v>#DIV/0!</v>
      </c>
      <c r="J257" s="116">
        <v>1.92</v>
      </c>
      <c r="K257" s="73">
        <v>4938</v>
      </c>
      <c r="L257" s="73">
        <v>0</v>
      </c>
      <c r="M257" s="117">
        <v>0</v>
      </c>
      <c r="N257" s="79" t="e">
        <f t="shared" si="91"/>
        <v>#DIV/0!</v>
      </c>
      <c r="O257" s="80">
        <f t="shared" si="4"/>
        <v>0</v>
      </c>
      <c r="P257" s="79" t="e">
        <f t="shared" si="5"/>
        <v>#DIV/0!</v>
      </c>
      <c r="Q257" s="81" t="e">
        <f t="shared" si="6"/>
        <v>#DIV/0!</v>
      </c>
      <c r="R257" s="82">
        <f t="shared" si="90"/>
        <v>0</v>
      </c>
      <c r="S257" s="83" t="e">
        <f t="shared" si="8"/>
        <v>#DIV/0!</v>
      </c>
      <c r="T257" s="135"/>
      <c r="U257" s="135"/>
      <c r="V257" s="135"/>
      <c r="W257" s="135"/>
      <c r="X257" s="136"/>
      <c r="Y257" s="50"/>
      <c r="Z257" s="50"/>
    </row>
    <row r="258" spans="1:26" hidden="1" outlineLevel="1" x14ac:dyDescent="0.25">
      <c r="A258" s="118" t="str">
        <f t="shared" ref="A258:A259" si="92">IFERROR(IF(B258&gt;0,MONTH(B258)&amp;"-"&amp;YEAR(B258),B258),)</f>
        <v>5-2025</v>
      </c>
      <c r="B258" s="69">
        <v>45801</v>
      </c>
      <c r="C258" s="198" t="s">
        <v>64</v>
      </c>
      <c r="D258" s="116">
        <v>0</v>
      </c>
      <c r="E258" s="73">
        <v>0</v>
      </c>
      <c r="F258" s="73">
        <v>0</v>
      </c>
      <c r="G258" s="74" t="e">
        <f t="shared" si="0"/>
        <v>#DIV/0!</v>
      </c>
      <c r="H258" s="75" t="e">
        <f t="shared" si="1"/>
        <v>#DIV/0!</v>
      </c>
      <c r="I258" s="76" t="e">
        <f t="shared" si="2"/>
        <v>#DIV/0!</v>
      </c>
      <c r="J258" s="87">
        <v>81.889999999999986</v>
      </c>
      <c r="K258" s="204">
        <v>20270</v>
      </c>
      <c r="L258" s="205">
        <v>0</v>
      </c>
      <c r="M258" s="88">
        <v>329.84999999999997</v>
      </c>
      <c r="N258" s="79">
        <f t="shared" si="91"/>
        <v>0.24826436258905563</v>
      </c>
      <c r="O258" s="80">
        <f t="shared" si="4"/>
        <v>4.0279643424105513</v>
      </c>
      <c r="P258" s="79" t="e">
        <f t="shared" si="5"/>
        <v>#DIV/0!</v>
      </c>
      <c r="Q258" s="81" t="e">
        <f t="shared" si="6"/>
        <v>#DIV/0!</v>
      </c>
      <c r="R258" s="82">
        <f t="shared" si="90"/>
        <v>-329.84999999999997</v>
      </c>
      <c r="S258" s="83" t="e">
        <f t="shared" si="8"/>
        <v>#DIV/0!</v>
      </c>
      <c r="T258" s="135"/>
      <c r="U258" s="135"/>
      <c r="V258" s="135"/>
      <c r="W258" s="135"/>
      <c r="X258" s="136"/>
      <c r="Y258" s="50"/>
      <c r="Z258" s="50"/>
    </row>
    <row r="259" spans="1:26" ht="12.75" collapsed="1" x14ac:dyDescent="0.2">
      <c r="A259" s="50">
        <f t="shared" si="92"/>
        <v>0</v>
      </c>
      <c r="B259" s="52" t="s">
        <v>79</v>
      </c>
      <c r="C259" s="145"/>
      <c r="D259" s="121">
        <f t="shared" ref="D259:F259" si="93">SUM(D241:D258)</f>
        <v>5994.33</v>
      </c>
      <c r="E259" s="123">
        <f t="shared" si="93"/>
        <v>54</v>
      </c>
      <c r="F259" s="123">
        <f t="shared" si="93"/>
        <v>55</v>
      </c>
      <c r="G259" s="124">
        <f t="shared" si="0"/>
        <v>0.98181818181818181</v>
      </c>
      <c r="H259" s="125">
        <f t="shared" si="1"/>
        <v>111.00611111111111</v>
      </c>
      <c r="I259" s="126">
        <f t="shared" si="2"/>
        <v>113.06177983539095</v>
      </c>
      <c r="J259" s="121">
        <f t="shared" ref="J259:M259" si="94">SUM(J241:J258)</f>
        <v>743.83999999999992</v>
      </c>
      <c r="K259" s="123">
        <f t="shared" si="94"/>
        <v>289203</v>
      </c>
      <c r="L259" s="123">
        <f t="shared" si="94"/>
        <v>15</v>
      </c>
      <c r="M259" s="127">
        <f t="shared" si="94"/>
        <v>3558.3999999999996</v>
      </c>
      <c r="N259" s="128">
        <f t="shared" si="91"/>
        <v>0.20903776978417266</v>
      </c>
      <c r="O259" s="129">
        <f t="shared" si="4"/>
        <v>4.7838244783824475</v>
      </c>
      <c r="P259" s="128">
        <f t="shared" si="5"/>
        <v>0.12409059894934045</v>
      </c>
      <c r="Q259" s="130">
        <f t="shared" si="6"/>
        <v>0.59362764479099406</v>
      </c>
      <c r="R259" s="131">
        <f>SUM(R241:R258)</f>
        <v>2435.9299999999998</v>
      </c>
      <c r="S259" s="132">
        <f t="shared" si="8"/>
        <v>49.589333333333329</v>
      </c>
      <c r="T259" s="273">
        <f t="shared" ref="T259:U259" si="95">IFERROR((D259-D69)/D259,)</f>
        <v>-0.26474852068538068</v>
      </c>
      <c r="U259" s="273">
        <f t="shared" si="95"/>
        <v>-0.7407407407407407</v>
      </c>
      <c r="V259" s="271" t="s">
        <v>139</v>
      </c>
      <c r="W259" s="271" t="s">
        <v>139</v>
      </c>
      <c r="X259" s="50"/>
      <c r="Y259" s="50"/>
      <c r="Z259" s="50"/>
    </row>
    <row r="260" spans="1:26" ht="12.75" hidden="1" outlineLevel="1" x14ac:dyDescent="0.2">
      <c r="A260" s="50"/>
      <c r="B260" s="69">
        <v>45802</v>
      </c>
      <c r="C260" s="70" t="s">
        <v>32</v>
      </c>
      <c r="D260" s="71">
        <v>3901.4</v>
      </c>
      <c r="E260" s="73">
        <v>25</v>
      </c>
      <c r="F260" s="73">
        <v>22</v>
      </c>
      <c r="G260" s="74">
        <f t="shared" si="0"/>
        <v>1.1363636363636365</v>
      </c>
      <c r="H260" s="75">
        <f t="shared" si="1"/>
        <v>156.05600000000001</v>
      </c>
      <c r="I260" s="76">
        <f t="shared" si="2"/>
        <v>137.32928000000001</v>
      </c>
      <c r="J260" s="77">
        <v>313.7</v>
      </c>
      <c r="K260" s="73">
        <v>92402</v>
      </c>
      <c r="L260" s="73">
        <v>10</v>
      </c>
      <c r="M260" s="78">
        <v>1774.15</v>
      </c>
      <c r="N260" s="79">
        <f t="shared" si="91"/>
        <v>0.17681706732801622</v>
      </c>
      <c r="O260" s="80">
        <f t="shared" si="4"/>
        <v>5.6555626394644571</v>
      </c>
      <c r="P260" s="79">
        <f t="shared" si="5"/>
        <v>8.0407033372635453E-2</v>
      </c>
      <c r="Q260" s="81">
        <f t="shared" si="6"/>
        <v>0.45474701389244887</v>
      </c>
      <c r="R260" s="82">
        <f t="shared" ref="R260:R277" si="96">D260-M260</f>
        <v>2127.25</v>
      </c>
      <c r="S260" s="83">
        <f t="shared" si="8"/>
        <v>31.369999999999997</v>
      </c>
      <c r="T260" s="135"/>
      <c r="U260" s="135"/>
      <c r="V260" s="135"/>
      <c r="W260" s="135"/>
      <c r="X260" s="136"/>
      <c r="Y260" s="50"/>
      <c r="Z260" s="50"/>
    </row>
    <row r="261" spans="1:26" ht="12.75" hidden="1" outlineLevel="1" x14ac:dyDescent="0.2">
      <c r="A261" s="50"/>
      <c r="B261" s="137"/>
      <c r="C261" s="70" t="s">
        <v>33</v>
      </c>
      <c r="D261" s="87">
        <v>2261.8000000000002</v>
      </c>
      <c r="E261" s="73">
        <v>10</v>
      </c>
      <c r="F261" s="73">
        <v>12</v>
      </c>
      <c r="G261" s="74">
        <f t="shared" si="0"/>
        <v>0.83333333333333337</v>
      </c>
      <c r="H261" s="75">
        <f t="shared" si="1"/>
        <v>226.18</v>
      </c>
      <c r="I261" s="76">
        <f t="shared" si="2"/>
        <v>271.416</v>
      </c>
      <c r="J261" s="87">
        <v>158.74</v>
      </c>
      <c r="K261" s="73">
        <v>77568</v>
      </c>
      <c r="L261" s="73">
        <v>2</v>
      </c>
      <c r="M261" s="88">
        <v>59.95</v>
      </c>
      <c r="N261" s="79">
        <f t="shared" si="91"/>
        <v>2.6478732276897414</v>
      </c>
      <c r="O261" s="80">
        <f t="shared" si="4"/>
        <v>0.37766158498173114</v>
      </c>
      <c r="P261" s="79">
        <f t="shared" si="5"/>
        <v>7.0183040056592094E-2</v>
      </c>
      <c r="Q261" s="81">
        <f t="shared" si="6"/>
        <v>2.6505438146608894E-2</v>
      </c>
      <c r="R261" s="89">
        <f t="shared" si="96"/>
        <v>2201.8500000000004</v>
      </c>
      <c r="S261" s="83">
        <f t="shared" si="8"/>
        <v>79.37</v>
      </c>
      <c r="T261" s="135"/>
      <c r="U261" s="135"/>
      <c r="V261" s="135"/>
      <c r="W261" s="135"/>
      <c r="X261" s="136"/>
      <c r="Y261" s="50"/>
      <c r="Z261" s="50"/>
    </row>
    <row r="262" spans="1:26" ht="12.75" hidden="1" outlineLevel="1" x14ac:dyDescent="0.2">
      <c r="A262" s="50"/>
      <c r="B262" s="137"/>
      <c r="C262" s="70" t="s">
        <v>34</v>
      </c>
      <c r="D262" s="90">
        <v>0</v>
      </c>
      <c r="E262" s="73">
        <v>0</v>
      </c>
      <c r="F262" s="73">
        <v>0</v>
      </c>
      <c r="G262" s="74" t="e">
        <f t="shared" si="0"/>
        <v>#DIV/0!</v>
      </c>
      <c r="H262" s="75" t="e">
        <f t="shared" si="1"/>
        <v>#DIV/0!</v>
      </c>
      <c r="I262" s="76" t="e">
        <f t="shared" si="2"/>
        <v>#DIV/0!</v>
      </c>
      <c r="J262" s="90">
        <v>0</v>
      </c>
      <c r="K262" s="73">
        <v>0</v>
      </c>
      <c r="L262" s="73">
        <v>0</v>
      </c>
      <c r="M262" s="91">
        <v>0</v>
      </c>
      <c r="N262" s="79" t="e">
        <f>(J262/M262)</f>
        <v>#DIV/0!</v>
      </c>
      <c r="O262" s="80" t="e">
        <f t="shared" si="4"/>
        <v>#DIV/0!</v>
      </c>
      <c r="P262" s="79" t="e">
        <f t="shared" si="5"/>
        <v>#DIV/0!</v>
      </c>
      <c r="Q262" s="81" t="e">
        <f t="shared" si="6"/>
        <v>#DIV/0!</v>
      </c>
      <c r="R262" s="92">
        <f t="shared" si="96"/>
        <v>0</v>
      </c>
      <c r="S262" s="83" t="e">
        <f t="shared" si="8"/>
        <v>#DIV/0!</v>
      </c>
      <c r="T262" s="135"/>
      <c r="U262" s="135"/>
      <c r="V262" s="135"/>
      <c r="W262" s="135"/>
      <c r="X262" s="136"/>
      <c r="Y262" s="50"/>
      <c r="Z262" s="50"/>
    </row>
    <row r="263" spans="1:26" ht="12.75" hidden="1" outlineLevel="1" x14ac:dyDescent="0.2">
      <c r="A263" s="50"/>
      <c r="B263" s="137"/>
      <c r="C263" s="70" t="s">
        <v>35</v>
      </c>
      <c r="D263" s="90">
        <v>377.7</v>
      </c>
      <c r="E263" s="73">
        <v>6</v>
      </c>
      <c r="F263" s="73">
        <v>5</v>
      </c>
      <c r="G263" s="74">
        <f t="shared" si="0"/>
        <v>1.2</v>
      </c>
      <c r="H263" s="75">
        <f t="shared" si="1"/>
        <v>62.949999999999996</v>
      </c>
      <c r="I263" s="76">
        <f t="shared" si="2"/>
        <v>52.458333333333329</v>
      </c>
      <c r="J263" s="90">
        <v>0</v>
      </c>
      <c r="K263" s="73">
        <v>0</v>
      </c>
      <c r="L263" s="73">
        <v>0</v>
      </c>
      <c r="M263" s="91">
        <v>0</v>
      </c>
      <c r="N263" s="79" t="e">
        <f t="shared" ref="N263:N280" si="97">J263/M263</f>
        <v>#DIV/0!</v>
      </c>
      <c r="O263" s="80" t="e">
        <f t="shared" si="4"/>
        <v>#DIV/0!</v>
      </c>
      <c r="P263" s="79">
        <f t="shared" si="5"/>
        <v>0</v>
      </c>
      <c r="Q263" s="81">
        <f t="shared" si="6"/>
        <v>0</v>
      </c>
      <c r="R263" s="92">
        <f t="shared" si="96"/>
        <v>377.7</v>
      </c>
      <c r="S263" s="83" t="e">
        <f t="shared" si="8"/>
        <v>#DIV/0!</v>
      </c>
      <c r="T263" s="135"/>
      <c r="U263" s="135"/>
      <c r="V263" s="135"/>
      <c r="W263" s="135"/>
      <c r="X263" s="136"/>
      <c r="Y263" s="50"/>
      <c r="Z263" s="50"/>
    </row>
    <row r="264" spans="1:26" ht="12.75" hidden="1" outlineLevel="1" x14ac:dyDescent="0.2">
      <c r="A264" s="50"/>
      <c r="B264" s="137"/>
      <c r="C264" s="70" t="s">
        <v>62</v>
      </c>
      <c r="D264" s="200">
        <v>0</v>
      </c>
      <c r="E264" s="73">
        <v>0</v>
      </c>
      <c r="F264" s="73">
        <v>0</v>
      </c>
      <c r="G264" s="74" t="e">
        <f t="shared" si="0"/>
        <v>#DIV/0!</v>
      </c>
      <c r="H264" s="75" t="e">
        <f t="shared" si="1"/>
        <v>#DIV/0!</v>
      </c>
      <c r="I264" s="76" t="e">
        <f t="shared" si="2"/>
        <v>#DIV/0!</v>
      </c>
      <c r="J264" s="200">
        <v>0</v>
      </c>
      <c r="K264" s="73">
        <v>0</v>
      </c>
      <c r="L264" s="73">
        <v>0</v>
      </c>
      <c r="M264" s="200">
        <v>0</v>
      </c>
      <c r="N264" s="79" t="e">
        <f t="shared" si="97"/>
        <v>#DIV/0!</v>
      </c>
      <c r="O264" s="80" t="e">
        <f t="shared" si="4"/>
        <v>#DIV/0!</v>
      </c>
      <c r="P264" s="79" t="e">
        <f t="shared" si="5"/>
        <v>#DIV/0!</v>
      </c>
      <c r="Q264" s="81" t="e">
        <f t="shared" si="6"/>
        <v>#DIV/0!</v>
      </c>
      <c r="R264" s="92">
        <f t="shared" si="96"/>
        <v>0</v>
      </c>
      <c r="S264" s="83" t="e">
        <f t="shared" si="8"/>
        <v>#DIV/0!</v>
      </c>
      <c r="T264" s="135"/>
      <c r="U264" s="135"/>
      <c r="V264" s="135"/>
      <c r="W264" s="135"/>
      <c r="X264" s="136"/>
      <c r="Y264" s="50"/>
      <c r="Z264" s="50"/>
    </row>
    <row r="265" spans="1:26" ht="12.75" hidden="1" outlineLevel="1" x14ac:dyDescent="0.2">
      <c r="A265" s="50"/>
      <c r="B265" s="137"/>
      <c r="C265" s="70" t="s">
        <v>66</v>
      </c>
      <c r="D265" s="201">
        <v>0</v>
      </c>
      <c r="E265" s="73">
        <v>0</v>
      </c>
      <c r="F265" s="73">
        <v>0</v>
      </c>
      <c r="G265" s="74" t="e">
        <f t="shared" si="0"/>
        <v>#DIV/0!</v>
      </c>
      <c r="H265" s="75" t="e">
        <f t="shared" si="1"/>
        <v>#DIV/0!</v>
      </c>
      <c r="I265" s="76" t="e">
        <f t="shared" si="2"/>
        <v>#DIV/0!</v>
      </c>
      <c r="J265" s="201">
        <v>0</v>
      </c>
      <c r="K265" s="73">
        <v>0</v>
      </c>
      <c r="L265" s="73">
        <v>0</v>
      </c>
      <c r="M265" s="202">
        <v>0</v>
      </c>
      <c r="N265" s="79" t="e">
        <f t="shared" si="97"/>
        <v>#DIV/0!</v>
      </c>
      <c r="O265" s="80" t="e">
        <f t="shared" si="4"/>
        <v>#DIV/0!</v>
      </c>
      <c r="P265" s="79" t="e">
        <f t="shared" si="5"/>
        <v>#DIV/0!</v>
      </c>
      <c r="Q265" s="81" t="e">
        <f t="shared" si="6"/>
        <v>#DIV/0!</v>
      </c>
      <c r="R265" s="203">
        <f t="shared" si="96"/>
        <v>0</v>
      </c>
      <c r="S265" s="83" t="e">
        <f t="shared" si="8"/>
        <v>#DIV/0!</v>
      </c>
      <c r="T265" s="135"/>
      <c r="U265" s="135"/>
      <c r="V265" s="135"/>
      <c r="W265" s="135"/>
      <c r="X265" s="136"/>
      <c r="Y265" s="50"/>
      <c r="Z265" s="50"/>
    </row>
    <row r="266" spans="1:26" ht="12.75" hidden="1" outlineLevel="1" x14ac:dyDescent="0.2">
      <c r="A266" s="50"/>
      <c r="B266" s="137"/>
      <c r="C266" s="70" t="s">
        <v>36</v>
      </c>
      <c r="D266" s="90">
        <v>0</v>
      </c>
      <c r="E266" s="73">
        <v>0</v>
      </c>
      <c r="F266" s="73">
        <v>0</v>
      </c>
      <c r="G266" s="74" t="e">
        <f t="shared" si="0"/>
        <v>#DIV/0!</v>
      </c>
      <c r="H266" s="75" t="e">
        <f t="shared" si="1"/>
        <v>#DIV/0!</v>
      </c>
      <c r="I266" s="76" t="e">
        <f t="shared" si="2"/>
        <v>#DIV/0!</v>
      </c>
      <c r="J266" s="90">
        <v>0</v>
      </c>
      <c r="K266" s="73">
        <v>0</v>
      </c>
      <c r="L266" s="73">
        <v>0</v>
      </c>
      <c r="M266" s="91">
        <v>0</v>
      </c>
      <c r="N266" s="79" t="e">
        <f t="shared" si="97"/>
        <v>#DIV/0!</v>
      </c>
      <c r="O266" s="80" t="e">
        <f t="shared" si="4"/>
        <v>#DIV/0!</v>
      </c>
      <c r="P266" s="79" t="e">
        <f t="shared" si="5"/>
        <v>#DIV/0!</v>
      </c>
      <c r="Q266" s="81" t="e">
        <f t="shared" si="6"/>
        <v>#DIV/0!</v>
      </c>
      <c r="R266" s="92">
        <f t="shared" si="96"/>
        <v>0</v>
      </c>
      <c r="S266" s="83" t="e">
        <f t="shared" si="8"/>
        <v>#DIV/0!</v>
      </c>
      <c r="T266" s="135"/>
      <c r="U266" s="135"/>
      <c r="V266" s="135"/>
      <c r="W266" s="135"/>
      <c r="X266" s="136"/>
      <c r="Y266" s="50"/>
      <c r="Z266" s="50"/>
    </row>
    <row r="267" spans="1:26" ht="12.75" hidden="1" outlineLevel="1" x14ac:dyDescent="0.2">
      <c r="A267" s="50"/>
      <c r="B267" s="69" t="s">
        <v>37</v>
      </c>
      <c r="C267" s="70" t="s">
        <v>38</v>
      </c>
      <c r="D267" s="93">
        <v>135.84</v>
      </c>
      <c r="E267" s="73">
        <v>4</v>
      </c>
      <c r="F267" s="73">
        <v>4</v>
      </c>
      <c r="G267" s="74">
        <f t="shared" si="0"/>
        <v>1</v>
      </c>
      <c r="H267" s="75">
        <f t="shared" si="1"/>
        <v>33.96</v>
      </c>
      <c r="I267" s="76">
        <f t="shared" si="2"/>
        <v>33.96</v>
      </c>
      <c r="J267" s="93">
        <v>51.1</v>
      </c>
      <c r="K267" s="73">
        <v>16493</v>
      </c>
      <c r="L267" s="73">
        <v>0</v>
      </c>
      <c r="M267" s="94">
        <v>0</v>
      </c>
      <c r="N267" s="79" t="e">
        <f t="shared" si="97"/>
        <v>#DIV/0!</v>
      </c>
      <c r="O267" s="80">
        <f t="shared" si="4"/>
        <v>0</v>
      </c>
      <c r="P267" s="79">
        <f t="shared" si="5"/>
        <v>0.37617785630153122</v>
      </c>
      <c r="Q267" s="81">
        <f t="shared" si="6"/>
        <v>0</v>
      </c>
      <c r="R267" s="95">
        <f t="shared" si="96"/>
        <v>135.84</v>
      </c>
      <c r="S267" s="83" t="e">
        <f t="shared" si="8"/>
        <v>#DIV/0!</v>
      </c>
      <c r="T267" s="135"/>
      <c r="U267" s="135"/>
      <c r="V267" s="135"/>
      <c r="W267" s="135"/>
      <c r="X267" s="136"/>
      <c r="Y267" s="50"/>
      <c r="Z267" s="50"/>
    </row>
    <row r="268" spans="1:26" ht="12.75" hidden="1" outlineLevel="1" x14ac:dyDescent="0.2">
      <c r="A268" s="50"/>
      <c r="B268" s="137"/>
      <c r="C268" s="70" t="s">
        <v>39</v>
      </c>
      <c r="D268" s="96">
        <v>0</v>
      </c>
      <c r="E268" s="73">
        <v>0</v>
      </c>
      <c r="F268" s="73">
        <v>0</v>
      </c>
      <c r="G268" s="74" t="e">
        <f t="shared" ref="G268:G522" si="98">E268/F268</f>
        <v>#DIV/0!</v>
      </c>
      <c r="H268" s="75" t="e">
        <f t="shared" ref="H268:H522" si="99">D268/E268</f>
        <v>#DIV/0!</v>
      </c>
      <c r="I268" s="76" t="e">
        <f t="shared" ref="I268:I522" si="100">H268/G268</f>
        <v>#DIV/0!</v>
      </c>
      <c r="J268" s="96">
        <v>0</v>
      </c>
      <c r="K268" s="73">
        <v>0</v>
      </c>
      <c r="L268" s="73">
        <v>0</v>
      </c>
      <c r="M268" s="97">
        <v>0</v>
      </c>
      <c r="N268" s="79" t="e">
        <f t="shared" si="97"/>
        <v>#DIV/0!</v>
      </c>
      <c r="O268" s="80" t="e">
        <f t="shared" ref="O268:O522" si="101">M268/J268</f>
        <v>#DIV/0!</v>
      </c>
      <c r="P268" s="79" t="e">
        <f t="shared" ref="P268:P522" si="102">J268/D268</f>
        <v>#DIV/0!</v>
      </c>
      <c r="Q268" s="81" t="e">
        <f t="shared" ref="Q268:Q522" si="103">M268/D268</f>
        <v>#DIV/0!</v>
      </c>
      <c r="R268" s="98">
        <f t="shared" si="96"/>
        <v>0</v>
      </c>
      <c r="S268" s="83" t="e">
        <f t="shared" ref="S268:S522" si="104">J268/L268</f>
        <v>#DIV/0!</v>
      </c>
      <c r="T268" s="135"/>
      <c r="U268" s="135"/>
      <c r="V268" s="135"/>
      <c r="W268" s="135"/>
      <c r="X268" s="136"/>
      <c r="Y268" s="50"/>
      <c r="Z268" s="50"/>
    </row>
    <row r="269" spans="1:26" ht="12.75" hidden="1" outlineLevel="1" x14ac:dyDescent="0.2">
      <c r="A269" s="50"/>
      <c r="B269" s="137"/>
      <c r="C269" s="70" t="s">
        <v>40</v>
      </c>
      <c r="D269" s="99">
        <v>0</v>
      </c>
      <c r="E269" s="73">
        <v>0</v>
      </c>
      <c r="F269" s="73">
        <v>0</v>
      </c>
      <c r="G269" s="74" t="e">
        <f t="shared" si="98"/>
        <v>#DIV/0!</v>
      </c>
      <c r="H269" s="75" t="e">
        <f t="shared" si="99"/>
        <v>#DIV/0!</v>
      </c>
      <c r="I269" s="76" t="e">
        <f t="shared" si="100"/>
        <v>#DIV/0!</v>
      </c>
      <c r="J269" s="99">
        <v>0</v>
      </c>
      <c r="K269" s="73">
        <v>0</v>
      </c>
      <c r="L269" s="73">
        <v>0</v>
      </c>
      <c r="M269" s="100">
        <v>0</v>
      </c>
      <c r="N269" s="79" t="e">
        <f t="shared" si="97"/>
        <v>#DIV/0!</v>
      </c>
      <c r="O269" s="80" t="e">
        <f t="shared" si="101"/>
        <v>#DIV/0!</v>
      </c>
      <c r="P269" s="79" t="e">
        <f t="shared" si="102"/>
        <v>#DIV/0!</v>
      </c>
      <c r="Q269" s="81" t="e">
        <f t="shared" si="103"/>
        <v>#DIV/0!</v>
      </c>
      <c r="R269" s="101">
        <f t="shared" si="96"/>
        <v>0</v>
      </c>
      <c r="S269" s="83" t="e">
        <f t="shared" si="104"/>
        <v>#DIV/0!</v>
      </c>
      <c r="T269" s="135"/>
      <c r="U269" s="135"/>
      <c r="V269" s="135"/>
      <c r="W269" s="135"/>
      <c r="X269" s="136"/>
      <c r="Y269" s="50"/>
      <c r="Z269" s="50"/>
    </row>
    <row r="270" spans="1:26" ht="12.75" hidden="1" outlineLevel="1" x14ac:dyDescent="0.2">
      <c r="A270" s="50"/>
      <c r="B270" s="137"/>
      <c r="C270" s="70" t="s">
        <v>41</v>
      </c>
      <c r="D270" s="102">
        <v>0</v>
      </c>
      <c r="E270" s="73">
        <v>0</v>
      </c>
      <c r="F270" s="73">
        <v>0</v>
      </c>
      <c r="G270" s="74" t="e">
        <f t="shared" si="98"/>
        <v>#DIV/0!</v>
      </c>
      <c r="H270" s="75" t="e">
        <f t="shared" si="99"/>
        <v>#DIV/0!</v>
      </c>
      <c r="I270" s="76" t="e">
        <f t="shared" si="100"/>
        <v>#DIV/0!</v>
      </c>
      <c r="J270" s="102">
        <v>0</v>
      </c>
      <c r="K270" s="73">
        <v>0</v>
      </c>
      <c r="L270" s="73">
        <v>0</v>
      </c>
      <c r="M270" s="103">
        <v>0</v>
      </c>
      <c r="N270" s="79" t="e">
        <f t="shared" si="97"/>
        <v>#DIV/0!</v>
      </c>
      <c r="O270" s="80" t="e">
        <f t="shared" si="101"/>
        <v>#DIV/0!</v>
      </c>
      <c r="P270" s="79" t="e">
        <f t="shared" si="102"/>
        <v>#DIV/0!</v>
      </c>
      <c r="Q270" s="81" t="e">
        <f t="shared" si="103"/>
        <v>#DIV/0!</v>
      </c>
      <c r="R270" s="104">
        <f t="shared" si="96"/>
        <v>0</v>
      </c>
      <c r="S270" s="83" t="e">
        <f t="shared" si="104"/>
        <v>#DIV/0!</v>
      </c>
      <c r="T270" s="135"/>
      <c r="U270" s="135"/>
      <c r="V270" s="135"/>
      <c r="W270" s="135"/>
      <c r="X270" s="136"/>
      <c r="Y270" s="50"/>
      <c r="Z270" s="50"/>
    </row>
    <row r="271" spans="1:26" ht="12.75" hidden="1" outlineLevel="1" x14ac:dyDescent="0.2">
      <c r="A271" s="50"/>
      <c r="B271" s="137"/>
      <c r="C271" s="70" t="s">
        <v>42</v>
      </c>
      <c r="D271" s="90">
        <v>19.989999999999998</v>
      </c>
      <c r="E271" s="73">
        <v>1</v>
      </c>
      <c r="F271" s="73">
        <v>1</v>
      </c>
      <c r="G271" s="74">
        <f t="shared" si="98"/>
        <v>1</v>
      </c>
      <c r="H271" s="75">
        <f t="shared" si="99"/>
        <v>19.989999999999998</v>
      </c>
      <c r="I271" s="76">
        <f t="shared" si="100"/>
        <v>19.989999999999998</v>
      </c>
      <c r="J271" s="90">
        <v>5.52</v>
      </c>
      <c r="K271" s="73">
        <v>14092</v>
      </c>
      <c r="L271" s="73">
        <v>1</v>
      </c>
      <c r="M271" s="91">
        <v>19.989999999999998</v>
      </c>
      <c r="N271" s="79">
        <f t="shared" si="97"/>
        <v>0.27613806903451726</v>
      </c>
      <c r="O271" s="80">
        <f t="shared" si="101"/>
        <v>3.6213768115942031</v>
      </c>
      <c r="P271" s="79">
        <f t="shared" si="102"/>
        <v>0.27613806903451726</v>
      </c>
      <c r="Q271" s="81">
        <f t="shared" si="103"/>
        <v>1</v>
      </c>
      <c r="R271" s="92">
        <f t="shared" si="96"/>
        <v>0</v>
      </c>
      <c r="S271" s="83">
        <f t="shared" si="104"/>
        <v>5.52</v>
      </c>
      <c r="T271" s="135"/>
      <c r="U271" s="135"/>
      <c r="V271" s="135"/>
      <c r="W271" s="135"/>
      <c r="X271" s="136"/>
      <c r="Y271" s="50"/>
      <c r="Z271" s="50"/>
    </row>
    <row r="272" spans="1:26" ht="12.75" hidden="1" outlineLevel="1" x14ac:dyDescent="0.2">
      <c r="A272" s="50"/>
      <c r="B272" s="137"/>
      <c r="C272" s="70" t="s">
        <v>43</v>
      </c>
      <c r="D272" s="105">
        <v>159.94999999999999</v>
      </c>
      <c r="E272" s="73">
        <v>1</v>
      </c>
      <c r="F272" s="73">
        <v>1</v>
      </c>
      <c r="G272" s="74">
        <f t="shared" si="98"/>
        <v>1</v>
      </c>
      <c r="H272" s="75">
        <f t="shared" si="99"/>
        <v>159.94999999999999</v>
      </c>
      <c r="I272" s="76">
        <f t="shared" si="100"/>
        <v>159.94999999999999</v>
      </c>
      <c r="J272" s="105">
        <v>11.55</v>
      </c>
      <c r="K272" s="73">
        <v>22100</v>
      </c>
      <c r="L272" s="73">
        <v>0</v>
      </c>
      <c r="M272" s="106">
        <v>0</v>
      </c>
      <c r="N272" s="79" t="e">
        <f t="shared" si="97"/>
        <v>#DIV/0!</v>
      </c>
      <c r="O272" s="80">
        <f t="shared" si="101"/>
        <v>0</v>
      </c>
      <c r="P272" s="79">
        <f t="shared" si="102"/>
        <v>7.2210065645514229E-2</v>
      </c>
      <c r="Q272" s="81">
        <f t="shared" si="103"/>
        <v>0</v>
      </c>
      <c r="R272" s="107">
        <f t="shared" si="96"/>
        <v>159.94999999999999</v>
      </c>
      <c r="S272" s="83" t="e">
        <f t="shared" si="104"/>
        <v>#DIV/0!</v>
      </c>
      <c r="T272" s="135"/>
      <c r="U272" s="135"/>
      <c r="V272" s="135"/>
      <c r="W272" s="135"/>
      <c r="X272" s="136"/>
      <c r="Y272" s="50"/>
      <c r="Z272" s="50"/>
    </row>
    <row r="273" spans="1:26" ht="12.75" hidden="1" outlineLevel="1" x14ac:dyDescent="0.2">
      <c r="A273" s="50"/>
      <c r="B273" s="137"/>
      <c r="C273" s="70" t="s">
        <v>44</v>
      </c>
      <c r="D273" s="108">
        <v>134.85</v>
      </c>
      <c r="E273" s="73">
        <v>3</v>
      </c>
      <c r="F273" s="73">
        <v>3</v>
      </c>
      <c r="G273" s="74">
        <f t="shared" si="98"/>
        <v>1</v>
      </c>
      <c r="H273" s="75">
        <f t="shared" si="99"/>
        <v>44.949999999999996</v>
      </c>
      <c r="I273" s="76">
        <f t="shared" si="100"/>
        <v>44.949999999999996</v>
      </c>
      <c r="J273" s="108">
        <v>28.89</v>
      </c>
      <c r="K273" s="73">
        <v>11058</v>
      </c>
      <c r="L273" s="73">
        <v>1</v>
      </c>
      <c r="M273" s="109">
        <v>44.95</v>
      </c>
      <c r="N273" s="79">
        <f t="shared" si="97"/>
        <v>0.6427141268075639</v>
      </c>
      <c r="O273" s="80">
        <f t="shared" si="101"/>
        <v>1.5559016960886121</v>
      </c>
      <c r="P273" s="79">
        <f t="shared" si="102"/>
        <v>0.21423804226918799</v>
      </c>
      <c r="Q273" s="81">
        <f t="shared" si="103"/>
        <v>0.33333333333333337</v>
      </c>
      <c r="R273" s="110">
        <f t="shared" si="96"/>
        <v>89.899999999999991</v>
      </c>
      <c r="S273" s="83">
        <f t="shared" si="104"/>
        <v>28.89</v>
      </c>
      <c r="T273" s="135"/>
      <c r="U273" s="135"/>
      <c r="V273" s="135"/>
      <c r="W273" s="135"/>
      <c r="X273" s="136"/>
      <c r="Y273" s="50"/>
      <c r="Z273" s="50"/>
    </row>
    <row r="274" spans="1:26" ht="12.75" hidden="1" outlineLevel="1" x14ac:dyDescent="0.2">
      <c r="A274" s="139"/>
      <c r="B274" s="137"/>
      <c r="C274" s="112" t="s">
        <v>45</v>
      </c>
      <c r="D274" s="71">
        <v>0</v>
      </c>
      <c r="E274" s="73">
        <v>0</v>
      </c>
      <c r="F274" s="73">
        <v>0</v>
      </c>
      <c r="G274" s="74" t="e">
        <f t="shared" si="98"/>
        <v>#DIV/0!</v>
      </c>
      <c r="H274" s="75" t="e">
        <f t="shared" si="99"/>
        <v>#DIV/0!</v>
      </c>
      <c r="I274" s="76" t="e">
        <f t="shared" si="100"/>
        <v>#DIV/0!</v>
      </c>
      <c r="J274" s="71">
        <v>0</v>
      </c>
      <c r="K274" s="73">
        <v>0</v>
      </c>
      <c r="L274" s="73">
        <v>0</v>
      </c>
      <c r="M274" s="78">
        <v>0</v>
      </c>
      <c r="N274" s="79" t="e">
        <f t="shared" si="97"/>
        <v>#DIV/0!</v>
      </c>
      <c r="O274" s="80" t="e">
        <f t="shared" si="101"/>
        <v>#DIV/0!</v>
      </c>
      <c r="P274" s="79" t="e">
        <f t="shared" si="102"/>
        <v>#DIV/0!</v>
      </c>
      <c r="Q274" s="81" t="e">
        <f t="shared" si="103"/>
        <v>#DIV/0!</v>
      </c>
      <c r="R274" s="82">
        <f t="shared" si="96"/>
        <v>0</v>
      </c>
      <c r="S274" s="83" t="e">
        <f t="shared" si="104"/>
        <v>#DIV/0!</v>
      </c>
      <c r="T274" s="140"/>
      <c r="U274" s="140"/>
      <c r="V274" s="140"/>
      <c r="W274" s="141"/>
      <c r="X274" s="142"/>
      <c r="Y274" s="50"/>
      <c r="Z274" s="50"/>
    </row>
    <row r="275" spans="1:26" ht="12.75" hidden="1" outlineLevel="1" x14ac:dyDescent="0.2">
      <c r="A275" s="50"/>
      <c r="B275" s="137"/>
      <c r="C275" s="70" t="s">
        <v>46</v>
      </c>
      <c r="D275" s="116">
        <v>224.75</v>
      </c>
      <c r="E275" s="73">
        <v>5</v>
      </c>
      <c r="F275" s="73">
        <v>5</v>
      </c>
      <c r="G275" s="74">
        <f t="shared" si="98"/>
        <v>1</v>
      </c>
      <c r="H275" s="75">
        <f t="shared" si="99"/>
        <v>44.95</v>
      </c>
      <c r="I275" s="76">
        <f t="shared" si="100"/>
        <v>44.95</v>
      </c>
      <c r="J275" s="116">
        <v>97.89</v>
      </c>
      <c r="K275" s="73">
        <v>25599</v>
      </c>
      <c r="L275" s="73">
        <v>4</v>
      </c>
      <c r="M275" s="117">
        <v>179.8</v>
      </c>
      <c r="N275" s="79">
        <f t="shared" si="97"/>
        <v>0.54443826473859847</v>
      </c>
      <c r="O275" s="80">
        <f t="shared" si="101"/>
        <v>1.8367555419348249</v>
      </c>
      <c r="P275" s="79">
        <f t="shared" si="102"/>
        <v>0.43555061179087878</v>
      </c>
      <c r="Q275" s="81">
        <f t="shared" si="103"/>
        <v>0.8</v>
      </c>
      <c r="R275" s="82">
        <f t="shared" si="96"/>
        <v>44.949999999999989</v>
      </c>
      <c r="S275" s="83">
        <f t="shared" si="104"/>
        <v>24.4725</v>
      </c>
      <c r="T275" s="135"/>
      <c r="U275" s="135"/>
      <c r="V275" s="135"/>
      <c r="W275" s="135"/>
      <c r="X275" s="136"/>
      <c r="Y275" s="50"/>
      <c r="Z275" s="50"/>
    </row>
    <row r="276" spans="1:26" ht="12.75" hidden="1" outlineLevel="1" x14ac:dyDescent="0.2">
      <c r="A276" s="50"/>
      <c r="B276" s="137"/>
      <c r="C276" s="70" t="s">
        <v>49</v>
      </c>
      <c r="D276" s="116">
        <v>192</v>
      </c>
      <c r="E276" s="73">
        <v>2</v>
      </c>
      <c r="F276" s="73">
        <v>1</v>
      </c>
      <c r="G276" s="74">
        <f t="shared" si="98"/>
        <v>2</v>
      </c>
      <c r="H276" s="75">
        <f t="shared" si="99"/>
        <v>96</v>
      </c>
      <c r="I276" s="76">
        <f t="shared" si="100"/>
        <v>48</v>
      </c>
      <c r="J276" s="116">
        <v>4.47</v>
      </c>
      <c r="K276" s="73">
        <v>5564</v>
      </c>
      <c r="L276" s="73">
        <v>0</v>
      </c>
      <c r="M276" s="117">
        <v>0</v>
      </c>
      <c r="N276" s="79" t="e">
        <f t="shared" si="97"/>
        <v>#DIV/0!</v>
      </c>
      <c r="O276" s="80">
        <f t="shared" si="101"/>
        <v>0</v>
      </c>
      <c r="P276" s="79">
        <f t="shared" si="102"/>
        <v>2.328125E-2</v>
      </c>
      <c r="Q276" s="81">
        <f t="shared" si="103"/>
        <v>0</v>
      </c>
      <c r="R276" s="82">
        <f t="shared" si="96"/>
        <v>192</v>
      </c>
      <c r="S276" s="83" t="e">
        <f t="shared" si="104"/>
        <v>#DIV/0!</v>
      </c>
      <c r="T276" s="135"/>
      <c r="U276" s="135"/>
      <c r="V276" s="135"/>
      <c r="W276" s="135"/>
      <c r="X276" s="136"/>
      <c r="Y276" s="50"/>
      <c r="Z276" s="50"/>
    </row>
    <row r="277" spans="1:26" hidden="1" outlineLevel="1" x14ac:dyDescent="0.25">
      <c r="A277" s="118" t="str">
        <f t="shared" ref="A277:A278" si="105">IFERROR(IF(B277&gt;0,MONTH(B277)&amp;"-"&amp;YEAR(B277),B277),)</f>
        <v>5-2025</v>
      </c>
      <c r="B277" s="69">
        <v>45808</v>
      </c>
      <c r="C277" s="198" t="s">
        <v>64</v>
      </c>
      <c r="D277" s="116">
        <v>0</v>
      </c>
      <c r="E277" s="73">
        <v>0</v>
      </c>
      <c r="F277" s="73">
        <v>0</v>
      </c>
      <c r="G277" s="74" t="e">
        <f t="shared" si="98"/>
        <v>#DIV/0!</v>
      </c>
      <c r="H277" s="75" t="e">
        <f t="shared" si="99"/>
        <v>#DIV/0!</v>
      </c>
      <c r="I277" s="76" t="e">
        <f t="shared" si="100"/>
        <v>#DIV/0!</v>
      </c>
      <c r="J277" s="87">
        <v>107.07000000000001</v>
      </c>
      <c r="K277" s="199">
        <v>34786</v>
      </c>
      <c r="L277" s="73">
        <v>0</v>
      </c>
      <c r="M277" s="88">
        <v>596.85</v>
      </c>
      <c r="N277" s="79">
        <f t="shared" si="97"/>
        <v>0.17939180698668009</v>
      </c>
      <c r="O277" s="80">
        <f t="shared" si="101"/>
        <v>5.5743905855982065</v>
      </c>
      <c r="P277" s="79" t="e">
        <f t="shared" si="102"/>
        <v>#DIV/0!</v>
      </c>
      <c r="Q277" s="81" t="e">
        <f t="shared" si="103"/>
        <v>#DIV/0!</v>
      </c>
      <c r="R277" s="82">
        <f t="shared" si="96"/>
        <v>-596.85</v>
      </c>
      <c r="S277" s="83" t="e">
        <f t="shared" si="104"/>
        <v>#DIV/0!</v>
      </c>
      <c r="T277" s="135"/>
      <c r="U277" s="135"/>
      <c r="V277" s="135"/>
      <c r="W277" s="135"/>
      <c r="X277" s="136"/>
      <c r="Y277" s="50"/>
      <c r="Z277" s="50"/>
    </row>
    <row r="278" spans="1:26" ht="12.75" collapsed="1" x14ac:dyDescent="0.2">
      <c r="A278" s="50">
        <f t="shared" si="105"/>
        <v>0</v>
      </c>
      <c r="B278" s="52" t="s">
        <v>80</v>
      </c>
      <c r="C278" s="145"/>
      <c r="D278" s="121">
        <f t="shared" ref="D278:F278" si="106">SUM(D260:D277)</f>
        <v>7408.2800000000007</v>
      </c>
      <c r="E278" s="123">
        <f t="shared" si="106"/>
        <v>57</v>
      </c>
      <c r="F278" s="123">
        <f t="shared" si="106"/>
        <v>54</v>
      </c>
      <c r="G278" s="124">
        <f t="shared" si="98"/>
        <v>1.0555555555555556</v>
      </c>
      <c r="H278" s="125">
        <f t="shared" si="99"/>
        <v>129.96982456140353</v>
      </c>
      <c r="I278" s="126">
        <f t="shared" si="100"/>
        <v>123.12930747922439</v>
      </c>
      <c r="J278" s="121">
        <f t="shared" ref="J278:M278" si="107">SUM(J260:J277)</f>
        <v>778.93</v>
      </c>
      <c r="K278" s="123">
        <f t="shared" si="107"/>
        <v>299662</v>
      </c>
      <c r="L278" s="123">
        <f t="shared" si="107"/>
        <v>18</v>
      </c>
      <c r="M278" s="127">
        <f t="shared" si="107"/>
        <v>2675.69</v>
      </c>
      <c r="N278" s="128">
        <f t="shared" si="97"/>
        <v>0.29111369403779958</v>
      </c>
      <c r="O278" s="129">
        <f t="shared" si="101"/>
        <v>3.4350840255221908</v>
      </c>
      <c r="P278" s="128">
        <f t="shared" si="102"/>
        <v>0.10514316413526485</v>
      </c>
      <c r="Q278" s="130">
        <f t="shared" si="103"/>
        <v>0.36117560351390604</v>
      </c>
      <c r="R278" s="131">
        <f>SUM(R260:R277)</f>
        <v>4732.5899999999992</v>
      </c>
      <c r="S278" s="132">
        <f t="shared" si="104"/>
        <v>43.273888888888884</v>
      </c>
      <c r="T278" s="273">
        <f t="shared" ref="T278:U278" si="108">IFERROR((D278-D69)/D278,)</f>
        <v>-2.3357648469009975E-2</v>
      </c>
      <c r="U278" s="273">
        <f t="shared" si="108"/>
        <v>-0.64912280701754388</v>
      </c>
      <c r="V278" s="271" t="s">
        <v>139</v>
      </c>
      <c r="W278" s="271" t="s">
        <v>139</v>
      </c>
      <c r="X278" s="50"/>
      <c r="Y278" s="50"/>
      <c r="Z278" s="50"/>
    </row>
    <row r="279" spans="1:26" ht="12.75" hidden="1" outlineLevel="1" x14ac:dyDescent="0.2">
      <c r="A279" s="50"/>
      <c r="B279" s="69">
        <v>45809</v>
      </c>
      <c r="C279" s="70" t="s">
        <v>32</v>
      </c>
      <c r="D279" s="71">
        <v>4636.71</v>
      </c>
      <c r="E279" s="73">
        <v>14</v>
      </c>
      <c r="F279" s="73">
        <v>17</v>
      </c>
      <c r="G279" s="74">
        <f t="shared" si="98"/>
        <v>0.82352941176470584</v>
      </c>
      <c r="H279" s="75">
        <f t="shared" si="99"/>
        <v>331.19357142857143</v>
      </c>
      <c r="I279" s="76">
        <f t="shared" si="100"/>
        <v>402.16362244897959</v>
      </c>
      <c r="J279" s="77">
        <v>388.85</v>
      </c>
      <c r="K279" s="73">
        <v>109811</v>
      </c>
      <c r="L279" s="73">
        <v>3</v>
      </c>
      <c r="M279" s="78">
        <v>1407</v>
      </c>
      <c r="N279" s="79">
        <f t="shared" si="97"/>
        <v>0.27636815920398011</v>
      </c>
      <c r="O279" s="80">
        <f t="shared" si="101"/>
        <v>3.6183618361836181</v>
      </c>
      <c r="P279" s="79">
        <f t="shared" si="102"/>
        <v>8.386334275811945E-2</v>
      </c>
      <c r="Q279" s="81">
        <f t="shared" si="103"/>
        <v>0.30344791889076522</v>
      </c>
      <c r="R279" s="82">
        <f t="shared" ref="R279:R296" si="109">D279-M279</f>
        <v>3229.71</v>
      </c>
      <c r="S279" s="83">
        <f t="shared" si="104"/>
        <v>129.61666666666667</v>
      </c>
      <c r="T279" s="135"/>
      <c r="U279" s="135"/>
      <c r="V279" s="135"/>
      <c r="W279" s="135"/>
      <c r="X279" s="136"/>
      <c r="Y279" s="50"/>
      <c r="Z279" s="50"/>
    </row>
    <row r="280" spans="1:26" ht="12.75" hidden="1" outlineLevel="1" x14ac:dyDescent="0.2">
      <c r="A280" s="50"/>
      <c r="B280" s="137"/>
      <c r="C280" s="70" t="s">
        <v>33</v>
      </c>
      <c r="D280" s="87">
        <v>3950.14</v>
      </c>
      <c r="E280" s="73">
        <v>25</v>
      </c>
      <c r="F280" s="73">
        <v>27</v>
      </c>
      <c r="G280" s="74">
        <f t="shared" si="98"/>
        <v>0.92592592592592593</v>
      </c>
      <c r="H280" s="75">
        <f t="shared" si="99"/>
        <v>158.00559999999999</v>
      </c>
      <c r="I280" s="76">
        <f t="shared" si="100"/>
        <v>170.64604799999998</v>
      </c>
      <c r="J280" s="87">
        <v>219.82</v>
      </c>
      <c r="K280" s="73">
        <v>82468</v>
      </c>
      <c r="L280" s="73">
        <v>11</v>
      </c>
      <c r="M280" s="88">
        <v>1263.7</v>
      </c>
      <c r="N280" s="79">
        <f t="shared" si="97"/>
        <v>0.17394951333386088</v>
      </c>
      <c r="O280" s="80">
        <f t="shared" si="101"/>
        <v>5.7487944682012557</v>
      </c>
      <c r="P280" s="79">
        <f t="shared" si="102"/>
        <v>5.5648660553803159E-2</v>
      </c>
      <c r="Q280" s="81">
        <f t="shared" si="103"/>
        <v>0.31991271195451304</v>
      </c>
      <c r="R280" s="89">
        <f t="shared" si="109"/>
        <v>2686.4399999999996</v>
      </c>
      <c r="S280" s="83">
        <f t="shared" si="104"/>
        <v>19.983636363636364</v>
      </c>
      <c r="T280" s="135"/>
      <c r="U280" s="135"/>
      <c r="V280" s="135"/>
      <c r="W280" s="135"/>
      <c r="X280" s="136"/>
      <c r="Y280" s="50"/>
      <c r="Z280" s="50"/>
    </row>
    <row r="281" spans="1:26" ht="12.75" hidden="1" outlineLevel="1" x14ac:dyDescent="0.2">
      <c r="A281" s="50"/>
      <c r="B281" s="137"/>
      <c r="C281" s="70" t="s">
        <v>34</v>
      </c>
      <c r="D281" s="90">
        <v>69.95</v>
      </c>
      <c r="E281" s="73">
        <v>1</v>
      </c>
      <c r="F281" s="73">
        <v>1</v>
      </c>
      <c r="G281" s="74">
        <f t="shared" si="98"/>
        <v>1</v>
      </c>
      <c r="H281" s="75">
        <f t="shared" si="99"/>
        <v>69.95</v>
      </c>
      <c r="I281" s="76">
        <f t="shared" si="100"/>
        <v>69.95</v>
      </c>
      <c r="J281" s="90">
        <v>0</v>
      </c>
      <c r="K281" s="73">
        <v>0</v>
      </c>
      <c r="L281" s="73">
        <v>0</v>
      </c>
      <c r="M281" s="91">
        <v>0</v>
      </c>
      <c r="N281" s="79" t="e">
        <f>(J281/M281)</f>
        <v>#DIV/0!</v>
      </c>
      <c r="O281" s="80" t="e">
        <f t="shared" si="101"/>
        <v>#DIV/0!</v>
      </c>
      <c r="P281" s="79">
        <f t="shared" si="102"/>
        <v>0</v>
      </c>
      <c r="Q281" s="81">
        <f t="shared" si="103"/>
        <v>0</v>
      </c>
      <c r="R281" s="92">
        <f t="shared" si="109"/>
        <v>69.95</v>
      </c>
      <c r="S281" s="83" t="e">
        <f t="shared" si="104"/>
        <v>#DIV/0!</v>
      </c>
      <c r="T281" s="135"/>
      <c r="U281" s="135"/>
      <c r="V281" s="135"/>
      <c r="W281" s="135"/>
      <c r="X281" s="136"/>
      <c r="Y281" s="50"/>
      <c r="Z281" s="50"/>
    </row>
    <row r="282" spans="1:26" ht="12.75" hidden="1" outlineLevel="1" x14ac:dyDescent="0.2">
      <c r="A282" s="50"/>
      <c r="B282" s="137"/>
      <c r="C282" s="70" t="s">
        <v>35</v>
      </c>
      <c r="D282" s="90">
        <v>242.8</v>
      </c>
      <c r="E282" s="73">
        <v>4</v>
      </c>
      <c r="F282" s="73">
        <v>4</v>
      </c>
      <c r="G282" s="74">
        <f t="shared" si="98"/>
        <v>1</v>
      </c>
      <c r="H282" s="75">
        <f t="shared" si="99"/>
        <v>60.7</v>
      </c>
      <c r="I282" s="76">
        <f t="shared" si="100"/>
        <v>60.7</v>
      </c>
      <c r="J282" s="90">
        <v>56.6</v>
      </c>
      <c r="K282" s="73">
        <v>3246</v>
      </c>
      <c r="L282" s="73">
        <v>3</v>
      </c>
      <c r="M282" s="91">
        <v>179.85</v>
      </c>
      <c r="N282" s="79">
        <f t="shared" ref="N282:N299" si="110">J282/M282</f>
        <v>0.31470670002780099</v>
      </c>
      <c r="O282" s="80">
        <f t="shared" si="101"/>
        <v>3.1775618374558303</v>
      </c>
      <c r="P282" s="79">
        <f t="shared" si="102"/>
        <v>0.2331136738056013</v>
      </c>
      <c r="Q282" s="81">
        <f t="shared" si="103"/>
        <v>0.74073311367380557</v>
      </c>
      <c r="R282" s="92">
        <f t="shared" si="109"/>
        <v>62.950000000000017</v>
      </c>
      <c r="S282" s="83">
        <f t="shared" si="104"/>
        <v>18.866666666666667</v>
      </c>
      <c r="T282" s="135"/>
      <c r="U282" s="135"/>
      <c r="V282" s="135"/>
      <c r="W282" s="135"/>
      <c r="X282" s="136"/>
      <c r="Y282" s="50"/>
      <c r="Z282" s="50"/>
    </row>
    <row r="283" spans="1:26" ht="12.75" hidden="1" outlineLevel="1" x14ac:dyDescent="0.2">
      <c r="A283" s="50"/>
      <c r="B283" s="137"/>
      <c r="C283" s="70" t="s">
        <v>62</v>
      </c>
      <c r="D283" s="200">
        <v>0</v>
      </c>
      <c r="E283" s="73">
        <v>0</v>
      </c>
      <c r="F283" s="73">
        <v>0</v>
      </c>
      <c r="G283" s="74" t="e">
        <f t="shared" si="98"/>
        <v>#DIV/0!</v>
      </c>
      <c r="H283" s="75" t="e">
        <f t="shared" si="99"/>
        <v>#DIV/0!</v>
      </c>
      <c r="I283" s="76" t="e">
        <f t="shared" si="100"/>
        <v>#DIV/0!</v>
      </c>
      <c r="J283" s="200">
        <v>0</v>
      </c>
      <c r="K283" s="73">
        <v>0</v>
      </c>
      <c r="L283" s="73">
        <v>0</v>
      </c>
      <c r="M283" s="200">
        <v>0</v>
      </c>
      <c r="N283" s="79" t="e">
        <f t="shared" si="110"/>
        <v>#DIV/0!</v>
      </c>
      <c r="O283" s="80" t="e">
        <f t="shared" si="101"/>
        <v>#DIV/0!</v>
      </c>
      <c r="P283" s="79" t="e">
        <f t="shared" si="102"/>
        <v>#DIV/0!</v>
      </c>
      <c r="Q283" s="81" t="e">
        <f t="shared" si="103"/>
        <v>#DIV/0!</v>
      </c>
      <c r="R283" s="92">
        <f t="shared" si="109"/>
        <v>0</v>
      </c>
      <c r="S283" s="83" t="e">
        <f t="shared" si="104"/>
        <v>#DIV/0!</v>
      </c>
      <c r="T283" s="135"/>
      <c r="U283" s="135"/>
      <c r="V283" s="135"/>
      <c r="W283" s="135"/>
      <c r="X283" s="136"/>
      <c r="Y283" s="50"/>
      <c r="Z283" s="50"/>
    </row>
    <row r="284" spans="1:26" ht="12.75" hidden="1" outlineLevel="1" x14ac:dyDescent="0.2">
      <c r="A284" s="50"/>
      <c r="B284" s="137"/>
      <c r="C284" s="70" t="s">
        <v>66</v>
      </c>
      <c r="D284" s="201">
        <v>0</v>
      </c>
      <c r="E284" s="73">
        <v>0</v>
      </c>
      <c r="F284" s="73">
        <v>0</v>
      </c>
      <c r="G284" s="74" t="e">
        <f t="shared" si="98"/>
        <v>#DIV/0!</v>
      </c>
      <c r="H284" s="75" t="e">
        <f t="shared" si="99"/>
        <v>#DIV/0!</v>
      </c>
      <c r="I284" s="76" t="e">
        <f t="shared" si="100"/>
        <v>#DIV/0!</v>
      </c>
      <c r="J284" s="201">
        <v>0</v>
      </c>
      <c r="K284" s="73">
        <v>0</v>
      </c>
      <c r="L284" s="73">
        <v>0</v>
      </c>
      <c r="M284" s="202">
        <v>0</v>
      </c>
      <c r="N284" s="79" t="e">
        <f t="shared" si="110"/>
        <v>#DIV/0!</v>
      </c>
      <c r="O284" s="80" t="e">
        <f t="shared" si="101"/>
        <v>#DIV/0!</v>
      </c>
      <c r="P284" s="79" t="e">
        <f t="shared" si="102"/>
        <v>#DIV/0!</v>
      </c>
      <c r="Q284" s="81" t="e">
        <f t="shared" si="103"/>
        <v>#DIV/0!</v>
      </c>
      <c r="R284" s="203">
        <f t="shared" si="109"/>
        <v>0</v>
      </c>
      <c r="S284" s="83" t="e">
        <f t="shared" si="104"/>
        <v>#DIV/0!</v>
      </c>
      <c r="T284" s="135"/>
      <c r="U284" s="135"/>
      <c r="V284" s="135"/>
      <c r="W284" s="135"/>
      <c r="X284" s="136"/>
      <c r="Y284" s="50"/>
      <c r="Z284" s="50"/>
    </row>
    <row r="285" spans="1:26" ht="12.75" hidden="1" outlineLevel="1" x14ac:dyDescent="0.2">
      <c r="A285" s="50"/>
      <c r="B285" s="137"/>
      <c r="C285" s="70" t="s">
        <v>36</v>
      </c>
      <c r="D285" s="90">
        <v>0</v>
      </c>
      <c r="E285" s="73">
        <v>0</v>
      </c>
      <c r="F285" s="73">
        <v>0</v>
      </c>
      <c r="G285" s="74" t="e">
        <f t="shared" si="98"/>
        <v>#DIV/0!</v>
      </c>
      <c r="H285" s="75" t="e">
        <f t="shared" si="99"/>
        <v>#DIV/0!</v>
      </c>
      <c r="I285" s="76" t="e">
        <f t="shared" si="100"/>
        <v>#DIV/0!</v>
      </c>
      <c r="J285" s="90">
        <v>8.31</v>
      </c>
      <c r="K285" s="73">
        <v>1217</v>
      </c>
      <c r="L285" s="73">
        <v>0</v>
      </c>
      <c r="M285" s="91">
        <v>0</v>
      </c>
      <c r="N285" s="79" t="e">
        <f t="shared" si="110"/>
        <v>#DIV/0!</v>
      </c>
      <c r="O285" s="80">
        <f t="shared" si="101"/>
        <v>0</v>
      </c>
      <c r="P285" s="79" t="e">
        <f t="shared" si="102"/>
        <v>#DIV/0!</v>
      </c>
      <c r="Q285" s="81" t="e">
        <f t="shared" si="103"/>
        <v>#DIV/0!</v>
      </c>
      <c r="R285" s="92">
        <f t="shared" si="109"/>
        <v>0</v>
      </c>
      <c r="S285" s="83" t="e">
        <f t="shared" si="104"/>
        <v>#DIV/0!</v>
      </c>
      <c r="T285" s="135"/>
      <c r="U285" s="135"/>
      <c r="V285" s="135"/>
      <c r="W285" s="135"/>
      <c r="X285" s="136"/>
      <c r="Y285" s="50"/>
      <c r="Z285" s="50"/>
    </row>
    <row r="286" spans="1:26" ht="12.75" hidden="1" outlineLevel="1" x14ac:dyDescent="0.2">
      <c r="A286" s="50"/>
      <c r="B286" s="69" t="s">
        <v>37</v>
      </c>
      <c r="C286" s="70" t="s">
        <v>38</v>
      </c>
      <c r="D286" s="93">
        <v>89.85</v>
      </c>
      <c r="E286" s="73">
        <v>3</v>
      </c>
      <c r="F286" s="73">
        <v>3</v>
      </c>
      <c r="G286" s="74">
        <f t="shared" si="98"/>
        <v>1</v>
      </c>
      <c r="H286" s="75">
        <f t="shared" si="99"/>
        <v>29.95</v>
      </c>
      <c r="I286" s="76">
        <f t="shared" si="100"/>
        <v>29.95</v>
      </c>
      <c r="J286" s="93">
        <v>53.65</v>
      </c>
      <c r="K286" s="73">
        <v>15664</v>
      </c>
      <c r="L286" s="73">
        <v>2</v>
      </c>
      <c r="M286" s="94">
        <v>59.9</v>
      </c>
      <c r="N286" s="79">
        <f t="shared" si="110"/>
        <v>0.89565943238731216</v>
      </c>
      <c r="O286" s="80">
        <f t="shared" si="101"/>
        <v>1.1164958061509787</v>
      </c>
      <c r="P286" s="79">
        <f t="shared" si="102"/>
        <v>0.59710628825820811</v>
      </c>
      <c r="Q286" s="81">
        <f t="shared" si="103"/>
        <v>0.66666666666666674</v>
      </c>
      <c r="R286" s="95">
        <f t="shared" si="109"/>
        <v>29.949999999999996</v>
      </c>
      <c r="S286" s="83">
        <f t="shared" si="104"/>
        <v>26.824999999999999</v>
      </c>
      <c r="T286" s="135"/>
      <c r="U286" s="135"/>
      <c r="V286" s="135"/>
      <c r="W286" s="135"/>
      <c r="X286" s="136"/>
      <c r="Y286" s="50"/>
      <c r="Z286" s="50"/>
    </row>
    <row r="287" spans="1:26" ht="12.75" hidden="1" outlineLevel="1" x14ac:dyDescent="0.2">
      <c r="A287" s="50"/>
      <c r="B287" s="137"/>
      <c r="C287" s="70" t="s">
        <v>39</v>
      </c>
      <c r="D287" s="96">
        <v>0</v>
      </c>
      <c r="E287" s="73">
        <v>0</v>
      </c>
      <c r="F287" s="73">
        <v>0</v>
      </c>
      <c r="G287" s="74" t="e">
        <f t="shared" si="98"/>
        <v>#DIV/0!</v>
      </c>
      <c r="H287" s="75" t="e">
        <f t="shared" si="99"/>
        <v>#DIV/0!</v>
      </c>
      <c r="I287" s="76" t="e">
        <f t="shared" si="100"/>
        <v>#DIV/0!</v>
      </c>
      <c r="J287" s="96">
        <v>0</v>
      </c>
      <c r="K287" s="73">
        <v>0</v>
      </c>
      <c r="L287" s="73">
        <v>0</v>
      </c>
      <c r="M287" s="97">
        <v>0</v>
      </c>
      <c r="N287" s="79" t="e">
        <f t="shared" si="110"/>
        <v>#DIV/0!</v>
      </c>
      <c r="O287" s="80" t="e">
        <f t="shared" si="101"/>
        <v>#DIV/0!</v>
      </c>
      <c r="P287" s="79" t="e">
        <f t="shared" si="102"/>
        <v>#DIV/0!</v>
      </c>
      <c r="Q287" s="81" t="e">
        <f t="shared" si="103"/>
        <v>#DIV/0!</v>
      </c>
      <c r="R287" s="98">
        <f t="shared" si="109"/>
        <v>0</v>
      </c>
      <c r="S287" s="83" t="e">
        <f t="shared" si="104"/>
        <v>#DIV/0!</v>
      </c>
      <c r="T287" s="135"/>
      <c r="U287" s="135"/>
      <c r="V287" s="135"/>
      <c r="W287" s="135"/>
      <c r="X287" s="136"/>
      <c r="Y287" s="50"/>
      <c r="Z287" s="50"/>
    </row>
    <row r="288" spans="1:26" ht="12.75" hidden="1" outlineLevel="1" x14ac:dyDescent="0.2">
      <c r="A288" s="50"/>
      <c r="B288" s="137"/>
      <c r="C288" s="70" t="s">
        <v>40</v>
      </c>
      <c r="D288" s="99">
        <v>0</v>
      </c>
      <c r="E288" s="73">
        <v>0</v>
      </c>
      <c r="F288" s="73">
        <v>0</v>
      </c>
      <c r="G288" s="74" t="e">
        <f t="shared" si="98"/>
        <v>#DIV/0!</v>
      </c>
      <c r="H288" s="75" t="e">
        <f t="shared" si="99"/>
        <v>#DIV/0!</v>
      </c>
      <c r="I288" s="76" t="e">
        <f t="shared" si="100"/>
        <v>#DIV/0!</v>
      </c>
      <c r="J288" s="99">
        <v>0</v>
      </c>
      <c r="K288" s="73">
        <v>0</v>
      </c>
      <c r="L288" s="73">
        <v>0</v>
      </c>
      <c r="M288" s="100">
        <v>0</v>
      </c>
      <c r="N288" s="79" t="e">
        <f t="shared" si="110"/>
        <v>#DIV/0!</v>
      </c>
      <c r="O288" s="80" t="e">
        <f t="shared" si="101"/>
        <v>#DIV/0!</v>
      </c>
      <c r="P288" s="79" t="e">
        <f t="shared" si="102"/>
        <v>#DIV/0!</v>
      </c>
      <c r="Q288" s="81" t="e">
        <f t="shared" si="103"/>
        <v>#DIV/0!</v>
      </c>
      <c r="R288" s="101">
        <f t="shared" si="109"/>
        <v>0</v>
      </c>
      <c r="S288" s="83" t="e">
        <f t="shared" si="104"/>
        <v>#DIV/0!</v>
      </c>
      <c r="T288" s="135"/>
      <c r="U288" s="135"/>
      <c r="V288" s="135"/>
      <c r="W288" s="135"/>
      <c r="X288" s="136"/>
      <c r="Y288" s="50"/>
      <c r="Z288" s="50"/>
    </row>
    <row r="289" spans="1:26" ht="12.75" hidden="1" outlineLevel="1" x14ac:dyDescent="0.2">
      <c r="A289" s="50"/>
      <c r="B289" s="137"/>
      <c r="C289" s="70" t="s">
        <v>41</v>
      </c>
      <c r="D289" s="102">
        <v>109.98</v>
      </c>
      <c r="E289" s="73">
        <v>2</v>
      </c>
      <c r="F289" s="73">
        <v>2</v>
      </c>
      <c r="G289" s="74">
        <f t="shared" si="98"/>
        <v>1</v>
      </c>
      <c r="H289" s="75">
        <f t="shared" si="99"/>
        <v>54.99</v>
      </c>
      <c r="I289" s="76">
        <f t="shared" si="100"/>
        <v>54.99</v>
      </c>
      <c r="J289" s="102">
        <v>55.42</v>
      </c>
      <c r="K289" s="73">
        <v>6823</v>
      </c>
      <c r="L289" s="73">
        <v>0</v>
      </c>
      <c r="M289" s="103">
        <v>0</v>
      </c>
      <c r="N289" s="79" t="e">
        <f t="shared" si="110"/>
        <v>#DIV/0!</v>
      </c>
      <c r="O289" s="80">
        <f t="shared" si="101"/>
        <v>0</v>
      </c>
      <c r="P289" s="79">
        <f t="shared" si="102"/>
        <v>0.50390980178214217</v>
      </c>
      <c r="Q289" s="81">
        <f t="shared" si="103"/>
        <v>0</v>
      </c>
      <c r="R289" s="104">
        <f t="shared" si="109"/>
        <v>109.98</v>
      </c>
      <c r="S289" s="83" t="e">
        <f t="shared" si="104"/>
        <v>#DIV/0!</v>
      </c>
      <c r="T289" s="135"/>
      <c r="U289" s="135"/>
      <c r="V289" s="135"/>
      <c r="W289" s="135"/>
      <c r="X289" s="136"/>
      <c r="Y289" s="50"/>
      <c r="Z289" s="50"/>
    </row>
    <row r="290" spans="1:26" ht="12.75" hidden="1" outlineLevel="1" x14ac:dyDescent="0.2">
      <c r="A290" s="50"/>
      <c r="B290" s="137"/>
      <c r="C290" s="70" t="s">
        <v>42</v>
      </c>
      <c r="D290" s="90">
        <v>39.979999999999997</v>
      </c>
      <c r="E290" s="73">
        <v>2</v>
      </c>
      <c r="F290" s="73">
        <v>1</v>
      </c>
      <c r="G290" s="74">
        <f t="shared" si="98"/>
        <v>2</v>
      </c>
      <c r="H290" s="75">
        <f t="shared" si="99"/>
        <v>19.989999999999998</v>
      </c>
      <c r="I290" s="76">
        <f t="shared" si="100"/>
        <v>9.9949999999999992</v>
      </c>
      <c r="J290" s="90">
        <v>3</v>
      </c>
      <c r="K290" s="73">
        <v>12079</v>
      </c>
      <c r="L290" s="73">
        <v>0</v>
      </c>
      <c r="M290" s="91">
        <v>0</v>
      </c>
      <c r="N290" s="79" t="e">
        <f t="shared" si="110"/>
        <v>#DIV/0!</v>
      </c>
      <c r="O290" s="80">
        <f t="shared" si="101"/>
        <v>0</v>
      </c>
      <c r="P290" s="79">
        <f t="shared" si="102"/>
        <v>7.5037518759379696E-2</v>
      </c>
      <c r="Q290" s="81">
        <f t="shared" si="103"/>
        <v>0</v>
      </c>
      <c r="R290" s="92">
        <f t="shared" si="109"/>
        <v>39.979999999999997</v>
      </c>
      <c r="S290" s="83" t="e">
        <f t="shared" si="104"/>
        <v>#DIV/0!</v>
      </c>
      <c r="T290" s="135"/>
      <c r="U290" s="135"/>
      <c r="V290" s="135"/>
      <c r="W290" s="135"/>
      <c r="X290" s="136"/>
      <c r="Y290" s="50"/>
      <c r="Z290" s="50"/>
    </row>
    <row r="291" spans="1:26" ht="12.75" hidden="1" outlineLevel="1" x14ac:dyDescent="0.2">
      <c r="A291" s="50"/>
      <c r="B291" s="137"/>
      <c r="C291" s="70" t="s">
        <v>43</v>
      </c>
      <c r="D291" s="105">
        <v>205.95</v>
      </c>
      <c r="E291" s="73">
        <v>1</v>
      </c>
      <c r="F291" s="73">
        <v>1</v>
      </c>
      <c r="G291" s="74">
        <f t="shared" si="98"/>
        <v>1</v>
      </c>
      <c r="H291" s="75">
        <f t="shared" si="99"/>
        <v>205.95</v>
      </c>
      <c r="I291" s="76">
        <f t="shared" si="100"/>
        <v>205.95</v>
      </c>
      <c r="J291" s="105">
        <v>15.29</v>
      </c>
      <c r="K291" s="73">
        <v>24325</v>
      </c>
      <c r="L291" s="73">
        <v>1</v>
      </c>
      <c r="M291" s="106">
        <v>205.95</v>
      </c>
      <c r="N291" s="79">
        <f t="shared" si="110"/>
        <v>7.424132070890993E-2</v>
      </c>
      <c r="O291" s="80">
        <f t="shared" si="101"/>
        <v>13.469587965990844</v>
      </c>
      <c r="P291" s="79">
        <f t="shared" si="102"/>
        <v>7.424132070890993E-2</v>
      </c>
      <c r="Q291" s="81">
        <f t="shared" si="103"/>
        <v>1</v>
      </c>
      <c r="R291" s="107">
        <f t="shared" si="109"/>
        <v>0</v>
      </c>
      <c r="S291" s="83">
        <f t="shared" si="104"/>
        <v>15.29</v>
      </c>
      <c r="T291" s="135"/>
      <c r="U291" s="135"/>
      <c r="V291" s="135"/>
      <c r="W291" s="135"/>
      <c r="X291" s="136"/>
      <c r="Y291" s="50"/>
      <c r="Z291" s="50"/>
    </row>
    <row r="292" spans="1:26" ht="12.75" hidden="1" outlineLevel="1" x14ac:dyDescent="0.2">
      <c r="A292" s="50"/>
      <c r="B292" s="137"/>
      <c r="C292" s="70" t="s">
        <v>44</v>
      </c>
      <c r="D292" s="108">
        <v>44.95</v>
      </c>
      <c r="E292" s="73">
        <v>1</v>
      </c>
      <c r="F292" s="73">
        <v>2</v>
      </c>
      <c r="G292" s="74">
        <f t="shared" si="98"/>
        <v>0.5</v>
      </c>
      <c r="H292" s="75">
        <f t="shared" si="99"/>
        <v>44.95</v>
      </c>
      <c r="I292" s="76">
        <f t="shared" si="100"/>
        <v>89.9</v>
      </c>
      <c r="J292" s="108">
        <v>18.23</v>
      </c>
      <c r="K292" s="73">
        <v>10368</v>
      </c>
      <c r="L292" s="73">
        <v>2</v>
      </c>
      <c r="M292" s="109">
        <v>89.9</v>
      </c>
      <c r="N292" s="79">
        <f t="shared" si="110"/>
        <v>0.20278086763070077</v>
      </c>
      <c r="O292" s="80">
        <f t="shared" si="101"/>
        <v>4.931431705979155</v>
      </c>
      <c r="P292" s="79">
        <f t="shared" si="102"/>
        <v>0.40556173526140155</v>
      </c>
      <c r="Q292" s="81">
        <f t="shared" si="103"/>
        <v>2</v>
      </c>
      <c r="R292" s="110">
        <f t="shared" si="109"/>
        <v>-44.95</v>
      </c>
      <c r="S292" s="83">
        <f t="shared" si="104"/>
        <v>9.1150000000000002</v>
      </c>
      <c r="T292" s="135"/>
      <c r="U292" s="135"/>
      <c r="V292" s="135"/>
      <c r="W292" s="135"/>
      <c r="X292" s="136"/>
      <c r="Y292" s="50"/>
      <c r="Z292" s="50"/>
    </row>
    <row r="293" spans="1:26" ht="12.75" hidden="1" outlineLevel="1" x14ac:dyDescent="0.2">
      <c r="A293" s="139"/>
      <c r="B293" s="137"/>
      <c r="C293" s="112" t="s">
        <v>45</v>
      </c>
      <c r="D293" s="71">
        <v>69.8</v>
      </c>
      <c r="E293" s="73">
        <v>4</v>
      </c>
      <c r="F293" s="73">
        <v>2</v>
      </c>
      <c r="G293" s="74">
        <f t="shared" si="98"/>
        <v>2</v>
      </c>
      <c r="H293" s="75">
        <f t="shared" si="99"/>
        <v>17.45</v>
      </c>
      <c r="I293" s="76">
        <f t="shared" si="100"/>
        <v>8.7249999999999996</v>
      </c>
      <c r="J293" s="71">
        <v>0</v>
      </c>
      <c r="K293" s="73">
        <v>0</v>
      </c>
      <c r="L293" s="73">
        <v>0</v>
      </c>
      <c r="M293" s="78">
        <v>0</v>
      </c>
      <c r="N293" s="79" t="e">
        <f t="shared" si="110"/>
        <v>#DIV/0!</v>
      </c>
      <c r="O293" s="80" t="e">
        <f t="shared" si="101"/>
        <v>#DIV/0!</v>
      </c>
      <c r="P293" s="79">
        <f t="shared" si="102"/>
        <v>0</v>
      </c>
      <c r="Q293" s="81">
        <f t="shared" si="103"/>
        <v>0</v>
      </c>
      <c r="R293" s="82">
        <f t="shared" si="109"/>
        <v>69.8</v>
      </c>
      <c r="S293" s="83" t="e">
        <f t="shared" si="104"/>
        <v>#DIV/0!</v>
      </c>
      <c r="T293" s="140"/>
      <c r="U293" s="140"/>
      <c r="V293" s="140"/>
      <c r="W293" s="141"/>
      <c r="X293" s="142"/>
      <c r="Y293" s="50"/>
      <c r="Z293" s="50"/>
    </row>
    <row r="294" spans="1:26" ht="12.75" hidden="1" outlineLevel="1" x14ac:dyDescent="0.2">
      <c r="A294" s="50"/>
      <c r="B294" s="137"/>
      <c r="C294" s="70" t="s">
        <v>46</v>
      </c>
      <c r="D294" s="116">
        <v>310.16000000000003</v>
      </c>
      <c r="E294" s="73">
        <v>7</v>
      </c>
      <c r="F294" s="73">
        <v>8</v>
      </c>
      <c r="G294" s="74">
        <f t="shared" si="98"/>
        <v>0.875</v>
      </c>
      <c r="H294" s="75">
        <f t="shared" si="99"/>
        <v>44.308571428571433</v>
      </c>
      <c r="I294" s="76">
        <f t="shared" si="100"/>
        <v>50.638367346938779</v>
      </c>
      <c r="J294" s="116">
        <v>66.59</v>
      </c>
      <c r="K294" s="73">
        <v>26183</v>
      </c>
      <c r="L294" s="73">
        <v>3</v>
      </c>
      <c r="M294" s="117">
        <v>134.85</v>
      </c>
      <c r="N294" s="79">
        <f t="shared" si="110"/>
        <v>0.49380793474230633</v>
      </c>
      <c r="O294" s="80">
        <f t="shared" si="101"/>
        <v>2.0250788406667666</v>
      </c>
      <c r="P294" s="79">
        <f t="shared" si="102"/>
        <v>0.21469564095950477</v>
      </c>
      <c r="Q294" s="81">
        <f t="shared" si="103"/>
        <v>0.4347755996904823</v>
      </c>
      <c r="R294" s="82">
        <f t="shared" si="109"/>
        <v>175.31000000000003</v>
      </c>
      <c r="S294" s="83">
        <f t="shared" si="104"/>
        <v>22.196666666666669</v>
      </c>
      <c r="T294" s="135"/>
      <c r="U294" s="135"/>
      <c r="V294" s="135"/>
      <c r="W294" s="135"/>
      <c r="X294" s="136"/>
      <c r="Y294" s="50"/>
      <c r="Z294" s="50"/>
    </row>
    <row r="295" spans="1:26" ht="12.75" hidden="1" outlineLevel="1" x14ac:dyDescent="0.2">
      <c r="A295" s="50"/>
      <c r="B295" s="137"/>
      <c r="C295" s="70" t="s">
        <v>49</v>
      </c>
      <c r="D295" s="116">
        <v>0</v>
      </c>
      <c r="E295" s="73">
        <v>0</v>
      </c>
      <c r="F295" s="73">
        <v>0</v>
      </c>
      <c r="G295" s="74" t="e">
        <f t="shared" si="98"/>
        <v>#DIV/0!</v>
      </c>
      <c r="H295" s="75" t="e">
        <f t="shared" si="99"/>
        <v>#DIV/0!</v>
      </c>
      <c r="I295" s="76" t="e">
        <f t="shared" si="100"/>
        <v>#DIV/0!</v>
      </c>
      <c r="J295" s="116">
        <v>3.79</v>
      </c>
      <c r="K295" s="73">
        <v>6277</v>
      </c>
      <c r="L295" s="73">
        <v>0</v>
      </c>
      <c r="M295" s="117">
        <v>0</v>
      </c>
      <c r="N295" s="79" t="e">
        <f t="shared" si="110"/>
        <v>#DIV/0!</v>
      </c>
      <c r="O295" s="80">
        <f t="shared" si="101"/>
        <v>0</v>
      </c>
      <c r="P295" s="79" t="e">
        <f t="shared" si="102"/>
        <v>#DIV/0!</v>
      </c>
      <c r="Q295" s="81" t="e">
        <f t="shared" si="103"/>
        <v>#DIV/0!</v>
      </c>
      <c r="R295" s="82">
        <f t="shared" si="109"/>
        <v>0</v>
      </c>
      <c r="S295" s="83" t="e">
        <f t="shared" si="104"/>
        <v>#DIV/0!</v>
      </c>
      <c r="T295" s="135"/>
      <c r="U295" s="135"/>
      <c r="V295" s="135"/>
      <c r="W295" s="135"/>
      <c r="X295" s="136"/>
      <c r="Y295" s="50"/>
      <c r="Z295" s="50"/>
    </row>
    <row r="296" spans="1:26" hidden="1" outlineLevel="1" x14ac:dyDescent="0.25">
      <c r="A296" s="118" t="str">
        <f t="shared" ref="A296:A297" si="111">IFERROR(IF(B296&gt;0,MONTH(B296)&amp;"-"&amp;YEAR(B296),B296),)</f>
        <v>6-2025</v>
      </c>
      <c r="B296" s="69">
        <v>45815</v>
      </c>
      <c r="C296" s="198" t="s">
        <v>64</v>
      </c>
      <c r="D296" s="116">
        <v>0</v>
      </c>
      <c r="E296" s="73">
        <v>0</v>
      </c>
      <c r="F296" s="73">
        <v>0</v>
      </c>
      <c r="G296" s="74" t="e">
        <f t="shared" si="98"/>
        <v>#DIV/0!</v>
      </c>
      <c r="H296" s="75" t="e">
        <f t="shared" si="99"/>
        <v>#DIV/0!</v>
      </c>
      <c r="I296" s="76" t="e">
        <f t="shared" si="100"/>
        <v>#DIV/0!</v>
      </c>
      <c r="J296" s="87">
        <v>326.91999999999996</v>
      </c>
      <c r="K296" s="199">
        <v>65846</v>
      </c>
      <c r="L296" s="73">
        <v>0</v>
      </c>
      <c r="M296" s="88">
        <v>419.88</v>
      </c>
      <c r="N296" s="79">
        <f t="shared" si="110"/>
        <v>0.77860341049823756</v>
      </c>
      <c r="O296" s="80">
        <f t="shared" si="101"/>
        <v>1.2843509115379912</v>
      </c>
      <c r="P296" s="79" t="e">
        <f t="shared" si="102"/>
        <v>#DIV/0!</v>
      </c>
      <c r="Q296" s="81" t="e">
        <f t="shared" si="103"/>
        <v>#DIV/0!</v>
      </c>
      <c r="R296" s="82">
        <f t="shared" si="109"/>
        <v>-419.88</v>
      </c>
      <c r="S296" s="83" t="e">
        <f t="shared" si="104"/>
        <v>#DIV/0!</v>
      </c>
      <c r="T296" s="135"/>
      <c r="U296" s="135"/>
      <c r="V296" s="135"/>
      <c r="W296" s="135"/>
      <c r="X296" s="136"/>
      <c r="Y296" s="50"/>
      <c r="Z296" s="50"/>
    </row>
    <row r="297" spans="1:26" ht="12.75" collapsed="1" x14ac:dyDescent="0.2">
      <c r="A297" s="50">
        <f t="shared" si="111"/>
        <v>0</v>
      </c>
      <c r="B297" s="52" t="s">
        <v>81</v>
      </c>
      <c r="C297" s="145"/>
      <c r="D297" s="121">
        <f t="shared" ref="D297:F297" si="112">SUM(D279:D296)</f>
        <v>9770.27</v>
      </c>
      <c r="E297" s="123">
        <f t="shared" si="112"/>
        <v>64</v>
      </c>
      <c r="F297" s="123">
        <f t="shared" si="112"/>
        <v>68</v>
      </c>
      <c r="G297" s="124">
        <f t="shared" si="98"/>
        <v>0.94117647058823528</v>
      </c>
      <c r="H297" s="125">
        <f t="shared" si="99"/>
        <v>152.66046875000001</v>
      </c>
      <c r="I297" s="126">
        <f t="shared" si="100"/>
        <v>162.201748046875</v>
      </c>
      <c r="J297" s="121">
        <f t="shared" ref="J297:M297" si="113">SUM(J279:J296)</f>
        <v>1216.4699999999998</v>
      </c>
      <c r="K297" s="123">
        <f t="shared" si="113"/>
        <v>364307</v>
      </c>
      <c r="L297" s="123">
        <f t="shared" si="113"/>
        <v>25</v>
      </c>
      <c r="M297" s="127">
        <f t="shared" si="113"/>
        <v>3761.0299999999997</v>
      </c>
      <c r="N297" s="128">
        <f t="shared" si="110"/>
        <v>0.32344065322531323</v>
      </c>
      <c r="O297" s="129">
        <f t="shared" si="101"/>
        <v>3.0917572977549796</v>
      </c>
      <c r="P297" s="128">
        <f t="shared" si="102"/>
        <v>0.1245073063487498</v>
      </c>
      <c r="Q297" s="130">
        <f t="shared" si="103"/>
        <v>0.38494637302756213</v>
      </c>
      <c r="R297" s="131">
        <f>SUM(R279:R296)</f>
        <v>6009.2399999999989</v>
      </c>
      <c r="S297" s="132">
        <f t="shared" si="104"/>
        <v>48.658799999999992</v>
      </c>
      <c r="T297" s="133">
        <f t="shared" ref="T297:U297" si="114">IFERROR((D297-D69)/D297,)</f>
        <v>0.22404191491125655</v>
      </c>
      <c r="U297" s="273">
        <f t="shared" si="114"/>
        <v>-0.46875</v>
      </c>
      <c r="V297" s="271" t="s">
        <v>139</v>
      </c>
      <c r="W297" s="271" t="s">
        <v>139</v>
      </c>
      <c r="X297" s="50"/>
      <c r="Y297" s="50"/>
      <c r="Z297" s="50"/>
    </row>
    <row r="298" spans="1:26" ht="12.75" hidden="1" outlineLevel="1" x14ac:dyDescent="0.2">
      <c r="A298" s="50"/>
      <c r="B298" s="69">
        <v>45816</v>
      </c>
      <c r="C298" s="70" t="s">
        <v>32</v>
      </c>
      <c r="D298" s="71">
        <v>-1273.1500000000001</v>
      </c>
      <c r="E298" s="73">
        <v>1</v>
      </c>
      <c r="F298" s="73">
        <v>5</v>
      </c>
      <c r="G298" s="74">
        <f t="shared" si="98"/>
        <v>0.2</v>
      </c>
      <c r="H298" s="75">
        <f t="shared" si="99"/>
        <v>-1273.1500000000001</v>
      </c>
      <c r="I298" s="76">
        <f t="shared" si="100"/>
        <v>-6365.75</v>
      </c>
      <c r="J298" s="77">
        <v>325.77999999999997</v>
      </c>
      <c r="K298" s="73">
        <v>92597</v>
      </c>
      <c r="L298" s="73">
        <v>2</v>
      </c>
      <c r="M298" s="78">
        <v>628.95000000000005</v>
      </c>
      <c r="N298" s="79">
        <f t="shared" si="110"/>
        <v>0.51797440178074561</v>
      </c>
      <c r="O298" s="80">
        <f t="shared" si="101"/>
        <v>1.9305973356252688</v>
      </c>
      <c r="P298" s="79">
        <f t="shared" si="102"/>
        <v>-0.25588500962180416</v>
      </c>
      <c r="Q298" s="81">
        <f t="shared" si="103"/>
        <v>-0.49401091780230139</v>
      </c>
      <c r="R298" s="82">
        <f t="shared" ref="R298:R315" si="115">D298-M298</f>
        <v>-1902.1000000000001</v>
      </c>
      <c r="S298" s="83">
        <f t="shared" si="104"/>
        <v>162.88999999999999</v>
      </c>
      <c r="T298" s="135"/>
      <c r="U298" s="135"/>
      <c r="V298" s="135"/>
      <c r="W298" s="135"/>
      <c r="X298" s="136"/>
      <c r="Y298" s="50"/>
      <c r="Z298" s="50"/>
    </row>
    <row r="299" spans="1:26" ht="12.75" hidden="1" outlineLevel="1" x14ac:dyDescent="0.2">
      <c r="A299" s="50"/>
      <c r="B299" s="137"/>
      <c r="C299" s="70" t="s">
        <v>33</v>
      </c>
      <c r="D299" s="87">
        <v>4078.34</v>
      </c>
      <c r="E299" s="73">
        <v>36</v>
      </c>
      <c r="F299" s="73">
        <v>40</v>
      </c>
      <c r="G299" s="74">
        <f t="shared" si="98"/>
        <v>0.9</v>
      </c>
      <c r="H299" s="75">
        <f t="shared" si="99"/>
        <v>113.28722222222223</v>
      </c>
      <c r="I299" s="76">
        <f t="shared" si="100"/>
        <v>125.87469135802469</v>
      </c>
      <c r="J299" s="87">
        <v>245.4</v>
      </c>
      <c r="K299" s="73">
        <v>91425</v>
      </c>
      <c r="L299" s="73">
        <v>17</v>
      </c>
      <c r="M299" s="88">
        <v>1016.4</v>
      </c>
      <c r="N299" s="79">
        <f t="shared" si="110"/>
        <v>0.24144037780401417</v>
      </c>
      <c r="O299" s="80">
        <f t="shared" si="101"/>
        <v>4.1418092909535451</v>
      </c>
      <c r="P299" s="79">
        <f t="shared" si="102"/>
        <v>6.0171540381625858E-2</v>
      </c>
      <c r="Q299" s="81">
        <f t="shared" si="103"/>
        <v>0.24921904500360439</v>
      </c>
      <c r="R299" s="89">
        <f t="shared" si="115"/>
        <v>3061.94</v>
      </c>
      <c r="S299" s="83">
        <f t="shared" si="104"/>
        <v>14.435294117647059</v>
      </c>
      <c r="T299" s="135"/>
      <c r="U299" s="135"/>
      <c r="V299" s="135"/>
      <c r="W299" s="135"/>
      <c r="X299" s="136"/>
      <c r="Y299" s="50"/>
      <c r="Z299" s="50"/>
    </row>
    <row r="300" spans="1:26" ht="12.75" hidden="1" outlineLevel="1" x14ac:dyDescent="0.2">
      <c r="A300" s="50"/>
      <c r="B300" s="137"/>
      <c r="C300" s="70" t="s">
        <v>34</v>
      </c>
      <c r="D300" s="90">
        <v>0</v>
      </c>
      <c r="E300" s="73">
        <v>0</v>
      </c>
      <c r="F300" s="73">
        <v>0</v>
      </c>
      <c r="G300" s="74" t="e">
        <f t="shared" si="98"/>
        <v>#DIV/0!</v>
      </c>
      <c r="H300" s="75" t="e">
        <f t="shared" si="99"/>
        <v>#DIV/0!</v>
      </c>
      <c r="I300" s="76" t="e">
        <f t="shared" si="100"/>
        <v>#DIV/0!</v>
      </c>
      <c r="J300" s="90">
        <v>0</v>
      </c>
      <c r="K300" s="73">
        <v>1</v>
      </c>
      <c r="L300" s="73">
        <v>0</v>
      </c>
      <c r="M300" s="91">
        <v>0</v>
      </c>
      <c r="N300" s="79" t="e">
        <f>(J300/M300)</f>
        <v>#DIV/0!</v>
      </c>
      <c r="O300" s="80" t="e">
        <f t="shared" si="101"/>
        <v>#DIV/0!</v>
      </c>
      <c r="P300" s="79" t="e">
        <f t="shared" si="102"/>
        <v>#DIV/0!</v>
      </c>
      <c r="Q300" s="81" t="e">
        <f t="shared" si="103"/>
        <v>#DIV/0!</v>
      </c>
      <c r="R300" s="92">
        <f t="shared" si="115"/>
        <v>0</v>
      </c>
      <c r="S300" s="83" t="e">
        <f t="shared" si="104"/>
        <v>#DIV/0!</v>
      </c>
      <c r="T300" s="135"/>
      <c r="U300" s="135"/>
      <c r="V300" s="135"/>
      <c r="W300" s="135"/>
      <c r="X300" s="136"/>
      <c r="Y300" s="50"/>
      <c r="Z300" s="50"/>
    </row>
    <row r="301" spans="1:26" ht="12.75" hidden="1" outlineLevel="1" x14ac:dyDescent="0.2">
      <c r="A301" s="50"/>
      <c r="B301" s="137"/>
      <c r="C301" s="70" t="s">
        <v>35</v>
      </c>
      <c r="D301" s="90">
        <v>905.25</v>
      </c>
      <c r="E301" s="73">
        <v>15</v>
      </c>
      <c r="F301" s="73">
        <v>13</v>
      </c>
      <c r="G301" s="74">
        <f t="shared" si="98"/>
        <v>1.1538461538461537</v>
      </c>
      <c r="H301" s="75">
        <f t="shared" si="99"/>
        <v>60.35</v>
      </c>
      <c r="I301" s="76">
        <f t="shared" si="100"/>
        <v>52.303333333333342</v>
      </c>
      <c r="J301" s="90">
        <v>59.65</v>
      </c>
      <c r="K301" s="73">
        <v>4492</v>
      </c>
      <c r="L301" s="73">
        <v>6</v>
      </c>
      <c r="M301" s="91">
        <v>359.7</v>
      </c>
      <c r="N301" s="79">
        <f t="shared" ref="N301:N318" si="116">J301/M301</f>
        <v>0.16583263830970252</v>
      </c>
      <c r="O301" s="80">
        <f t="shared" si="101"/>
        <v>6.0301760268231348</v>
      </c>
      <c r="P301" s="79">
        <f t="shared" si="102"/>
        <v>6.5893399613366474E-2</v>
      </c>
      <c r="Q301" s="81">
        <f t="shared" si="103"/>
        <v>0.39734879867439932</v>
      </c>
      <c r="R301" s="92">
        <f t="shared" si="115"/>
        <v>545.54999999999995</v>
      </c>
      <c r="S301" s="83">
        <f t="shared" si="104"/>
        <v>9.9416666666666664</v>
      </c>
      <c r="T301" s="135"/>
      <c r="U301" s="135"/>
      <c r="V301" s="135"/>
      <c r="W301" s="135"/>
      <c r="X301" s="136"/>
      <c r="Y301" s="50"/>
      <c r="Z301" s="50"/>
    </row>
    <row r="302" spans="1:26" ht="12.75" hidden="1" outlineLevel="1" x14ac:dyDescent="0.2">
      <c r="A302" s="50"/>
      <c r="B302" s="137"/>
      <c r="C302" s="70" t="s">
        <v>62</v>
      </c>
      <c r="D302" s="200">
        <v>0</v>
      </c>
      <c r="E302" s="73">
        <v>0</v>
      </c>
      <c r="F302" s="73">
        <v>0</v>
      </c>
      <c r="G302" s="74" t="e">
        <f t="shared" si="98"/>
        <v>#DIV/0!</v>
      </c>
      <c r="H302" s="75" t="e">
        <f t="shared" si="99"/>
        <v>#DIV/0!</v>
      </c>
      <c r="I302" s="76" t="e">
        <f t="shared" si="100"/>
        <v>#DIV/0!</v>
      </c>
      <c r="J302" s="200">
        <v>0</v>
      </c>
      <c r="K302" s="73">
        <v>0</v>
      </c>
      <c r="L302" s="73">
        <v>0</v>
      </c>
      <c r="M302" s="200">
        <v>0</v>
      </c>
      <c r="N302" s="79" t="e">
        <f t="shared" si="116"/>
        <v>#DIV/0!</v>
      </c>
      <c r="O302" s="80" t="e">
        <f t="shared" si="101"/>
        <v>#DIV/0!</v>
      </c>
      <c r="P302" s="79" t="e">
        <f t="shared" si="102"/>
        <v>#DIV/0!</v>
      </c>
      <c r="Q302" s="81" t="e">
        <f t="shared" si="103"/>
        <v>#DIV/0!</v>
      </c>
      <c r="R302" s="92">
        <f t="shared" si="115"/>
        <v>0</v>
      </c>
      <c r="S302" s="83" t="e">
        <f t="shared" si="104"/>
        <v>#DIV/0!</v>
      </c>
      <c r="T302" s="135"/>
      <c r="U302" s="135"/>
      <c r="V302" s="135"/>
      <c r="W302" s="135"/>
      <c r="X302" s="136"/>
      <c r="Y302" s="50"/>
      <c r="Z302" s="50"/>
    </row>
    <row r="303" spans="1:26" ht="12.75" hidden="1" outlineLevel="1" x14ac:dyDescent="0.2">
      <c r="A303" s="50"/>
      <c r="B303" s="137"/>
      <c r="C303" s="70" t="s">
        <v>66</v>
      </c>
      <c r="D303" s="201">
        <v>0</v>
      </c>
      <c r="E303" s="73">
        <v>0</v>
      </c>
      <c r="F303" s="73">
        <v>0</v>
      </c>
      <c r="G303" s="74" t="e">
        <f t="shared" si="98"/>
        <v>#DIV/0!</v>
      </c>
      <c r="H303" s="75" t="e">
        <f t="shared" si="99"/>
        <v>#DIV/0!</v>
      </c>
      <c r="I303" s="76" t="e">
        <f t="shared" si="100"/>
        <v>#DIV/0!</v>
      </c>
      <c r="J303" s="201">
        <v>0</v>
      </c>
      <c r="K303" s="73">
        <v>0</v>
      </c>
      <c r="L303" s="73">
        <v>0</v>
      </c>
      <c r="M303" s="202">
        <v>0</v>
      </c>
      <c r="N303" s="79" t="e">
        <f t="shared" si="116"/>
        <v>#DIV/0!</v>
      </c>
      <c r="O303" s="80" t="e">
        <f t="shared" si="101"/>
        <v>#DIV/0!</v>
      </c>
      <c r="P303" s="79" t="e">
        <f t="shared" si="102"/>
        <v>#DIV/0!</v>
      </c>
      <c r="Q303" s="81" t="e">
        <f t="shared" si="103"/>
        <v>#DIV/0!</v>
      </c>
      <c r="R303" s="203">
        <f t="shared" si="115"/>
        <v>0</v>
      </c>
      <c r="S303" s="83" t="e">
        <f t="shared" si="104"/>
        <v>#DIV/0!</v>
      </c>
      <c r="T303" s="135"/>
      <c r="U303" s="135"/>
      <c r="V303" s="135"/>
      <c r="W303" s="135"/>
      <c r="X303" s="136"/>
      <c r="Y303" s="50"/>
      <c r="Z303" s="50"/>
    </row>
    <row r="304" spans="1:26" ht="12.75" hidden="1" outlineLevel="1" x14ac:dyDescent="0.2">
      <c r="A304" s="50"/>
      <c r="B304" s="137"/>
      <c r="C304" s="70" t="s">
        <v>36</v>
      </c>
      <c r="D304" s="90">
        <v>719.4</v>
      </c>
      <c r="E304" s="73">
        <v>12</v>
      </c>
      <c r="F304" s="73">
        <v>8</v>
      </c>
      <c r="G304" s="74">
        <f t="shared" si="98"/>
        <v>1.5</v>
      </c>
      <c r="H304" s="75">
        <f t="shared" si="99"/>
        <v>59.949999999999996</v>
      </c>
      <c r="I304" s="76">
        <f t="shared" si="100"/>
        <v>39.966666666666661</v>
      </c>
      <c r="J304" s="90">
        <v>55.14</v>
      </c>
      <c r="K304" s="73">
        <v>14476</v>
      </c>
      <c r="L304" s="73">
        <v>3</v>
      </c>
      <c r="M304" s="91">
        <v>119.9</v>
      </c>
      <c r="N304" s="79">
        <f t="shared" si="116"/>
        <v>0.45988323603002501</v>
      </c>
      <c r="O304" s="80">
        <f t="shared" si="101"/>
        <v>2.1744649981864348</v>
      </c>
      <c r="P304" s="79">
        <f t="shared" si="102"/>
        <v>7.6647206005004173E-2</v>
      </c>
      <c r="Q304" s="81">
        <f t="shared" si="103"/>
        <v>0.16666666666666669</v>
      </c>
      <c r="R304" s="92">
        <f t="shared" si="115"/>
        <v>599.5</v>
      </c>
      <c r="S304" s="83">
        <f t="shared" si="104"/>
        <v>18.38</v>
      </c>
      <c r="T304" s="135"/>
      <c r="U304" s="135"/>
      <c r="V304" s="135"/>
      <c r="W304" s="135"/>
      <c r="X304" s="136"/>
      <c r="Y304" s="50"/>
      <c r="Z304" s="50"/>
    </row>
    <row r="305" spans="1:26" ht="12.75" hidden="1" outlineLevel="1" x14ac:dyDescent="0.2">
      <c r="A305" s="50"/>
      <c r="B305" s="69" t="s">
        <v>37</v>
      </c>
      <c r="C305" s="70" t="s">
        <v>38</v>
      </c>
      <c r="D305" s="93">
        <v>5</v>
      </c>
      <c r="E305" s="73">
        <v>0</v>
      </c>
      <c r="F305" s="73">
        <v>1</v>
      </c>
      <c r="G305" s="74">
        <f t="shared" si="98"/>
        <v>0</v>
      </c>
      <c r="H305" s="75" t="e">
        <f t="shared" si="99"/>
        <v>#DIV/0!</v>
      </c>
      <c r="I305" s="76" t="e">
        <f t="shared" si="100"/>
        <v>#DIV/0!</v>
      </c>
      <c r="J305" s="93">
        <v>45.64</v>
      </c>
      <c r="K305" s="73">
        <v>17257</v>
      </c>
      <c r="L305" s="73">
        <v>0</v>
      </c>
      <c r="M305" s="94">
        <v>0</v>
      </c>
      <c r="N305" s="79" t="e">
        <f t="shared" si="116"/>
        <v>#DIV/0!</v>
      </c>
      <c r="O305" s="80">
        <f t="shared" si="101"/>
        <v>0</v>
      </c>
      <c r="P305" s="79">
        <f t="shared" si="102"/>
        <v>9.1280000000000001</v>
      </c>
      <c r="Q305" s="81">
        <f t="shared" si="103"/>
        <v>0</v>
      </c>
      <c r="R305" s="95">
        <f t="shared" si="115"/>
        <v>5</v>
      </c>
      <c r="S305" s="83" t="e">
        <f t="shared" si="104"/>
        <v>#DIV/0!</v>
      </c>
      <c r="T305" s="135"/>
      <c r="U305" s="135"/>
      <c r="V305" s="135"/>
      <c r="W305" s="135"/>
      <c r="X305" s="136"/>
      <c r="Y305" s="50"/>
      <c r="Z305" s="50"/>
    </row>
    <row r="306" spans="1:26" ht="12.75" hidden="1" outlineLevel="1" x14ac:dyDescent="0.2">
      <c r="A306" s="50"/>
      <c r="B306" s="137"/>
      <c r="C306" s="70" t="s">
        <v>39</v>
      </c>
      <c r="D306" s="96">
        <v>0</v>
      </c>
      <c r="E306" s="73">
        <v>0</v>
      </c>
      <c r="F306" s="73">
        <v>0</v>
      </c>
      <c r="G306" s="74" t="e">
        <f t="shared" si="98"/>
        <v>#DIV/0!</v>
      </c>
      <c r="H306" s="75" t="e">
        <f t="shared" si="99"/>
        <v>#DIV/0!</v>
      </c>
      <c r="I306" s="76" t="e">
        <f t="shared" si="100"/>
        <v>#DIV/0!</v>
      </c>
      <c r="J306" s="96">
        <v>0</v>
      </c>
      <c r="K306" s="73">
        <v>0</v>
      </c>
      <c r="L306" s="73">
        <v>0</v>
      </c>
      <c r="M306" s="97">
        <v>0</v>
      </c>
      <c r="N306" s="79" t="e">
        <f t="shared" si="116"/>
        <v>#DIV/0!</v>
      </c>
      <c r="O306" s="80" t="e">
        <f t="shared" si="101"/>
        <v>#DIV/0!</v>
      </c>
      <c r="P306" s="79" t="e">
        <f t="shared" si="102"/>
        <v>#DIV/0!</v>
      </c>
      <c r="Q306" s="81" t="e">
        <f t="shared" si="103"/>
        <v>#DIV/0!</v>
      </c>
      <c r="R306" s="98">
        <f t="shared" si="115"/>
        <v>0</v>
      </c>
      <c r="S306" s="83" t="e">
        <f t="shared" si="104"/>
        <v>#DIV/0!</v>
      </c>
      <c r="T306" s="135"/>
      <c r="U306" s="135"/>
      <c r="V306" s="135"/>
      <c r="W306" s="135"/>
      <c r="X306" s="136"/>
      <c r="Y306" s="50"/>
      <c r="Z306" s="50"/>
    </row>
    <row r="307" spans="1:26" ht="12.75" hidden="1" outlineLevel="1" x14ac:dyDescent="0.2">
      <c r="A307" s="50"/>
      <c r="B307" s="137"/>
      <c r="C307" s="70" t="s">
        <v>40</v>
      </c>
      <c r="D307" s="99">
        <v>0</v>
      </c>
      <c r="E307" s="73">
        <v>0</v>
      </c>
      <c r="F307" s="73">
        <v>0</v>
      </c>
      <c r="G307" s="74" t="e">
        <f t="shared" si="98"/>
        <v>#DIV/0!</v>
      </c>
      <c r="H307" s="75" t="e">
        <f t="shared" si="99"/>
        <v>#DIV/0!</v>
      </c>
      <c r="I307" s="76" t="e">
        <f t="shared" si="100"/>
        <v>#DIV/0!</v>
      </c>
      <c r="J307" s="99">
        <v>0</v>
      </c>
      <c r="K307" s="73">
        <v>0</v>
      </c>
      <c r="L307" s="73">
        <v>0</v>
      </c>
      <c r="M307" s="100">
        <v>0</v>
      </c>
      <c r="N307" s="79" t="e">
        <f t="shared" si="116"/>
        <v>#DIV/0!</v>
      </c>
      <c r="O307" s="80" t="e">
        <f t="shared" si="101"/>
        <v>#DIV/0!</v>
      </c>
      <c r="P307" s="79" t="e">
        <f t="shared" si="102"/>
        <v>#DIV/0!</v>
      </c>
      <c r="Q307" s="81" t="e">
        <f t="shared" si="103"/>
        <v>#DIV/0!</v>
      </c>
      <c r="R307" s="101">
        <f t="shared" si="115"/>
        <v>0</v>
      </c>
      <c r="S307" s="83" t="e">
        <f t="shared" si="104"/>
        <v>#DIV/0!</v>
      </c>
      <c r="T307" s="135"/>
      <c r="U307" s="135"/>
      <c r="V307" s="135"/>
      <c r="W307" s="135"/>
      <c r="X307" s="136"/>
      <c r="Y307" s="50"/>
      <c r="Z307" s="50"/>
    </row>
    <row r="308" spans="1:26" ht="12.75" hidden="1" outlineLevel="1" x14ac:dyDescent="0.2">
      <c r="A308" s="50"/>
      <c r="B308" s="137"/>
      <c r="C308" s="70" t="s">
        <v>41</v>
      </c>
      <c r="D308" s="102">
        <v>494.91</v>
      </c>
      <c r="E308" s="73">
        <v>9</v>
      </c>
      <c r="F308" s="73">
        <v>9</v>
      </c>
      <c r="G308" s="74">
        <f t="shared" si="98"/>
        <v>1</v>
      </c>
      <c r="H308" s="75">
        <f t="shared" si="99"/>
        <v>54.99</v>
      </c>
      <c r="I308" s="76">
        <f t="shared" si="100"/>
        <v>54.99</v>
      </c>
      <c r="J308" s="102">
        <v>93.9</v>
      </c>
      <c r="K308" s="73">
        <v>14200</v>
      </c>
      <c r="L308" s="73">
        <v>2</v>
      </c>
      <c r="M308" s="103">
        <v>109.98</v>
      </c>
      <c r="N308" s="79">
        <f t="shared" si="116"/>
        <v>0.85379159847244956</v>
      </c>
      <c r="O308" s="80">
        <f t="shared" si="101"/>
        <v>1.1712460063897763</v>
      </c>
      <c r="P308" s="79">
        <f t="shared" si="102"/>
        <v>0.18973146632721102</v>
      </c>
      <c r="Q308" s="81">
        <f t="shared" si="103"/>
        <v>0.22222222222222221</v>
      </c>
      <c r="R308" s="104">
        <f t="shared" si="115"/>
        <v>384.93</v>
      </c>
      <c r="S308" s="83">
        <f t="shared" si="104"/>
        <v>46.95</v>
      </c>
      <c r="T308" s="135"/>
      <c r="U308" s="135"/>
      <c r="V308" s="135"/>
      <c r="W308" s="135"/>
      <c r="X308" s="136"/>
      <c r="Y308" s="50"/>
      <c r="Z308" s="50"/>
    </row>
    <row r="309" spans="1:26" ht="12.75" hidden="1" outlineLevel="1" x14ac:dyDescent="0.2">
      <c r="A309" s="50"/>
      <c r="B309" s="137"/>
      <c r="C309" s="70" t="s">
        <v>42</v>
      </c>
      <c r="D309" s="90">
        <v>159.91999999999999</v>
      </c>
      <c r="E309" s="73">
        <v>8</v>
      </c>
      <c r="F309" s="73">
        <v>7</v>
      </c>
      <c r="G309" s="74">
        <f t="shared" si="98"/>
        <v>1.1428571428571428</v>
      </c>
      <c r="H309" s="75">
        <f t="shared" si="99"/>
        <v>19.989999999999998</v>
      </c>
      <c r="I309" s="76">
        <f t="shared" si="100"/>
        <v>17.491250000000001</v>
      </c>
      <c r="J309" s="90">
        <v>4.1399999999999997</v>
      </c>
      <c r="K309" s="73">
        <v>9150</v>
      </c>
      <c r="L309" s="73">
        <v>4</v>
      </c>
      <c r="M309" s="91">
        <v>79.959999999999994</v>
      </c>
      <c r="N309" s="79">
        <f t="shared" si="116"/>
        <v>5.1775887943971984E-2</v>
      </c>
      <c r="O309" s="80">
        <f t="shared" si="101"/>
        <v>19.314009661835748</v>
      </c>
      <c r="P309" s="79">
        <f t="shared" si="102"/>
        <v>2.5887943971985992E-2</v>
      </c>
      <c r="Q309" s="81">
        <f t="shared" si="103"/>
        <v>0.5</v>
      </c>
      <c r="R309" s="92">
        <f t="shared" si="115"/>
        <v>79.959999999999994</v>
      </c>
      <c r="S309" s="83">
        <f t="shared" si="104"/>
        <v>1.0349999999999999</v>
      </c>
      <c r="T309" s="135"/>
      <c r="U309" s="135"/>
      <c r="V309" s="135"/>
      <c r="W309" s="135"/>
      <c r="X309" s="136"/>
      <c r="Y309" s="50"/>
      <c r="Z309" s="50"/>
    </row>
    <row r="310" spans="1:26" ht="12.75" hidden="1" outlineLevel="1" x14ac:dyDescent="0.2">
      <c r="A310" s="50"/>
      <c r="B310" s="137"/>
      <c r="C310" s="70" t="s">
        <v>43</v>
      </c>
      <c r="D310" s="105">
        <v>1317.8</v>
      </c>
      <c r="E310" s="73">
        <v>8</v>
      </c>
      <c r="F310" s="73">
        <v>10</v>
      </c>
      <c r="G310" s="74">
        <f t="shared" si="98"/>
        <v>0.8</v>
      </c>
      <c r="H310" s="75">
        <f t="shared" si="99"/>
        <v>164.72499999999999</v>
      </c>
      <c r="I310" s="76">
        <f t="shared" si="100"/>
        <v>205.90624999999997</v>
      </c>
      <c r="J310" s="105">
        <v>18.510000000000002</v>
      </c>
      <c r="K310" s="73">
        <v>23677</v>
      </c>
      <c r="L310" s="73">
        <v>1</v>
      </c>
      <c r="M310" s="106">
        <v>205.95</v>
      </c>
      <c r="N310" s="79">
        <f t="shared" si="116"/>
        <v>8.9876183539694107E-2</v>
      </c>
      <c r="O310" s="80">
        <f t="shared" si="101"/>
        <v>11.12641815235008</v>
      </c>
      <c r="P310" s="79">
        <f t="shared" si="102"/>
        <v>1.4046137501897102E-2</v>
      </c>
      <c r="Q310" s="81">
        <f t="shared" si="103"/>
        <v>0.15628319927151313</v>
      </c>
      <c r="R310" s="107">
        <f t="shared" si="115"/>
        <v>1111.8499999999999</v>
      </c>
      <c r="S310" s="83">
        <f t="shared" si="104"/>
        <v>18.510000000000002</v>
      </c>
      <c r="T310" s="135"/>
      <c r="U310" s="135"/>
      <c r="V310" s="135"/>
      <c r="W310" s="135"/>
      <c r="X310" s="136"/>
      <c r="Y310" s="50"/>
      <c r="Z310" s="50"/>
    </row>
    <row r="311" spans="1:26" ht="12.75" hidden="1" outlineLevel="1" x14ac:dyDescent="0.2">
      <c r="A311" s="50"/>
      <c r="B311" s="137"/>
      <c r="C311" s="70" t="s">
        <v>44</v>
      </c>
      <c r="D311" s="108">
        <v>144.85</v>
      </c>
      <c r="E311" s="73">
        <v>3</v>
      </c>
      <c r="F311" s="73">
        <v>4</v>
      </c>
      <c r="G311" s="74">
        <f t="shared" si="98"/>
        <v>0.75</v>
      </c>
      <c r="H311" s="75">
        <f t="shared" si="99"/>
        <v>48.283333333333331</v>
      </c>
      <c r="I311" s="76">
        <f t="shared" si="100"/>
        <v>64.37777777777778</v>
      </c>
      <c r="J311" s="108">
        <v>21.63</v>
      </c>
      <c r="K311" s="73">
        <v>11095</v>
      </c>
      <c r="L311" s="73">
        <v>1</v>
      </c>
      <c r="M311" s="109">
        <v>44.95</v>
      </c>
      <c r="N311" s="79">
        <f t="shared" si="116"/>
        <v>0.48120133481646271</v>
      </c>
      <c r="O311" s="80">
        <f t="shared" si="101"/>
        <v>2.078132223763292</v>
      </c>
      <c r="P311" s="79">
        <f t="shared" si="102"/>
        <v>0.14932688988608905</v>
      </c>
      <c r="Q311" s="81">
        <f t="shared" si="103"/>
        <v>0.31032102174663451</v>
      </c>
      <c r="R311" s="110">
        <f t="shared" si="115"/>
        <v>99.899999999999991</v>
      </c>
      <c r="S311" s="83">
        <f t="shared" si="104"/>
        <v>21.63</v>
      </c>
      <c r="T311" s="135"/>
      <c r="U311" s="135"/>
      <c r="V311" s="135"/>
      <c r="W311" s="135"/>
      <c r="X311" s="136"/>
      <c r="Y311" s="50"/>
      <c r="Z311" s="50"/>
    </row>
    <row r="312" spans="1:26" ht="12.75" hidden="1" outlineLevel="1" x14ac:dyDescent="0.2">
      <c r="A312" s="139"/>
      <c r="B312" s="137"/>
      <c r="C312" s="112" t="s">
        <v>45</v>
      </c>
      <c r="D312" s="71">
        <v>0</v>
      </c>
      <c r="E312" s="73">
        <v>0</v>
      </c>
      <c r="F312" s="73">
        <v>0</v>
      </c>
      <c r="G312" s="74" t="e">
        <f t="shared" si="98"/>
        <v>#DIV/0!</v>
      </c>
      <c r="H312" s="75" t="e">
        <f t="shared" si="99"/>
        <v>#DIV/0!</v>
      </c>
      <c r="I312" s="76" t="e">
        <f t="shared" si="100"/>
        <v>#DIV/0!</v>
      </c>
      <c r="J312" s="71">
        <v>0</v>
      </c>
      <c r="K312" s="73">
        <v>0</v>
      </c>
      <c r="L312" s="73">
        <v>0</v>
      </c>
      <c r="M312" s="78">
        <v>0</v>
      </c>
      <c r="N312" s="79" t="e">
        <f t="shared" si="116"/>
        <v>#DIV/0!</v>
      </c>
      <c r="O312" s="80" t="e">
        <f t="shared" si="101"/>
        <v>#DIV/0!</v>
      </c>
      <c r="P312" s="79" t="e">
        <f t="shared" si="102"/>
        <v>#DIV/0!</v>
      </c>
      <c r="Q312" s="81" t="e">
        <f t="shared" si="103"/>
        <v>#DIV/0!</v>
      </c>
      <c r="R312" s="82">
        <f t="shared" si="115"/>
        <v>0</v>
      </c>
      <c r="S312" s="83" t="e">
        <f t="shared" si="104"/>
        <v>#DIV/0!</v>
      </c>
      <c r="T312" s="140"/>
      <c r="U312" s="140"/>
      <c r="V312" s="140"/>
      <c r="W312" s="141"/>
      <c r="X312" s="142"/>
      <c r="Y312" s="50"/>
      <c r="Z312" s="50"/>
    </row>
    <row r="313" spans="1:26" ht="12.75" hidden="1" outlineLevel="1" x14ac:dyDescent="0.2">
      <c r="A313" s="50"/>
      <c r="B313" s="137"/>
      <c r="C313" s="70" t="s">
        <v>46</v>
      </c>
      <c r="D313" s="116">
        <v>505.97</v>
      </c>
      <c r="E313" s="73">
        <v>12</v>
      </c>
      <c r="F313" s="73">
        <v>12</v>
      </c>
      <c r="G313" s="74">
        <f t="shared" si="98"/>
        <v>1</v>
      </c>
      <c r="H313" s="75">
        <f t="shared" si="99"/>
        <v>42.164166666666667</v>
      </c>
      <c r="I313" s="76">
        <f t="shared" si="100"/>
        <v>42.164166666666667</v>
      </c>
      <c r="J313" s="116">
        <v>62.76</v>
      </c>
      <c r="K313" s="73">
        <v>30586</v>
      </c>
      <c r="L313" s="73">
        <v>5</v>
      </c>
      <c r="M313" s="117">
        <v>218.26</v>
      </c>
      <c r="N313" s="79">
        <f t="shared" si="116"/>
        <v>0.28754696233849536</v>
      </c>
      <c r="O313" s="80">
        <f t="shared" si="101"/>
        <v>3.4776927979604841</v>
      </c>
      <c r="P313" s="79">
        <f t="shared" si="102"/>
        <v>0.12403897464276536</v>
      </c>
      <c r="Q313" s="81">
        <f t="shared" si="103"/>
        <v>0.43136944878154826</v>
      </c>
      <c r="R313" s="82">
        <f t="shared" si="115"/>
        <v>287.71000000000004</v>
      </c>
      <c r="S313" s="83">
        <f t="shared" si="104"/>
        <v>12.552</v>
      </c>
      <c r="T313" s="135"/>
      <c r="U313" s="135"/>
      <c r="V313" s="135"/>
      <c r="W313" s="135"/>
      <c r="X313" s="136"/>
      <c r="Y313" s="50"/>
      <c r="Z313" s="50"/>
    </row>
    <row r="314" spans="1:26" ht="12.75" hidden="1" outlineLevel="1" x14ac:dyDescent="0.2">
      <c r="A314" s="50"/>
      <c r="B314" s="137"/>
      <c r="C314" s="70" t="s">
        <v>49</v>
      </c>
      <c r="D314" s="116">
        <v>0</v>
      </c>
      <c r="E314" s="73">
        <v>0</v>
      </c>
      <c r="F314" s="73">
        <v>0</v>
      </c>
      <c r="G314" s="74" t="e">
        <f t="shared" si="98"/>
        <v>#DIV/0!</v>
      </c>
      <c r="H314" s="75" t="e">
        <f t="shared" si="99"/>
        <v>#DIV/0!</v>
      </c>
      <c r="I314" s="76" t="e">
        <f t="shared" si="100"/>
        <v>#DIV/0!</v>
      </c>
      <c r="J314" s="116">
        <v>8.3000000000000007</v>
      </c>
      <c r="K314" s="73">
        <v>8145</v>
      </c>
      <c r="L314" s="73">
        <v>0</v>
      </c>
      <c r="M314" s="117">
        <v>0</v>
      </c>
      <c r="N314" s="79" t="e">
        <f t="shared" si="116"/>
        <v>#DIV/0!</v>
      </c>
      <c r="O314" s="80">
        <f t="shared" si="101"/>
        <v>0</v>
      </c>
      <c r="P314" s="79" t="e">
        <f t="shared" si="102"/>
        <v>#DIV/0!</v>
      </c>
      <c r="Q314" s="81" t="e">
        <f t="shared" si="103"/>
        <v>#DIV/0!</v>
      </c>
      <c r="R314" s="82">
        <f t="shared" si="115"/>
        <v>0</v>
      </c>
      <c r="S314" s="83" t="e">
        <f t="shared" si="104"/>
        <v>#DIV/0!</v>
      </c>
      <c r="T314" s="135"/>
      <c r="U314" s="135"/>
      <c r="V314" s="135"/>
      <c r="W314" s="135"/>
      <c r="X314" s="136"/>
      <c r="Y314" s="50"/>
      <c r="Z314" s="50"/>
    </row>
    <row r="315" spans="1:26" hidden="1" outlineLevel="1" x14ac:dyDescent="0.25">
      <c r="A315" s="118" t="str">
        <f t="shared" ref="A315:A316" si="117">IFERROR(IF(B315&gt;0,MONTH(B315)&amp;"-"&amp;YEAR(B315),B315),)</f>
        <v>6-2025</v>
      </c>
      <c r="B315" s="69">
        <v>45822</v>
      </c>
      <c r="C315" s="198" t="s">
        <v>64</v>
      </c>
      <c r="D315" s="116">
        <v>0</v>
      </c>
      <c r="E315" s="73">
        <v>0</v>
      </c>
      <c r="F315" s="73">
        <v>0</v>
      </c>
      <c r="G315" s="74" t="e">
        <f t="shared" si="98"/>
        <v>#DIV/0!</v>
      </c>
      <c r="H315" s="75" t="e">
        <f t="shared" si="99"/>
        <v>#DIV/0!</v>
      </c>
      <c r="I315" s="76" t="e">
        <f t="shared" si="100"/>
        <v>#DIV/0!</v>
      </c>
      <c r="J315" s="87">
        <v>395.81000000000006</v>
      </c>
      <c r="K315" s="199">
        <v>74963</v>
      </c>
      <c r="L315" s="73">
        <v>0</v>
      </c>
      <c r="M315" s="88">
        <v>1165.94</v>
      </c>
      <c r="N315" s="79">
        <f t="shared" si="116"/>
        <v>0.33947716005969436</v>
      </c>
      <c r="O315" s="80">
        <f t="shared" si="101"/>
        <v>2.9457062732118944</v>
      </c>
      <c r="P315" s="79" t="e">
        <f t="shared" si="102"/>
        <v>#DIV/0!</v>
      </c>
      <c r="Q315" s="81" t="e">
        <f t="shared" si="103"/>
        <v>#DIV/0!</v>
      </c>
      <c r="R315" s="82">
        <f t="shared" si="115"/>
        <v>-1165.94</v>
      </c>
      <c r="S315" s="83" t="e">
        <f t="shared" si="104"/>
        <v>#DIV/0!</v>
      </c>
      <c r="T315" s="135"/>
      <c r="U315" s="135"/>
      <c r="V315" s="135"/>
      <c r="W315" s="135"/>
      <c r="X315" s="136"/>
      <c r="Y315" s="50"/>
      <c r="Z315" s="50"/>
    </row>
    <row r="316" spans="1:26" ht="12.75" collapsed="1" x14ac:dyDescent="0.2">
      <c r="A316" s="50">
        <f t="shared" si="117"/>
        <v>0</v>
      </c>
      <c r="B316" s="52" t="s">
        <v>82</v>
      </c>
      <c r="C316" s="145"/>
      <c r="D316" s="121">
        <f t="shared" ref="D316:F316" si="118">SUM(D298:D315)</f>
        <v>7058.2900000000009</v>
      </c>
      <c r="E316" s="123">
        <f t="shared" si="118"/>
        <v>104</v>
      </c>
      <c r="F316" s="123">
        <f t="shared" si="118"/>
        <v>109</v>
      </c>
      <c r="G316" s="124">
        <f t="shared" si="98"/>
        <v>0.95412844036697253</v>
      </c>
      <c r="H316" s="125">
        <f t="shared" si="99"/>
        <v>67.868173076923085</v>
      </c>
      <c r="I316" s="126">
        <f t="shared" si="100"/>
        <v>71.131066013313614</v>
      </c>
      <c r="J316" s="121">
        <f t="shared" ref="J316:M316" si="119">SUM(J298:J315)</f>
        <v>1336.6599999999999</v>
      </c>
      <c r="K316" s="123">
        <f t="shared" si="119"/>
        <v>392064</v>
      </c>
      <c r="L316" s="123">
        <f t="shared" si="119"/>
        <v>41</v>
      </c>
      <c r="M316" s="127">
        <f t="shared" si="119"/>
        <v>3949.9899999999993</v>
      </c>
      <c r="N316" s="128">
        <f t="shared" si="116"/>
        <v>0.33839579340707193</v>
      </c>
      <c r="O316" s="129">
        <f t="shared" si="101"/>
        <v>2.9551194769051214</v>
      </c>
      <c r="P316" s="128">
        <f t="shared" si="102"/>
        <v>0.18937448022113001</v>
      </c>
      <c r="Q316" s="130">
        <f t="shared" si="103"/>
        <v>0.55962421493024495</v>
      </c>
      <c r="R316" s="131">
        <f>SUM(R298:R315)</f>
        <v>3108.2999999999997</v>
      </c>
      <c r="S316" s="132">
        <f t="shared" si="104"/>
        <v>32.601463414634139</v>
      </c>
      <c r="T316" s="273">
        <f t="shared" ref="T316:U316" si="120">IFERROR((D316-D69)/D316,)</f>
        <v>-7.4101517506364428E-2</v>
      </c>
      <c r="U316" s="133">
        <f t="shared" si="120"/>
        <v>9.6153846153846159E-2</v>
      </c>
      <c r="V316" s="271" t="s">
        <v>139</v>
      </c>
      <c r="W316" s="271" t="s">
        <v>139</v>
      </c>
      <c r="X316" s="50"/>
      <c r="Y316" s="50"/>
      <c r="Z316" s="50"/>
    </row>
    <row r="317" spans="1:26" ht="12.75" hidden="1" outlineLevel="1" x14ac:dyDescent="0.2">
      <c r="A317" s="50"/>
      <c r="B317" s="69">
        <v>45823</v>
      </c>
      <c r="C317" s="70" t="s">
        <v>32</v>
      </c>
      <c r="D317" s="71">
        <v>2337.5</v>
      </c>
      <c r="E317" s="73">
        <v>14</v>
      </c>
      <c r="F317" s="73">
        <v>12</v>
      </c>
      <c r="G317" s="74">
        <f t="shared" si="98"/>
        <v>1.1666666666666667</v>
      </c>
      <c r="H317" s="75">
        <f t="shared" si="99"/>
        <v>166.96428571428572</v>
      </c>
      <c r="I317" s="76">
        <f t="shared" si="100"/>
        <v>143.11224489795919</v>
      </c>
      <c r="J317" s="77">
        <v>471.04</v>
      </c>
      <c r="K317" s="73">
        <v>106839</v>
      </c>
      <c r="L317" s="73">
        <v>4</v>
      </c>
      <c r="M317" s="78">
        <v>628.95000000000005</v>
      </c>
      <c r="N317" s="79">
        <f t="shared" si="116"/>
        <v>0.74893075761189276</v>
      </c>
      <c r="O317" s="80">
        <f t="shared" si="101"/>
        <v>1.3352369225543479</v>
      </c>
      <c r="P317" s="79">
        <f t="shared" si="102"/>
        <v>0.20151443850267381</v>
      </c>
      <c r="Q317" s="81">
        <f t="shared" si="103"/>
        <v>0.26906951871657758</v>
      </c>
      <c r="R317" s="82">
        <f t="shared" ref="R317:R334" si="121">D317-M317</f>
        <v>1708.55</v>
      </c>
      <c r="S317" s="83">
        <f t="shared" si="104"/>
        <v>117.76</v>
      </c>
      <c r="T317" s="135"/>
      <c r="U317" s="135"/>
      <c r="V317" s="135"/>
      <c r="W317" s="135"/>
      <c r="X317" s="136"/>
      <c r="Y317" s="50"/>
      <c r="Z317" s="50"/>
    </row>
    <row r="318" spans="1:26" ht="12.75" hidden="1" outlineLevel="1" x14ac:dyDescent="0.2">
      <c r="A318" s="50"/>
      <c r="B318" s="137"/>
      <c r="C318" s="70" t="s">
        <v>33</v>
      </c>
      <c r="D318" s="87">
        <v>3124.5</v>
      </c>
      <c r="E318" s="73">
        <v>40</v>
      </c>
      <c r="F318" s="73">
        <v>47</v>
      </c>
      <c r="G318" s="74">
        <f t="shared" si="98"/>
        <v>0.85106382978723405</v>
      </c>
      <c r="H318" s="75">
        <f t="shared" si="99"/>
        <v>78.112499999999997</v>
      </c>
      <c r="I318" s="76">
        <f t="shared" si="100"/>
        <v>91.782187499999992</v>
      </c>
      <c r="J318" s="87">
        <v>247.73</v>
      </c>
      <c r="K318" s="73">
        <v>94889</v>
      </c>
      <c r="L318" s="73">
        <v>10</v>
      </c>
      <c r="M318" s="88">
        <v>539.79999999999995</v>
      </c>
      <c r="N318" s="79">
        <f t="shared" si="116"/>
        <v>0.45892923304927752</v>
      </c>
      <c r="O318" s="80">
        <f t="shared" si="101"/>
        <v>2.1789851854841964</v>
      </c>
      <c r="P318" s="79">
        <f t="shared" si="102"/>
        <v>7.9286285805728912E-2</v>
      </c>
      <c r="Q318" s="81">
        <f t="shared" si="103"/>
        <v>0.17276364218274923</v>
      </c>
      <c r="R318" s="89">
        <f t="shared" si="121"/>
        <v>2584.6999999999998</v>
      </c>
      <c r="S318" s="83">
        <f t="shared" si="104"/>
        <v>24.773</v>
      </c>
      <c r="T318" s="135"/>
      <c r="U318" s="135"/>
      <c r="V318" s="135"/>
      <c r="W318" s="135"/>
      <c r="X318" s="136"/>
      <c r="Y318" s="50"/>
      <c r="Z318" s="50"/>
    </row>
    <row r="319" spans="1:26" ht="12.75" hidden="1" outlineLevel="1" x14ac:dyDescent="0.2">
      <c r="A319" s="50"/>
      <c r="B319" s="137"/>
      <c r="C319" s="70" t="s">
        <v>34</v>
      </c>
      <c r="D319" s="90">
        <v>0</v>
      </c>
      <c r="E319" s="73">
        <v>0</v>
      </c>
      <c r="F319" s="73">
        <v>0</v>
      </c>
      <c r="G319" s="74" t="e">
        <f t="shared" si="98"/>
        <v>#DIV/0!</v>
      </c>
      <c r="H319" s="75" t="e">
        <f t="shared" si="99"/>
        <v>#DIV/0!</v>
      </c>
      <c r="I319" s="76" t="e">
        <f t="shared" si="100"/>
        <v>#DIV/0!</v>
      </c>
      <c r="J319" s="90">
        <v>0</v>
      </c>
      <c r="K319" s="73">
        <v>1</v>
      </c>
      <c r="L319" s="73">
        <v>0</v>
      </c>
      <c r="M319" s="91">
        <v>0</v>
      </c>
      <c r="N319" s="79" t="e">
        <f>(J319/M319)</f>
        <v>#DIV/0!</v>
      </c>
      <c r="O319" s="80" t="e">
        <f t="shared" si="101"/>
        <v>#DIV/0!</v>
      </c>
      <c r="P319" s="79" t="e">
        <f t="shared" si="102"/>
        <v>#DIV/0!</v>
      </c>
      <c r="Q319" s="81" t="e">
        <f t="shared" si="103"/>
        <v>#DIV/0!</v>
      </c>
      <c r="R319" s="92">
        <f t="shared" si="121"/>
        <v>0</v>
      </c>
      <c r="S319" s="83" t="e">
        <f t="shared" si="104"/>
        <v>#DIV/0!</v>
      </c>
      <c r="T319" s="135"/>
      <c r="U319" s="135"/>
      <c r="V319" s="135"/>
      <c r="W319" s="135"/>
      <c r="X319" s="136"/>
      <c r="Y319" s="50"/>
      <c r="Z319" s="50"/>
    </row>
    <row r="320" spans="1:26" ht="12.75" hidden="1" outlineLevel="1" x14ac:dyDescent="0.2">
      <c r="A320" s="50"/>
      <c r="B320" s="137"/>
      <c r="C320" s="70" t="s">
        <v>35</v>
      </c>
      <c r="D320" s="90">
        <v>359.7</v>
      </c>
      <c r="E320" s="73">
        <v>6</v>
      </c>
      <c r="F320" s="73">
        <v>4</v>
      </c>
      <c r="G320" s="74">
        <f t="shared" si="98"/>
        <v>1.5</v>
      </c>
      <c r="H320" s="75">
        <f t="shared" si="99"/>
        <v>59.949999999999996</v>
      </c>
      <c r="I320" s="76">
        <f t="shared" si="100"/>
        <v>39.966666666666661</v>
      </c>
      <c r="J320" s="90">
        <v>0</v>
      </c>
      <c r="K320" s="73">
        <v>0</v>
      </c>
      <c r="L320" s="73">
        <v>0</v>
      </c>
      <c r="M320" s="91">
        <v>0</v>
      </c>
      <c r="N320" s="79" t="e">
        <f t="shared" ref="N320:N337" si="122">J320/M320</f>
        <v>#DIV/0!</v>
      </c>
      <c r="O320" s="80" t="e">
        <f t="shared" si="101"/>
        <v>#DIV/0!</v>
      </c>
      <c r="P320" s="79">
        <f t="shared" si="102"/>
        <v>0</v>
      </c>
      <c r="Q320" s="81">
        <f t="shared" si="103"/>
        <v>0</v>
      </c>
      <c r="R320" s="92">
        <f t="shared" si="121"/>
        <v>359.7</v>
      </c>
      <c r="S320" s="83" t="e">
        <f t="shared" si="104"/>
        <v>#DIV/0!</v>
      </c>
      <c r="T320" s="135"/>
      <c r="U320" s="135"/>
      <c r="V320" s="135"/>
      <c r="W320" s="135"/>
      <c r="X320" s="136"/>
      <c r="Y320" s="50"/>
      <c r="Z320" s="50"/>
    </row>
    <row r="321" spans="1:26" ht="12.75" hidden="1" outlineLevel="1" x14ac:dyDescent="0.2">
      <c r="A321" s="50"/>
      <c r="B321" s="137"/>
      <c r="C321" s="70" t="s">
        <v>62</v>
      </c>
      <c r="D321" s="200">
        <v>0</v>
      </c>
      <c r="E321" s="73">
        <v>0</v>
      </c>
      <c r="F321" s="73">
        <v>0</v>
      </c>
      <c r="G321" s="74" t="e">
        <f t="shared" si="98"/>
        <v>#DIV/0!</v>
      </c>
      <c r="H321" s="75" t="e">
        <f t="shared" si="99"/>
        <v>#DIV/0!</v>
      </c>
      <c r="I321" s="76" t="e">
        <f t="shared" si="100"/>
        <v>#DIV/0!</v>
      </c>
      <c r="J321" s="200">
        <v>0</v>
      </c>
      <c r="K321" s="73">
        <v>0</v>
      </c>
      <c r="L321" s="73">
        <v>0</v>
      </c>
      <c r="M321" s="200">
        <v>0</v>
      </c>
      <c r="N321" s="79" t="e">
        <f t="shared" si="122"/>
        <v>#DIV/0!</v>
      </c>
      <c r="O321" s="80" t="e">
        <f t="shared" si="101"/>
        <v>#DIV/0!</v>
      </c>
      <c r="P321" s="79" t="e">
        <f t="shared" si="102"/>
        <v>#DIV/0!</v>
      </c>
      <c r="Q321" s="81" t="e">
        <f t="shared" si="103"/>
        <v>#DIV/0!</v>
      </c>
      <c r="R321" s="92">
        <f t="shared" si="121"/>
        <v>0</v>
      </c>
      <c r="S321" s="83" t="e">
        <f t="shared" si="104"/>
        <v>#DIV/0!</v>
      </c>
      <c r="T321" s="135"/>
      <c r="U321" s="135"/>
      <c r="V321" s="135"/>
      <c r="W321" s="135"/>
      <c r="X321" s="136"/>
      <c r="Y321" s="50"/>
      <c r="Z321" s="50"/>
    </row>
    <row r="322" spans="1:26" ht="12.75" hidden="1" outlineLevel="1" x14ac:dyDescent="0.2">
      <c r="A322" s="50"/>
      <c r="B322" s="137"/>
      <c r="C322" s="70" t="s">
        <v>66</v>
      </c>
      <c r="D322" s="201">
        <v>0</v>
      </c>
      <c r="E322" s="73">
        <v>0</v>
      </c>
      <c r="F322" s="73">
        <v>0</v>
      </c>
      <c r="G322" s="74" t="e">
        <f t="shared" si="98"/>
        <v>#DIV/0!</v>
      </c>
      <c r="H322" s="75" t="e">
        <f t="shared" si="99"/>
        <v>#DIV/0!</v>
      </c>
      <c r="I322" s="76" t="e">
        <f t="shared" si="100"/>
        <v>#DIV/0!</v>
      </c>
      <c r="J322" s="201">
        <v>0</v>
      </c>
      <c r="K322" s="73">
        <v>0</v>
      </c>
      <c r="L322" s="73">
        <v>0</v>
      </c>
      <c r="M322" s="202">
        <v>0</v>
      </c>
      <c r="N322" s="79" t="e">
        <f t="shared" si="122"/>
        <v>#DIV/0!</v>
      </c>
      <c r="O322" s="80" t="e">
        <f t="shared" si="101"/>
        <v>#DIV/0!</v>
      </c>
      <c r="P322" s="79" t="e">
        <f t="shared" si="102"/>
        <v>#DIV/0!</v>
      </c>
      <c r="Q322" s="81" t="e">
        <f t="shared" si="103"/>
        <v>#DIV/0!</v>
      </c>
      <c r="R322" s="203">
        <f t="shared" si="121"/>
        <v>0</v>
      </c>
      <c r="S322" s="83" t="e">
        <f t="shared" si="104"/>
        <v>#DIV/0!</v>
      </c>
      <c r="T322" s="135"/>
      <c r="U322" s="135"/>
      <c r="V322" s="135"/>
      <c r="W322" s="135"/>
      <c r="X322" s="136"/>
      <c r="Y322" s="50"/>
      <c r="Z322" s="50"/>
    </row>
    <row r="323" spans="1:26" ht="12.75" hidden="1" outlineLevel="1" x14ac:dyDescent="0.2">
      <c r="A323" s="50"/>
      <c r="B323" s="137"/>
      <c r="C323" s="70" t="s">
        <v>36</v>
      </c>
      <c r="D323" s="90">
        <v>239.8</v>
      </c>
      <c r="E323" s="73">
        <v>4</v>
      </c>
      <c r="F323" s="73">
        <v>4</v>
      </c>
      <c r="G323" s="74">
        <f t="shared" si="98"/>
        <v>1</v>
      </c>
      <c r="H323" s="75">
        <f t="shared" si="99"/>
        <v>59.95</v>
      </c>
      <c r="I323" s="76">
        <f t="shared" si="100"/>
        <v>59.95</v>
      </c>
      <c r="J323" s="90">
        <v>72.53</v>
      </c>
      <c r="K323" s="73">
        <v>15478</v>
      </c>
      <c r="L323" s="73">
        <v>3</v>
      </c>
      <c r="M323" s="91">
        <v>179.85</v>
      </c>
      <c r="N323" s="79">
        <f t="shared" si="122"/>
        <v>0.40328051153739231</v>
      </c>
      <c r="O323" s="80">
        <f t="shared" si="101"/>
        <v>2.4796635874810424</v>
      </c>
      <c r="P323" s="79">
        <f t="shared" si="102"/>
        <v>0.30246038365304417</v>
      </c>
      <c r="Q323" s="81">
        <f t="shared" si="103"/>
        <v>0.74999999999999989</v>
      </c>
      <c r="R323" s="92">
        <f t="shared" si="121"/>
        <v>59.950000000000017</v>
      </c>
      <c r="S323" s="83">
        <f t="shared" si="104"/>
        <v>24.176666666666666</v>
      </c>
      <c r="T323" s="135"/>
      <c r="U323" s="135"/>
      <c r="V323" s="135"/>
      <c r="W323" s="135"/>
      <c r="X323" s="136"/>
      <c r="Y323" s="50"/>
      <c r="Z323" s="50"/>
    </row>
    <row r="324" spans="1:26" ht="12.75" hidden="1" outlineLevel="1" x14ac:dyDescent="0.2">
      <c r="A324" s="50"/>
      <c r="B324" s="69" t="s">
        <v>37</v>
      </c>
      <c r="C324" s="70" t="s">
        <v>38</v>
      </c>
      <c r="D324" s="93">
        <v>64.900000000000006</v>
      </c>
      <c r="E324" s="73">
        <v>2</v>
      </c>
      <c r="F324" s="73">
        <v>2</v>
      </c>
      <c r="G324" s="74">
        <f t="shared" si="98"/>
        <v>1</v>
      </c>
      <c r="H324" s="75">
        <f t="shared" si="99"/>
        <v>32.450000000000003</v>
      </c>
      <c r="I324" s="76">
        <f t="shared" si="100"/>
        <v>32.450000000000003</v>
      </c>
      <c r="J324" s="93">
        <v>49.27</v>
      </c>
      <c r="K324" s="73">
        <v>12961</v>
      </c>
      <c r="L324" s="73">
        <v>1</v>
      </c>
      <c r="M324" s="94">
        <v>34.950000000000003</v>
      </c>
      <c r="N324" s="79">
        <f t="shared" si="122"/>
        <v>1.4097281831187409</v>
      </c>
      <c r="O324" s="80">
        <f t="shared" si="101"/>
        <v>0.70935660645423182</v>
      </c>
      <c r="P324" s="79">
        <f t="shared" si="102"/>
        <v>0.75916795069337439</v>
      </c>
      <c r="Q324" s="81">
        <f t="shared" si="103"/>
        <v>0.53852080123266566</v>
      </c>
      <c r="R324" s="95">
        <f t="shared" si="121"/>
        <v>29.950000000000003</v>
      </c>
      <c r="S324" s="83">
        <f t="shared" si="104"/>
        <v>49.27</v>
      </c>
      <c r="T324" s="135"/>
      <c r="U324" s="135"/>
      <c r="V324" s="135"/>
      <c r="W324" s="135"/>
      <c r="X324" s="136"/>
      <c r="Y324" s="50"/>
      <c r="Z324" s="50"/>
    </row>
    <row r="325" spans="1:26" ht="12.75" hidden="1" outlineLevel="1" x14ac:dyDescent="0.2">
      <c r="A325" s="50"/>
      <c r="B325" s="137"/>
      <c r="C325" s="70" t="s">
        <v>39</v>
      </c>
      <c r="D325" s="96">
        <v>0</v>
      </c>
      <c r="E325" s="73">
        <v>0</v>
      </c>
      <c r="F325" s="73">
        <v>0</v>
      </c>
      <c r="G325" s="74" t="e">
        <f t="shared" si="98"/>
        <v>#DIV/0!</v>
      </c>
      <c r="H325" s="75" t="e">
        <f t="shared" si="99"/>
        <v>#DIV/0!</v>
      </c>
      <c r="I325" s="76" t="e">
        <f t="shared" si="100"/>
        <v>#DIV/0!</v>
      </c>
      <c r="J325" s="96">
        <v>0</v>
      </c>
      <c r="K325" s="73">
        <v>0</v>
      </c>
      <c r="L325" s="73">
        <v>0</v>
      </c>
      <c r="M325" s="97">
        <v>0</v>
      </c>
      <c r="N325" s="79" t="e">
        <f t="shared" si="122"/>
        <v>#DIV/0!</v>
      </c>
      <c r="O325" s="80" t="e">
        <f t="shared" si="101"/>
        <v>#DIV/0!</v>
      </c>
      <c r="P325" s="79" t="e">
        <f t="shared" si="102"/>
        <v>#DIV/0!</v>
      </c>
      <c r="Q325" s="81" t="e">
        <f t="shared" si="103"/>
        <v>#DIV/0!</v>
      </c>
      <c r="R325" s="98">
        <f t="shared" si="121"/>
        <v>0</v>
      </c>
      <c r="S325" s="83" t="e">
        <f t="shared" si="104"/>
        <v>#DIV/0!</v>
      </c>
      <c r="T325" s="135"/>
      <c r="U325" s="135"/>
      <c r="V325" s="135"/>
      <c r="W325" s="135"/>
      <c r="X325" s="136"/>
      <c r="Y325" s="50"/>
      <c r="Z325" s="50"/>
    </row>
    <row r="326" spans="1:26" ht="12.75" hidden="1" outlineLevel="1" x14ac:dyDescent="0.2">
      <c r="A326" s="50"/>
      <c r="B326" s="137"/>
      <c r="C326" s="70" t="s">
        <v>40</v>
      </c>
      <c r="D326" s="99">
        <v>0</v>
      </c>
      <c r="E326" s="73">
        <v>0</v>
      </c>
      <c r="F326" s="73">
        <v>0</v>
      </c>
      <c r="G326" s="74" t="e">
        <f t="shared" si="98"/>
        <v>#DIV/0!</v>
      </c>
      <c r="H326" s="75" t="e">
        <f t="shared" si="99"/>
        <v>#DIV/0!</v>
      </c>
      <c r="I326" s="76" t="e">
        <f t="shared" si="100"/>
        <v>#DIV/0!</v>
      </c>
      <c r="J326" s="99">
        <v>0</v>
      </c>
      <c r="K326" s="73">
        <v>0</v>
      </c>
      <c r="L326" s="73">
        <v>0</v>
      </c>
      <c r="M326" s="100">
        <v>0</v>
      </c>
      <c r="N326" s="79" t="e">
        <f t="shared" si="122"/>
        <v>#DIV/0!</v>
      </c>
      <c r="O326" s="80" t="e">
        <f t="shared" si="101"/>
        <v>#DIV/0!</v>
      </c>
      <c r="P326" s="79" t="e">
        <f t="shared" si="102"/>
        <v>#DIV/0!</v>
      </c>
      <c r="Q326" s="81" t="e">
        <f t="shared" si="103"/>
        <v>#DIV/0!</v>
      </c>
      <c r="R326" s="101">
        <f t="shared" si="121"/>
        <v>0</v>
      </c>
      <c r="S326" s="83" t="e">
        <f t="shared" si="104"/>
        <v>#DIV/0!</v>
      </c>
      <c r="T326" s="135"/>
      <c r="U326" s="135"/>
      <c r="V326" s="135"/>
      <c r="W326" s="135"/>
      <c r="X326" s="136"/>
      <c r="Y326" s="50"/>
      <c r="Z326" s="50"/>
    </row>
    <row r="327" spans="1:26" ht="12.75" hidden="1" outlineLevel="1" x14ac:dyDescent="0.2">
      <c r="A327" s="50"/>
      <c r="B327" s="137"/>
      <c r="C327" s="70" t="s">
        <v>41</v>
      </c>
      <c r="D327" s="102">
        <v>146.72</v>
      </c>
      <c r="E327" s="73">
        <v>-1</v>
      </c>
      <c r="F327" s="73">
        <v>3</v>
      </c>
      <c r="G327" s="74">
        <f t="shared" si="98"/>
        <v>-0.33333333333333331</v>
      </c>
      <c r="H327" s="75">
        <f t="shared" si="99"/>
        <v>-146.72</v>
      </c>
      <c r="I327" s="76">
        <f t="shared" si="100"/>
        <v>440.16</v>
      </c>
      <c r="J327" s="102">
        <v>63.44</v>
      </c>
      <c r="K327" s="73">
        <v>6572</v>
      </c>
      <c r="L327" s="73">
        <v>0</v>
      </c>
      <c r="M327" s="103">
        <v>0</v>
      </c>
      <c r="N327" s="79" t="e">
        <f t="shared" si="122"/>
        <v>#DIV/0!</v>
      </c>
      <c r="O327" s="80">
        <f t="shared" si="101"/>
        <v>0</v>
      </c>
      <c r="P327" s="79">
        <f t="shared" si="102"/>
        <v>0.43238822246455832</v>
      </c>
      <c r="Q327" s="81">
        <f t="shared" si="103"/>
        <v>0</v>
      </c>
      <c r="R327" s="104">
        <f t="shared" si="121"/>
        <v>146.72</v>
      </c>
      <c r="S327" s="83" t="e">
        <f t="shared" si="104"/>
        <v>#DIV/0!</v>
      </c>
      <c r="T327" s="135"/>
      <c r="U327" s="135"/>
      <c r="V327" s="135"/>
      <c r="W327" s="135"/>
      <c r="X327" s="136"/>
      <c r="Y327" s="50"/>
      <c r="Z327" s="50"/>
    </row>
    <row r="328" spans="1:26" ht="12.75" hidden="1" outlineLevel="1" x14ac:dyDescent="0.2">
      <c r="A328" s="50"/>
      <c r="B328" s="137"/>
      <c r="C328" s="70" t="s">
        <v>42</v>
      </c>
      <c r="D328" s="90">
        <v>59.97</v>
      </c>
      <c r="E328" s="73">
        <v>3</v>
      </c>
      <c r="F328" s="73">
        <v>3</v>
      </c>
      <c r="G328" s="74">
        <f t="shared" si="98"/>
        <v>1</v>
      </c>
      <c r="H328" s="75">
        <f t="shared" si="99"/>
        <v>19.989999999999998</v>
      </c>
      <c r="I328" s="76">
        <f t="shared" si="100"/>
        <v>19.989999999999998</v>
      </c>
      <c r="J328" s="90">
        <v>5.19</v>
      </c>
      <c r="K328" s="73">
        <v>13441</v>
      </c>
      <c r="L328" s="73">
        <v>16</v>
      </c>
      <c r="M328" s="91">
        <v>319.83999999999997</v>
      </c>
      <c r="N328" s="79">
        <f t="shared" si="122"/>
        <v>1.6226863431715862E-2</v>
      </c>
      <c r="O328" s="80">
        <f t="shared" si="101"/>
        <v>61.626204238920991</v>
      </c>
      <c r="P328" s="79">
        <f t="shared" si="102"/>
        <v>8.6543271635817917E-2</v>
      </c>
      <c r="Q328" s="81">
        <f t="shared" si="103"/>
        <v>5.333333333333333</v>
      </c>
      <c r="R328" s="92">
        <f t="shared" si="121"/>
        <v>-259.87</v>
      </c>
      <c r="S328" s="83">
        <f t="shared" si="104"/>
        <v>0.32437500000000002</v>
      </c>
      <c r="T328" s="135"/>
      <c r="U328" s="135"/>
      <c r="V328" s="135"/>
      <c r="W328" s="135"/>
      <c r="X328" s="136"/>
      <c r="Y328" s="50"/>
      <c r="Z328" s="50"/>
    </row>
    <row r="329" spans="1:26" ht="12.75" hidden="1" outlineLevel="1" x14ac:dyDescent="0.2">
      <c r="A329" s="50"/>
      <c r="B329" s="137"/>
      <c r="C329" s="70" t="s">
        <v>43</v>
      </c>
      <c r="D329" s="105">
        <v>375.9</v>
      </c>
      <c r="E329" s="73">
        <v>2</v>
      </c>
      <c r="F329" s="73">
        <v>2</v>
      </c>
      <c r="G329" s="74">
        <f t="shared" si="98"/>
        <v>1</v>
      </c>
      <c r="H329" s="75">
        <f t="shared" si="99"/>
        <v>187.95</v>
      </c>
      <c r="I329" s="76">
        <f t="shared" si="100"/>
        <v>187.95</v>
      </c>
      <c r="J329" s="105">
        <v>6.58</v>
      </c>
      <c r="K329" s="73">
        <v>19780</v>
      </c>
      <c r="L329" s="73">
        <v>0</v>
      </c>
      <c r="M329" s="106">
        <v>0</v>
      </c>
      <c r="N329" s="79" t="e">
        <f t="shared" si="122"/>
        <v>#DIV/0!</v>
      </c>
      <c r="O329" s="80">
        <f t="shared" si="101"/>
        <v>0</v>
      </c>
      <c r="P329" s="79">
        <f t="shared" si="102"/>
        <v>1.7504655493482311E-2</v>
      </c>
      <c r="Q329" s="81">
        <f t="shared" si="103"/>
        <v>0</v>
      </c>
      <c r="R329" s="107">
        <f t="shared" si="121"/>
        <v>375.9</v>
      </c>
      <c r="S329" s="83" t="e">
        <f t="shared" si="104"/>
        <v>#DIV/0!</v>
      </c>
      <c r="T329" s="135"/>
      <c r="U329" s="135"/>
      <c r="V329" s="135"/>
      <c r="W329" s="135"/>
      <c r="X329" s="136"/>
      <c r="Y329" s="50"/>
      <c r="Z329" s="50"/>
    </row>
    <row r="330" spans="1:26" ht="12.75" hidden="1" outlineLevel="1" x14ac:dyDescent="0.2">
      <c r="A330" s="50"/>
      <c r="B330" s="137"/>
      <c r="C330" s="70" t="s">
        <v>44</v>
      </c>
      <c r="D330" s="108">
        <v>89.9</v>
      </c>
      <c r="E330" s="73">
        <v>2</v>
      </c>
      <c r="F330" s="73">
        <v>2</v>
      </c>
      <c r="G330" s="74">
        <f t="shared" si="98"/>
        <v>1</v>
      </c>
      <c r="H330" s="75">
        <f t="shared" si="99"/>
        <v>44.95</v>
      </c>
      <c r="I330" s="76">
        <f t="shared" si="100"/>
        <v>44.95</v>
      </c>
      <c r="J330" s="108">
        <v>15.92</v>
      </c>
      <c r="K330" s="73">
        <v>8541</v>
      </c>
      <c r="L330" s="73">
        <v>0</v>
      </c>
      <c r="M330" s="109">
        <v>0</v>
      </c>
      <c r="N330" s="79" t="e">
        <f t="shared" si="122"/>
        <v>#DIV/0!</v>
      </c>
      <c r="O330" s="80">
        <f t="shared" si="101"/>
        <v>0</v>
      </c>
      <c r="P330" s="79">
        <f t="shared" si="102"/>
        <v>0.17708565072302557</v>
      </c>
      <c r="Q330" s="81">
        <f t="shared" si="103"/>
        <v>0</v>
      </c>
      <c r="R330" s="110">
        <f t="shared" si="121"/>
        <v>89.9</v>
      </c>
      <c r="S330" s="83" t="e">
        <f t="shared" si="104"/>
        <v>#DIV/0!</v>
      </c>
      <c r="T330" s="135"/>
      <c r="U330" s="135"/>
      <c r="V330" s="135"/>
      <c r="W330" s="135"/>
      <c r="X330" s="136"/>
      <c r="Y330" s="50"/>
      <c r="Z330" s="50"/>
    </row>
    <row r="331" spans="1:26" ht="12.75" hidden="1" outlineLevel="1" x14ac:dyDescent="0.2">
      <c r="A331" s="139"/>
      <c r="B331" s="137"/>
      <c r="C331" s="112" t="s">
        <v>45</v>
      </c>
      <c r="D331" s="71">
        <v>39.9</v>
      </c>
      <c r="E331" s="73">
        <v>2</v>
      </c>
      <c r="F331" s="73">
        <v>1</v>
      </c>
      <c r="G331" s="74">
        <f t="shared" si="98"/>
        <v>2</v>
      </c>
      <c r="H331" s="75">
        <f t="shared" si="99"/>
        <v>19.95</v>
      </c>
      <c r="I331" s="76">
        <f t="shared" si="100"/>
        <v>9.9749999999999996</v>
      </c>
      <c r="J331" s="71">
        <v>0</v>
      </c>
      <c r="K331" s="73">
        <v>0</v>
      </c>
      <c r="L331" s="73">
        <v>0</v>
      </c>
      <c r="M331" s="78">
        <v>0</v>
      </c>
      <c r="N331" s="79" t="e">
        <f t="shared" si="122"/>
        <v>#DIV/0!</v>
      </c>
      <c r="O331" s="80" t="e">
        <f t="shared" si="101"/>
        <v>#DIV/0!</v>
      </c>
      <c r="P331" s="79">
        <f t="shared" si="102"/>
        <v>0</v>
      </c>
      <c r="Q331" s="81">
        <f t="shared" si="103"/>
        <v>0</v>
      </c>
      <c r="R331" s="82">
        <f t="shared" si="121"/>
        <v>39.9</v>
      </c>
      <c r="S331" s="83" t="e">
        <f t="shared" si="104"/>
        <v>#DIV/0!</v>
      </c>
      <c r="T331" s="140"/>
      <c r="U331" s="140"/>
      <c r="V331" s="140"/>
      <c r="W331" s="141"/>
      <c r="X331" s="142"/>
      <c r="Y331" s="50"/>
      <c r="Z331" s="50"/>
    </row>
    <row r="332" spans="1:26" ht="12.75" hidden="1" outlineLevel="1" x14ac:dyDescent="0.2">
      <c r="A332" s="50"/>
      <c r="B332" s="137"/>
      <c r="C332" s="70" t="s">
        <v>46</v>
      </c>
      <c r="D332" s="116">
        <v>709.2</v>
      </c>
      <c r="E332" s="73">
        <v>16</v>
      </c>
      <c r="F332" s="73">
        <v>15</v>
      </c>
      <c r="G332" s="74">
        <f t="shared" si="98"/>
        <v>1.0666666666666667</v>
      </c>
      <c r="H332" s="75">
        <f t="shared" si="99"/>
        <v>44.325000000000003</v>
      </c>
      <c r="I332" s="76">
        <f t="shared" si="100"/>
        <v>41.5546875</v>
      </c>
      <c r="J332" s="116">
        <v>78.27</v>
      </c>
      <c r="K332" s="73">
        <v>26726</v>
      </c>
      <c r="L332" s="73">
        <v>7</v>
      </c>
      <c r="M332" s="117">
        <v>130.85</v>
      </c>
      <c r="N332" s="79">
        <f t="shared" si="122"/>
        <v>0.59816583874665652</v>
      </c>
      <c r="O332" s="80">
        <f t="shared" si="101"/>
        <v>1.6717771815510414</v>
      </c>
      <c r="P332" s="79">
        <f t="shared" si="102"/>
        <v>0.1103637901861252</v>
      </c>
      <c r="Q332" s="81">
        <f t="shared" si="103"/>
        <v>0.18450366610265084</v>
      </c>
      <c r="R332" s="82">
        <f t="shared" si="121"/>
        <v>578.35</v>
      </c>
      <c r="S332" s="83">
        <f t="shared" si="104"/>
        <v>11.181428571428571</v>
      </c>
      <c r="T332" s="135"/>
      <c r="U332" s="135"/>
      <c r="V332" s="135"/>
      <c r="W332" s="135"/>
      <c r="X332" s="136"/>
      <c r="Y332" s="50"/>
      <c r="Z332" s="50"/>
    </row>
    <row r="333" spans="1:26" ht="12.75" hidden="1" outlineLevel="1" x14ac:dyDescent="0.2">
      <c r="A333" s="50"/>
      <c r="B333" s="137"/>
      <c r="C333" s="70" t="s">
        <v>49</v>
      </c>
      <c r="D333" s="116">
        <v>0</v>
      </c>
      <c r="E333" s="73">
        <v>0</v>
      </c>
      <c r="F333" s="73">
        <v>0</v>
      </c>
      <c r="G333" s="74" t="e">
        <f t="shared" si="98"/>
        <v>#DIV/0!</v>
      </c>
      <c r="H333" s="75" t="e">
        <f t="shared" si="99"/>
        <v>#DIV/0!</v>
      </c>
      <c r="I333" s="76" t="e">
        <f t="shared" si="100"/>
        <v>#DIV/0!</v>
      </c>
      <c r="J333" s="116">
        <v>9.0500000000000007</v>
      </c>
      <c r="K333" s="73">
        <v>8860</v>
      </c>
      <c r="L333" s="73">
        <v>0</v>
      </c>
      <c r="M333" s="117">
        <v>0</v>
      </c>
      <c r="N333" s="79" t="e">
        <f t="shared" si="122"/>
        <v>#DIV/0!</v>
      </c>
      <c r="O333" s="80">
        <f t="shared" si="101"/>
        <v>0</v>
      </c>
      <c r="P333" s="79" t="e">
        <f t="shared" si="102"/>
        <v>#DIV/0!</v>
      </c>
      <c r="Q333" s="81" t="e">
        <f t="shared" si="103"/>
        <v>#DIV/0!</v>
      </c>
      <c r="R333" s="82">
        <f t="shared" si="121"/>
        <v>0</v>
      </c>
      <c r="S333" s="83" t="e">
        <f t="shared" si="104"/>
        <v>#DIV/0!</v>
      </c>
      <c r="T333" s="135"/>
      <c r="U333" s="135"/>
      <c r="V333" s="135"/>
      <c r="W333" s="135"/>
      <c r="X333" s="136"/>
      <c r="Y333" s="50"/>
      <c r="Z333" s="50"/>
    </row>
    <row r="334" spans="1:26" hidden="1" outlineLevel="1" x14ac:dyDescent="0.25">
      <c r="A334" s="118" t="str">
        <f t="shared" ref="A334:A335" si="123">IFERROR(IF(B334&gt;0,MONTH(B334)&amp;"-"&amp;YEAR(B334),B334),)</f>
        <v>6-2025</v>
      </c>
      <c r="B334" s="69">
        <v>45829</v>
      </c>
      <c r="C334" s="198" t="s">
        <v>64</v>
      </c>
      <c r="D334" s="116">
        <v>0</v>
      </c>
      <c r="E334" s="73">
        <v>0</v>
      </c>
      <c r="F334" s="73">
        <v>0</v>
      </c>
      <c r="G334" s="74" t="e">
        <f t="shared" si="98"/>
        <v>#DIV/0!</v>
      </c>
      <c r="H334" s="75" t="e">
        <f t="shared" si="99"/>
        <v>#DIV/0!</v>
      </c>
      <c r="I334" s="76" t="e">
        <f t="shared" si="100"/>
        <v>#DIV/0!</v>
      </c>
      <c r="J334" s="87">
        <v>404.34</v>
      </c>
      <c r="K334" s="199">
        <v>86418</v>
      </c>
      <c r="L334" s="73">
        <v>0</v>
      </c>
      <c r="M334" s="88">
        <v>732.33999999999992</v>
      </c>
      <c r="N334" s="79">
        <f t="shared" si="122"/>
        <v>0.5521205997214409</v>
      </c>
      <c r="O334" s="80">
        <f t="shared" si="101"/>
        <v>1.8111984963149823</v>
      </c>
      <c r="P334" s="79" t="e">
        <f t="shared" si="102"/>
        <v>#DIV/0!</v>
      </c>
      <c r="Q334" s="81" t="e">
        <f t="shared" si="103"/>
        <v>#DIV/0!</v>
      </c>
      <c r="R334" s="82">
        <f t="shared" si="121"/>
        <v>-732.33999999999992</v>
      </c>
      <c r="S334" s="83" t="e">
        <f t="shared" si="104"/>
        <v>#DIV/0!</v>
      </c>
      <c r="T334" s="135"/>
      <c r="U334" s="135"/>
      <c r="V334" s="135"/>
      <c r="W334" s="135"/>
      <c r="X334" s="136"/>
      <c r="Y334" s="50"/>
      <c r="Z334" s="50"/>
    </row>
    <row r="335" spans="1:26" ht="12.75" collapsed="1" x14ac:dyDescent="0.2">
      <c r="A335" s="50">
        <f t="shared" si="123"/>
        <v>0</v>
      </c>
      <c r="B335" s="52" t="s">
        <v>83</v>
      </c>
      <c r="C335" s="145"/>
      <c r="D335" s="121">
        <f t="shared" ref="D335:F335" si="124">SUM(D317:D334)</f>
        <v>7547.9899999999989</v>
      </c>
      <c r="E335" s="123">
        <f t="shared" si="124"/>
        <v>90</v>
      </c>
      <c r="F335" s="123">
        <f t="shared" si="124"/>
        <v>95</v>
      </c>
      <c r="G335" s="124">
        <f t="shared" si="98"/>
        <v>0.94736842105263153</v>
      </c>
      <c r="H335" s="125">
        <f t="shared" si="99"/>
        <v>83.86655555555555</v>
      </c>
      <c r="I335" s="126">
        <f t="shared" si="100"/>
        <v>88.525808641975303</v>
      </c>
      <c r="J335" s="121">
        <f t="shared" ref="J335:M335" si="125">SUM(J317:J334)</f>
        <v>1423.36</v>
      </c>
      <c r="K335" s="123">
        <f t="shared" si="125"/>
        <v>400506</v>
      </c>
      <c r="L335" s="123">
        <f t="shared" si="125"/>
        <v>41</v>
      </c>
      <c r="M335" s="127">
        <f t="shared" si="125"/>
        <v>2566.58</v>
      </c>
      <c r="N335" s="128">
        <f t="shared" si="122"/>
        <v>0.55457457005041721</v>
      </c>
      <c r="O335" s="129">
        <f t="shared" si="101"/>
        <v>1.8031840152877698</v>
      </c>
      <c r="P335" s="128">
        <f t="shared" si="102"/>
        <v>0.1885747066437555</v>
      </c>
      <c r="Q335" s="130">
        <f t="shared" si="103"/>
        <v>0.34003489670760034</v>
      </c>
      <c r="R335" s="131">
        <f>SUM(R317:R334)</f>
        <v>4981.4099999999989</v>
      </c>
      <c r="S335" s="132">
        <f t="shared" si="104"/>
        <v>34.716097560975605</v>
      </c>
      <c r="T335" s="273">
        <f t="shared" ref="T335:U335" si="126">IFERROR((D335-D69)/D335,)</f>
        <v>-4.4157451188990742E-3</v>
      </c>
      <c r="U335" s="273">
        <f t="shared" si="126"/>
        <v>-4.4444444444444446E-2</v>
      </c>
      <c r="V335" s="271" t="s">
        <v>139</v>
      </c>
      <c r="W335" s="271" t="s">
        <v>139</v>
      </c>
      <c r="X335" s="50"/>
      <c r="Y335" s="50"/>
      <c r="Z335" s="50"/>
    </row>
    <row r="336" spans="1:26" ht="12.75" hidden="1" outlineLevel="1" x14ac:dyDescent="0.2">
      <c r="A336" s="50"/>
      <c r="B336" s="69">
        <v>45830</v>
      </c>
      <c r="C336" s="70" t="s">
        <v>32</v>
      </c>
      <c r="D336" s="71">
        <v>1682.9</v>
      </c>
      <c r="E336" s="73">
        <v>6</v>
      </c>
      <c r="F336" s="73">
        <v>8</v>
      </c>
      <c r="G336" s="74">
        <f t="shared" si="98"/>
        <v>0.75</v>
      </c>
      <c r="H336" s="75">
        <f t="shared" si="99"/>
        <v>280.48333333333335</v>
      </c>
      <c r="I336" s="76">
        <f t="shared" si="100"/>
        <v>373.97777777777782</v>
      </c>
      <c r="J336" s="77">
        <v>431.44</v>
      </c>
      <c r="K336" s="73">
        <v>127727</v>
      </c>
      <c r="L336" s="73">
        <v>3</v>
      </c>
      <c r="M336" s="78">
        <v>458.95</v>
      </c>
      <c r="N336" s="79">
        <f t="shared" si="122"/>
        <v>0.9400588299379018</v>
      </c>
      <c r="O336" s="80">
        <f t="shared" si="101"/>
        <v>1.0637632115705544</v>
      </c>
      <c r="P336" s="79">
        <f t="shared" si="102"/>
        <v>0.25636698556063936</v>
      </c>
      <c r="Q336" s="81">
        <f t="shared" si="103"/>
        <v>0.27271376790064766</v>
      </c>
      <c r="R336" s="82">
        <f t="shared" ref="R336:R353" si="127">D336-M336</f>
        <v>1223.95</v>
      </c>
      <c r="S336" s="83">
        <f t="shared" si="104"/>
        <v>143.81333333333333</v>
      </c>
      <c r="T336" s="135"/>
      <c r="U336" s="135"/>
      <c r="V336" s="135"/>
      <c r="W336" s="135"/>
      <c r="X336" s="136"/>
      <c r="Y336" s="50"/>
      <c r="Z336" s="50"/>
    </row>
    <row r="337" spans="1:26" ht="12.75" hidden="1" outlineLevel="1" x14ac:dyDescent="0.2">
      <c r="A337" s="50"/>
      <c r="B337" s="137"/>
      <c r="C337" s="70" t="s">
        <v>33</v>
      </c>
      <c r="D337" s="87">
        <v>4852.2</v>
      </c>
      <c r="E337" s="73">
        <v>56</v>
      </c>
      <c r="F337" s="73">
        <v>62</v>
      </c>
      <c r="G337" s="74">
        <f t="shared" si="98"/>
        <v>0.90322580645161288</v>
      </c>
      <c r="H337" s="75">
        <f t="shared" si="99"/>
        <v>86.646428571428572</v>
      </c>
      <c r="I337" s="76">
        <f t="shared" si="100"/>
        <v>95.929974489795924</v>
      </c>
      <c r="J337" s="87">
        <v>250.68</v>
      </c>
      <c r="K337" s="73">
        <v>92073</v>
      </c>
      <c r="L337" s="73">
        <v>7</v>
      </c>
      <c r="M337" s="88">
        <v>554.85</v>
      </c>
      <c r="N337" s="79">
        <f t="shared" si="122"/>
        <v>0.45179778318464447</v>
      </c>
      <c r="O337" s="80">
        <f t="shared" si="101"/>
        <v>2.2133796074676879</v>
      </c>
      <c r="P337" s="79">
        <f t="shared" si="102"/>
        <v>5.1663163101273654E-2</v>
      </c>
      <c r="Q337" s="81">
        <f t="shared" si="103"/>
        <v>0.11435019166563622</v>
      </c>
      <c r="R337" s="89">
        <f t="shared" si="127"/>
        <v>4297.3499999999995</v>
      </c>
      <c r="S337" s="83">
        <f t="shared" si="104"/>
        <v>35.811428571428571</v>
      </c>
      <c r="T337" s="135"/>
      <c r="U337" s="135"/>
      <c r="V337" s="135"/>
      <c r="W337" s="135"/>
      <c r="X337" s="136"/>
      <c r="Y337" s="50"/>
      <c r="Z337" s="50"/>
    </row>
    <row r="338" spans="1:26" ht="12.75" hidden="1" outlineLevel="1" x14ac:dyDescent="0.2">
      <c r="A338" s="50"/>
      <c r="B338" s="137"/>
      <c r="C338" s="70" t="s">
        <v>34</v>
      </c>
      <c r="D338" s="90">
        <v>0</v>
      </c>
      <c r="E338" s="73">
        <v>0</v>
      </c>
      <c r="F338" s="73">
        <v>0</v>
      </c>
      <c r="G338" s="74" t="e">
        <f t="shared" si="98"/>
        <v>#DIV/0!</v>
      </c>
      <c r="H338" s="75" t="e">
        <f t="shared" si="99"/>
        <v>#DIV/0!</v>
      </c>
      <c r="I338" s="76" t="e">
        <f t="shared" si="100"/>
        <v>#DIV/0!</v>
      </c>
      <c r="J338" s="90">
        <v>1.21</v>
      </c>
      <c r="K338" s="73">
        <v>157</v>
      </c>
      <c r="L338" s="73">
        <v>0</v>
      </c>
      <c r="M338" s="91">
        <v>0</v>
      </c>
      <c r="N338" s="79" t="e">
        <f>(J338/M338)</f>
        <v>#DIV/0!</v>
      </c>
      <c r="O338" s="80">
        <f t="shared" si="101"/>
        <v>0</v>
      </c>
      <c r="P338" s="79" t="e">
        <f t="shared" si="102"/>
        <v>#DIV/0!</v>
      </c>
      <c r="Q338" s="81" t="e">
        <f t="shared" si="103"/>
        <v>#DIV/0!</v>
      </c>
      <c r="R338" s="92">
        <f t="shared" si="127"/>
        <v>0</v>
      </c>
      <c r="S338" s="83" t="e">
        <f t="shared" si="104"/>
        <v>#DIV/0!</v>
      </c>
      <c r="T338" s="135"/>
      <c r="U338" s="135"/>
      <c r="V338" s="135"/>
      <c r="W338" s="135"/>
      <c r="X338" s="136"/>
      <c r="Y338" s="50"/>
      <c r="Z338" s="50"/>
    </row>
    <row r="339" spans="1:26" ht="12.75" hidden="1" outlineLevel="1" x14ac:dyDescent="0.2">
      <c r="A339" s="50"/>
      <c r="B339" s="137"/>
      <c r="C339" s="70" t="s">
        <v>35</v>
      </c>
      <c r="D339" s="90">
        <v>239.8</v>
      </c>
      <c r="E339" s="73">
        <v>4</v>
      </c>
      <c r="F339" s="73">
        <v>4</v>
      </c>
      <c r="G339" s="74">
        <f t="shared" si="98"/>
        <v>1</v>
      </c>
      <c r="H339" s="75">
        <f t="shared" si="99"/>
        <v>59.95</v>
      </c>
      <c r="I339" s="76">
        <f t="shared" si="100"/>
        <v>59.95</v>
      </c>
      <c r="J339" s="90">
        <v>0</v>
      </c>
      <c r="K339" s="73">
        <v>0</v>
      </c>
      <c r="L339" s="73">
        <v>0</v>
      </c>
      <c r="M339" s="91">
        <v>0</v>
      </c>
      <c r="N339" s="79" t="e">
        <f t="shared" ref="N339:N356" si="128">J339/M339</f>
        <v>#DIV/0!</v>
      </c>
      <c r="O339" s="80" t="e">
        <f t="shared" si="101"/>
        <v>#DIV/0!</v>
      </c>
      <c r="P339" s="79">
        <f t="shared" si="102"/>
        <v>0</v>
      </c>
      <c r="Q339" s="81">
        <f t="shared" si="103"/>
        <v>0</v>
      </c>
      <c r="R339" s="92">
        <f t="shared" si="127"/>
        <v>239.8</v>
      </c>
      <c r="S339" s="83" t="e">
        <f t="shared" si="104"/>
        <v>#DIV/0!</v>
      </c>
      <c r="T339" s="135"/>
      <c r="U339" s="135"/>
      <c r="V339" s="135"/>
      <c r="W339" s="135"/>
      <c r="X339" s="136"/>
      <c r="Y339" s="50"/>
      <c r="Z339" s="50"/>
    </row>
    <row r="340" spans="1:26" ht="12.75" hidden="1" outlineLevel="1" x14ac:dyDescent="0.2">
      <c r="A340" s="50"/>
      <c r="B340" s="137"/>
      <c r="C340" s="70" t="s">
        <v>62</v>
      </c>
      <c r="D340" s="200">
        <v>0</v>
      </c>
      <c r="E340" s="73">
        <v>0</v>
      </c>
      <c r="F340" s="73">
        <v>0</v>
      </c>
      <c r="G340" s="74" t="e">
        <f t="shared" si="98"/>
        <v>#DIV/0!</v>
      </c>
      <c r="H340" s="75" t="e">
        <f t="shared" si="99"/>
        <v>#DIV/0!</v>
      </c>
      <c r="I340" s="76" t="e">
        <f t="shared" si="100"/>
        <v>#DIV/0!</v>
      </c>
      <c r="J340" s="200">
        <v>0</v>
      </c>
      <c r="K340" s="73">
        <v>0</v>
      </c>
      <c r="L340" s="73">
        <v>0</v>
      </c>
      <c r="M340" s="200">
        <v>0</v>
      </c>
      <c r="N340" s="79" t="e">
        <f t="shared" si="128"/>
        <v>#DIV/0!</v>
      </c>
      <c r="O340" s="80" t="e">
        <f t="shared" si="101"/>
        <v>#DIV/0!</v>
      </c>
      <c r="P340" s="79" t="e">
        <f t="shared" si="102"/>
        <v>#DIV/0!</v>
      </c>
      <c r="Q340" s="81" t="e">
        <f t="shared" si="103"/>
        <v>#DIV/0!</v>
      </c>
      <c r="R340" s="92">
        <f t="shared" si="127"/>
        <v>0</v>
      </c>
      <c r="S340" s="83" t="e">
        <f t="shared" si="104"/>
        <v>#DIV/0!</v>
      </c>
      <c r="T340" s="135"/>
      <c r="U340" s="135"/>
      <c r="V340" s="135"/>
      <c r="W340" s="135"/>
      <c r="X340" s="136"/>
      <c r="Y340" s="50"/>
      <c r="Z340" s="50"/>
    </row>
    <row r="341" spans="1:26" ht="12.75" hidden="1" outlineLevel="1" x14ac:dyDescent="0.2">
      <c r="A341" s="50"/>
      <c r="B341" s="137"/>
      <c r="C341" s="70" t="s">
        <v>66</v>
      </c>
      <c r="D341" s="201">
        <v>0</v>
      </c>
      <c r="E341" s="73">
        <v>0</v>
      </c>
      <c r="F341" s="73">
        <v>0</v>
      </c>
      <c r="G341" s="74" t="e">
        <f t="shared" si="98"/>
        <v>#DIV/0!</v>
      </c>
      <c r="H341" s="75" t="e">
        <f t="shared" si="99"/>
        <v>#DIV/0!</v>
      </c>
      <c r="I341" s="76" t="e">
        <f t="shared" si="100"/>
        <v>#DIV/0!</v>
      </c>
      <c r="J341" s="201">
        <v>0</v>
      </c>
      <c r="K341" s="73">
        <v>0</v>
      </c>
      <c r="L341" s="73">
        <v>0</v>
      </c>
      <c r="M341" s="202">
        <v>0</v>
      </c>
      <c r="N341" s="79" t="e">
        <f t="shared" si="128"/>
        <v>#DIV/0!</v>
      </c>
      <c r="O341" s="80" t="e">
        <f t="shared" si="101"/>
        <v>#DIV/0!</v>
      </c>
      <c r="P341" s="79" t="e">
        <f t="shared" si="102"/>
        <v>#DIV/0!</v>
      </c>
      <c r="Q341" s="81" t="e">
        <f t="shared" si="103"/>
        <v>#DIV/0!</v>
      </c>
      <c r="R341" s="203">
        <f t="shared" si="127"/>
        <v>0</v>
      </c>
      <c r="S341" s="83" t="e">
        <f t="shared" si="104"/>
        <v>#DIV/0!</v>
      </c>
      <c r="T341" s="135"/>
      <c r="U341" s="135"/>
      <c r="V341" s="135"/>
      <c r="W341" s="135"/>
      <c r="X341" s="136"/>
      <c r="Y341" s="50"/>
      <c r="Z341" s="50"/>
    </row>
    <row r="342" spans="1:26" ht="12.75" hidden="1" outlineLevel="1" x14ac:dyDescent="0.2">
      <c r="A342" s="50"/>
      <c r="B342" s="137"/>
      <c r="C342" s="70" t="s">
        <v>36</v>
      </c>
      <c r="D342" s="90">
        <v>296.58</v>
      </c>
      <c r="E342" s="73">
        <v>5</v>
      </c>
      <c r="F342" s="73">
        <v>4</v>
      </c>
      <c r="G342" s="74">
        <f t="shared" si="98"/>
        <v>1.25</v>
      </c>
      <c r="H342" s="75">
        <f t="shared" si="99"/>
        <v>59.315999999999995</v>
      </c>
      <c r="I342" s="76">
        <f t="shared" si="100"/>
        <v>47.452799999999996</v>
      </c>
      <c r="J342" s="90">
        <v>59.16</v>
      </c>
      <c r="K342" s="73">
        <v>12239</v>
      </c>
      <c r="L342" s="73">
        <v>2</v>
      </c>
      <c r="M342" s="91">
        <v>119.9</v>
      </c>
      <c r="N342" s="79">
        <f t="shared" si="128"/>
        <v>0.49341117597998324</v>
      </c>
      <c r="O342" s="80">
        <f t="shared" si="101"/>
        <v>2.0267072346179855</v>
      </c>
      <c r="P342" s="79">
        <f t="shared" si="102"/>
        <v>0.19947400364151324</v>
      </c>
      <c r="Q342" s="81">
        <f t="shared" si="103"/>
        <v>0.40427540629846925</v>
      </c>
      <c r="R342" s="92">
        <f t="shared" si="127"/>
        <v>176.67999999999998</v>
      </c>
      <c r="S342" s="83">
        <f t="shared" si="104"/>
        <v>29.58</v>
      </c>
      <c r="T342" s="135"/>
      <c r="U342" s="135"/>
      <c r="V342" s="135"/>
      <c r="W342" s="135"/>
      <c r="X342" s="136"/>
      <c r="Y342" s="50"/>
      <c r="Z342" s="50"/>
    </row>
    <row r="343" spans="1:26" ht="12.75" hidden="1" outlineLevel="1" x14ac:dyDescent="0.2">
      <c r="A343" s="50"/>
      <c r="B343" s="69" t="s">
        <v>37</v>
      </c>
      <c r="C343" s="70" t="s">
        <v>38</v>
      </c>
      <c r="D343" s="93">
        <v>169.9</v>
      </c>
      <c r="E343" s="73">
        <v>2</v>
      </c>
      <c r="F343" s="73">
        <v>2</v>
      </c>
      <c r="G343" s="74">
        <f t="shared" si="98"/>
        <v>1</v>
      </c>
      <c r="H343" s="75">
        <f t="shared" si="99"/>
        <v>84.95</v>
      </c>
      <c r="I343" s="76">
        <f t="shared" si="100"/>
        <v>84.95</v>
      </c>
      <c r="J343" s="93">
        <v>28.86</v>
      </c>
      <c r="K343" s="73">
        <v>11088</v>
      </c>
      <c r="L343" s="73">
        <v>1</v>
      </c>
      <c r="M343" s="94">
        <v>29.95</v>
      </c>
      <c r="N343" s="79">
        <f t="shared" si="128"/>
        <v>0.96360601001669455</v>
      </c>
      <c r="O343" s="80">
        <f t="shared" si="101"/>
        <v>1.0377685377685377</v>
      </c>
      <c r="P343" s="79">
        <f t="shared" si="102"/>
        <v>0.16986462625073573</v>
      </c>
      <c r="Q343" s="81">
        <f t="shared" si="103"/>
        <v>0.17628016480282518</v>
      </c>
      <c r="R343" s="95">
        <f t="shared" si="127"/>
        <v>139.95000000000002</v>
      </c>
      <c r="S343" s="83">
        <f t="shared" si="104"/>
        <v>28.86</v>
      </c>
      <c r="T343" s="135"/>
      <c r="U343" s="135"/>
      <c r="V343" s="135"/>
      <c r="W343" s="135"/>
      <c r="X343" s="136"/>
      <c r="Y343" s="50"/>
      <c r="Z343" s="50"/>
    </row>
    <row r="344" spans="1:26" ht="12.75" hidden="1" outlineLevel="1" x14ac:dyDescent="0.2">
      <c r="A344" s="50"/>
      <c r="B344" s="137"/>
      <c r="C344" s="70" t="s">
        <v>39</v>
      </c>
      <c r="D344" s="96">
        <v>0</v>
      </c>
      <c r="E344" s="73">
        <v>0</v>
      </c>
      <c r="F344" s="73">
        <v>0</v>
      </c>
      <c r="G344" s="74" t="e">
        <f t="shared" si="98"/>
        <v>#DIV/0!</v>
      </c>
      <c r="H344" s="75" t="e">
        <f t="shared" si="99"/>
        <v>#DIV/0!</v>
      </c>
      <c r="I344" s="76" t="e">
        <f t="shared" si="100"/>
        <v>#DIV/0!</v>
      </c>
      <c r="J344" s="96">
        <v>0</v>
      </c>
      <c r="K344" s="73">
        <v>0</v>
      </c>
      <c r="L344" s="73">
        <v>0</v>
      </c>
      <c r="M344" s="97">
        <v>0</v>
      </c>
      <c r="N344" s="79" t="e">
        <f t="shared" si="128"/>
        <v>#DIV/0!</v>
      </c>
      <c r="O344" s="80" t="e">
        <f t="shared" si="101"/>
        <v>#DIV/0!</v>
      </c>
      <c r="P344" s="79" t="e">
        <f t="shared" si="102"/>
        <v>#DIV/0!</v>
      </c>
      <c r="Q344" s="81" t="e">
        <f t="shared" si="103"/>
        <v>#DIV/0!</v>
      </c>
      <c r="R344" s="98">
        <f t="shared" si="127"/>
        <v>0</v>
      </c>
      <c r="S344" s="83" t="e">
        <f t="shared" si="104"/>
        <v>#DIV/0!</v>
      </c>
      <c r="T344" s="135"/>
      <c r="U344" s="135"/>
      <c r="V344" s="135"/>
      <c r="W344" s="135"/>
      <c r="X344" s="136"/>
      <c r="Y344" s="50"/>
      <c r="Z344" s="50"/>
    </row>
    <row r="345" spans="1:26" ht="12.75" hidden="1" outlineLevel="1" x14ac:dyDescent="0.2">
      <c r="A345" s="50"/>
      <c r="B345" s="137"/>
      <c r="C345" s="70" t="s">
        <v>40</v>
      </c>
      <c r="D345" s="99">
        <v>0</v>
      </c>
      <c r="E345" s="73">
        <v>0</v>
      </c>
      <c r="F345" s="73">
        <v>0</v>
      </c>
      <c r="G345" s="74" t="e">
        <f t="shared" si="98"/>
        <v>#DIV/0!</v>
      </c>
      <c r="H345" s="75" t="e">
        <f t="shared" si="99"/>
        <v>#DIV/0!</v>
      </c>
      <c r="I345" s="76" t="e">
        <f t="shared" si="100"/>
        <v>#DIV/0!</v>
      </c>
      <c r="J345" s="99">
        <v>0</v>
      </c>
      <c r="K345" s="73">
        <v>0</v>
      </c>
      <c r="L345" s="73">
        <v>0</v>
      </c>
      <c r="M345" s="100">
        <v>0</v>
      </c>
      <c r="N345" s="79" t="e">
        <f t="shared" si="128"/>
        <v>#DIV/0!</v>
      </c>
      <c r="O345" s="80" t="e">
        <f t="shared" si="101"/>
        <v>#DIV/0!</v>
      </c>
      <c r="P345" s="79" t="e">
        <f t="shared" si="102"/>
        <v>#DIV/0!</v>
      </c>
      <c r="Q345" s="81" t="e">
        <f t="shared" si="103"/>
        <v>#DIV/0!</v>
      </c>
      <c r="R345" s="101">
        <f t="shared" si="127"/>
        <v>0</v>
      </c>
      <c r="S345" s="83" t="e">
        <f t="shared" si="104"/>
        <v>#DIV/0!</v>
      </c>
      <c r="T345" s="135"/>
      <c r="U345" s="135"/>
      <c r="V345" s="135"/>
      <c r="W345" s="135"/>
      <c r="X345" s="136"/>
      <c r="Y345" s="50"/>
      <c r="Z345" s="50"/>
    </row>
    <row r="346" spans="1:26" ht="12.75" hidden="1" outlineLevel="1" x14ac:dyDescent="0.2">
      <c r="A346" s="50"/>
      <c r="B346" s="137"/>
      <c r="C346" s="70" t="s">
        <v>41</v>
      </c>
      <c r="D346" s="102">
        <v>109.98</v>
      </c>
      <c r="E346" s="73">
        <v>2</v>
      </c>
      <c r="F346" s="73">
        <v>2</v>
      </c>
      <c r="G346" s="74">
        <f t="shared" si="98"/>
        <v>1</v>
      </c>
      <c r="H346" s="75">
        <f t="shared" si="99"/>
        <v>54.99</v>
      </c>
      <c r="I346" s="76">
        <f t="shared" si="100"/>
        <v>54.99</v>
      </c>
      <c r="J346" s="102">
        <v>27.14</v>
      </c>
      <c r="K346" s="73">
        <v>5083</v>
      </c>
      <c r="L346" s="73">
        <v>0</v>
      </c>
      <c r="M346" s="103">
        <v>0</v>
      </c>
      <c r="N346" s="79" t="e">
        <f t="shared" si="128"/>
        <v>#DIV/0!</v>
      </c>
      <c r="O346" s="80">
        <f t="shared" si="101"/>
        <v>0</v>
      </c>
      <c r="P346" s="79">
        <f t="shared" si="102"/>
        <v>0.24677214038916165</v>
      </c>
      <c r="Q346" s="81">
        <f t="shared" si="103"/>
        <v>0</v>
      </c>
      <c r="R346" s="104">
        <f t="shared" si="127"/>
        <v>109.98</v>
      </c>
      <c r="S346" s="83" t="e">
        <f t="shared" si="104"/>
        <v>#DIV/0!</v>
      </c>
      <c r="T346" s="135"/>
      <c r="U346" s="135"/>
      <c r="V346" s="135"/>
      <c r="W346" s="135"/>
      <c r="X346" s="136"/>
      <c r="Y346" s="50"/>
      <c r="Z346" s="50"/>
    </row>
    <row r="347" spans="1:26" ht="12.75" hidden="1" outlineLevel="1" x14ac:dyDescent="0.2">
      <c r="A347" s="50"/>
      <c r="B347" s="137"/>
      <c r="C347" s="70" t="s">
        <v>42</v>
      </c>
      <c r="D347" s="90">
        <v>19.989999999999998</v>
      </c>
      <c r="E347" s="73">
        <v>1</v>
      </c>
      <c r="F347" s="73">
        <v>1</v>
      </c>
      <c r="G347" s="74">
        <f t="shared" si="98"/>
        <v>1</v>
      </c>
      <c r="H347" s="75">
        <f t="shared" si="99"/>
        <v>19.989999999999998</v>
      </c>
      <c r="I347" s="76">
        <f t="shared" si="100"/>
        <v>19.989999999999998</v>
      </c>
      <c r="J347" s="90">
        <v>2.25</v>
      </c>
      <c r="K347" s="73">
        <v>11057</v>
      </c>
      <c r="L347" s="73">
        <v>0</v>
      </c>
      <c r="M347" s="91">
        <v>0</v>
      </c>
      <c r="N347" s="79" t="e">
        <f t="shared" si="128"/>
        <v>#DIV/0!</v>
      </c>
      <c r="O347" s="80">
        <f t="shared" si="101"/>
        <v>0</v>
      </c>
      <c r="P347" s="79">
        <f t="shared" si="102"/>
        <v>0.11255627813906954</v>
      </c>
      <c r="Q347" s="81">
        <f t="shared" si="103"/>
        <v>0</v>
      </c>
      <c r="R347" s="92">
        <f t="shared" si="127"/>
        <v>19.989999999999998</v>
      </c>
      <c r="S347" s="83" t="e">
        <f t="shared" si="104"/>
        <v>#DIV/0!</v>
      </c>
      <c r="T347" s="135"/>
      <c r="U347" s="135"/>
      <c r="V347" s="135"/>
      <c r="W347" s="135"/>
      <c r="X347" s="136"/>
      <c r="Y347" s="50"/>
      <c r="Z347" s="50"/>
    </row>
    <row r="348" spans="1:26" ht="12.75" hidden="1" outlineLevel="1" x14ac:dyDescent="0.2">
      <c r="A348" s="50"/>
      <c r="B348" s="137"/>
      <c r="C348" s="70" t="s">
        <v>43</v>
      </c>
      <c r="D348" s="105">
        <v>385.9</v>
      </c>
      <c r="E348" s="73">
        <v>2</v>
      </c>
      <c r="F348" s="73">
        <v>2</v>
      </c>
      <c r="G348" s="74">
        <f t="shared" si="98"/>
        <v>1</v>
      </c>
      <c r="H348" s="75">
        <f t="shared" si="99"/>
        <v>192.95</v>
      </c>
      <c r="I348" s="76">
        <f t="shared" si="100"/>
        <v>192.95</v>
      </c>
      <c r="J348" s="105">
        <v>5.8</v>
      </c>
      <c r="K348" s="73">
        <v>15404</v>
      </c>
      <c r="L348" s="73">
        <v>1</v>
      </c>
      <c r="M348" s="106">
        <v>215.95</v>
      </c>
      <c r="N348" s="79">
        <f t="shared" si="128"/>
        <v>2.6858068997453115E-2</v>
      </c>
      <c r="O348" s="80">
        <f t="shared" si="101"/>
        <v>37.232758620689651</v>
      </c>
      <c r="P348" s="79">
        <f t="shared" si="102"/>
        <v>1.5029800466442084E-2</v>
      </c>
      <c r="Q348" s="81">
        <f t="shared" si="103"/>
        <v>0.5596009328841669</v>
      </c>
      <c r="R348" s="107">
        <f t="shared" si="127"/>
        <v>169.95</v>
      </c>
      <c r="S348" s="83">
        <f t="shared" si="104"/>
        <v>5.8</v>
      </c>
      <c r="T348" s="135"/>
      <c r="U348" s="135"/>
      <c r="V348" s="135"/>
      <c r="W348" s="135"/>
      <c r="X348" s="136"/>
      <c r="Y348" s="50"/>
      <c r="Z348" s="50"/>
    </row>
    <row r="349" spans="1:26" ht="12.75" hidden="1" outlineLevel="1" x14ac:dyDescent="0.2">
      <c r="A349" s="50"/>
      <c r="B349" s="137"/>
      <c r="C349" s="70" t="s">
        <v>44</v>
      </c>
      <c r="D349" s="108">
        <v>90.67</v>
      </c>
      <c r="E349" s="73">
        <v>2</v>
      </c>
      <c r="F349" s="73">
        <v>2</v>
      </c>
      <c r="G349" s="74">
        <f t="shared" si="98"/>
        <v>1</v>
      </c>
      <c r="H349" s="75">
        <f t="shared" si="99"/>
        <v>45.335000000000001</v>
      </c>
      <c r="I349" s="76">
        <f t="shared" si="100"/>
        <v>45.335000000000001</v>
      </c>
      <c r="J349" s="108">
        <v>24.47</v>
      </c>
      <c r="K349" s="73">
        <v>12401</v>
      </c>
      <c r="L349" s="73">
        <v>0</v>
      </c>
      <c r="M349" s="109">
        <v>0</v>
      </c>
      <c r="N349" s="79" t="e">
        <f t="shared" si="128"/>
        <v>#DIV/0!</v>
      </c>
      <c r="O349" s="80">
        <f t="shared" si="101"/>
        <v>0</v>
      </c>
      <c r="P349" s="79">
        <f t="shared" si="102"/>
        <v>0.26987978383147676</v>
      </c>
      <c r="Q349" s="81">
        <f t="shared" si="103"/>
        <v>0</v>
      </c>
      <c r="R349" s="110">
        <f t="shared" si="127"/>
        <v>90.67</v>
      </c>
      <c r="S349" s="83" t="e">
        <f t="shared" si="104"/>
        <v>#DIV/0!</v>
      </c>
      <c r="T349" s="135"/>
      <c r="U349" s="135"/>
      <c r="V349" s="135"/>
      <c r="W349" s="135"/>
      <c r="X349" s="136"/>
      <c r="Y349" s="50"/>
      <c r="Z349" s="50"/>
    </row>
    <row r="350" spans="1:26" ht="12.75" hidden="1" outlineLevel="1" x14ac:dyDescent="0.2">
      <c r="A350" s="139"/>
      <c r="B350" s="137"/>
      <c r="C350" s="112" t="s">
        <v>45</v>
      </c>
      <c r="D350" s="71">
        <v>79.8</v>
      </c>
      <c r="E350" s="73">
        <v>4</v>
      </c>
      <c r="F350" s="73">
        <v>2</v>
      </c>
      <c r="G350" s="74">
        <f t="shared" si="98"/>
        <v>2</v>
      </c>
      <c r="H350" s="75">
        <f t="shared" si="99"/>
        <v>19.95</v>
      </c>
      <c r="I350" s="76">
        <f t="shared" si="100"/>
        <v>9.9749999999999996</v>
      </c>
      <c r="J350" s="71">
        <v>0</v>
      </c>
      <c r="K350" s="73">
        <v>0</v>
      </c>
      <c r="L350" s="73">
        <v>0</v>
      </c>
      <c r="M350" s="78">
        <v>0</v>
      </c>
      <c r="N350" s="79" t="e">
        <f t="shared" si="128"/>
        <v>#DIV/0!</v>
      </c>
      <c r="O350" s="80" t="e">
        <f t="shared" si="101"/>
        <v>#DIV/0!</v>
      </c>
      <c r="P350" s="79">
        <f t="shared" si="102"/>
        <v>0</v>
      </c>
      <c r="Q350" s="81">
        <f t="shared" si="103"/>
        <v>0</v>
      </c>
      <c r="R350" s="82">
        <f t="shared" si="127"/>
        <v>79.8</v>
      </c>
      <c r="S350" s="83" t="e">
        <f t="shared" si="104"/>
        <v>#DIV/0!</v>
      </c>
      <c r="T350" s="140"/>
      <c r="U350" s="140"/>
      <c r="V350" s="140"/>
      <c r="W350" s="141"/>
      <c r="X350" s="142"/>
      <c r="Y350" s="50"/>
      <c r="Z350" s="50"/>
    </row>
    <row r="351" spans="1:26" ht="12.75" hidden="1" outlineLevel="1" x14ac:dyDescent="0.2">
      <c r="A351" s="50"/>
      <c r="B351" s="137"/>
      <c r="C351" s="70" t="s">
        <v>46</v>
      </c>
      <c r="D351" s="116">
        <v>402.16</v>
      </c>
      <c r="E351" s="73">
        <v>9</v>
      </c>
      <c r="F351" s="73">
        <v>10</v>
      </c>
      <c r="G351" s="74">
        <f t="shared" si="98"/>
        <v>0.9</v>
      </c>
      <c r="H351" s="75">
        <f t="shared" si="99"/>
        <v>44.684444444444445</v>
      </c>
      <c r="I351" s="76">
        <f t="shared" si="100"/>
        <v>49.649382716049381</v>
      </c>
      <c r="J351" s="116">
        <v>64.12</v>
      </c>
      <c r="K351" s="73">
        <v>29585</v>
      </c>
      <c r="L351" s="73">
        <v>3</v>
      </c>
      <c r="M351" s="117">
        <v>44.95</v>
      </c>
      <c r="N351" s="79">
        <f t="shared" si="128"/>
        <v>1.4264738598442714</v>
      </c>
      <c r="O351" s="80">
        <f t="shared" si="101"/>
        <v>0.70102932002495322</v>
      </c>
      <c r="P351" s="79">
        <f t="shared" si="102"/>
        <v>0.15943902924209269</v>
      </c>
      <c r="Q351" s="81">
        <f t="shared" si="103"/>
        <v>0.11177143425502288</v>
      </c>
      <c r="R351" s="82">
        <f t="shared" si="127"/>
        <v>357.21000000000004</v>
      </c>
      <c r="S351" s="83">
        <f t="shared" si="104"/>
        <v>21.373333333333335</v>
      </c>
      <c r="T351" s="135"/>
      <c r="U351" s="135"/>
      <c r="V351" s="135"/>
      <c r="W351" s="135"/>
      <c r="X351" s="136"/>
      <c r="Y351" s="50"/>
      <c r="Z351" s="50"/>
    </row>
    <row r="352" spans="1:26" ht="12.75" hidden="1" outlineLevel="1" x14ac:dyDescent="0.2">
      <c r="A352" s="50"/>
      <c r="B352" s="137"/>
      <c r="C352" s="70" t="s">
        <v>49</v>
      </c>
      <c r="D352" s="116">
        <v>0</v>
      </c>
      <c r="E352" s="73">
        <v>0</v>
      </c>
      <c r="F352" s="73">
        <v>0</v>
      </c>
      <c r="G352" s="74" t="e">
        <f t="shared" si="98"/>
        <v>#DIV/0!</v>
      </c>
      <c r="H352" s="75" t="e">
        <f t="shared" si="99"/>
        <v>#DIV/0!</v>
      </c>
      <c r="I352" s="76" t="e">
        <f t="shared" si="100"/>
        <v>#DIV/0!</v>
      </c>
      <c r="J352" s="116">
        <v>9.6300000000000008</v>
      </c>
      <c r="K352" s="73">
        <v>8469</v>
      </c>
      <c r="L352" s="73">
        <v>0</v>
      </c>
      <c r="M352" s="117">
        <v>0</v>
      </c>
      <c r="N352" s="79" t="e">
        <f t="shared" si="128"/>
        <v>#DIV/0!</v>
      </c>
      <c r="O352" s="80">
        <f t="shared" si="101"/>
        <v>0</v>
      </c>
      <c r="P352" s="79" t="e">
        <f t="shared" si="102"/>
        <v>#DIV/0!</v>
      </c>
      <c r="Q352" s="81" t="e">
        <f t="shared" si="103"/>
        <v>#DIV/0!</v>
      </c>
      <c r="R352" s="82">
        <f t="shared" si="127"/>
        <v>0</v>
      </c>
      <c r="S352" s="83" t="e">
        <f t="shared" si="104"/>
        <v>#DIV/0!</v>
      </c>
      <c r="T352" s="135"/>
      <c r="U352" s="135"/>
      <c r="V352" s="135"/>
      <c r="W352" s="135"/>
      <c r="X352" s="136"/>
      <c r="Y352" s="50"/>
      <c r="Z352" s="50"/>
    </row>
    <row r="353" spans="1:26" hidden="1" outlineLevel="1" x14ac:dyDescent="0.25">
      <c r="A353" s="118" t="str">
        <f t="shared" ref="A353:A354" si="129">IFERROR(IF(B353&gt;0,MONTH(B353)&amp;"-"&amp;YEAR(B353),B353),)</f>
        <v>6-2025</v>
      </c>
      <c r="B353" s="69">
        <v>45836</v>
      </c>
      <c r="C353" s="198" t="s">
        <v>64</v>
      </c>
      <c r="D353" s="116">
        <v>0</v>
      </c>
      <c r="E353" s="73">
        <v>0</v>
      </c>
      <c r="F353" s="73">
        <v>0</v>
      </c>
      <c r="G353" s="74" t="e">
        <f t="shared" si="98"/>
        <v>#DIV/0!</v>
      </c>
      <c r="H353" s="75" t="e">
        <f t="shared" si="99"/>
        <v>#DIV/0!</v>
      </c>
      <c r="I353" s="76" t="e">
        <f t="shared" si="100"/>
        <v>#DIV/0!</v>
      </c>
      <c r="J353" s="87">
        <v>243.21999999999997</v>
      </c>
      <c r="K353" s="199">
        <v>63423</v>
      </c>
      <c r="L353" s="73">
        <v>0</v>
      </c>
      <c r="M353" s="88">
        <v>411.41</v>
      </c>
      <c r="N353" s="79">
        <f t="shared" si="128"/>
        <v>0.59118640771979281</v>
      </c>
      <c r="O353" s="80">
        <f t="shared" si="101"/>
        <v>1.6915138557684404</v>
      </c>
      <c r="P353" s="79" t="e">
        <f t="shared" si="102"/>
        <v>#DIV/0!</v>
      </c>
      <c r="Q353" s="81" t="e">
        <f t="shared" si="103"/>
        <v>#DIV/0!</v>
      </c>
      <c r="R353" s="82">
        <f t="shared" si="127"/>
        <v>-411.41</v>
      </c>
      <c r="S353" s="83" t="e">
        <f t="shared" si="104"/>
        <v>#DIV/0!</v>
      </c>
      <c r="T353" s="135"/>
      <c r="U353" s="135"/>
      <c r="V353" s="135"/>
      <c r="W353" s="135"/>
      <c r="X353" s="136"/>
      <c r="Y353" s="50"/>
      <c r="Z353" s="50"/>
    </row>
    <row r="354" spans="1:26" ht="12.75" collapsed="1" x14ac:dyDescent="0.2">
      <c r="A354" s="50">
        <f t="shared" si="129"/>
        <v>0</v>
      </c>
      <c r="B354" s="52" t="s">
        <v>84</v>
      </c>
      <c r="C354" s="145"/>
      <c r="D354" s="121">
        <f t="shared" ref="D354:F354" si="130">SUM(D336:D353)</f>
        <v>8329.8799999999992</v>
      </c>
      <c r="E354" s="123">
        <f t="shared" si="130"/>
        <v>93</v>
      </c>
      <c r="F354" s="123">
        <f t="shared" si="130"/>
        <v>99</v>
      </c>
      <c r="G354" s="124">
        <f t="shared" si="98"/>
        <v>0.93939393939393945</v>
      </c>
      <c r="H354" s="125">
        <f t="shared" si="99"/>
        <v>89.568602150537629</v>
      </c>
      <c r="I354" s="126">
        <f t="shared" si="100"/>
        <v>95.347221644120694</v>
      </c>
      <c r="J354" s="121">
        <f t="shared" ref="J354:M354" si="131">SUM(J336:J353)</f>
        <v>1147.98</v>
      </c>
      <c r="K354" s="123">
        <f t="shared" si="131"/>
        <v>388706</v>
      </c>
      <c r="L354" s="123">
        <f t="shared" si="131"/>
        <v>17</v>
      </c>
      <c r="M354" s="127">
        <f t="shared" si="131"/>
        <v>1835.9600000000003</v>
      </c>
      <c r="N354" s="128">
        <f t="shared" si="128"/>
        <v>0.62527506045883341</v>
      </c>
      <c r="O354" s="129">
        <f t="shared" si="101"/>
        <v>1.5992961549852787</v>
      </c>
      <c r="P354" s="128">
        <f t="shared" si="102"/>
        <v>0.13781471041599641</v>
      </c>
      <c r="Q354" s="130">
        <f t="shared" si="103"/>
        <v>0.22040653646871269</v>
      </c>
      <c r="R354" s="131">
        <f>SUM(R336:R353)</f>
        <v>6493.9199999999992</v>
      </c>
      <c r="S354" s="132">
        <f t="shared" si="104"/>
        <v>67.52823529411765</v>
      </c>
      <c r="T354" s="133">
        <f t="shared" ref="T354:U354" si="132">IFERROR((D354-D69)/D354,)</f>
        <v>8.9864439823863176E-2</v>
      </c>
      <c r="U354" s="273">
        <f t="shared" si="132"/>
        <v>-1.0752688172043012E-2</v>
      </c>
      <c r="V354" s="271" t="s">
        <v>139</v>
      </c>
      <c r="W354" s="271" t="s">
        <v>139</v>
      </c>
      <c r="X354" s="50"/>
      <c r="Y354" s="50"/>
      <c r="Z354" s="50"/>
    </row>
    <row r="355" spans="1:26" ht="12.75" hidden="1" outlineLevel="1" x14ac:dyDescent="0.2">
      <c r="A355" s="50"/>
      <c r="B355" s="69">
        <v>45837</v>
      </c>
      <c r="C355" s="70" t="s">
        <v>32</v>
      </c>
      <c r="D355" s="71">
        <v>415.85</v>
      </c>
      <c r="E355" s="73">
        <v>4</v>
      </c>
      <c r="F355" s="73">
        <v>4</v>
      </c>
      <c r="G355" s="74">
        <f t="shared" si="98"/>
        <v>1</v>
      </c>
      <c r="H355" s="75">
        <f t="shared" si="99"/>
        <v>103.96250000000001</v>
      </c>
      <c r="I355" s="76">
        <f t="shared" si="100"/>
        <v>103.96250000000001</v>
      </c>
      <c r="J355" s="77">
        <v>655.98</v>
      </c>
      <c r="K355" s="73">
        <v>118224</v>
      </c>
      <c r="L355" s="73">
        <v>2</v>
      </c>
      <c r="M355" s="78">
        <v>69.95</v>
      </c>
      <c r="N355" s="79">
        <f t="shared" si="128"/>
        <v>9.3778413152251598</v>
      </c>
      <c r="O355" s="80">
        <f t="shared" si="101"/>
        <v>0.10663434860818928</v>
      </c>
      <c r="P355" s="79">
        <f t="shared" si="102"/>
        <v>1.5774437898280629</v>
      </c>
      <c r="Q355" s="81">
        <f t="shared" si="103"/>
        <v>0.16820969099434893</v>
      </c>
      <c r="R355" s="82">
        <f t="shared" ref="R355:R372" si="133">D355-M355</f>
        <v>345.90000000000003</v>
      </c>
      <c r="S355" s="83">
        <f t="shared" si="104"/>
        <v>327.99</v>
      </c>
      <c r="T355" s="135"/>
      <c r="U355" s="135"/>
      <c r="V355" s="135"/>
      <c r="W355" s="135"/>
      <c r="X355" s="136"/>
      <c r="Y355" s="50"/>
      <c r="Z355" s="50"/>
    </row>
    <row r="356" spans="1:26" ht="12.75" hidden="1" outlineLevel="1" x14ac:dyDescent="0.2">
      <c r="A356" s="50"/>
      <c r="B356" s="137"/>
      <c r="C356" s="70" t="s">
        <v>33</v>
      </c>
      <c r="D356" s="87">
        <v>920.3</v>
      </c>
      <c r="E356" s="73">
        <v>3</v>
      </c>
      <c r="F356" s="73">
        <v>26</v>
      </c>
      <c r="G356" s="74">
        <f t="shared" si="98"/>
        <v>0.11538461538461539</v>
      </c>
      <c r="H356" s="75">
        <f t="shared" si="99"/>
        <v>306.76666666666665</v>
      </c>
      <c r="I356" s="76">
        <f t="shared" si="100"/>
        <v>2658.6444444444442</v>
      </c>
      <c r="J356" s="87">
        <v>319.27</v>
      </c>
      <c r="K356" s="73">
        <v>79429</v>
      </c>
      <c r="L356" s="73">
        <v>9</v>
      </c>
      <c r="M356" s="88">
        <v>281.7</v>
      </c>
      <c r="N356" s="79">
        <f t="shared" si="128"/>
        <v>1.1333688320908768</v>
      </c>
      <c r="O356" s="80">
        <f t="shared" si="101"/>
        <v>0.88232530460112135</v>
      </c>
      <c r="P356" s="79">
        <f t="shared" si="102"/>
        <v>0.34691948277735518</v>
      </c>
      <c r="Q356" s="81">
        <f t="shared" si="103"/>
        <v>0.30609583831359338</v>
      </c>
      <c r="R356" s="89">
        <f t="shared" si="133"/>
        <v>638.59999999999991</v>
      </c>
      <c r="S356" s="83">
        <f t="shared" si="104"/>
        <v>35.474444444444444</v>
      </c>
      <c r="T356" s="135"/>
      <c r="U356" s="135"/>
      <c r="V356" s="135"/>
      <c r="W356" s="135"/>
      <c r="X356" s="136"/>
      <c r="Y356" s="50"/>
      <c r="Z356" s="50"/>
    </row>
    <row r="357" spans="1:26" ht="12.75" hidden="1" outlineLevel="1" x14ac:dyDescent="0.2">
      <c r="A357" s="50"/>
      <c r="B357" s="137"/>
      <c r="C357" s="70" t="s">
        <v>34</v>
      </c>
      <c r="D357" s="90">
        <v>279.8</v>
      </c>
      <c r="E357" s="73">
        <v>4</v>
      </c>
      <c r="F357" s="73">
        <v>1</v>
      </c>
      <c r="G357" s="74">
        <f t="shared" si="98"/>
        <v>4</v>
      </c>
      <c r="H357" s="75">
        <f t="shared" si="99"/>
        <v>69.95</v>
      </c>
      <c r="I357" s="76">
        <f t="shared" si="100"/>
        <v>17.487500000000001</v>
      </c>
      <c r="J357" s="90">
        <v>0</v>
      </c>
      <c r="K357" s="73">
        <v>0</v>
      </c>
      <c r="L357" s="73">
        <v>0</v>
      </c>
      <c r="M357" s="91">
        <v>0</v>
      </c>
      <c r="N357" s="79" t="e">
        <f>(J357/M357)</f>
        <v>#DIV/0!</v>
      </c>
      <c r="O357" s="80" t="e">
        <f t="shared" si="101"/>
        <v>#DIV/0!</v>
      </c>
      <c r="P357" s="79">
        <f t="shared" si="102"/>
        <v>0</v>
      </c>
      <c r="Q357" s="81">
        <f t="shared" si="103"/>
        <v>0</v>
      </c>
      <c r="R357" s="92">
        <f t="shared" si="133"/>
        <v>279.8</v>
      </c>
      <c r="S357" s="83" t="e">
        <f t="shared" si="104"/>
        <v>#DIV/0!</v>
      </c>
      <c r="T357" s="135"/>
      <c r="U357" s="135"/>
      <c r="V357" s="135"/>
      <c r="W357" s="135"/>
      <c r="X357" s="136"/>
      <c r="Y357" s="50"/>
      <c r="Z357" s="50"/>
    </row>
    <row r="358" spans="1:26" ht="12.75" hidden="1" outlineLevel="1" x14ac:dyDescent="0.2">
      <c r="A358" s="50"/>
      <c r="B358" s="137"/>
      <c r="C358" s="70" t="s">
        <v>35</v>
      </c>
      <c r="D358" s="90">
        <v>299.75</v>
      </c>
      <c r="E358" s="73">
        <v>5</v>
      </c>
      <c r="F358" s="73">
        <v>4</v>
      </c>
      <c r="G358" s="74">
        <f t="shared" si="98"/>
        <v>1.25</v>
      </c>
      <c r="H358" s="75">
        <f t="shared" si="99"/>
        <v>59.95</v>
      </c>
      <c r="I358" s="76">
        <f t="shared" si="100"/>
        <v>47.96</v>
      </c>
      <c r="J358" s="90">
        <v>0</v>
      </c>
      <c r="K358" s="73">
        <v>0</v>
      </c>
      <c r="L358" s="73">
        <v>0</v>
      </c>
      <c r="M358" s="91">
        <v>0</v>
      </c>
      <c r="N358" s="79" t="e">
        <f t="shared" ref="N358:N375" si="134">J358/M358</f>
        <v>#DIV/0!</v>
      </c>
      <c r="O358" s="80" t="e">
        <f t="shared" si="101"/>
        <v>#DIV/0!</v>
      </c>
      <c r="P358" s="79">
        <f t="shared" si="102"/>
        <v>0</v>
      </c>
      <c r="Q358" s="81">
        <f t="shared" si="103"/>
        <v>0</v>
      </c>
      <c r="R358" s="92">
        <f t="shared" si="133"/>
        <v>299.75</v>
      </c>
      <c r="S358" s="83" t="e">
        <f t="shared" si="104"/>
        <v>#DIV/0!</v>
      </c>
      <c r="T358" s="135"/>
      <c r="U358" s="135"/>
      <c r="V358" s="135"/>
      <c r="W358" s="135"/>
      <c r="X358" s="136"/>
      <c r="Y358" s="50"/>
      <c r="Z358" s="50"/>
    </row>
    <row r="359" spans="1:26" ht="12.75" hidden="1" outlineLevel="1" x14ac:dyDescent="0.2">
      <c r="A359" s="50"/>
      <c r="B359" s="137"/>
      <c r="C359" s="70" t="s">
        <v>62</v>
      </c>
      <c r="D359" s="200">
        <v>0</v>
      </c>
      <c r="E359" s="73">
        <v>0</v>
      </c>
      <c r="F359" s="73">
        <v>0</v>
      </c>
      <c r="G359" s="74" t="e">
        <f t="shared" si="98"/>
        <v>#DIV/0!</v>
      </c>
      <c r="H359" s="75" t="e">
        <f t="shared" si="99"/>
        <v>#DIV/0!</v>
      </c>
      <c r="I359" s="76" t="e">
        <f t="shared" si="100"/>
        <v>#DIV/0!</v>
      </c>
      <c r="J359" s="200">
        <v>0</v>
      </c>
      <c r="K359" s="73">
        <v>0</v>
      </c>
      <c r="L359" s="73">
        <v>0</v>
      </c>
      <c r="M359" s="200">
        <v>0</v>
      </c>
      <c r="N359" s="79" t="e">
        <f t="shared" si="134"/>
        <v>#DIV/0!</v>
      </c>
      <c r="O359" s="80" t="e">
        <f t="shared" si="101"/>
        <v>#DIV/0!</v>
      </c>
      <c r="P359" s="79" t="e">
        <f t="shared" si="102"/>
        <v>#DIV/0!</v>
      </c>
      <c r="Q359" s="81" t="e">
        <f t="shared" si="103"/>
        <v>#DIV/0!</v>
      </c>
      <c r="R359" s="92">
        <f t="shared" si="133"/>
        <v>0</v>
      </c>
      <c r="S359" s="83" t="e">
        <f t="shared" si="104"/>
        <v>#DIV/0!</v>
      </c>
      <c r="T359" s="135"/>
      <c r="U359" s="135"/>
      <c r="V359" s="135"/>
      <c r="W359" s="135"/>
      <c r="X359" s="136"/>
      <c r="Y359" s="50"/>
      <c r="Z359" s="50"/>
    </row>
    <row r="360" spans="1:26" ht="12.75" hidden="1" outlineLevel="1" x14ac:dyDescent="0.2">
      <c r="A360" s="50"/>
      <c r="B360" s="137"/>
      <c r="C360" s="70" t="s">
        <v>66</v>
      </c>
      <c r="D360" s="201">
        <v>0</v>
      </c>
      <c r="E360" s="73">
        <v>0</v>
      </c>
      <c r="F360" s="73">
        <v>0</v>
      </c>
      <c r="G360" s="74" t="e">
        <f t="shared" si="98"/>
        <v>#DIV/0!</v>
      </c>
      <c r="H360" s="75" t="e">
        <f t="shared" si="99"/>
        <v>#DIV/0!</v>
      </c>
      <c r="I360" s="76" t="e">
        <f t="shared" si="100"/>
        <v>#DIV/0!</v>
      </c>
      <c r="J360" s="201">
        <v>30.54</v>
      </c>
      <c r="K360" s="73">
        <v>4344</v>
      </c>
      <c r="L360" s="73">
        <v>0</v>
      </c>
      <c r="M360" s="202">
        <v>0</v>
      </c>
      <c r="N360" s="79" t="e">
        <f t="shared" si="134"/>
        <v>#DIV/0!</v>
      </c>
      <c r="O360" s="80">
        <f t="shared" si="101"/>
        <v>0</v>
      </c>
      <c r="P360" s="79" t="e">
        <f t="shared" si="102"/>
        <v>#DIV/0!</v>
      </c>
      <c r="Q360" s="81" t="e">
        <f t="shared" si="103"/>
        <v>#DIV/0!</v>
      </c>
      <c r="R360" s="203">
        <f t="shared" si="133"/>
        <v>0</v>
      </c>
      <c r="S360" s="83" t="e">
        <f t="shared" si="104"/>
        <v>#DIV/0!</v>
      </c>
      <c r="T360" s="135"/>
      <c r="U360" s="135"/>
      <c r="V360" s="135"/>
      <c r="W360" s="135"/>
      <c r="X360" s="136"/>
      <c r="Y360" s="50"/>
      <c r="Z360" s="50"/>
    </row>
    <row r="361" spans="1:26" ht="12.75" hidden="1" outlineLevel="1" x14ac:dyDescent="0.2">
      <c r="A361" s="50"/>
      <c r="B361" s="137"/>
      <c r="C361" s="70" t="s">
        <v>36</v>
      </c>
      <c r="D361" s="90">
        <v>179.85</v>
      </c>
      <c r="E361" s="73">
        <v>3</v>
      </c>
      <c r="F361" s="73">
        <v>3</v>
      </c>
      <c r="G361" s="74">
        <f t="shared" si="98"/>
        <v>1</v>
      </c>
      <c r="H361" s="75">
        <f t="shared" si="99"/>
        <v>59.949999999999996</v>
      </c>
      <c r="I361" s="76">
        <f t="shared" si="100"/>
        <v>59.949999999999996</v>
      </c>
      <c r="J361" s="90">
        <v>1.92</v>
      </c>
      <c r="K361" s="73">
        <v>1023</v>
      </c>
      <c r="L361" s="73">
        <v>1</v>
      </c>
      <c r="M361" s="91">
        <v>59.95</v>
      </c>
      <c r="N361" s="79">
        <f t="shared" si="134"/>
        <v>3.202668890742285E-2</v>
      </c>
      <c r="O361" s="80">
        <f t="shared" si="101"/>
        <v>31.223958333333336</v>
      </c>
      <c r="P361" s="79">
        <f t="shared" si="102"/>
        <v>1.0675562969140951E-2</v>
      </c>
      <c r="Q361" s="81">
        <f t="shared" si="103"/>
        <v>0.33333333333333337</v>
      </c>
      <c r="R361" s="92">
        <f t="shared" si="133"/>
        <v>119.89999999999999</v>
      </c>
      <c r="S361" s="83">
        <f t="shared" si="104"/>
        <v>1.92</v>
      </c>
      <c r="T361" s="135"/>
      <c r="U361" s="135"/>
      <c r="V361" s="135"/>
      <c r="W361" s="135"/>
      <c r="X361" s="136"/>
      <c r="Y361" s="50"/>
      <c r="Z361" s="50"/>
    </row>
    <row r="362" spans="1:26" ht="12.75" hidden="1" outlineLevel="1" x14ac:dyDescent="0.2">
      <c r="A362" s="50"/>
      <c r="B362" s="69" t="s">
        <v>37</v>
      </c>
      <c r="C362" s="70" t="s">
        <v>38</v>
      </c>
      <c r="D362" s="93">
        <v>29.95</v>
      </c>
      <c r="E362" s="73">
        <v>1</v>
      </c>
      <c r="F362" s="73">
        <v>1</v>
      </c>
      <c r="G362" s="74">
        <f t="shared" si="98"/>
        <v>1</v>
      </c>
      <c r="H362" s="75">
        <f t="shared" si="99"/>
        <v>29.95</v>
      </c>
      <c r="I362" s="76">
        <f t="shared" si="100"/>
        <v>29.95</v>
      </c>
      <c r="J362" s="93">
        <v>34.799999999999997</v>
      </c>
      <c r="K362" s="73">
        <v>10710</v>
      </c>
      <c r="L362" s="73">
        <v>1</v>
      </c>
      <c r="M362" s="94">
        <v>29.95</v>
      </c>
      <c r="N362" s="79">
        <f t="shared" si="134"/>
        <v>1.1619365609348915</v>
      </c>
      <c r="O362" s="80">
        <f t="shared" si="101"/>
        <v>0.86063218390804608</v>
      </c>
      <c r="P362" s="79">
        <f t="shared" si="102"/>
        <v>1.1619365609348915</v>
      </c>
      <c r="Q362" s="81">
        <f t="shared" si="103"/>
        <v>1</v>
      </c>
      <c r="R362" s="95">
        <f t="shared" si="133"/>
        <v>0</v>
      </c>
      <c r="S362" s="83">
        <f t="shared" si="104"/>
        <v>34.799999999999997</v>
      </c>
      <c r="T362" s="135"/>
      <c r="U362" s="135"/>
      <c r="V362" s="135"/>
      <c r="W362" s="135"/>
      <c r="X362" s="136"/>
      <c r="Y362" s="50"/>
      <c r="Z362" s="50"/>
    </row>
    <row r="363" spans="1:26" ht="12.75" hidden="1" outlineLevel="1" x14ac:dyDescent="0.2">
      <c r="A363" s="50"/>
      <c r="B363" s="137"/>
      <c r="C363" s="70" t="s">
        <v>39</v>
      </c>
      <c r="D363" s="96">
        <v>319.98</v>
      </c>
      <c r="E363" s="73">
        <v>2</v>
      </c>
      <c r="F363" s="73">
        <v>2</v>
      </c>
      <c r="G363" s="74">
        <f t="shared" si="98"/>
        <v>1</v>
      </c>
      <c r="H363" s="75">
        <f t="shared" si="99"/>
        <v>159.99</v>
      </c>
      <c r="I363" s="76">
        <f t="shared" si="100"/>
        <v>159.99</v>
      </c>
      <c r="J363" s="96">
        <v>0</v>
      </c>
      <c r="K363" s="73">
        <v>0</v>
      </c>
      <c r="L363" s="73">
        <v>0</v>
      </c>
      <c r="M363" s="97">
        <v>0</v>
      </c>
      <c r="N363" s="79" t="e">
        <f t="shared" si="134"/>
        <v>#DIV/0!</v>
      </c>
      <c r="O363" s="80" t="e">
        <f t="shared" si="101"/>
        <v>#DIV/0!</v>
      </c>
      <c r="P363" s="79">
        <f t="shared" si="102"/>
        <v>0</v>
      </c>
      <c r="Q363" s="81">
        <f t="shared" si="103"/>
        <v>0</v>
      </c>
      <c r="R363" s="98">
        <f t="shared" si="133"/>
        <v>319.98</v>
      </c>
      <c r="S363" s="83" t="e">
        <f t="shared" si="104"/>
        <v>#DIV/0!</v>
      </c>
      <c r="T363" s="135"/>
      <c r="U363" s="135"/>
      <c r="V363" s="135"/>
      <c r="W363" s="135"/>
      <c r="X363" s="136"/>
      <c r="Y363" s="50"/>
      <c r="Z363" s="50"/>
    </row>
    <row r="364" spans="1:26" ht="12.75" hidden="1" outlineLevel="1" x14ac:dyDescent="0.2">
      <c r="A364" s="50"/>
      <c r="B364" s="137"/>
      <c r="C364" s="70" t="s">
        <v>40</v>
      </c>
      <c r="D364" s="99">
        <v>0</v>
      </c>
      <c r="E364" s="73">
        <v>0</v>
      </c>
      <c r="F364" s="73">
        <v>0</v>
      </c>
      <c r="G364" s="74" t="e">
        <f t="shared" si="98"/>
        <v>#DIV/0!</v>
      </c>
      <c r="H364" s="75" t="e">
        <f t="shared" si="99"/>
        <v>#DIV/0!</v>
      </c>
      <c r="I364" s="76" t="e">
        <f t="shared" si="100"/>
        <v>#DIV/0!</v>
      </c>
      <c r="J364" s="99">
        <v>0</v>
      </c>
      <c r="K364" s="73">
        <v>0</v>
      </c>
      <c r="L364" s="73">
        <v>0</v>
      </c>
      <c r="M364" s="100">
        <v>0</v>
      </c>
      <c r="N364" s="79" t="e">
        <f t="shared" si="134"/>
        <v>#DIV/0!</v>
      </c>
      <c r="O364" s="80" t="e">
        <f t="shared" si="101"/>
        <v>#DIV/0!</v>
      </c>
      <c r="P364" s="79" t="e">
        <f t="shared" si="102"/>
        <v>#DIV/0!</v>
      </c>
      <c r="Q364" s="81" t="e">
        <f t="shared" si="103"/>
        <v>#DIV/0!</v>
      </c>
      <c r="R364" s="101">
        <f t="shared" si="133"/>
        <v>0</v>
      </c>
      <c r="S364" s="83" t="e">
        <f t="shared" si="104"/>
        <v>#DIV/0!</v>
      </c>
      <c r="T364" s="135"/>
      <c r="U364" s="135"/>
      <c r="V364" s="135"/>
      <c r="W364" s="135"/>
      <c r="X364" s="136"/>
      <c r="Y364" s="50"/>
      <c r="Z364" s="50"/>
    </row>
    <row r="365" spans="1:26" ht="12.75" hidden="1" outlineLevel="1" x14ac:dyDescent="0.2">
      <c r="A365" s="50"/>
      <c r="B365" s="137"/>
      <c r="C365" s="70" t="s">
        <v>41</v>
      </c>
      <c r="D365" s="102">
        <v>0</v>
      </c>
      <c r="E365" s="73">
        <v>0</v>
      </c>
      <c r="F365" s="73">
        <v>0</v>
      </c>
      <c r="G365" s="74" t="e">
        <f t="shared" si="98"/>
        <v>#DIV/0!</v>
      </c>
      <c r="H365" s="75" t="e">
        <f t="shared" si="99"/>
        <v>#DIV/0!</v>
      </c>
      <c r="I365" s="76" t="e">
        <f t="shared" si="100"/>
        <v>#DIV/0!</v>
      </c>
      <c r="J365" s="102">
        <v>2.6</v>
      </c>
      <c r="K365" s="73">
        <v>906</v>
      </c>
      <c r="L365" s="73">
        <v>0</v>
      </c>
      <c r="M365" s="103">
        <v>0</v>
      </c>
      <c r="N365" s="79" t="e">
        <f t="shared" si="134"/>
        <v>#DIV/0!</v>
      </c>
      <c r="O365" s="80">
        <f t="shared" si="101"/>
        <v>0</v>
      </c>
      <c r="P365" s="79" t="e">
        <f t="shared" si="102"/>
        <v>#DIV/0!</v>
      </c>
      <c r="Q365" s="81" t="e">
        <f t="shared" si="103"/>
        <v>#DIV/0!</v>
      </c>
      <c r="R365" s="104">
        <f t="shared" si="133"/>
        <v>0</v>
      </c>
      <c r="S365" s="83" t="e">
        <f t="shared" si="104"/>
        <v>#DIV/0!</v>
      </c>
      <c r="T365" s="135"/>
      <c r="U365" s="135"/>
      <c r="V365" s="135"/>
      <c r="W365" s="135"/>
      <c r="X365" s="136"/>
      <c r="Y365" s="50"/>
      <c r="Z365" s="50"/>
    </row>
    <row r="366" spans="1:26" ht="12.75" hidden="1" outlineLevel="1" x14ac:dyDescent="0.2">
      <c r="A366" s="50"/>
      <c r="B366" s="137"/>
      <c r="C366" s="70" t="s">
        <v>42</v>
      </c>
      <c r="D366" s="90">
        <v>19.989999999999998</v>
      </c>
      <c r="E366" s="73">
        <v>1</v>
      </c>
      <c r="F366" s="73">
        <v>1</v>
      </c>
      <c r="G366" s="74">
        <f t="shared" si="98"/>
        <v>1</v>
      </c>
      <c r="H366" s="75">
        <f t="shared" si="99"/>
        <v>19.989999999999998</v>
      </c>
      <c r="I366" s="76">
        <f t="shared" si="100"/>
        <v>19.989999999999998</v>
      </c>
      <c r="J366" s="90">
        <v>17.28</v>
      </c>
      <c r="K366" s="73">
        <v>18989</v>
      </c>
      <c r="L366" s="73">
        <v>2</v>
      </c>
      <c r="M366" s="91">
        <v>39.979999999999997</v>
      </c>
      <c r="N366" s="79">
        <f t="shared" si="134"/>
        <v>0.43221610805402705</v>
      </c>
      <c r="O366" s="80">
        <f t="shared" si="101"/>
        <v>2.313657407407407</v>
      </c>
      <c r="P366" s="79">
        <f t="shared" si="102"/>
        <v>0.8644322161080541</v>
      </c>
      <c r="Q366" s="81">
        <f t="shared" si="103"/>
        <v>2</v>
      </c>
      <c r="R366" s="92">
        <f t="shared" si="133"/>
        <v>-19.989999999999998</v>
      </c>
      <c r="S366" s="83">
        <f t="shared" si="104"/>
        <v>8.64</v>
      </c>
      <c r="T366" s="135"/>
      <c r="U366" s="135"/>
      <c r="V366" s="135"/>
      <c r="W366" s="135"/>
      <c r="X366" s="136"/>
      <c r="Y366" s="50"/>
      <c r="Z366" s="50"/>
    </row>
    <row r="367" spans="1:26" ht="12.75" hidden="1" outlineLevel="1" x14ac:dyDescent="0.2">
      <c r="A367" s="50"/>
      <c r="B367" s="137"/>
      <c r="C367" s="70" t="s">
        <v>43</v>
      </c>
      <c r="D367" s="105">
        <v>79.900000000000006</v>
      </c>
      <c r="E367" s="73">
        <v>2</v>
      </c>
      <c r="F367" s="73">
        <v>2</v>
      </c>
      <c r="G367" s="74">
        <f t="shared" si="98"/>
        <v>1</v>
      </c>
      <c r="H367" s="75">
        <f t="shared" si="99"/>
        <v>39.950000000000003</v>
      </c>
      <c r="I367" s="76">
        <f t="shared" si="100"/>
        <v>39.950000000000003</v>
      </c>
      <c r="J367" s="105">
        <v>37.700000000000003</v>
      </c>
      <c r="K367" s="73">
        <v>15360</v>
      </c>
      <c r="L367" s="73">
        <v>0</v>
      </c>
      <c r="M367" s="106">
        <v>0</v>
      </c>
      <c r="N367" s="79" t="e">
        <f t="shared" si="134"/>
        <v>#DIV/0!</v>
      </c>
      <c r="O367" s="80">
        <f t="shared" si="101"/>
        <v>0</v>
      </c>
      <c r="P367" s="79">
        <f t="shared" si="102"/>
        <v>0.47183979974968709</v>
      </c>
      <c r="Q367" s="81">
        <f t="shared" si="103"/>
        <v>0</v>
      </c>
      <c r="R367" s="107">
        <f t="shared" si="133"/>
        <v>79.900000000000006</v>
      </c>
      <c r="S367" s="83" t="e">
        <f t="shared" si="104"/>
        <v>#DIV/0!</v>
      </c>
      <c r="T367" s="135"/>
      <c r="U367" s="135"/>
      <c r="V367" s="135"/>
      <c r="W367" s="135"/>
      <c r="X367" s="136"/>
      <c r="Y367" s="50"/>
      <c r="Z367" s="50"/>
    </row>
    <row r="368" spans="1:26" ht="12.75" hidden="1" outlineLevel="1" x14ac:dyDescent="0.2">
      <c r="A368" s="50"/>
      <c r="B368" s="137"/>
      <c r="C368" s="70" t="s">
        <v>44</v>
      </c>
      <c r="D368" s="108">
        <v>89.9</v>
      </c>
      <c r="E368" s="73">
        <v>2</v>
      </c>
      <c r="F368" s="73">
        <v>2</v>
      </c>
      <c r="G368" s="74">
        <f t="shared" si="98"/>
        <v>1</v>
      </c>
      <c r="H368" s="75">
        <f t="shared" si="99"/>
        <v>44.95</v>
      </c>
      <c r="I368" s="76">
        <f t="shared" si="100"/>
        <v>44.95</v>
      </c>
      <c r="J368" s="108">
        <v>42.59</v>
      </c>
      <c r="K368" s="73">
        <v>10870</v>
      </c>
      <c r="L368" s="73">
        <v>0</v>
      </c>
      <c r="M368" s="109">
        <v>0</v>
      </c>
      <c r="N368" s="79" t="e">
        <f t="shared" si="134"/>
        <v>#DIV/0!</v>
      </c>
      <c r="O368" s="80">
        <f t="shared" si="101"/>
        <v>0</v>
      </c>
      <c r="P368" s="79">
        <f t="shared" si="102"/>
        <v>0.47374860956618464</v>
      </c>
      <c r="Q368" s="81">
        <f t="shared" si="103"/>
        <v>0</v>
      </c>
      <c r="R368" s="110">
        <f t="shared" si="133"/>
        <v>89.9</v>
      </c>
      <c r="S368" s="83" t="e">
        <f t="shared" si="104"/>
        <v>#DIV/0!</v>
      </c>
      <c r="T368" s="135"/>
      <c r="U368" s="135"/>
      <c r="V368" s="135"/>
      <c r="W368" s="135"/>
      <c r="X368" s="136"/>
      <c r="Y368" s="50"/>
      <c r="Z368" s="50"/>
    </row>
    <row r="369" spans="1:26" ht="12.75" hidden="1" outlineLevel="1" x14ac:dyDescent="0.2">
      <c r="A369" s="139"/>
      <c r="B369" s="137"/>
      <c r="C369" s="112" t="s">
        <v>45</v>
      </c>
      <c r="D369" s="71">
        <v>59.85</v>
      </c>
      <c r="E369" s="73">
        <v>3</v>
      </c>
      <c r="F369" s="73">
        <v>2</v>
      </c>
      <c r="G369" s="74">
        <f t="shared" si="98"/>
        <v>1.5</v>
      </c>
      <c r="H369" s="75">
        <f t="shared" si="99"/>
        <v>19.95</v>
      </c>
      <c r="I369" s="76">
        <f t="shared" si="100"/>
        <v>13.299999999999999</v>
      </c>
      <c r="J369" s="71">
        <v>0</v>
      </c>
      <c r="K369" s="73">
        <v>0</v>
      </c>
      <c r="L369" s="73">
        <v>0</v>
      </c>
      <c r="M369" s="78">
        <v>0</v>
      </c>
      <c r="N369" s="79" t="e">
        <f t="shared" si="134"/>
        <v>#DIV/0!</v>
      </c>
      <c r="O369" s="80" t="e">
        <f t="shared" si="101"/>
        <v>#DIV/0!</v>
      </c>
      <c r="P369" s="79">
        <f t="shared" si="102"/>
        <v>0</v>
      </c>
      <c r="Q369" s="81">
        <f t="shared" si="103"/>
        <v>0</v>
      </c>
      <c r="R369" s="82">
        <f t="shared" si="133"/>
        <v>59.85</v>
      </c>
      <c r="S369" s="83" t="e">
        <f t="shared" si="104"/>
        <v>#DIV/0!</v>
      </c>
      <c r="T369" s="140"/>
      <c r="U369" s="140"/>
      <c r="V369" s="140"/>
      <c r="W369" s="141"/>
      <c r="X369" s="142"/>
      <c r="Y369" s="50"/>
      <c r="Z369" s="50"/>
    </row>
    <row r="370" spans="1:26" ht="12.75" hidden="1" outlineLevel="1" x14ac:dyDescent="0.2">
      <c r="A370" s="50"/>
      <c r="B370" s="137"/>
      <c r="C370" s="70" t="s">
        <v>46</v>
      </c>
      <c r="D370" s="116">
        <v>220.75</v>
      </c>
      <c r="E370" s="73">
        <v>5</v>
      </c>
      <c r="F370" s="73">
        <v>7</v>
      </c>
      <c r="G370" s="74">
        <f t="shared" si="98"/>
        <v>0.7142857142857143</v>
      </c>
      <c r="H370" s="75">
        <f t="shared" si="99"/>
        <v>44.15</v>
      </c>
      <c r="I370" s="76">
        <f t="shared" si="100"/>
        <v>61.809999999999995</v>
      </c>
      <c r="J370" s="116">
        <v>84.18</v>
      </c>
      <c r="K370" s="73">
        <v>28314</v>
      </c>
      <c r="L370" s="73">
        <v>4</v>
      </c>
      <c r="M370" s="117">
        <v>175.8</v>
      </c>
      <c r="N370" s="79">
        <f t="shared" si="134"/>
        <v>0.47883959044368601</v>
      </c>
      <c r="O370" s="80">
        <f t="shared" si="101"/>
        <v>2.0883820384889522</v>
      </c>
      <c r="P370" s="79">
        <f t="shared" si="102"/>
        <v>0.38133635334088339</v>
      </c>
      <c r="Q370" s="81">
        <f t="shared" si="103"/>
        <v>0.79637599093997735</v>
      </c>
      <c r="R370" s="82">
        <f t="shared" si="133"/>
        <v>44.949999999999989</v>
      </c>
      <c r="S370" s="83">
        <f t="shared" si="104"/>
        <v>21.045000000000002</v>
      </c>
      <c r="T370" s="135"/>
      <c r="U370" s="135"/>
      <c r="V370" s="135"/>
      <c r="W370" s="135"/>
      <c r="X370" s="136"/>
      <c r="Y370" s="50"/>
      <c r="Z370" s="50"/>
    </row>
    <row r="371" spans="1:26" ht="12.75" hidden="1" outlineLevel="1" x14ac:dyDescent="0.2">
      <c r="A371" s="50"/>
      <c r="B371" s="137"/>
      <c r="C371" s="70" t="s">
        <v>49</v>
      </c>
      <c r="D371" s="116">
        <v>0</v>
      </c>
      <c r="E371" s="73">
        <v>0</v>
      </c>
      <c r="F371" s="73">
        <v>0</v>
      </c>
      <c r="G371" s="74" t="e">
        <f t="shared" si="98"/>
        <v>#DIV/0!</v>
      </c>
      <c r="H371" s="75" t="e">
        <f t="shared" si="99"/>
        <v>#DIV/0!</v>
      </c>
      <c r="I371" s="76" t="e">
        <f t="shared" si="100"/>
        <v>#DIV/0!</v>
      </c>
      <c r="J371" s="116">
        <v>3.11</v>
      </c>
      <c r="K371" s="73">
        <v>4394</v>
      </c>
      <c r="L371" s="73">
        <v>0</v>
      </c>
      <c r="M371" s="117">
        <v>0</v>
      </c>
      <c r="N371" s="79" t="e">
        <f t="shared" si="134"/>
        <v>#DIV/0!</v>
      </c>
      <c r="O371" s="80">
        <f t="shared" si="101"/>
        <v>0</v>
      </c>
      <c r="P371" s="79" t="e">
        <f t="shared" si="102"/>
        <v>#DIV/0!</v>
      </c>
      <c r="Q371" s="81" t="e">
        <f t="shared" si="103"/>
        <v>#DIV/0!</v>
      </c>
      <c r="R371" s="82">
        <f t="shared" si="133"/>
        <v>0</v>
      </c>
      <c r="S371" s="83" t="e">
        <f t="shared" si="104"/>
        <v>#DIV/0!</v>
      </c>
      <c r="T371" s="135"/>
      <c r="U371" s="135"/>
      <c r="V371" s="135"/>
      <c r="W371" s="135"/>
      <c r="X371" s="136"/>
      <c r="Y371" s="50"/>
      <c r="Z371" s="50"/>
    </row>
    <row r="372" spans="1:26" hidden="1" outlineLevel="1" x14ac:dyDescent="0.25">
      <c r="A372" s="118" t="str">
        <f t="shared" ref="A372:A373" si="135">IFERROR(IF(B372&gt;0,MONTH(B372)&amp;"-"&amp;YEAR(B372),B372),)</f>
        <v>7-2025</v>
      </c>
      <c r="B372" s="69">
        <v>45843</v>
      </c>
      <c r="C372" s="198" t="s">
        <v>64</v>
      </c>
      <c r="D372" s="116">
        <v>0</v>
      </c>
      <c r="E372" s="73">
        <v>0</v>
      </c>
      <c r="F372" s="73">
        <v>0</v>
      </c>
      <c r="G372" s="74" t="e">
        <f t="shared" si="98"/>
        <v>#DIV/0!</v>
      </c>
      <c r="H372" s="75" t="e">
        <f t="shared" si="99"/>
        <v>#DIV/0!</v>
      </c>
      <c r="I372" s="76" t="e">
        <f t="shared" si="100"/>
        <v>#DIV/0!</v>
      </c>
      <c r="J372" s="87">
        <v>236.16999999999996</v>
      </c>
      <c r="K372" s="199">
        <v>64192</v>
      </c>
      <c r="L372" s="73">
        <v>0</v>
      </c>
      <c r="M372" s="88">
        <v>132.85000000000002</v>
      </c>
      <c r="N372" s="79">
        <f t="shared" si="134"/>
        <v>1.7777192322167852</v>
      </c>
      <c r="O372" s="80">
        <f t="shared" si="101"/>
        <v>0.56251852479146403</v>
      </c>
      <c r="P372" s="79" t="e">
        <f t="shared" si="102"/>
        <v>#DIV/0!</v>
      </c>
      <c r="Q372" s="81" t="e">
        <f t="shared" si="103"/>
        <v>#DIV/0!</v>
      </c>
      <c r="R372" s="82">
        <f t="shared" si="133"/>
        <v>-132.85000000000002</v>
      </c>
      <c r="S372" s="83" t="e">
        <f t="shared" si="104"/>
        <v>#DIV/0!</v>
      </c>
      <c r="T372" s="135"/>
      <c r="U372" s="135"/>
      <c r="V372" s="135"/>
      <c r="W372" s="135"/>
      <c r="X372" s="136"/>
      <c r="Y372" s="50"/>
      <c r="Z372" s="50"/>
    </row>
    <row r="373" spans="1:26" ht="12.75" collapsed="1" x14ac:dyDescent="0.2">
      <c r="A373" s="50">
        <f t="shared" si="135"/>
        <v>0</v>
      </c>
      <c r="B373" s="52" t="s">
        <v>85</v>
      </c>
      <c r="C373" s="145"/>
      <c r="D373" s="121">
        <f t="shared" ref="D373:F373" si="136">SUM(D355:D372)</f>
        <v>2915.87</v>
      </c>
      <c r="E373" s="123">
        <f t="shared" si="136"/>
        <v>35</v>
      </c>
      <c r="F373" s="123">
        <f t="shared" si="136"/>
        <v>55</v>
      </c>
      <c r="G373" s="124">
        <f t="shared" si="98"/>
        <v>0.63636363636363635</v>
      </c>
      <c r="H373" s="125">
        <f t="shared" si="99"/>
        <v>83.310571428571421</v>
      </c>
      <c r="I373" s="126">
        <f t="shared" si="100"/>
        <v>130.91661224489795</v>
      </c>
      <c r="J373" s="121">
        <f t="shared" ref="J373:M373" si="137">SUM(J355:J372)</f>
        <v>1466.1399999999999</v>
      </c>
      <c r="K373" s="123">
        <f t="shared" si="137"/>
        <v>356755</v>
      </c>
      <c r="L373" s="123">
        <f t="shared" si="137"/>
        <v>19</v>
      </c>
      <c r="M373" s="127">
        <f t="shared" si="137"/>
        <v>790.18</v>
      </c>
      <c r="N373" s="128">
        <f t="shared" si="134"/>
        <v>1.8554506568123719</v>
      </c>
      <c r="O373" s="129">
        <f t="shared" si="101"/>
        <v>0.53895262389676291</v>
      </c>
      <c r="P373" s="128">
        <f t="shared" si="102"/>
        <v>0.50281391145695797</v>
      </c>
      <c r="Q373" s="130">
        <f t="shared" si="103"/>
        <v>0.27099287691152213</v>
      </c>
      <c r="R373" s="131">
        <f>SUM(R355:R372)</f>
        <v>2125.69</v>
      </c>
      <c r="S373" s="132">
        <f t="shared" si="104"/>
        <v>77.165263157894728</v>
      </c>
      <c r="T373" s="273">
        <f t="shared" ref="T373:U373" si="138">IFERROR((D373-D69)/D373,)</f>
        <v>-1.6000198911474099</v>
      </c>
      <c r="U373" s="273">
        <f t="shared" si="138"/>
        <v>-1.6857142857142857</v>
      </c>
      <c r="V373" s="271" t="s">
        <v>139</v>
      </c>
      <c r="W373" s="271" t="s">
        <v>139</v>
      </c>
      <c r="X373" s="50"/>
      <c r="Y373" s="50"/>
      <c r="Z373" s="50"/>
    </row>
    <row r="374" spans="1:26" ht="12.75" hidden="1" outlineLevel="1" x14ac:dyDescent="0.2">
      <c r="A374" s="50"/>
      <c r="B374" s="69">
        <v>45844</v>
      </c>
      <c r="C374" s="70" t="s">
        <v>32</v>
      </c>
      <c r="D374" s="71">
        <v>9831.92</v>
      </c>
      <c r="E374" s="73">
        <v>38</v>
      </c>
      <c r="F374" s="73">
        <v>31</v>
      </c>
      <c r="G374" s="74">
        <f t="shared" si="98"/>
        <v>1.2258064516129032</v>
      </c>
      <c r="H374" s="75">
        <f t="shared" si="99"/>
        <v>258.73473684210529</v>
      </c>
      <c r="I374" s="76">
        <f t="shared" si="100"/>
        <v>211.0730747922438</v>
      </c>
      <c r="J374" s="77">
        <v>1142.43</v>
      </c>
      <c r="K374" s="73">
        <v>169243</v>
      </c>
      <c r="L374" s="73">
        <v>14</v>
      </c>
      <c r="M374" s="78">
        <v>2788.32</v>
      </c>
      <c r="N374" s="79">
        <f t="shared" si="134"/>
        <v>0.40971983129626444</v>
      </c>
      <c r="O374" s="80">
        <f t="shared" si="101"/>
        <v>2.4406922087130063</v>
      </c>
      <c r="P374" s="79">
        <f t="shared" si="102"/>
        <v>0.11619602275038854</v>
      </c>
      <c r="Q374" s="81">
        <f t="shared" si="103"/>
        <v>0.28359872741031256</v>
      </c>
      <c r="R374" s="82">
        <f t="shared" ref="R374:R391" si="139">D374-M374</f>
        <v>7043.6</v>
      </c>
      <c r="S374" s="83">
        <f t="shared" si="104"/>
        <v>81.602142857142866</v>
      </c>
      <c r="T374" s="135"/>
      <c r="U374" s="135"/>
      <c r="V374" s="135"/>
      <c r="W374" s="135"/>
      <c r="X374" s="136"/>
      <c r="Y374" s="50"/>
      <c r="Z374" s="50"/>
    </row>
    <row r="375" spans="1:26" ht="12.75" hidden="1" outlineLevel="1" x14ac:dyDescent="0.2">
      <c r="A375" s="50"/>
      <c r="B375" s="137"/>
      <c r="C375" s="70" t="s">
        <v>33</v>
      </c>
      <c r="D375" s="87">
        <v>25321.66</v>
      </c>
      <c r="E375" s="73">
        <v>89</v>
      </c>
      <c r="F375" s="73">
        <v>108</v>
      </c>
      <c r="G375" s="74">
        <f t="shared" si="98"/>
        <v>0.82407407407407407</v>
      </c>
      <c r="H375" s="75">
        <f t="shared" si="99"/>
        <v>284.51303370786519</v>
      </c>
      <c r="I375" s="76">
        <f t="shared" si="100"/>
        <v>345.25177124100497</v>
      </c>
      <c r="J375" s="87">
        <v>492.35</v>
      </c>
      <c r="K375" s="73">
        <v>115863</v>
      </c>
      <c r="L375" s="73">
        <v>25</v>
      </c>
      <c r="M375" s="88">
        <v>4232.8999999999996</v>
      </c>
      <c r="N375" s="79">
        <f t="shared" si="134"/>
        <v>0.11631505587186092</v>
      </c>
      <c r="O375" s="80">
        <f t="shared" si="101"/>
        <v>8.5973392911546647</v>
      </c>
      <c r="P375" s="79">
        <f t="shared" si="102"/>
        <v>1.9443827932291959E-2</v>
      </c>
      <c r="Q375" s="81">
        <f t="shared" si="103"/>
        <v>0.16716518585274423</v>
      </c>
      <c r="R375" s="89">
        <f t="shared" si="139"/>
        <v>21088.760000000002</v>
      </c>
      <c r="S375" s="83">
        <f t="shared" si="104"/>
        <v>19.694000000000003</v>
      </c>
      <c r="T375" s="135"/>
      <c r="U375" s="135"/>
      <c r="V375" s="135"/>
      <c r="W375" s="135"/>
      <c r="X375" s="136"/>
      <c r="Y375" s="50"/>
      <c r="Z375" s="50"/>
    </row>
    <row r="376" spans="1:26" ht="12.75" hidden="1" outlineLevel="1" x14ac:dyDescent="0.2">
      <c r="A376" s="50"/>
      <c r="B376" s="137"/>
      <c r="C376" s="70" t="s">
        <v>34</v>
      </c>
      <c r="D376" s="90">
        <v>0</v>
      </c>
      <c r="E376" s="73">
        <v>0</v>
      </c>
      <c r="F376" s="73">
        <v>0</v>
      </c>
      <c r="G376" s="74" t="e">
        <f t="shared" si="98"/>
        <v>#DIV/0!</v>
      </c>
      <c r="H376" s="75" t="e">
        <f t="shared" si="99"/>
        <v>#DIV/0!</v>
      </c>
      <c r="I376" s="76" t="e">
        <f t="shared" si="100"/>
        <v>#DIV/0!</v>
      </c>
      <c r="J376" s="90">
        <v>0</v>
      </c>
      <c r="K376" s="73">
        <v>0</v>
      </c>
      <c r="L376" s="73">
        <v>0</v>
      </c>
      <c r="M376" s="91">
        <v>0</v>
      </c>
      <c r="N376" s="79" t="e">
        <f>(J376/M376)</f>
        <v>#DIV/0!</v>
      </c>
      <c r="O376" s="80" t="e">
        <f t="shared" si="101"/>
        <v>#DIV/0!</v>
      </c>
      <c r="P376" s="79" t="e">
        <f t="shared" si="102"/>
        <v>#DIV/0!</v>
      </c>
      <c r="Q376" s="81" t="e">
        <f t="shared" si="103"/>
        <v>#DIV/0!</v>
      </c>
      <c r="R376" s="92">
        <f t="shared" si="139"/>
        <v>0</v>
      </c>
      <c r="S376" s="83" t="e">
        <f t="shared" si="104"/>
        <v>#DIV/0!</v>
      </c>
      <c r="T376" s="135"/>
      <c r="U376" s="135"/>
      <c r="V376" s="135"/>
      <c r="W376" s="135"/>
      <c r="X376" s="136"/>
      <c r="Y376" s="50"/>
      <c r="Z376" s="50"/>
    </row>
    <row r="377" spans="1:26" ht="12.75" hidden="1" outlineLevel="1" x14ac:dyDescent="0.2">
      <c r="A377" s="50"/>
      <c r="B377" s="137"/>
      <c r="C377" s="70" t="s">
        <v>35</v>
      </c>
      <c r="D377" s="90">
        <v>0</v>
      </c>
      <c r="E377" s="73">
        <v>0</v>
      </c>
      <c r="F377" s="73">
        <v>0</v>
      </c>
      <c r="G377" s="74" t="e">
        <f t="shared" si="98"/>
        <v>#DIV/0!</v>
      </c>
      <c r="H377" s="75" t="e">
        <f t="shared" si="99"/>
        <v>#DIV/0!</v>
      </c>
      <c r="I377" s="76" t="e">
        <f t="shared" si="100"/>
        <v>#DIV/0!</v>
      </c>
      <c r="J377" s="90">
        <v>32.5</v>
      </c>
      <c r="K377" s="73">
        <v>2713</v>
      </c>
      <c r="L377" s="73">
        <v>0</v>
      </c>
      <c r="M377" s="91">
        <v>0</v>
      </c>
      <c r="N377" s="79" t="e">
        <f t="shared" ref="N377:N394" si="140">J377/M377</f>
        <v>#DIV/0!</v>
      </c>
      <c r="O377" s="80">
        <f t="shared" si="101"/>
        <v>0</v>
      </c>
      <c r="P377" s="79" t="e">
        <f t="shared" si="102"/>
        <v>#DIV/0!</v>
      </c>
      <c r="Q377" s="81" t="e">
        <f t="shared" si="103"/>
        <v>#DIV/0!</v>
      </c>
      <c r="R377" s="92">
        <f t="shared" si="139"/>
        <v>0</v>
      </c>
      <c r="S377" s="83" t="e">
        <f t="shared" si="104"/>
        <v>#DIV/0!</v>
      </c>
      <c r="T377" s="135"/>
      <c r="U377" s="135"/>
      <c r="V377" s="135"/>
      <c r="W377" s="135"/>
      <c r="X377" s="136"/>
      <c r="Y377" s="50"/>
      <c r="Z377" s="50"/>
    </row>
    <row r="378" spans="1:26" ht="12.75" hidden="1" outlineLevel="1" x14ac:dyDescent="0.2">
      <c r="A378" s="50"/>
      <c r="B378" s="137"/>
      <c r="C378" s="70" t="s">
        <v>62</v>
      </c>
      <c r="D378" s="200">
        <v>0</v>
      </c>
      <c r="E378" s="73">
        <v>0</v>
      </c>
      <c r="F378" s="73">
        <v>0</v>
      </c>
      <c r="G378" s="74" t="e">
        <f t="shared" si="98"/>
        <v>#DIV/0!</v>
      </c>
      <c r="H378" s="75" t="e">
        <f t="shared" si="99"/>
        <v>#DIV/0!</v>
      </c>
      <c r="I378" s="76" t="e">
        <f t="shared" si="100"/>
        <v>#DIV/0!</v>
      </c>
      <c r="J378" s="200">
        <v>0</v>
      </c>
      <c r="K378" s="73">
        <v>0</v>
      </c>
      <c r="L378" s="73">
        <v>0</v>
      </c>
      <c r="M378" s="200">
        <v>0</v>
      </c>
      <c r="N378" s="79" t="e">
        <f t="shared" si="140"/>
        <v>#DIV/0!</v>
      </c>
      <c r="O378" s="80" t="e">
        <f t="shared" si="101"/>
        <v>#DIV/0!</v>
      </c>
      <c r="P378" s="79" t="e">
        <f t="shared" si="102"/>
        <v>#DIV/0!</v>
      </c>
      <c r="Q378" s="81" t="e">
        <f t="shared" si="103"/>
        <v>#DIV/0!</v>
      </c>
      <c r="R378" s="92">
        <f t="shared" si="139"/>
        <v>0</v>
      </c>
      <c r="S378" s="83" t="e">
        <f t="shared" si="104"/>
        <v>#DIV/0!</v>
      </c>
      <c r="T378" s="135"/>
      <c r="U378" s="135"/>
      <c r="V378" s="135"/>
      <c r="W378" s="135"/>
      <c r="X378" s="136"/>
      <c r="Y378" s="50"/>
      <c r="Z378" s="50"/>
    </row>
    <row r="379" spans="1:26" ht="12.75" hidden="1" outlineLevel="1" x14ac:dyDescent="0.2">
      <c r="A379" s="50"/>
      <c r="B379" s="137"/>
      <c r="C379" s="70" t="s">
        <v>66</v>
      </c>
      <c r="D379" s="201">
        <v>0</v>
      </c>
      <c r="E379" s="73">
        <v>0</v>
      </c>
      <c r="F379" s="73">
        <v>0</v>
      </c>
      <c r="G379" s="74" t="e">
        <f t="shared" si="98"/>
        <v>#DIV/0!</v>
      </c>
      <c r="H379" s="75" t="e">
        <f t="shared" si="99"/>
        <v>#DIV/0!</v>
      </c>
      <c r="I379" s="76" t="e">
        <f t="shared" si="100"/>
        <v>#DIV/0!</v>
      </c>
      <c r="J379" s="201">
        <v>60.26</v>
      </c>
      <c r="K379" s="73">
        <v>13829</v>
      </c>
      <c r="L379" s="73">
        <v>1</v>
      </c>
      <c r="M379" s="202">
        <v>59.95</v>
      </c>
      <c r="N379" s="79">
        <f t="shared" si="140"/>
        <v>1.0051709758131775</v>
      </c>
      <c r="O379" s="80">
        <f t="shared" si="101"/>
        <v>0.99485562562230345</v>
      </c>
      <c r="P379" s="79" t="e">
        <f t="shared" si="102"/>
        <v>#DIV/0!</v>
      </c>
      <c r="Q379" s="81" t="e">
        <f t="shared" si="103"/>
        <v>#DIV/0!</v>
      </c>
      <c r="R379" s="203">
        <f t="shared" si="139"/>
        <v>-59.95</v>
      </c>
      <c r="S379" s="83">
        <f t="shared" si="104"/>
        <v>60.26</v>
      </c>
      <c r="T379" s="135"/>
      <c r="U379" s="135"/>
      <c r="V379" s="135"/>
      <c r="W379" s="135"/>
      <c r="X379" s="136"/>
      <c r="Y379" s="50"/>
      <c r="Z379" s="50"/>
    </row>
    <row r="380" spans="1:26" ht="12.75" hidden="1" outlineLevel="1" x14ac:dyDescent="0.2">
      <c r="A380" s="50"/>
      <c r="B380" s="137"/>
      <c r="C380" s="70" t="s">
        <v>36</v>
      </c>
      <c r="D380" s="90">
        <v>359.7</v>
      </c>
      <c r="E380" s="73">
        <v>6</v>
      </c>
      <c r="F380" s="73">
        <v>6</v>
      </c>
      <c r="G380" s="74">
        <f t="shared" si="98"/>
        <v>1</v>
      </c>
      <c r="H380" s="75">
        <f t="shared" si="99"/>
        <v>59.949999999999996</v>
      </c>
      <c r="I380" s="76">
        <f t="shared" si="100"/>
        <v>59.949999999999996</v>
      </c>
      <c r="J380" s="90">
        <v>21.25</v>
      </c>
      <c r="K380" s="73">
        <v>1922</v>
      </c>
      <c r="L380" s="73">
        <v>2</v>
      </c>
      <c r="M380" s="91">
        <v>119.9</v>
      </c>
      <c r="N380" s="79">
        <f t="shared" si="140"/>
        <v>0.17723102585487907</v>
      </c>
      <c r="O380" s="80">
        <f t="shared" si="101"/>
        <v>5.6423529411764708</v>
      </c>
      <c r="P380" s="79">
        <f t="shared" si="102"/>
        <v>5.9077008618293021E-2</v>
      </c>
      <c r="Q380" s="81">
        <f t="shared" si="103"/>
        <v>0.33333333333333337</v>
      </c>
      <c r="R380" s="92">
        <f t="shared" si="139"/>
        <v>239.79999999999998</v>
      </c>
      <c r="S380" s="83">
        <f t="shared" si="104"/>
        <v>10.625</v>
      </c>
      <c r="T380" s="135"/>
      <c r="U380" s="135"/>
      <c r="V380" s="135"/>
      <c r="W380" s="135"/>
      <c r="X380" s="136"/>
      <c r="Y380" s="50"/>
      <c r="Z380" s="50"/>
    </row>
    <row r="381" spans="1:26" ht="12.75" hidden="1" outlineLevel="1" x14ac:dyDescent="0.2">
      <c r="A381" s="50"/>
      <c r="B381" s="69" t="s">
        <v>37</v>
      </c>
      <c r="C381" s="70" t="s">
        <v>38</v>
      </c>
      <c r="D381" s="93">
        <v>111.84</v>
      </c>
      <c r="E381" s="73">
        <v>4</v>
      </c>
      <c r="F381" s="73">
        <v>3</v>
      </c>
      <c r="G381" s="74">
        <f t="shared" si="98"/>
        <v>1.3333333333333333</v>
      </c>
      <c r="H381" s="75">
        <f t="shared" si="99"/>
        <v>27.96</v>
      </c>
      <c r="I381" s="76">
        <f t="shared" si="100"/>
        <v>20.970000000000002</v>
      </c>
      <c r="J381" s="93">
        <v>65.09</v>
      </c>
      <c r="K381" s="73">
        <v>16921</v>
      </c>
      <c r="L381" s="73">
        <v>1</v>
      </c>
      <c r="M381" s="94">
        <v>27.96</v>
      </c>
      <c r="N381" s="79">
        <f t="shared" si="140"/>
        <v>2.3279685264663805</v>
      </c>
      <c r="O381" s="80">
        <f t="shared" si="101"/>
        <v>0.42955907205407895</v>
      </c>
      <c r="P381" s="79">
        <f t="shared" si="102"/>
        <v>0.58199213161659513</v>
      </c>
      <c r="Q381" s="81">
        <f t="shared" si="103"/>
        <v>0.25</v>
      </c>
      <c r="R381" s="95">
        <f t="shared" si="139"/>
        <v>83.88</v>
      </c>
      <c r="S381" s="83">
        <f t="shared" si="104"/>
        <v>65.09</v>
      </c>
      <c r="T381" s="135"/>
      <c r="U381" s="135"/>
      <c r="V381" s="135"/>
      <c r="W381" s="135"/>
      <c r="X381" s="136"/>
      <c r="Y381" s="50"/>
      <c r="Z381" s="50"/>
    </row>
    <row r="382" spans="1:26" ht="12.75" hidden="1" outlineLevel="1" x14ac:dyDescent="0.2">
      <c r="A382" s="50"/>
      <c r="B382" s="137"/>
      <c r="C382" s="70" t="s">
        <v>39</v>
      </c>
      <c r="D382" s="96">
        <v>-319.98</v>
      </c>
      <c r="E382" s="73">
        <v>-2</v>
      </c>
      <c r="F382" s="73">
        <v>0</v>
      </c>
      <c r="G382" s="74" t="e">
        <f t="shared" si="98"/>
        <v>#DIV/0!</v>
      </c>
      <c r="H382" s="75">
        <f t="shared" si="99"/>
        <v>159.99</v>
      </c>
      <c r="I382" s="76" t="e">
        <f t="shared" si="100"/>
        <v>#DIV/0!</v>
      </c>
      <c r="J382" s="96">
        <v>0</v>
      </c>
      <c r="K382" s="73">
        <v>0</v>
      </c>
      <c r="L382" s="73">
        <v>0</v>
      </c>
      <c r="M382" s="97">
        <v>0</v>
      </c>
      <c r="N382" s="79" t="e">
        <f t="shared" si="140"/>
        <v>#DIV/0!</v>
      </c>
      <c r="O382" s="80" t="e">
        <f t="shared" si="101"/>
        <v>#DIV/0!</v>
      </c>
      <c r="P382" s="79">
        <f t="shared" si="102"/>
        <v>0</v>
      </c>
      <c r="Q382" s="81">
        <f t="shared" si="103"/>
        <v>0</v>
      </c>
      <c r="R382" s="98">
        <f t="shared" si="139"/>
        <v>-319.98</v>
      </c>
      <c r="S382" s="83" t="e">
        <f t="shared" si="104"/>
        <v>#DIV/0!</v>
      </c>
      <c r="T382" s="135"/>
      <c r="U382" s="135"/>
      <c r="V382" s="135"/>
      <c r="W382" s="135"/>
      <c r="X382" s="136"/>
      <c r="Y382" s="50"/>
      <c r="Z382" s="50"/>
    </row>
    <row r="383" spans="1:26" ht="12.75" hidden="1" outlineLevel="1" x14ac:dyDescent="0.2">
      <c r="A383" s="50"/>
      <c r="B383" s="137"/>
      <c r="C383" s="70" t="s">
        <v>40</v>
      </c>
      <c r="D383" s="99">
        <v>604.45000000000005</v>
      </c>
      <c r="E383" s="73">
        <v>11</v>
      </c>
      <c r="F383" s="73">
        <v>4</v>
      </c>
      <c r="G383" s="74">
        <f t="shared" si="98"/>
        <v>2.75</v>
      </c>
      <c r="H383" s="75">
        <f t="shared" si="99"/>
        <v>54.95</v>
      </c>
      <c r="I383" s="76">
        <f t="shared" si="100"/>
        <v>19.981818181818184</v>
      </c>
      <c r="J383" s="99">
        <v>0</v>
      </c>
      <c r="K383" s="73">
        <v>0</v>
      </c>
      <c r="L383" s="73">
        <v>0</v>
      </c>
      <c r="M383" s="100">
        <v>0</v>
      </c>
      <c r="N383" s="79" t="e">
        <f t="shared" si="140"/>
        <v>#DIV/0!</v>
      </c>
      <c r="O383" s="80" t="e">
        <f t="shared" si="101"/>
        <v>#DIV/0!</v>
      </c>
      <c r="P383" s="79">
        <f t="shared" si="102"/>
        <v>0</v>
      </c>
      <c r="Q383" s="81">
        <f t="shared" si="103"/>
        <v>0</v>
      </c>
      <c r="R383" s="101">
        <f t="shared" si="139"/>
        <v>604.45000000000005</v>
      </c>
      <c r="S383" s="83" t="e">
        <f t="shared" si="104"/>
        <v>#DIV/0!</v>
      </c>
      <c r="T383" s="135"/>
      <c r="U383" s="135"/>
      <c r="V383" s="135"/>
      <c r="W383" s="135"/>
      <c r="X383" s="136"/>
      <c r="Y383" s="50"/>
      <c r="Z383" s="50"/>
    </row>
    <row r="384" spans="1:26" ht="12.75" hidden="1" outlineLevel="1" x14ac:dyDescent="0.2">
      <c r="A384" s="50"/>
      <c r="B384" s="137"/>
      <c r="C384" s="70" t="s">
        <v>41</v>
      </c>
      <c r="D384" s="102">
        <v>-52.71</v>
      </c>
      <c r="E384" s="73">
        <v>1</v>
      </c>
      <c r="F384" s="73">
        <v>3</v>
      </c>
      <c r="G384" s="74">
        <f t="shared" si="98"/>
        <v>0.33333333333333331</v>
      </c>
      <c r="H384" s="75">
        <f t="shared" si="99"/>
        <v>-52.71</v>
      </c>
      <c r="I384" s="76">
        <f t="shared" si="100"/>
        <v>-158.13000000000002</v>
      </c>
      <c r="J384" s="102">
        <v>38.06</v>
      </c>
      <c r="K384" s="73">
        <v>8821</v>
      </c>
      <c r="L384" s="73">
        <v>1</v>
      </c>
      <c r="M384" s="103">
        <v>149</v>
      </c>
      <c r="N384" s="79">
        <f t="shared" si="140"/>
        <v>0.25543624161073825</v>
      </c>
      <c r="O384" s="80">
        <f t="shared" si="101"/>
        <v>3.9148712559117183</v>
      </c>
      <c r="P384" s="79">
        <f t="shared" si="102"/>
        <v>-0.72206412445456269</v>
      </c>
      <c r="Q384" s="81">
        <f t="shared" si="103"/>
        <v>-2.826788085752229</v>
      </c>
      <c r="R384" s="104">
        <f t="shared" si="139"/>
        <v>-201.71</v>
      </c>
      <c r="S384" s="83">
        <f t="shared" si="104"/>
        <v>38.06</v>
      </c>
      <c r="T384" s="135"/>
      <c r="U384" s="135"/>
      <c r="V384" s="135"/>
      <c r="W384" s="135"/>
      <c r="X384" s="136"/>
      <c r="Y384" s="50"/>
      <c r="Z384" s="50"/>
    </row>
    <row r="385" spans="1:26" ht="12.75" hidden="1" outlineLevel="1" x14ac:dyDescent="0.2">
      <c r="A385" s="50"/>
      <c r="B385" s="137"/>
      <c r="C385" s="70" t="s">
        <v>42</v>
      </c>
      <c r="D385" s="90">
        <v>19.989999999999998</v>
      </c>
      <c r="E385" s="73">
        <v>1</v>
      </c>
      <c r="F385" s="73">
        <v>1</v>
      </c>
      <c r="G385" s="74">
        <f t="shared" si="98"/>
        <v>1</v>
      </c>
      <c r="H385" s="75">
        <f t="shared" si="99"/>
        <v>19.989999999999998</v>
      </c>
      <c r="I385" s="76">
        <f t="shared" si="100"/>
        <v>19.989999999999998</v>
      </c>
      <c r="J385" s="90">
        <v>10.88</v>
      </c>
      <c r="K385" s="73">
        <v>21244</v>
      </c>
      <c r="L385" s="73">
        <v>0</v>
      </c>
      <c r="M385" s="91">
        <v>0</v>
      </c>
      <c r="N385" s="79" t="e">
        <f t="shared" si="140"/>
        <v>#DIV/0!</v>
      </c>
      <c r="O385" s="80">
        <f t="shared" si="101"/>
        <v>0</v>
      </c>
      <c r="P385" s="79">
        <f t="shared" si="102"/>
        <v>0.54427213606803415</v>
      </c>
      <c r="Q385" s="81">
        <f t="shared" si="103"/>
        <v>0</v>
      </c>
      <c r="R385" s="92">
        <f t="shared" si="139"/>
        <v>19.989999999999998</v>
      </c>
      <c r="S385" s="83" t="e">
        <f t="shared" si="104"/>
        <v>#DIV/0!</v>
      </c>
      <c r="T385" s="135"/>
      <c r="U385" s="135"/>
      <c r="V385" s="135"/>
      <c r="W385" s="135"/>
      <c r="X385" s="136"/>
      <c r="Y385" s="50"/>
      <c r="Z385" s="50"/>
    </row>
    <row r="386" spans="1:26" ht="12.75" hidden="1" outlineLevel="1" x14ac:dyDescent="0.2">
      <c r="A386" s="50"/>
      <c r="B386" s="137"/>
      <c r="C386" s="70" t="s">
        <v>43</v>
      </c>
      <c r="D386" s="105">
        <v>439.39</v>
      </c>
      <c r="E386" s="73">
        <v>5</v>
      </c>
      <c r="F386" s="73">
        <v>5</v>
      </c>
      <c r="G386" s="74">
        <f t="shared" si="98"/>
        <v>1</v>
      </c>
      <c r="H386" s="75">
        <f t="shared" si="99"/>
        <v>87.878</v>
      </c>
      <c r="I386" s="76">
        <f t="shared" si="100"/>
        <v>87.878</v>
      </c>
      <c r="J386" s="105">
        <v>80.58</v>
      </c>
      <c r="K386" s="73">
        <v>23771</v>
      </c>
      <c r="L386" s="73">
        <v>2</v>
      </c>
      <c r="M386" s="106">
        <v>172.76</v>
      </c>
      <c r="N386" s="79">
        <f t="shared" si="140"/>
        <v>0.46642741375318364</v>
      </c>
      <c r="O386" s="80">
        <f t="shared" si="101"/>
        <v>2.1439563167038966</v>
      </c>
      <c r="P386" s="79">
        <f t="shared" si="102"/>
        <v>0.18339060970891463</v>
      </c>
      <c r="Q386" s="81">
        <f t="shared" si="103"/>
        <v>0.39318145610960648</v>
      </c>
      <c r="R386" s="107">
        <f t="shared" si="139"/>
        <v>266.63</v>
      </c>
      <c r="S386" s="83">
        <f t="shared" si="104"/>
        <v>40.29</v>
      </c>
      <c r="T386" s="135"/>
      <c r="U386" s="135"/>
      <c r="V386" s="135"/>
      <c r="W386" s="135"/>
      <c r="X386" s="136"/>
      <c r="Y386" s="50"/>
      <c r="Z386" s="50"/>
    </row>
    <row r="387" spans="1:26" ht="12.75" hidden="1" outlineLevel="1" x14ac:dyDescent="0.2">
      <c r="A387" s="50"/>
      <c r="B387" s="137"/>
      <c r="C387" s="70" t="s">
        <v>44</v>
      </c>
      <c r="D387" s="108">
        <v>44.95</v>
      </c>
      <c r="E387" s="73">
        <v>1</v>
      </c>
      <c r="F387" s="73">
        <v>1</v>
      </c>
      <c r="G387" s="74">
        <f t="shared" si="98"/>
        <v>1</v>
      </c>
      <c r="H387" s="75">
        <f t="shared" si="99"/>
        <v>44.95</v>
      </c>
      <c r="I387" s="76">
        <f t="shared" si="100"/>
        <v>44.95</v>
      </c>
      <c r="J387" s="108">
        <v>27.45</v>
      </c>
      <c r="K387" s="73">
        <v>13588</v>
      </c>
      <c r="L387" s="73">
        <v>0</v>
      </c>
      <c r="M387" s="109">
        <v>0</v>
      </c>
      <c r="N387" s="79" t="e">
        <f t="shared" si="140"/>
        <v>#DIV/0!</v>
      </c>
      <c r="O387" s="80">
        <f t="shared" si="101"/>
        <v>0</v>
      </c>
      <c r="P387" s="79">
        <f t="shared" si="102"/>
        <v>0.6106785317018909</v>
      </c>
      <c r="Q387" s="81">
        <f t="shared" si="103"/>
        <v>0</v>
      </c>
      <c r="R387" s="110">
        <f t="shared" si="139"/>
        <v>44.95</v>
      </c>
      <c r="S387" s="83" t="e">
        <f t="shared" si="104"/>
        <v>#DIV/0!</v>
      </c>
      <c r="T387" s="135"/>
      <c r="U387" s="135"/>
      <c r="V387" s="135"/>
      <c r="W387" s="135"/>
      <c r="X387" s="136"/>
      <c r="Y387" s="50"/>
      <c r="Z387" s="50"/>
    </row>
    <row r="388" spans="1:26" ht="12.75" hidden="1" outlineLevel="1" x14ac:dyDescent="0.2">
      <c r="A388" s="139"/>
      <c r="B388" s="137"/>
      <c r="C388" s="112" t="s">
        <v>45</v>
      </c>
      <c r="D388" s="71">
        <v>39.9</v>
      </c>
      <c r="E388" s="73">
        <v>2</v>
      </c>
      <c r="F388" s="73">
        <v>1</v>
      </c>
      <c r="G388" s="74">
        <f t="shared" si="98"/>
        <v>2</v>
      </c>
      <c r="H388" s="75">
        <f t="shared" si="99"/>
        <v>19.95</v>
      </c>
      <c r="I388" s="76">
        <f t="shared" si="100"/>
        <v>9.9749999999999996</v>
      </c>
      <c r="J388" s="71">
        <v>0</v>
      </c>
      <c r="K388" s="73">
        <v>0</v>
      </c>
      <c r="L388" s="73">
        <v>0</v>
      </c>
      <c r="M388" s="78">
        <v>0</v>
      </c>
      <c r="N388" s="79" t="e">
        <f t="shared" si="140"/>
        <v>#DIV/0!</v>
      </c>
      <c r="O388" s="80" t="e">
        <f t="shared" si="101"/>
        <v>#DIV/0!</v>
      </c>
      <c r="P388" s="79">
        <f t="shared" si="102"/>
        <v>0</v>
      </c>
      <c r="Q388" s="81">
        <f t="shared" si="103"/>
        <v>0</v>
      </c>
      <c r="R388" s="82">
        <f t="shared" si="139"/>
        <v>39.9</v>
      </c>
      <c r="S388" s="83" t="e">
        <f t="shared" si="104"/>
        <v>#DIV/0!</v>
      </c>
      <c r="T388" s="140"/>
      <c r="U388" s="140"/>
      <c r="V388" s="140"/>
      <c r="W388" s="141"/>
      <c r="X388" s="142"/>
      <c r="Y388" s="50"/>
      <c r="Z388" s="50"/>
    </row>
    <row r="389" spans="1:26" ht="12.75" hidden="1" outlineLevel="1" x14ac:dyDescent="0.2">
      <c r="A389" s="50"/>
      <c r="B389" s="137"/>
      <c r="C389" s="70" t="s">
        <v>46</v>
      </c>
      <c r="D389" s="116">
        <v>812.09</v>
      </c>
      <c r="E389" s="73">
        <v>21</v>
      </c>
      <c r="F389" s="73">
        <v>22</v>
      </c>
      <c r="G389" s="74">
        <f t="shared" si="98"/>
        <v>0.95454545454545459</v>
      </c>
      <c r="H389" s="75">
        <f t="shared" si="99"/>
        <v>38.670952380952386</v>
      </c>
      <c r="I389" s="76">
        <f t="shared" si="100"/>
        <v>40.51242630385488</v>
      </c>
      <c r="J389" s="116">
        <v>132.96</v>
      </c>
      <c r="K389" s="73">
        <v>28360</v>
      </c>
      <c r="L389" s="73">
        <v>12</v>
      </c>
      <c r="M389" s="117">
        <v>305.66000000000003</v>
      </c>
      <c r="N389" s="79">
        <f t="shared" si="140"/>
        <v>0.43499312962114767</v>
      </c>
      <c r="O389" s="80">
        <f t="shared" si="101"/>
        <v>2.2988868832731648</v>
      </c>
      <c r="P389" s="79">
        <f t="shared" si="102"/>
        <v>0.16372569542784668</v>
      </c>
      <c r="Q389" s="81">
        <f t="shared" si="103"/>
        <v>0.37638685367385388</v>
      </c>
      <c r="R389" s="82">
        <f t="shared" si="139"/>
        <v>506.43</v>
      </c>
      <c r="S389" s="83">
        <f t="shared" si="104"/>
        <v>11.08</v>
      </c>
      <c r="T389" s="135"/>
      <c r="U389" s="135"/>
      <c r="V389" s="135"/>
      <c r="W389" s="135"/>
      <c r="X389" s="136"/>
      <c r="Y389" s="50"/>
      <c r="Z389" s="50"/>
    </row>
    <row r="390" spans="1:26" ht="12.75" hidden="1" outlineLevel="1" x14ac:dyDescent="0.2">
      <c r="A390" s="50"/>
      <c r="B390" s="137"/>
      <c r="C390" s="70" t="s">
        <v>49</v>
      </c>
      <c r="D390" s="116">
        <v>0</v>
      </c>
      <c r="E390" s="73">
        <v>0</v>
      </c>
      <c r="F390" s="73">
        <v>0</v>
      </c>
      <c r="G390" s="74" t="e">
        <f t="shared" si="98"/>
        <v>#DIV/0!</v>
      </c>
      <c r="H390" s="75" t="e">
        <f t="shared" si="99"/>
        <v>#DIV/0!</v>
      </c>
      <c r="I390" s="76" t="e">
        <f t="shared" si="100"/>
        <v>#DIV/0!</v>
      </c>
      <c r="J390" s="116">
        <v>1.79</v>
      </c>
      <c r="K390" s="73">
        <v>5729</v>
      </c>
      <c r="L390" s="73">
        <v>0</v>
      </c>
      <c r="M390" s="117">
        <v>0</v>
      </c>
      <c r="N390" s="79" t="e">
        <f t="shared" si="140"/>
        <v>#DIV/0!</v>
      </c>
      <c r="O390" s="80">
        <f t="shared" si="101"/>
        <v>0</v>
      </c>
      <c r="P390" s="79" t="e">
        <f t="shared" si="102"/>
        <v>#DIV/0!</v>
      </c>
      <c r="Q390" s="81" t="e">
        <f t="shared" si="103"/>
        <v>#DIV/0!</v>
      </c>
      <c r="R390" s="82">
        <f t="shared" si="139"/>
        <v>0</v>
      </c>
      <c r="S390" s="83" t="e">
        <f t="shared" si="104"/>
        <v>#DIV/0!</v>
      </c>
      <c r="T390" s="135"/>
      <c r="U390" s="135"/>
      <c r="V390" s="135"/>
      <c r="W390" s="135"/>
      <c r="X390" s="136"/>
      <c r="Y390" s="50"/>
      <c r="Z390" s="50"/>
    </row>
    <row r="391" spans="1:26" hidden="1" outlineLevel="1" x14ac:dyDescent="0.25">
      <c r="A391" s="118" t="str">
        <f t="shared" ref="A391:A392" si="141">IFERROR(IF(B391&gt;0,MONTH(B391)&amp;"-"&amp;YEAR(B391),B391),)</f>
        <v>7-2025</v>
      </c>
      <c r="B391" s="69">
        <v>45850</v>
      </c>
      <c r="C391" s="198" t="s">
        <v>64</v>
      </c>
      <c r="D391" s="116">
        <v>0</v>
      </c>
      <c r="E391" s="73">
        <v>0</v>
      </c>
      <c r="F391" s="73">
        <v>0</v>
      </c>
      <c r="G391" s="74" t="e">
        <f t="shared" si="98"/>
        <v>#DIV/0!</v>
      </c>
      <c r="H391" s="75" t="e">
        <f t="shared" si="99"/>
        <v>#DIV/0!</v>
      </c>
      <c r="I391" s="76" t="e">
        <f t="shared" si="100"/>
        <v>#DIV/0!</v>
      </c>
      <c r="J391" s="87">
        <v>177.91000000000003</v>
      </c>
      <c r="K391" s="199">
        <v>47146</v>
      </c>
      <c r="L391" s="73">
        <v>0</v>
      </c>
      <c r="M391" s="88">
        <v>3299.4399999999996</v>
      </c>
      <c r="N391" s="79">
        <f t="shared" si="140"/>
        <v>5.3921271488495029E-2</v>
      </c>
      <c r="O391" s="80">
        <f t="shared" si="101"/>
        <v>18.545556742173005</v>
      </c>
      <c r="P391" s="79" t="e">
        <f t="shared" si="102"/>
        <v>#DIV/0!</v>
      </c>
      <c r="Q391" s="81" t="e">
        <f t="shared" si="103"/>
        <v>#DIV/0!</v>
      </c>
      <c r="R391" s="82">
        <f t="shared" si="139"/>
        <v>-3299.4399999999996</v>
      </c>
      <c r="S391" s="83" t="e">
        <f t="shared" si="104"/>
        <v>#DIV/0!</v>
      </c>
      <c r="T391" s="135"/>
      <c r="U391" s="135"/>
      <c r="V391" s="135"/>
      <c r="W391" s="135"/>
      <c r="X391" s="136"/>
      <c r="Y391" s="50"/>
      <c r="Z391" s="50"/>
    </row>
    <row r="392" spans="1:26" ht="12.75" collapsed="1" x14ac:dyDescent="0.2">
      <c r="A392" s="50">
        <f t="shared" si="141"/>
        <v>0</v>
      </c>
      <c r="B392" s="52" t="s">
        <v>86</v>
      </c>
      <c r="C392" s="145"/>
      <c r="D392" s="121">
        <f t="shared" ref="D392:F392" si="142">SUM(D374:D391)</f>
        <v>37213.199999999983</v>
      </c>
      <c r="E392" s="123">
        <f t="shared" si="142"/>
        <v>177</v>
      </c>
      <c r="F392" s="123">
        <f t="shared" si="142"/>
        <v>185</v>
      </c>
      <c r="G392" s="124">
        <f t="shared" si="98"/>
        <v>0.95675675675675675</v>
      </c>
      <c r="H392" s="125">
        <f t="shared" si="99"/>
        <v>210.24406779661007</v>
      </c>
      <c r="I392" s="126">
        <f t="shared" si="100"/>
        <v>219.74662453318001</v>
      </c>
      <c r="J392" s="121">
        <f t="shared" ref="J392:M392" si="143">SUM(J374:J391)</f>
        <v>2283.5099999999998</v>
      </c>
      <c r="K392" s="123">
        <f t="shared" si="143"/>
        <v>469150</v>
      </c>
      <c r="L392" s="123">
        <f t="shared" si="143"/>
        <v>58</v>
      </c>
      <c r="M392" s="127">
        <f t="shared" si="143"/>
        <v>11155.89</v>
      </c>
      <c r="N392" s="128">
        <f t="shared" si="140"/>
        <v>0.20469097490204724</v>
      </c>
      <c r="O392" s="129">
        <f t="shared" si="101"/>
        <v>4.8854132453985315</v>
      </c>
      <c r="P392" s="128">
        <f t="shared" si="102"/>
        <v>6.1362903485859877E-2</v>
      </c>
      <c r="Q392" s="130">
        <f t="shared" si="103"/>
        <v>0.29978314146593155</v>
      </c>
      <c r="R392" s="131">
        <f>SUM(R374:R391)</f>
        <v>26057.310000000009</v>
      </c>
      <c r="S392" s="132">
        <f t="shared" si="104"/>
        <v>39.370862068965515</v>
      </c>
      <c r="T392" s="133">
        <f t="shared" ref="T392:U392" si="144">IFERROR((D392-D69)/D392,)</f>
        <v>0.79627336536497795</v>
      </c>
      <c r="U392" s="133">
        <f t="shared" si="144"/>
        <v>0.46892655367231639</v>
      </c>
      <c r="V392" s="271" t="s">
        <v>139</v>
      </c>
      <c r="W392" s="271" t="s">
        <v>139</v>
      </c>
      <c r="X392" s="50"/>
      <c r="Y392" s="50"/>
      <c r="Z392" s="50"/>
    </row>
    <row r="393" spans="1:26" ht="12.75" hidden="1" outlineLevel="1" x14ac:dyDescent="0.2">
      <c r="A393" s="50"/>
      <c r="B393" s="69">
        <v>45851</v>
      </c>
      <c r="C393" s="70" t="s">
        <v>32</v>
      </c>
      <c r="D393" s="71">
        <v>4845.8599999999997</v>
      </c>
      <c r="E393" s="73">
        <v>25</v>
      </c>
      <c r="F393" s="73">
        <v>26</v>
      </c>
      <c r="G393" s="74">
        <f t="shared" si="98"/>
        <v>0.96153846153846156</v>
      </c>
      <c r="H393" s="75">
        <f t="shared" si="99"/>
        <v>193.83439999999999</v>
      </c>
      <c r="I393" s="76">
        <f t="shared" si="100"/>
        <v>201.58777599999999</v>
      </c>
      <c r="J393" s="77">
        <v>841.16</v>
      </c>
      <c r="K393" s="73">
        <v>125708</v>
      </c>
      <c r="L393" s="73">
        <v>11</v>
      </c>
      <c r="M393" s="78">
        <v>3131.8</v>
      </c>
      <c r="N393" s="79">
        <f t="shared" si="140"/>
        <v>0.26858675522063985</v>
      </c>
      <c r="O393" s="80">
        <f t="shared" si="101"/>
        <v>3.7231917827761665</v>
      </c>
      <c r="P393" s="79">
        <f t="shared" si="102"/>
        <v>0.17358322361768602</v>
      </c>
      <c r="Q393" s="81">
        <f t="shared" si="103"/>
        <v>0.64628363180116644</v>
      </c>
      <c r="R393" s="82">
        <f t="shared" ref="R393:R410" si="145">D393-M393</f>
        <v>1714.0599999999995</v>
      </c>
      <c r="S393" s="83">
        <f t="shared" si="104"/>
        <v>76.469090909090909</v>
      </c>
      <c r="T393" s="135"/>
      <c r="U393" s="135"/>
      <c r="V393" s="135"/>
      <c r="W393" s="135"/>
      <c r="X393" s="136"/>
      <c r="Y393" s="50"/>
      <c r="Z393" s="50"/>
    </row>
    <row r="394" spans="1:26" ht="12.75" hidden="1" outlineLevel="1" x14ac:dyDescent="0.2">
      <c r="A394" s="50"/>
      <c r="B394" s="137"/>
      <c r="C394" s="70" t="s">
        <v>33</v>
      </c>
      <c r="D394" s="87">
        <v>8948.2999999999993</v>
      </c>
      <c r="E394" s="73">
        <v>74</v>
      </c>
      <c r="F394" s="73">
        <v>73</v>
      </c>
      <c r="G394" s="74">
        <f t="shared" si="98"/>
        <v>1.0136986301369864</v>
      </c>
      <c r="H394" s="75">
        <f t="shared" si="99"/>
        <v>120.92297297297296</v>
      </c>
      <c r="I394" s="76">
        <f t="shared" si="100"/>
        <v>119.28887874360845</v>
      </c>
      <c r="J394" s="87">
        <v>380.4</v>
      </c>
      <c r="K394" s="73">
        <v>182221</v>
      </c>
      <c r="L394" s="73">
        <v>16</v>
      </c>
      <c r="M394" s="88">
        <v>2186.5500000000002</v>
      </c>
      <c r="N394" s="79">
        <f t="shared" si="140"/>
        <v>0.17397269671400148</v>
      </c>
      <c r="O394" s="80">
        <f t="shared" si="101"/>
        <v>5.7480283911671934</v>
      </c>
      <c r="P394" s="79">
        <f t="shared" si="102"/>
        <v>4.2510867986097919E-2</v>
      </c>
      <c r="Q394" s="81">
        <f t="shared" si="103"/>
        <v>0.24435367611725137</v>
      </c>
      <c r="R394" s="89">
        <f t="shared" si="145"/>
        <v>6761.7499999999991</v>
      </c>
      <c r="S394" s="83">
        <f t="shared" si="104"/>
        <v>23.774999999999999</v>
      </c>
      <c r="T394" s="135"/>
      <c r="U394" s="135"/>
      <c r="V394" s="135"/>
      <c r="W394" s="135"/>
      <c r="X394" s="136"/>
      <c r="Y394" s="50"/>
      <c r="Z394" s="50"/>
    </row>
    <row r="395" spans="1:26" ht="12.75" hidden="1" outlineLevel="1" x14ac:dyDescent="0.2">
      <c r="A395" s="50"/>
      <c r="B395" s="137"/>
      <c r="C395" s="70" t="s">
        <v>34</v>
      </c>
      <c r="D395" s="90">
        <v>139.9</v>
      </c>
      <c r="E395" s="73">
        <v>2</v>
      </c>
      <c r="F395" s="73">
        <v>2</v>
      </c>
      <c r="G395" s="74">
        <f t="shared" si="98"/>
        <v>1</v>
      </c>
      <c r="H395" s="75">
        <f t="shared" si="99"/>
        <v>69.95</v>
      </c>
      <c r="I395" s="76">
        <f t="shared" si="100"/>
        <v>69.95</v>
      </c>
      <c r="J395" s="90">
        <v>0</v>
      </c>
      <c r="K395" s="73">
        <v>0</v>
      </c>
      <c r="L395" s="73">
        <v>0</v>
      </c>
      <c r="M395" s="91">
        <v>0</v>
      </c>
      <c r="N395" s="79" t="e">
        <f>(J395/M395)</f>
        <v>#DIV/0!</v>
      </c>
      <c r="O395" s="80" t="e">
        <f t="shared" si="101"/>
        <v>#DIV/0!</v>
      </c>
      <c r="P395" s="79">
        <f t="shared" si="102"/>
        <v>0</v>
      </c>
      <c r="Q395" s="81">
        <f t="shared" si="103"/>
        <v>0</v>
      </c>
      <c r="R395" s="92">
        <f t="shared" si="145"/>
        <v>139.9</v>
      </c>
      <c r="S395" s="83" t="e">
        <f t="shared" si="104"/>
        <v>#DIV/0!</v>
      </c>
      <c r="T395" s="135"/>
      <c r="U395" s="135"/>
      <c r="V395" s="135"/>
      <c r="W395" s="135"/>
      <c r="X395" s="136"/>
      <c r="Y395" s="50"/>
      <c r="Z395" s="50"/>
    </row>
    <row r="396" spans="1:26" ht="12.75" hidden="1" outlineLevel="1" x14ac:dyDescent="0.2">
      <c r="A396" s="50"/>
      <c r="B396" s="137"/>
      <c r="C396" s="70" t="s">
        <v>35</v>
      </c>
      <c r="D396" s="90">
        <v>239.8</v>
      </c>
      <c r="E396" s="73">
        <v>4</v>
      </c>
      <c r="F396" s="73">
        <v>4</v>
      </c>
      <c r="G396" s="74">
        <f t="shared" si="98"/>
        <v>1</v>
      </c>
      <c r="H396" s="75">
        <f t="shared" si="99"/>
        <v>59.95</v>
      </c>
      <c r="I396" s="76">
        <f t="shared" si="100"/>
        <v>59.95</v>
      </c>
      <c r="J396" s="90">
        <v>74.16</v>
      </c>
      <c r="K396" s="73">
        <v>7744</v>
      </c>
      <c r="L396" s="73">
        <v>2</v>
      </c>
      <c r="M396" s="91">
        <v>119.9</v>
      </c>
      <c r="N396" s="79">
        <f t="shared" ref="N396:N413" si="146">J396/M396</f>
        <v>0.61851542952460381</v>
      </c>
      <c r="O396" s="80">
        <f t="shared" si="101"/>
        <v>1.6167745415318233</v>
      </c>
      <c r="P396" s="79">
        <f t="shared" si="102"/>
        <v>0.30925771476230191</v>
      </c>
      <c r="Q396" s="81">
        <f t="shared" si="103"/>
        <v>0.5</v>
      </c>
      <c r="R396" s="92">
        <f t="shared" si="145"/>
        <v>119.9</v>
      </c>
      <c r="S396" s="83">
        <f t="shared" si="104"/>
        <v>37.08</v>
      </c>
      <c r="T396" s="135"/>
      <c r="U396" s="135"/>
      <c r="V396" s="135"/>
      <c r="W396" s="135"/>
      <c r="X396" s="136"/>
      <c r="Y396" s="50"/>
      <c r="Z396" s="50"/>
    </row>
    <row r="397" spans="1:26" ht="12.75" hidden="1" outlineLevel="1" x14ac:dyDescent="0.2">
      <c r="A397" s="50"/>
      <c r="B397" s="137"/>
      <c r="C397" s="70" t="s">
        <v>62</v>
      </c>
      <c r="D397" s="200">
        <v>0</v>
      </c>
      <c r="E397" s="73">
        <v>0</v>
      </c>
      <c r="F397" s="73">
        <v>0</v>
      </c>
      <c r="G397" s="74" t="e">
        <f t="shared" si="98"/>
        <v>#DIV/0!</v>
      </c>
      <c r="H397" s="75" t="e">
        <f t="shared" si="99"/>
        <v>#DIV/0!</v>
      </c>
      <c r="I397" s="76" t="e">
        <f t="shared" si="100"/>
        <v>#DIV/0!</v>
      </c>
      <c r="J397" s="200">
        <v>0</v>
      </c>
      <c r="K397" s="73">
        <v>0</v>
      </c>
      <c r="L397" s="73">
        <v>0</v>
      </c>
      <c r="M397" s="200">
        <v>0</v>
      </c>
      <c r="N397" s="79" t="e">
        <f t="shared" si="146"/>
        <v>#DIV/0!</v>
      </c>
      <c r="O397" s="80" t="e">
        <f t="shared" si="101"/>
        <v>#DIV/0!</v>
      </c>
      <c r="P397" s="79" t="e">
        <f t="shared" si="102"/>
        <v>#DIV/0!</v>
      </c>
      <c r="Q397" s="81" t="e">
        <f t="shared" si="103"/>
        <v>#DIV/0!</v>
      </c>
      <c r="R397" s="92">
        <f t="shared" si="145"/>
        <v>0</v>
      </c>
      <c r="S397" s="83" t="e">
        <f t="shared" si="104"/>
        <v>#DIV/0!</v>
      </c>
      <c r="T397" s="135"/>
      <c r="U397" s="135"/>
      <c r="V397" s="135"/>
      <c r="W397" s="135"/>
      <c r="X397" s="136"/>
      <c r="Y397" s="50"/>
      <c r="Z397" s="50"/>
    </row>
    <row r="398" spans="1:26" ht="12.75" hidden="1" outlineLevel="1" x14ac:dyDescent="0.2">
      <c r="A398" s="50"/>
      <c r="B398" s="137"/>
      <c r="C398" s="70" t="s">
        <v>66</v>
      </c>
      <c r="D398" s="201">
        <v>0</v>
      </c>
      <c r="E398" s="73">
        <v>0</v>
      </c>
      <c r="F398" s="73">
        <v>0</v>
      </c>
      <c r="G398" s="74" t="e">
        <f t="shared" si="98"/>
        <v>#DIV/0!</v>
      </c>
      <c r="H398" s="75" t="e">
        <f t="shared" si="99"/>
        <v>#DIV/0!</v>
      </c>
      <c r="I398" s="76" t="e">
        <f t="shared" si="100"/>
        <v>#DIV/0!</v>
      </c>
      <c r="J398" s="201">
        <v>67.209999999999994</v>
      </c>
      <c r="K398" s="73">
        <v>7724</v>
      </c>
      <c r="L398" s="73">
        <v>1</v>
      </c>
      <c r="M398" s="202">
        <v>59.95</v>
      </c>
      <c r="N398" s="79">
        <f t="shared" si="146"/>
        <v>1.1211009174311926</v>
      </c>
      <c r="O398" s="80">
        <f t="shared" si="101"/>
        <v>0.89198036006546655</v>
      </c>
      <c r="P398" s="79" t="e">
        <f t="shared" si="102"/>
        <v>#DIV/0!</v>
      </c>
      <c r="Q398" s="81" t="e">
        <f t="shared" si="103"/>
        <v>#DIV/0!</v>
      </c>
      <c r="R398" s="203">
        <f t="shared" si="145"/>
        <v>-59.95</v>
      </c>
      <c r="S398" s="83">
        <f t="shared" si="104"/>
        <v>67.209999999999994</v>
      </c>
      <c r="T398" s="135"/>
      <c r="U398" s="135"/>
      <c r="V398" s="135"/>
      <c r="W398" s="135"/>
      <c r="X398" s="136"/>
      <c r="Y398" s="50"/>
      <c r="Z398" s="50"/>
    </row>
    <row r="399" spans="1:26" ht="12.75" hidden="1" outlineLevel="1" x14ac:dyDescent="0.2">
      <c r="A399" s="50"/>
      <c r="B399" s="137"/>
      <c r="C399" s="70" t="s">
        <v>36</v>
      </c>
      <c r="D399" s="90">
        <v>239.8</v>
      </c>
      <c r="E399" s="73">
        <v>4</v>
      </c>
      <c r="F399" s="73">
        <v>4</v>
      </c>
      <c r="G399" s="74">
        <f t="shared" si="98"/>
        <v>1</v>
      </c>
      <c r="H399" s="75">
        <f t="shared" si="99"/>
        <v>59.95</v>
      </c>
      <c r="I399" s="76">
        <f t="shared" si="100"/>
        <v>59.95</v>
      </c>
      <c r="J399" s="90">
        <v>9.2799999999999994</v>
      </c>
      <c r="K399" s="73">
        <v>2048</v>
      </c>
      <c r="L399" s="73">
        <v>0</v>
      </c>
      <c r="M399" s="91">
        <v>0</v>
      </c>
      <c r="N399" s="79" t="e">
        <f t="shared" si="146"/>
        <v>#DIV/0!</v>
      </c>
      <c r="O399" s="80">
        <f t="shared" si="101"/>
        <v>0</v>
      </c>
      <c r="P399" s="79">
        <f t="shared" si="102"/>
        <v>3.8698915763135944E-2</v>
      </c>
      <c r="Q399" s="81">
        <f t="shared" si="103"/>
        <v>0</v>
      </c>
      <c r="R399" s="92">
        <f t="shared" si="145"/>
        <v>239.8</v>
      </c>
      <c r="S399" s="83" t="e">
        <f t="shared" si="104"/>
        <v>#DIV/0!</v>
      </c>
      <c r="T399" s="135"/>
      <c r="U399" s="135"/>
      <c r="V399" s="135"/>
      <c r="W399" s="135"/>
      <c r="X399" s="136"/>
      <c r="Y399" s="50"/>
      <c r="Z399" s="50"/>
    </row>
    <row r="400" spans="1:26" ht="12.75" hidden="1" outlineLevel="1" x14ac:dyDescent="0.2">
      <c r="A400" s="50"/>
      <c r="B400" s="69" t="s">
        <v>37</v>
      </c>
      <c r="C400" s="70" t="s">
        <v>38</v>
      </c>
      <c r="D400" s="93">
        <v>65.900000000000006</v>
      </c>
      <c r="E400" s="73">
        <v>3</v>
      </c>
      <c r="F400" s="73">
        <v>4</v>
      </c>
      <c r="G400" s="74">
        <f t="shared" si="98"/>
        <v>0.75</v>
      </c>
      <c r="H400" s="75">
        <f t="shared" si="99"/>
        <v>21.966666666666669</v>
      </c>
      <c r="I400" s="76">
        <f t="shared" si="100"/>
        <v>29.288888888888891</v>
      </c>
      <c r="J400" s="93">
        <v>37.81</v>
      </c>
      <c r="K400" s="73">
        <v>8987</v>
      </c>
      <c r="L400" s="73">
        <v>2</v>
      </c>
      <c r="M400" s="94">
        <v>51.92</v>
      </c>
      <c r="N400" s="79">
        <f t="shared" si="146"/>
        <v>0.7282357473035439</v>
      </c>
      <c r="O400" s="80">
        <f t="shared" si="101"/>
        <v>1.3731816979635016</v>
      </c>
      <c r="P400" s="79">
        <f t="shared" si="102"/>
        <v>0.57374810318664637</v>
      </c>
      <c r="Q400" s="81">
        <f t="shared" si="103"/>
        <v>0.78786039453717749</v>
      </c>
      <c r="R400" s="95">
        <f t="shared" si="145"/>
        <v>13.980000000000004</v>
      </c>
      <c r="S400" s="83">
        <f t="shared" si="104"/>
        <v>18.905000000000001</v>
      </c>
      <c r="T400" s="135"/>
      <c r="U400" s="135"/>
      <c r="V400" s="135"/>
      <c r="W400" s="135"/>
      <c r="X400" s="136"/>
      <c r="Y400" s="50"/>
      <c r="Z400" s="50"/>
    </row>
    <row r="401" spans="1:26" ht="12.75" hidden="1" outlineLevel="1" x14ac:dyDescent="0.2">
      <c r="A401" s="50"/>
      <c r="B401" s="137"/>
      <c r="C401" s="70" t="s">
        <v>39</v>
      </c>
      <c r="D401" s="96">
        <v>0</v>
      </c>
      <c r="E401" s="73">
        <v>0</v>
      </c>
      <c r="F401" s="73">
        <v>0</v>
      </c>
      <c r="G401" s="74" t="e">
        <f t="shared" si="98"/>
        <v>#DIV/0!</v>
      </c>
      <c r="H401" s="75" t="e">
        <f t="shared" si="99"/>
        <v>#DIV/0!</v>
      </c>
      <c r="I401" s="76" t="e">
        <f t="shared" si="100"/>
        <v>#DIV/0!</v>
      </c>
      <c r="J401" s="96">
        <v>0</v>
      </c>
      <c r="K401" s="73">
        <v>0</v>
      </c>
      <c r="L401" s="73">
        <v>0</v>
      </c>
      <c r="M401" s="97">
        <v>0</v>
      </c>
      <c r="N401" s="79" t="e">
        <f t="shared" si="146"/>
        <v>#DIV/0!</v>
      </c>
      <c r="O401" s="80" t="e">
        <f t="shared" si="101"/>
        <v>#DIV/0!</v>
      </c>
      <c r="P401" s="79" t="e">
        <f t="shared" si="102"/>
        <v>#DIV/0!</v>
      </c>
      <c r="Q401" s="81" t="e">
        <f t="shared" si="103"/>
        <v>#DIV/0!</v>
      </c>
      <c r="R401" s="98">
        <f t="shared" si="145"/>
        <v>0</v>
      </c>
      <c r="S401" s="83" t="e">
        <f t="shared" si="104"/>
        <v>#DIV/0!</v>
      </c>
      <c r="T401" s="135"/>
      <c r="U401" s="135"/>
      <c r="V401" s="135"/>
      <c r="W401" s="135"/>
      <c r="X401" s="136"/>
      <c r="Y401" s="50"/>
      <c r="Z401" s="50"/>
    </row>
    <row r="402" spans="1:26" ht="12.75" hidden="1" outlineLevel="1" x14ac:dyDescent="0.2">
      <c r="A402" s="50"/>
      <c r="B402" s="137"/>
      <c r="C402" s="70" t="s">
        <v>40</v>
      </c>
      <c r="D402" s="99">
        <v>879.2</v>
      </c>
      <c r="E402" s="73">
        <v>16</v>
      </c>
      <c r="F402" s="73">
        <v>9</v>
      </c>
      <c r="G402" s="74">
        <f t="shared" si="98"/>
        <v>1.7777777777777777</v>
      </c>
      <c r="H402" s="75">
        <f t="shared" si="99"/>
        <v>54.95</v>
      </c>
      <c r="I402" s="76">
        <f t="shared" si="100"/>
        <v>30.909375000000004</v>
      </c>
      <c r="J402" s="99">
        <v>0</v>
      </c>
      <c r="K402" s="73">
        <v>0</v>
      </c>
      <c r="L402" s="73">
        <v>0</v>
      </c>
      <c r="M402" s="100">
        <v>0</v>
      </c>
      <c r="N402" s="79" t="e">
        <f t="shared" si="146"/>
        <v>#DIV/0!</v>
      </c>
      <c r="O402" s="80" t="e">
        <f t="shared" si="101"/>
        <v>#DIV/0!</v>
      </c>
      <c r="P402" s="79">
        <f t="shared" si="102"/>
        <v>0</v>
      </c>
      <c r="Q402" s="81">
        <f t="shared" si="103"/>
        <v>0</v>
      </c>
      <c r="R402" s="101">
        <f t="shared" si="145"/>
        <v>879.2</v>
      </c>
      <c r="S402" s="83" t="e">
        <f t="shared" si="104"/>
        <v>#DIV/0!</v>
      </c>
      <c r="T402" s="135"/>
      <c r="U402" s="135"/>
      <c r="V402" s="135"/>
      <c r="W402" s="135"/>
      <c r="X402" s="136"/>
      <c r="Y402" s="50"/>
      <c r="Z402" s="50"/>
    </row>
    <row r="403" spans="1:26" ht="12.75" hidden="1" outlineLevel="1" x14ac:dyDescent="0.2">
      <c r="A403" s="50"/>
      <c r="B403" s="137"/>
      <c r="C403" s="70" t="s">
        <v>41</v>
      </c>
      <c r="D403" s="102">
        <v>1054.6199999999999</v>
      </c>
      <c r="E403" s="73">
        <v>11</v>
      </c>
      <c r="F403" s="73">
        <v>11</v>
      </c>
      <c r="G403" s="74">
        <f t="shared" si="98"/>
        <v>1</v>
      </c>
      <c r="H403" s="75">
        <f t="shared" si="99"/>
        <v>95.874545454545441</v>
      </c>
      <c r="I403" s="76">
        <f t="shared" si="100"/>
        <v>95.874545454545441</v>
      </c>
      <c r="J403" s="102">
        <v>128.59</v>
      </c>
      <c r="K403" s="73">
        <v>21330</v>
      </c>
      <c r="L403" s="73">
        <v>5</v>
      </c>
      <c r="M403" s="103">
        <v>512.66</v>
      </c>
      <c r="N403" s="79">
        <f t="shared" si="146"/>
        <v>0.25082900947996722</v>
      </c>
      <c r="O403" s="80">
        <f t="shared" si="101"/>
        <v>3.9867796873784895</v>
      </c>
      <c r="P403" s="79">
        <f t="shared" si="102"/>
        <v>0.12193017390150009</v>
      </c>
      <c r="Q403" s="81">
        <f t="shared" si="103"/>
        <v>0.48610874058902737</v>
      </c>
      <c r="R403" s="104">
        <f t="shared" si="145"/>
        <v>541.95999999999992</v>
      </c>
      <c r="S403" s="83">
        <f t="shared" si="104"/>
        <v>25.718</v>
      </c>
      <c r="T403" s="135"/>
      <c r="U403" s="135"/>
      <c r="V403" s="135"/>
      <c r="W403" s="135"/>
      <c r="X403" s="136"/>
      <c r="Y403" s="50"/>
      <c r="Z403" s="50"/>
    </row>
    <row r="404" spans="1:26" ht="12.75" hidden="1" outlineLevel="1" x14ac:dyDescent="0.2">
      <c r="A404" s="50"/>
      <c r="B404" s="137"/>
      <c r="C404" s="70" t="s">
        <v>42</v>
      </c>
      <c r="D404" s="90">
        <v>0</v>
      </c>
      <c r="E404" s="73">
        <v>0</v>
      </c>
      <c r="F404" s="73">
        <v>1</v>
      </c>
      <c r="G404" s="74">
        <f t="shared" si="98"/>
        <v>0</v>
      </c>
      <c r="H404" s="75" t="e">
        <f t="shared" si="99"/>
        <v>#DIV/0!</v>
      </c>
      <c r="I404" s="76" t="e">
        <f t="shared" si="100"/>
        <v>#DIV/0!</v>
      </c>
      <c r="J404" s="90">
        <v>5.17</v>
      </c>
      <c r="K404" s="73">
        <v>17908</v>
      </c>
      <c r="L404" s="73">
        <v>1</v>
      </c>
      <c r="M404" s="91">
        <v>19.989999999999998</v>
      </c>
      <c r="N404" s="79">
        <f t="shared" si="146"/>
        <v>0.25862931465732869</v>
      </c>
      <c r="O404" s="80">
        <f t="shared" si="101"/>
        <v>3.8665377176015472</v>
      </c>
      <c r="P404" s="79" t="e">
        <f t="shared" si="102"/>
        <v>#DIV/0!</v>
      </c>
      <c r="Q404" s="81" t="e">
        <f t="shared" si="103"/>
        <v>#DIV/0!</v>
      </c>
      <c r="R404" s="92">
        <f t="shared" si="145"/>
        <v>-19.989999999999998</v>
      </c>
      <c r="S404" s="83">
        <f t="shared" si="104"/>
        <v>5.17</v>
      </c>
      <c r="T404" s="135"/>
      <c r="U404" s="135"/>
      <c r="V404" s="135"/>
      <c r="W404" s="135"/>
      <c r="X404" s="136"/>
      <c r="Y404" s="50"/>
      <c r="Z404" s="50"/>
    </row>
    <row r="405" spans="1:26" ht="12.75" hidden="1" outlineLevel="1" x14ac:dyDescent="0.2">
      <c r="A405" s="50"/>
      <c r="B405" s="137"/>
      <c r="C405" s="70" t="s">
        <v>43</v>
      </c>
      <c r="D405" s="105">
        <v>135.96</v>
      </c>
      <c r="E405" s="73">
        <v>1</v>
      </c>
      <c r="F405" s="73">
        <v>1</v>
      </c>
      <c r="G405" s="74">
        <f t="shared" si="98"/>
        <v>1</v>
      </c>
      <c r="H405" s="75">
        <f t="shared" si="99"/>
        <v>135.96</v>
      </c>
      <c r="I405" s="76">
        <f t="shared" si="100"/>
        <v>135.96</v>
      </c>
      <c r="J405" s="105">
        <v>40.85</v>
      </c>
      <c r="K405" s="73">
        <v>13445</v>
      </c>
      <c r="L405" s="73">
        <v>0</v>
      </c>
      <c r="M405" s="106">
        <v>0</v>
      </c>
      <c r="N405" s="79" t="e">
        <f t="shared" si="146"/>
        <v>#DIV/0!</v>
      </c>
      <c r="O405" s="80">
        <f t="shared" si="101"/>
        <v>0</v>
      </c>
      <c r="P405" s="79">
        <f t="shared" si="102"/>
        <v>0.30045601647543396</v>
      </c>
      <c r="Q405" s="81">
        <f t="shared" si="103"/>
        <v>0</v>
      </c>
      <c r="R405" s="107">
        <f t="shared" si="145"/>
        <v>135.96</v>
      </c>
      <c r="S405" s="83" t="e">
        <f t="shared" si="104"/>
        <v>#DIV/0!</v>
      </c>
      <c r="T405" s="135"/>
      <c r="U405" s="135"/>
      <c r="V405" s="135"/>
      <c r="W405" s="135"/>
      <c r="X405" s="136"/>
      <c r="Y405" s="50"/>
      <c r="Z405" s="50"/>
    </row>
    <row r="406" spans="1:26" ht="12.75" hidden="1" outlineLevel="1" x14ac:dyDescent="0.2">
      <c r="A406" s="50"/>
      <c r="B406" s="137"/>
      <c r="C406" s="70" t="s">
        <v>44</v>
      </c>
      <c r="D406" s="108">
        <v>134.85</v>
      </c>
      <c r="E406" s="73">
        <v>3</v>
      </c>
      <c r="F406" s="73">
        <v>3</v>
      </c>
      <c r="G406" s="74">
        <f t="shared" si="98"/>
        <v>1</v>
      </c>
      <c r="H406" s="75">
        <f t="shared" si="99"/>
        <v>44.949999999999996</v>
      </c>
      <c r="I406" s="76">
        <f t="shared" si="100"/>
        <v>44.949999999999996</v>
      </c>
      <c r="J406" s="108">
        <v>57.75</v>
      </c>
      <c r="K406" s="73">
        <v>34709</v>
      </c>
      <c r="L406" s="73">
        <v>2</v>
      </c>
      <c r="M406" s="109">
        <v>89.9</v>
      </c>
      <c r="N406" s="79">
        <f t="shared" si="146"/>
        <v>0.64238042269187978</v>
      </c>
      <c r="O406" s="80">
        <f t="shared" si="101"/>
        <v>1.5567099567099567</v>
      </c>
      <c r="P406" s="79">
        <f t="shared" si="102"/>
        <v>0.42825361512791993</v>
      </c>
      <c r="Q406" s="81">
        <f t="shared" si="103"/>
        <v>0.66666666666666674</v>
      </c>
      <c r="R406" s="110">
        <f t="shared" si="145"/>
        <v>44.949999999999989</v>
      </c>
      <c r="S406" s="83">
        <f t="shared" si="104"/>
        <v>28.875</v>
      </c>
      <c r="T406" s="135"/>
      <c r="U406" s="135"/>
      <c r="V406" s="135"/>
      <c r="W406" s="135"/>
      <c r="X406" s="136"/>
      <c r="Y406" s="50"/>
      <c r="Z406" s="50"/>
    </row>
    <row r="407" spans="1:26" ht="12.75" hidden="1" outlineLevel="1" x14ac:dyDescent="0.2">
      <c r="A407" s="139"/>
      <c r="B407" s="137"/>
      <c r="C407" s="112" t="s">
        <v>45</v>
      </c>
      <c r="D407" s="71">
        <v>59.85</v>
      </c>
      <c r="E407" s="73">
        <v>3</v>
      </c>
      <c r="F407" s="73">
        <v>1</v>
      </c>
      <c r="G407" s="74">
        <f t="shared" si="98"/>
        <v>3</v>
      </c>
      <c r="H407" s="75">
        <f t="shared" si="99"/>
        <v>19.95</v>
      </c>
      <c r="I407" s="76">
        <f t="shared" si="100"/>
        <v>6.6499999999999995</v>
      </c>
      <c r="J407" s="71">
        <v>0</v>
      </c>
      <c r="K407" s="73">
        <v>0</v>
      </c>
      <c r="L407" s="73">
        <v>0</v>
      </c>
      <c r="M407" s="78">
        <v>0</v>
      </c>
      <c r="N407" s="79" t="e">
        <f t="shared" si="146"/>
        <v>#DIV/0!</v>
      </c>
      <c r="O407" s="80" t="e">
        <f t="shared" si="101"/>
        <v>#DIV/0!</v>
      </c>
      <c r="P407" s="79">
        <f t="shared" si="102"/>
        <v>0</v>
      </c>
      <c r="Q407" s="81">
        <f t="shared" si="103"/>
        <v>0</v>
      </c>
      <c r="R407" s="82">
        <f t="shared" si="145"/>
        <v>59.85</v>
      </c>
      <c r="S407" s="83" t="e">
        <f t="shared" si="104"/>
        <v>#DIV/0!</v>
      </c>
      <c r="T407" s="140"/>
      <c r="U407" s="140"/>
      <c r="V407" s="140"/>
      <c r="W407" s="141"/>
      <c r="X407" s="142"/>
      <c r="Y407" s="50"/>
      <c r="Z407" s="50"/>
    </row>
    <row r="408" spans="1:26" ht="12.75" hidden="1" outlineLevel="1" x14ac:dyDescent="0.2">
      <c r="A408" s="50"/>
      <c r="B408" s="137"/>
      <c r="C408" s="70" t="s">
        <v>46</v>
      </c>
      <c r="D408" s="116">
        <v>623.29999999999995</v>
      </c>
      <c r="E408" s="73">
        <v>14</v>
      </c>
      <c r="F408" s="73">
        <v>15</v>
      </c>
      <c r="G408" s="74">
        <f t="shared" si="98"/>
        <v>0.93333333333333335</v>
      </c>
      <c r="H408" s="75">
        <f t="shared" si="99"/>
        <v>44.521428571428565</v>
      </c>
      <c r="I408" s="76">
        <f t="shared" si="100"/>
        <v>47.701530612244888</v>
      </c>
      <c r="J408" s="116">
        <v>106.58</v>
      </c>
      <c r="K408" s="73">
        <v>20334</v>
      </c>
      <c r="L408" s="73">
        <v>5</v>
      </c>
      <c r="M408" s="117">
        <v>175.8</v>
      </c>
      <c r="N408" s="79">
        <f t="shared" si="146"/>
        <v>0.60625711035267349</v>
      </c>
      <c r="O408" s="80">
        <f t="shared" si="101"/>
        <v>1.6494651904672548</v>
      </c>
      <c r="P408" s="79">
        <f t="shared" si="102"/>
        <v>0.17099310123536018</v>
      </c>
      <c r="Q408" s="81">
        <f t="shared" si="103"/>
        <v>0.28204716829776999</v>
      </c>
      <c r="R408" s="82">
        <f t="shared" si="145"/>
        <v>447.49999999999994</v>
      </c>
      <c r="S408" s="83">
        <f t="shared" si="104"/>
        <v>21.315999999999999</v>
      </c>
      <c r="T408" s="135"/>
      <c r="U408" s="135"/>
      <c r="V408" s="135"/>
      <c r="W408" s="135"/>
      <c r="X408" s="136"/>
      <c r="Y408" s="50"/>
      <c r="Z408" s="50"/>
    </row>
    <row r="409" spans="1:26" ht="12.75" hidden="1" outlineLevel="1" x14ac:dyDescent="0.2">
      <c r="A409" s="50"/>
      <c r="B409" s="137"/>
      <c r="C409" s="70" t="s">
        <v>49</v>
      </c>
      <c r="D409" s="116">
        <v>439.5</v>
      </c>
      <c r="E409" s="73">
        <v>9</v>
      </c>
      <c r="F409" s="73">
        <v>9</v>
      </c>
      <c r="G409" s="74">
        <f t="shared" si="98"/>
        <v>1</v>
      </c>
      <c r="H409" s="75">
        <f t="shared" si="99"/>
        <v>48.833333333333336</v>
      </c>
      <c r="I409" s="76">
        <f t="shared" si="100"/>
        <v>48.833333333333336</v>
      </c>
      <c r="J409" s="116">
        <v>1.1399999999999999</v>
      </c>
      <c r="K409" s="73">
        <v>4859</v>
      </c>
      <c r="L409" s="73">
        <v>0</v>
      </c>
      <c r="M409" s="117">
        <v>0</v>
      </c>
      <c r="N409" s="79" t="e">
        <f t="shared" si="146"/>
        <v>#DIV/0!</v>
      </c>
      <c r="O409" s="80">
        <f t="shared" si="101"/>
        <v>0</v>
      </c>
      <c r="P409" s="79">
        <f t="shared" si="102"/>
        <v>2.593856655290102E-3</v>
      </c>
      <c r="Q409" s="81">
        <f t="shared" si="103"/>
        <v>0</v>
      </c>
      <c r="R409" s="82">
        <f t="shared" si="145"/>
        <v>439.5</v>
      </c>
      <c r="S409" s="83" t="e">
        <f t="shared" si="104"/>
        <v>#DIV/0!</v>
      </c>
      <c r="T409" s="135"/>
      <c r="U409" s="135"/>
      <c r="V409" s="135"/>
      <c r="W409" s="135"/>
      <c r="X409" s="136"/>
      <c r="Y409" s="50"/>
      <c r="Z409" s="50"/>
    </row>
    <row r="410" spans="1:26" hidden="1" outlineLevel="1" x14ac:dyDescent="0.25">
      <c r="A410" s="118" t="str">
        <f t="shared" ref="A410:A411" si="147">IFERROR(IF(B410&gt;0,MONTH(B410)&amp;"-"&amp;YEAR(B410),B410),)</f>
        <v>7-2025</v>
      </c>
      <c r="B410" s="69">
        <v>45857</v>
      </c>
      <c r="C410" s="198" t="s">
        <v>64</v>
      </c>
      <c r="D410" s="116">
        <v>0</v>
      </c>
      <c r="E410" s="73">
        <v>0</v>
      </c>
      <c r="F410" s="73">
        <v>0</v>
      </c>
      <c r="G410" s="74" t="e">
        <f t="shared" si="98"/>
        <v>#DIV/0!</v>
      </c>
      <c r="H410" s="75" t="e">
        <f t="shared" si="99"/>
        <v>#DIV/0!</v>
      </c>
      <c r="I410" s="76" t="e">
        <f t="shared" si="100"/>
        <v>#DIV/0!</v>
      </c>
      <c r="J410" s="87">
        <v>365.53999999999991</v>
      </c>
      <c r="K410" s="199">
        <v>75850</v>
      </c>
      <c r="L410" s="73">
        <v>0</v>
      </c>
      <c r="M410" s="88">
        <v>928.56000000000017</v>
      </c>
      <c r="N410" s="79">
        <f t="shared" si="146"/>
        <v>0.39366330662531213</v>
      </c>
      <c r="O410" s="80">
        <f t="shared" si="101"/>
        <v>2.5402418339990165</v>
      </c>
      <c r="P410" s="79" t="e">
        <f t="shared" si="102"/>
        <v>#DIV/0!</v>
      </c>
      <c r="Q410" s="81" t="e">
        <f t="shared" si="103"/>
        <v>#DIV/0!</v>
      </c>
      <c r="R410" s="82">
        <f t="shared" si="145"/>
        <v>-928.56000000000017</v>
      </c>
      <c r="S410" s="83" t="e">
        <f t="shared" si="104"/>
        <v>#DIV/0!</v>
      </c>
      <c r="T410" s="135"/>
      <c r="U410" s="135"/>
      <c r="V410" s="135"/>
      <c r="W410" s="135"/>
      <c r="X410" s="136"/>
      <c r="Y410" s="50"/>
      <c r="Z410" s="50"/>
    </row>
    <row r="411" spans="1:26" ht="12.75" collapsed="1" x14ac:dyDescent="0.2">
      <c r="A411" s="50">
        <f t="shared" si="147"/>
        <v>0</v>
      </c>
      <c r="B411" s="52" t="s">
        <v>87</v>
      </c>
      <c r="C411" s="145"/>
      <c r="D411" s="121">
        <f t="shared" ref="D411:F411" si="148">SUM(D393:D410)</f>
        <v>17806.839999999993</v>
      </c>
      <c r="E411" s="123">
        <f t="shared" si="148"/>
        <v>169</v>
      </c>
      <c r="F411" s="123">
        <f t="shared" si="148"/>
        <v>163</v>
      </c>
      <c r="G411" s="124">
        <f t="shared" si="98"/>
        <v>1.0368098159509203</v>
      </c>
      <c r="H411" s="125">
        <f t="shared" si="99"/>
        <v>105.36591715976327</v>
      </c>
      <c r="I411" s="126">
        <f t="shared" si="100"/>
        <v>101.62511536710895</v>
      </c>
      <c r="J411" s="121">
        <f t="shared" ref="J411:M411" si="149">SUM(J393:J410)</f>
        <v>2115.64</v>
      </c>
      <c r="K411" s="123">
        <f t="shared" si="149"/>
        <v>522867</v>
      </c>
      <c r="L411" s="123">
        <f t="shared" si="149"/>
        <v>45</v>
      </c>
      <c r="M411" s="127">
        <f t="shared" si="149"/>
        <v>7277.03</v>
      </c>
      <c r="N411" s="128">
        <f t="shared" si="146"/>
        <v>0.29072849775251713</v>
      </c>
      <c r="O411" s="129">
        <f t="shared" si="101"/>
        <v>3.4396352876670888</v>
      </c>
      <c r="P411" s="128">
        <f t="shared" si="102"/>
        <v>0.11881052449508171</v>
      </c>
      <c r="Q411" s="130">
        <f t="shared" si="103"/>
        <v>0.40866487259951811</v>
      </c>
      <c r="R411" s="131">
        <f>SUM(R393:R410)</f>
        <v>10529.809999999996</v>
      </c>
      <c r="S411" s="132">
        <f t="shared" si="104"/>
        <v>47.014222222222216</v>
      </c>
      <c r="T411" s="133">
        <f t="shared" ref="T411:U411" si="150">IFERROR((D411-D69)/D411,)</f>
        <v>0.57424675012523274</v>
      </c>
      <c r="U411" s="133">
        <f t="shared" si="150"/>
        <v>0.4437869822485207</v>
      </c>
      <c r="V411" s="271" t="s">
        <v>139</v>
      </c>
      <c r="W411" s="271" t="s">
        <v>139</v>
      </c>
      <c r="X411" s="50"/>
      <c r="Y411" s="50"/>
      <c r="Z411" s="50"/>
    </row>
    <row r="412" spans="1:26" ht="12.75" hidden="1" outlineLevel="1" x14ac:dyDescent="0.2">
      <c r="A412" s="50"/>
      <c r="B412" s="69">
        <v>45858</v>
      </c>
      <c r="C412" s="70" t="s">
        <v>32</v>
      </c>
      <c r="D412" s="71">
        <v>530.64</v>
      </c>
      <c r="E412" s="73">
        <v>8</v>
      </c>
      <c r="F412" s="73">
        <v>7</v>
      </c>
      <c r="G412" s="74">
        <f t="shared" si="98"/>
        <v>1.1428571428571428</v>
      </c>
      <c r="H412" s="75">
        <f t="shared" si="99"/>
        <v>66.33</v>
      </c>
      <c r="I412" s="76">
        <f t="shared" si="100"/>
        <v>58.03875</v>
      </c>
      <c r="J412" s="77">
        <v>652.89</v>
      </c>
      <c r="K412" s="73">
        <v>94474</v>
      </c>
      <c r="L412" s="73">
        <v>4</v>
      </c>
      <c r="M412" s="78">
        <v>59.95</v>
      </c>
      <c r="N412" s="79">
        <f t="shared" si="146"/>
        <v>10.890575479566305</v>
      </c>
      <c r="O412" s="80">
        <f t="shared" si="101"/>
        <v>9.1822512214921354E-2</v>
      </c>
      <c r="P412" s="79">
        <f t="shared" si="102"/>
        <v>1.2303821800090458</v>
      </c>
      <c r="Q412" s="81">
        <f t="shared" si="103"/>
        <v>0.11297678275290217</v>
      </c>
      <c r="R412" s="82">
        <f t="shared" ref="R412:R429" si="151">D412-M412</f>
        <v>470.69</v>
      </c>
      <c r="S412" s="83">
        <f t="shared" si="104"/>
        <v>163.2225</v>
      </c>
      <c r="T412" s="135"/>
      <c r="U412" s="135"/>
      <c r="V412" s="135"/>
      <c r="W412" s="135"/>
      <c r="X412" s="136"/>
      <c r="Y412" s="50"/>
      <c r="Z412" s="50"/>
    </row>
    <row r="413" spans="1:26" ht="12.75" hidden="1" outlineLevel="1" x14ac:dyDescent="0.2">
      <c r="A413" s="50"/>
      <c r="B413" s="137"/>
      <c r="C413" s="70" t="s">
        <v>33</v>
      </c>
      <c r="D413" s="87">
        <v>752.25</v>
      </c>
      <c r="E413" s="73">
        <v>33</v>
      </c>
      <c r="F413" s="73">
        <v>35</v>
      </c>
      <c r="G413" s="74">
        <f t="shared" si="98"/>
        <v>0.94285714285714284</v>
      </c>
      <c r="H413" s="75">
        <f t="shared" si="99"/>
        <v>22.795454545454547</v>
      </c>
      <c r="I413" s="76">
        <f t="shared" si="100"/>
        <v>24.176997245179066</v>
      </c>
      <c r="J413" s="87">
        <v>322.83</v>
      </c>
      <c r="K413" s="73">
        <v>135682</v>
      </c>
      <c r="L413" s="73">
        <v>8</v>
      </c>
      <c r="M413" s="88">
        <v>1029.75</v>
      </c>
      <c r="N413" s="79">
        <f t="shared" si="146"/>
        <v>0.31350327749453749</v>
      </c>
      <c r="O413" s="80">
        <f t="shared" si="101"/>
        <v>3.1897593160486943</v>
      </c>
      <c r="P413" s="79">
        <f t="shared" si="102"/>
        <v>0.42915254237288131</v>
      </c>
      <c r="Q413" s="81">
        <f t="shared" si="103"/>
        <v>1.3688933200398803</v>
      </c>
      <c r="R413" s="89">
        <f t="shared" si="151"/>
        <v>-277.5</v>
      </c>
      <c r="S413" s="83">
        <f t="shared" si="104"/>
        <v>40.353749999999998</v>
      </c>
      <c r="T413" s="135"/>
      <c r="U413" s="135"/>
      <c r="V413" s="135"/>
      <c r="W413" s="135"/>
      <c r="X413" s="136"/>
      <c r="Y413" s="50"/>
      <c r="Z413" s="50"/>
    </row>
    <row r="414" spans="1:26" ht="12.75" hidden="1" outlineLevel="1" x14ac:dyDescent="0.2">
      <c r="A414" s="50"/>
      <c r="B414" s="137"/>
      <c r="C414" s="70" t="s">
        <v>34</v>
      </c>
      <c r="D414" s="90">
        <v>0</v>
      </c>
      <c r="E414" s="73">
        <v>0</v>
      </c>
      <c r="F414" s="73">
        <v>0</v>
      </c>
      <c r="G414" s="74" t="e">
        <f t="shared" si="98"/>
        <v>#DIV/0!</v>
      </c>
      <c r="H414" s="75" t="e">
        <f t="shared" si="99"/>
        <v>#DIV/0!</v>
      </c>
      <c r="I414" s="76" t="e">
        <f t="shared" si="100"/>
        <v>#DIV/0!</v>
      </c>
      <c r="J414" s="90">
        <v>1.01</v>
      </c>
      <c r="K414" s="73">
        <v>4</v>
      </c>
      <c r="L414" s="73">
        <v>0</v>
      </c>
      <c r="M414" s="91">
        <v>0</v>
      </c>
      <c r="N414" s="79" t="e">
        <f>(J414/M414)</f>
        <v>#DIV/0!</v>
      </c>
      <c r="O414" s="80">
        <f t="shared" si="101"/>
        <v>0</v>
      </c>
      <c r="P414" s="79" t="e">
        <f t="shared" si="102"/>
        <v>#DIV/0!</v>
      </c>
      <c r="Q414" s="81" t="e">
        <f t="shared" si="103"/>
        <v>#DIV/0!</v>
      </c>
      <c r="R414" s="92">
        <f t="shared" si="151"/>
        <v>0</v>
      </c>
      <c r="S414" s="83" t="e">
        <f t="shared" si="104"/>
        <v>#DIV/0!</v>
      </c>
      <c r="T414" s="135"/>
      <c r="U414" s="135"/>
      <c r="V414" s="135"/>
      <c r="W414" s="135"/>
      <c r="X414" s="136"/>
      <c r="Y414" s="50"/>
      <c r="Z414" s="50"/>
    </row>
    <row r="415" spans="1:26" ht="12.75" hidden="1" outlineLevel="1" x14ac:dyDescent="0.2">
      <c r="A415" s="50"/>
      <c r="B415" s="137"/>
      <c r="C415" s="70" t="s">
        <v>35</v>
      </c>
      <c r="D415" s="90">
        <v>239.8</v>
      </c>
      <c r="E415" s="73">
        <v>4</v>
      </c>
      <c r="F415" s="73">
        <v>4</v>
      </c>
      <c r="G415" s="74">
        <f t="shared" si="98"/>
        <v>1</v>
      </c>
      <c r="H415" s="75">
        <f t="shared" si="99"/>
        <v>59.95</v>
      </c>
      <c r="I415" s="76">
        <f t="shared" si="100"/>
        <v>59.95</v>
      </c>
      <c r="J415" s="90">
        <v>12.25</v>
      </c>
      <c r="K415" s="73">
        <v>5249</v>
      </c>
      <c r="L415" s="73">
        <v>0</v>
      </c>
      <c r="M415" s="91">
        <v>0</v>
      </c>
      <c r="N415" s="79" t="e">
        <f t="shared" ref="N415:N432" si="152">J415/M415</f>
        <v>#DIV/0!</v>
      </c>
      <c r="O415" s="80">
        <f t="shared" si="101"/>
        <v>0</v>
      </c>
      <c r="P415" s="79">
        <f t="shared" si="102"/>
        <v>5.1084236864053376E-2</v>
      </c>
      <c r="Q415" s="81">
        <f t="shared" si="103"/>
        <v>0</v>
      </c>
      <c r="R415" s="92">
        <f t="shared" si="151"/>
        <v>239.8</v>
      </c>
      <c r="S415" s="83" t="e">
        <f t="shared" si="104"/>
        <v>#DIV/0!</v>
      </c>
      <c r="T415" s="135"/>
      <c r="U415" s="135"/>
      <c r="V415" s="135"/>
      <c r="W415" s="135"/>
      <c r="X415" s="136"/>
      <c r="Y415" s="50"/>
      <c r="Z415" s="50"/>
    </row>
    <row r="416" spans="1:26" ht="12.75" hidden="1" outlineLevel="1" x14ac:dyDescent="0.2">
      <c r="A416" s="50"/>
      <c r="B416" s="137"/>
      <c r="C416" s="70" t="s">
        <v>62</v>
      </c>
      <c r="D416" s="200">
        <v>0</v>
      </c>
      <c r="E416" s="73">
        <v>0</v>
      </c>
      <c r="F416" s="73">
        <v>0</v>
      </c>
      <c r="G416" s="74" t="e">
        <f t="shared" si="98"/>
        <v>#DIV/0!</v>
      </c>
      <c r="H416" s="75" t="e">
        <f t="shared" si="99"/>
        <v>#DIV/0!</v>
      </c>
      <c r="I416" s="76" t="e">
        <f t="shared" si="100"/>
        <v>#DIV/0!</v>
      </c>
      <c r="J416" s="200">
        <v>0</v>
      </c>
      <c r="K416" s="73">
        <v>0</v>
      </c>
      <c r="L416" s="73">
        <v>0</v>
      </c>
      <c r="M416" s="200">
        <v>0</v>
      </c>
      <c r="N416" s="79" t="e">
        <f t="shared" si="152"/>
        <v>#DIV/0!</v>
      </c>
      <c r="O416" s="80" t="e">
        <f t="shared" si="101"/>
        <v>#DIV/0!</v>
      </c>
      <c r="P416" s="79" t="e">
        <f t="shared" si="102"/>
        <v>#DIV/0!</v>
      </c>
      <c r="Q416" s="81" t="e">
        <f t="shared" si="103"/>
        <v>#DIV/0!</v>
      </c>
      <c r="R416" s="92">
        <f t="shared" si="151"/>
        <v>0</v>
      </c>
      <c r="S416" s="83" t="e">
        <f t="shared" si="104"/>
        <v>#DIV/0!</v>
      </c>
      <c r="T416" s="135"/>
      <c r="U416" s="135"/>
      <c r="V416" s="135"/>
      <c r="W416" s="135"/>
      <c r="X416" s="136"/>
      <c r="Y416" s="50"/>
      <c r="Z416" s="50"/>
    </row>
    <row r="417" spans="1:26" ht="12.75" hidden="1" outlineLevel="1" x14ac:dyDescent="0.2">
      <c r="A417" s="50"/>
      <c r="B417" s="137"/>
      <c r="C417" s="70" t="s">
        <v>66</v>
      </c>
      <c r="D417" s="201">
        <v>0</v>
      </c>
      <c r="E417" s="73">
        <v>0</v>
      </c>
      <c r="F417" s="73">
        <v>0</v>
      </c>
      <c r="G417" s="74" t="e">
        <f t="shared" si="98"/>
        <v>#DIV/0!</v>
      </c>
      <c r="H417" s="75" t="e">
        <f t="shared" si="99"/>
        <v>#DIV/0!</v>
      </c>
      <c r="I417" s="76" t="e">
        <f t="shared" si="100"/>
        <v>#DIV/0!</v>
      </c>
      <c r="J417" s="201">
        <v>0</v>
      </c>
      <c r="K417" s="73">
        <v>0</v>
      </c>
      <c r="L417" s="73">
        <v>0</v>
      </c>
      <c r="M417" s="202">
        <v>0</v>
      </c>
      <c r="N417" s="79" t="e">
        <f t="shared" si="152"/>
        <v>#DIV/0!</v>
      </c>
      <c r="O417" s="80" t="e">
        <f t="shared" si="101"/>
        <v>#DIV/0!</v>
      </c>
      <c r="P417" s="79" t="e">
        <f t="shared" si="102"/>
        <v>#DIV/0!</v>
      </c>
      <c r="Q417" s="81" t="e">
        <f t="shared" si="103"/>
        <v>#DIV/0!</v>
      </c>
      <c r="R417" s="203">
        <f t="shared" si="151"/>
        <v>0</v>
      </c>
      <c r="S417" s="83" t="e">
        <f t="shared" si="104"/>
        <v>#DIV/0!</v>
      </c>
      <c r="T417" s="135"/>
      <c r="U417" s="135"/>
      <c r="V417" s="135"/>
      <c r="W417" s="135"/>
      <c r="X417" s="136"/>
      <c r="Y417" s="50"/>
      <c r="Z417" s="50"/>
    </row>
    <row r="418" spans="1:26" ht="12.75" hidden="1" outlineLevel="1" x14ac:dyDescent="0.2">
      <c r="A418" s="50"/>
      <c r="B418" s="137"/>
      <c r="C418" s="70" t="s">
        <v>36</v>
      </c>
      <c r="D418" s="90">
        <v>119.9</v>
      </c>
      <c r="E418" s="73">
        <v>2</v>
      </c>
      <c r="F418" s="73">
        <v>2</v>
      </c>
      <c r="G418" s="74">
        <f t="shared" si="98"/>
        <v>1</v>
      </c>
      <c r="H418" s="75">
        <f t="shared" si="99"/>
        <v>59.95</v>
      </c>
      <c r="I418" s="76">
        <f t="shared" si="100"/>
        <v>59.95</v>
      </c>
      <c r="J418" s="90">
        <v>48.93</v>
      </c>
      <c r="K418" s="73">
        <v>9472</v>
      </c>
      <c r="L418" s="73">
        <v>2</v>
      </c>
      <c r="M418" s="91">
        <v>59.95</v>
      </c>
      <c r="N418" s="79">
        <f t="shared" si="152"/>
        <v>0.81618015012510425</v>
      </c>
      <c r="O418" s="80">
        <f t="shared" si="101"/>
        <v>1.2252197016145514</v>
      </c>
      <c r="P418" s="79">
        <f t="shared" si="102"/>
        <v>0.40809007506255213</v>
      </c>
      <c r="Q418" s="81">
        <f t="shared" si="103"/>
        <v>0.5</v>
      </c>
      <c r="R418" s="92">
        <f t="shared" si="151"/>
        <v>59.95</v>
      </c>
      <c r="S418" s="83">
        <f t="shared" si="104"/>
        <v>24.465</v>
      </c>
      <c r="T418" s="135"/>
      <c r="U418" s="135"/>
      <c r="V418" s="135"/>
      <c r="W418" s="135"/>
      <c r="X418" s="136"/>
      <c r="Y418" s="50"/>
      <c r="Z418" s="50"/>
    </row>
    <row r="419" spans="1:26" ht="12.75" hidden="1" outlineLevel="1" x14ac:dyDescent="0.2">
      <c r="A419" s="50"/>
      <c r="B419" s="69" t="s">
        <v>37</v>
      </c>
      <c r="C419" s="70" t="s">
        <v>38</v>
      </c>
      <c r="D419" s="93">
        <v>36.94</v>
      </c>
      <c r="E419" s="73">
        <v>1</v>
      </c>
      <c r="F419" s="73">
        <v>2</v>
      </c>
      <c r="G419" s="74">
        <f t="shared" si="98"/>
        <v>0.5</v>
      </c>
      <c r="H419" s="75">
        <f t="shared" si="99"/>
        <v>36.94</v>
      </c>
      <c r="I419" s="76">
        <f t="shared" si="100"/>
        <v>73.88</v>
      </c>
      <c r="J419" s="93">
        <v>24.06</v>
      </c>
      <c r="K419" s="73">
        <v>8815</v>
      </c>
      <c r="L419" s="73">
        <v>1</v>
      </c>
      <c r="M419" s="94">
        <v>29.95</v>
      </c>
      <c r="N419" s="79">
        <f t="shared" si="152"/>
        <v>0.80333889816360604</v>
      </c>
      <c r="O419" s="80">
        <f t="shared" si="101"/>
        <v>1.2448046550290939</v>
      </c>
      <c r="P419" s="79">
        <f t="shared" si="102"/>
        <v>0.65132647536545751</v>
      </c>
      <c r="Q419" s="81">
        <f t="shared" si="103"/>
        <v>0.81077422847861402</v>
      </c>
      <c r="R419" s="95">
        <f t="shared" si="151"/>
        <v>6.9899999999999984</v>
      </c>
      <c r="S419" s="83">
        <f t="shared" si="104"/>
        <v>24.06</v>
      </c>
      <c r="T419" s="135"/>
      <c r="U419" s="135"/>
      <c r="V419" s="135"/>
      <c r="W419" s="135"/>
      <c r="X419" s="136"/>
      <c r="Y419" s="50"/>
      <c r="Z419" s="50"/>
    </row>
    <row r="420" spans="1:26" ht="12.75" hidden="1" outlineLevel="1" x14ac:dyDescent="0.2">
      <c r="A420" s="50"/>
      <c r="B420" s="137"/>
      <c r="C420" s="70" t="s">
        <v>39</v>
      </c>
      <c r="D420" s="96">
        <v>0</v>
      </c>
      <c r="E420" s="73">
        <v>0</v>
      </c>
      <c r="F420" s="73">
        <v>0</v>
      </c>
      <c r="G420" s="74" t="e">
        <f t="shared" si="98"/>
        <v>#DIV/0!</v>
      </c>
      <c r="H420" s="75" t="e">
        <f t="shared" si="99"/>
        <v>#DIV/0!</v>
      </c>
      <c r="I420" s="76" t="e">
        <f t="shared" si="100"/>
        <v>#DIV/0!</v>
      </c>
      <c r="J420" s="96">
        <v>0</v>
      </c>
      <c r="K420" s="73">
        <v>0</v>
      </c>
      <c r="L420" s="73">
        <v>0</v>
      </c>
      <c r="M420" s="97">
        <v>0</v>
      </c>
      <c r="N420" s="79" t="e">
        <f t="shared" si="152"/>
        <v>#DIV/0!</v>
      </c>
      <c r="O420" s="80" t="e">
        <f t="shared" si="101"/>
        <v>#DIV/0!</v>
      </c>
      <c r="P420" s="79" t="e">
        <f t="shared" si="102"/>
        <v>#DIV/0!</v>
      </c>
      <c r="Q420" s="81" t="e">
        <f t="shared" si="103"/>
        <v>#DIV/0!</v>
      </c>
      <c r="R420" s="98">
        <f t="shared" si="151"/>
        <v>0</v>
      </c>
      <c r="S420" s="83" t="e">
        <f t="shared" si="104"/>
        <v>#DIV/0!</v>
      </c>
      <c r="T420" s="135"/>
      <c r="U420" s="135"/>
      <c r="V420" s="135"/>
      <c r="W420" s="135"/>
      <c r="X420" s="136"/>
      <c r="Y420" s="50"/>
      <c r="Z420" s="50"/>
    </row>
    <row r="421" spans="1:26" ht="12.75" hidden="1" outlineLevel="1" x14ac:dyDescent="0.2">
      <c r="A421" s="50"/>
      <c r="B421" s="137"/>
      <c r="C421" s="70" t="s">
        <v>40</v>
      </c>
      <c r="D421" s="99">
        <v>54.95</v>
      </c>
      <c r="E421" s="73">
        <v>1</v>
      </c>
      <c r="F421" s="73">
        <v>1</v>
      </c>
      <c r="G421" s="74">
        <f t="shared" si="98"/>
        <v>1</v>
      </c>
      <c r="H421" s="75">
        <f t="shared" si="99"/>
        <v>54.95</v>
      </c>
      <c r="I421" s="76">
        <f t="shared" si="100"/>
        <v>54.95</v>
      </c>
      <c r="J421" s="99">
        <v>0</v>
      </c>
      <c r="K421" s="73">
        <v>0</v>
      </c>
      <c r="L421" s="73">
        <v>0</v>
      </c>
      <c r="M421" s="100">
        <v>0</v>
      </c>
      <c r="N421" s="79" t="e">
        <f t="shared" si="152"/>
        <v>#DIV/0!</v>
      </c>
      <c r="O421" s="80" t="e">
        <f t="shared" si="101"/>
        <v>#DIV/0!</v>
      </c>
      <c r="P421" s="79">
        <f t="shared" si="102"/>
        <v>0</v>
      </c>
      <c r="Q421" s="81">
        <f t="shared" si="103"/>
        <v>0</v>
      </c>
      <c r="R421" s="101">
        <f t="shared" si="151"/>
        <v>54.95</v>
      </c>
      <c r="S421" s="83" t="e">
        <f t="shared" si="104"/>
        <v>#DIV/0!</v>
      </c>
      <c r="T421" s="135"/>
      <c r="U421" s="135"/>
      <c r="V421" s="135"/>
      <c r="W421" s="135"/>
      <c r="X421" s="136"/>
      <c r="Y421" s="50"/>
      <c r="Z421" s="50"/>
    </row>
    <row r="422" spans="1:26" ht="12.75" hidden="1" outlineLevel="1" x14ac:dyDescent="0.2">
      <c r="A422" s="50"/>
      <c r="B422" s="137"/>
      <c r="C422" s="70" t="s">
        <v>41</v>
      </c>
      <c r="D422" s="102">
        <v>191.99</v>
      </c>
      <c r="E422" s="73">
        <v>2</v>
      </c>
      <c r="F422" s="73">
        <v>4</v>
      </c>
      <c r="G422" s="74">
        <f t="shared" si="98"/>
        <v>0.5</v>
      </c>
      <c r="H422" s="75">
        <f t="shared" si="99"/>
        <v>95.995000000000005</v>
      </c>
      <c r="I422" s="76">
        <f t="shared" si="100"/>
        <v>191.99</v>
      </c>
      <c r="J422" s="102">
        <v>83.15</v>
      </c>
      <c r="K422" s="73">
        <v>17275</v>
      </c>
      <c r="L422" s="73">
        <v>2</v>
      </c>
      <c r="M422" s="103">
        <v>215.99</v>
      </c>
      <c r="N422" s="79">
        <f t="shared" si="152"/>
        <v>0.38497152645955834</v>
      </c>
      <c r="O422" s="80">
        <f t="shared" si="101"/>
        <v>2.5975947083583883</v>
      </c>
      <c r="P422" s="79">
        <f t="shared" si="102"/>
        <v>0.43309547372258972</v>
      </c>
      <c r="Q422" s="81">
        <f t="shared" si="103"/>
        <v>1.1250065107557685</v>
      </c>
      <c r="R422" s="104">
        <f t="shared" si="151"/>
        <v>-24</v>
      </c>
      <c r="S422" s="83">
        <f t="shared" si="104"/>
        <v>41.575000000000003</v>
      </c>
      <c r="T422" s="135"/>
      <c r="U422" s="135"/>
      <c r="V422" s="135"/>
      <c r="W422" s="135"/>
      <c r="X422" s="136"/>
      <c r="Y422" s="50"/>
      <c r="Z422" s="50"/>
    </row>
    <row r="423" spans="1:26" ht="12.75" hidden="1" outlineLevel="1" x14ac:dyDescent="0.2">
      <c r="A423" s="50"/>
      <c r="B423" s="137"/>
      <c r="C423" s="70" t="s">
        <v>42</v>
      </c>
      <c r="D423" s="90">
        <v>59.97</v>
      </c>
      <c r="E423" s="73">
        <v>3</v>
      </c>
      <c r="F423" s="73">
        <v>2</v>
      </c>
      <c r="G423" s="74">
        <f t="shared" si="98"/>
        <v>1.5</v>
      </c>
      <c r="H423" s="75">
        <f t="shared" si="99"/>
        <v>19.989999999999998</v>
      </c>
      <c r="I423" s="76">
        <f t="shared" si="100"/>
        <v>13.326666666666666</v>
      </c>
      <c r="J423" s="90">
        <v>8.67</v>
      </c>
      <c r="K423" s="73">
        <v>10640</v>
      </c>
      <c r="L423" s="73">
        <v>3</v>
      </c>
      <c r="M423" s="91">
        <v>59.97</v>
      </c>
      <c r="N423" s="79">
        <f t="shared" si="152"/>
        <v>0.14457228614307155</v>
      </c>
      <c r="O423" s="80">
        <f t="shared" si="101"/>
        <v>6.9169550173010377</v>
      </c>
      <c r="P423" s="79">
        <f t="shared" si="102"/>
        <v>0.14457228614307155</v>
      </c>
      <c r="Q423" s="81">
        <f t="shared" si="103"/>
        <v>1</v>
      </c>
      <c r="R423" s="92">
        <f t="shared" si="151"/>
        <v>0</v>
      </c>
      <c r="S423" s="83">
        <f t="shared" si="104"/>
        <v>2.89</v>
      </c>
      <c r="T423" s="135"/>
      <c r="U423" s="135"/>
      <c r="V423" s="135"/>
      <c r="W423" s="135"/>
      <c r="X423" s="136"/>
      <c r="Y423" s="50"/>
      <c r="Z423" s="50"/>
    </row>
    <row r="424" spans="1:26" ht="12.75" hidden="1" outlineLevel="1" x14ac:dyDescent="0.2">
      <c r="A424" s="50"/>
      <c r="B424" s="137"/>
      <c r="C424" s="70" t="s">
        <v>43</v>
      </c>
      <c r="D424" s="105">
        <v>0</v>
      </c>
      <c r="E424" s="73">
        <v>0</v>
      </c>
      <c r="F424" s="73">
        <v>0</v>
      </c>
      <c r="G424" s="74" t="e">
        <f t="shared" si="98"/>
        <v>#DIV/0!</v>
      </c>
      <c r="H424" s="75" t="e">
        <f t="shared" si="99"/>
        <v>#DIV/0!</v>
      </c>
      <c r="I424" s="76" t="e">
        <f t="shared" si="100"/>
        <v>#DIV/0!</v>
      </c>
      <c r="J424" s="105">
        <v>24.1</v>
      </c>
      <c r="K424" s="73">
        <v>12454</v>
      </c>
      <c r="L424" s="73">
        <v>0</v>
      </c>
      <c r="M424" s="106">
        <v>0</v>
      </c>
      <c r="N424" s="79" t="e">
        <f t="shared" si="152"/>
        <v>#DIV/0!</v>
      </c>
      <c r="O424" s="80">
        <f t="shared" si="101"/>
        <v>0</v>
      </c>
      <c r="P424" s="79" t="e">
        <f t="shared" si="102"/>
        <v>#DIV/0!</v>
      </c>
      <c r="Q424" s="81" t="e">
        <f t="shared" si="103"/>
        <v>#DIV/0!</v>
      </c>
      <c r="R424" s="107">
        <f t="shared" si="151"/>
        <v>0</v>
      </c>
      <c r="S424" s="83" t="e">
        <f t="shared" si="104"/>
        <v>#DIV/0!</v>
      </c>
      <c r="T424" s="135"/>
      <c r="U424" s="135"/>
      <c r="V424" s="135"/>
      <c r="W424" s="135"/>
      <c r="X424" s="136"/>
      <c r="Y424" s="50"/>
      <c r="Z424" s="50"/>
    </row>
    <row r="425" spans="1:26" ht="12.75" hidden="1" outlineLevel="1" x14ac:dyDescent="0.2">
      <c r="A425" s="50"/>
      <c r="B425" s="137"/>
      <c r="C425" s="70" t="s">
        <v>44</v>
      </c>
      <c r="D425" s="108">
        <v>135.55000000000001</v>
      </c>
      <c r="E425" s="73">
        <v>3</v>
      </c>
      <c r="F425" s="73">
        <v>3</v>
      </c>
      <c r="G425" s="74">
        <f t="shared" si="98"/>
        <v>1</v>
      </c>
      <c r="H425" s="75">
        <f t="shared" si="99"/>
        <v>45.183333333333337</v>
      </c>
      <c r="I425" s="76">
        <f t="shared" si="100"/>
        <v>45.183333333333337</v>
      </c>
      <c r="J425" s="108">
        <v>67.569999999999993</v>
      </c>
      <c r="K425" s="73">
        <v>43022</v>
      </c>
      <c r="L425" s="73">
        <v>0</v>
      </c>
      <c r="M425" s="109">
        <v>0</v>
      </c>
      <c r="N425" s="79" t="e">
        <f t="shared" si="152"/>
        <v>#DIV/0!</v>
      </c>
      <c r="O425" s="80">
        <f t="shared" si="101"/>
        <v>0</v>
      </c>
      <c r="P425" s="79">
        <f t="shared" si="102"/>
        <v>0.4984876429361858</v>
      </c>
      <c r="Q425" s="81">
        <f t="shared" si="103"/>
        <v>0</v>
      </c>
      <c r="R425" s="110">
        <f t="shared" si="151"/>
        <v>135.55000000000001</v>
      </c>
      <c r="S425" s="83" t="e">
        <f t="shared" si="104"/>
        <v>#DIV/0!</v>
      </c>
      <c r="T425" s="135"/>
      <c r="U425" s="135"/>
      <c r="V425" s="135"/>
      <c r="W425" s="135"/>
      <c r="X425" s="136"/>
      <c r="Y425" s="50"/>
      <c r="Z425" s="50"/>
    </row>
    <row r="426" spans="1:26" ht="12.75" hidden="1" outlineLevel="1" x14ac:dyDescent="0.2">
      <c r="A426" s="139"/>
      <c r="B426" s="137"/>
      <c r="C426" s="112" t="s">
        <v>45</v>
      </c>
      <c r="D426" s="71">
        <v>0</v>
      </c>
      <c r="E426" s="73">
        <v>0</v>
      </c>
      <c r="F426" s="73">
        <v>0</v>
      </c>
      <c r="G426" s="74" t="e">
        <f t="shared" si="98"/>
        <v>#DIV/0!</v>
      </c>
      <c r="H426" s="75" t="e">
        <f t="shared" si="99"/>
        <v>#DIV/0!</v>
      </c>
      <c r="I426" s="76" t="e">
        <f t="shared" si="100"/>
        <v>#DIV/0!</v>
      </c>
      <c r="J426" s="71">
        <v>0</v>
      </c>
      <c r="K426" s="73">
        <v>0</v>
      </c>
      <c r="L426" s="73">
        <v>0</v>
      </c>
      <c r="M426" s="78">
        <v>0</v>
      </c>
      <c r="N426" s="79" t="e">
        <f t="shared" si="152"/>
        <v>#DIV/0!</v>
      </c>
      <c r="O426" s="80" t="e">
        <f t="shared" si="101"/>
        <v>#DIV/0!</v>
      </c>
      <c r="P426" s="79" t="e">
        <f t="shared" si="102"/>
        <v>#DIV/0!</v>
      </c>
      <c r="Q426" s="81" t="e">
        <f t="shared" si="103"/>
        <v>#DIV/0!</v>
      </c>
      <c r="R426" s="82">
        <f t="shared" si="151"/>
        <v>0</v>
      </c>
      <c r="S426" s="83" t="e">
        <f t="shared" si="104"/>
        <v>#DIV/0!</v>
      </c>
      <c r="T426" s="140"/>
      <c r="U426" s="140"/>
      <c r="V426" s="140"/>
      <c r="W426" s="141"/>
      <c r="X426" s="142"/>
      <c r="Y426" s="50"/>
      <c r="Z426" s="50"/>
    </row>
    <row r="427" spans="1:26" ht="12.75" hidden="1" outlineLevel="1" x14ac:dyDescent="0.2">
      <c r="A427" s="50"/>
      <c r="B427" s="137"/>
      <c r="C427" s="70" t="s">
        <v>46</v>
      </c>
      <c r="D427" s="116">
        <v>424.53</v>
      </c>
      <c r="E427" s="73">
        <v>9</v>
      </c>
      <c r="F427" s="73">
        <v>10</v>
      </c>
      <c r="G427" s="74">
        <f t="shared" si="98"/>
        <v>0.9</v>
      </c>
      <c r="H427" s="75">
        <f t="shared" si="99"/>
        <v>47.169999999999995</v>
      </c>
      <c r="I427" s="76">
        <f t="shared" si="100"/>
        <v>52.411111111111104</v>
      </c>
      <c r="J427" s="116">
        <v>101.69</v>
      </c>
      <c r="K427" s="73">
        <v>16550</v>
      </c>
      <c r="L427" s="73">
        <v>7</v>
      </c>
      <c r="M427" s="117">
        <v>269.7</v>
      </c>
      <c r="N427" s="79">
        <f t="shared" si="152"/>
        <v>0.3770485724879496</v>
      </c>
      <c r="O427" s="80">
        <f t="shared" si="101"/>
        <v>2.6521781886124494</v>
      </c>
      <c r="P427" s="79">
        <f t="shared" si="102"/>
        <v>0.23953548630249924</v>
      </c>
      <c r="Q427" s="81">
        <f t="shared" si="103"/>
        <v>0.63529079217016471</v>
      </c>
      <c r="R427" s="82">
        <f t="shared" si="151"/>
        <v>154.82999999999998</v>
      </c>
      <c r="S427" s="83">
        <f t="shared" si="104"/>
        <v>14.527142857142858</v>
      </c>
      <c r="T427" s="135"/>
      <c r="U427" s="135"/>
      <c r="V427" s="135"/>
      <c r="W427" s="135"/>
      <c r="X427" s="136"/>
      <c r="Y427" s="50"/>
      <c r="Z427" s="50"/>
    </row>
    <row r="428" spans="1:26" ht="12.75" hidden="1" outlineLevel="1" x14ac:dyDescent="0.2">
      <c r="A428" s="50"/>
      <c r="B428" s="137"/>
      <c r="C428" s="70" t="s">
        <v>49</v>
      </c>
      <c r="D428" s="116">
        <v>0</v>
      </c>
      <c r="E428" s="73">
        <v>0</v>
      </c>
      <c r="F428" s="73">
        <v>0</v>
      </c>
      <c r="G428" s="74" t="e">
        <f t="shared" si="98"/>
        <v>#DIV/0!</v>
      </c>
      <c r="H428" s="75" t="e">
        <f t="shared" si="99"/>
        <v>#DIV/0!</v>
      </c>
      <c r="I428" s="76" t="e">
        <f t="shared" si="100"/>
        <v>#DIV/0!</v>
      </c>
      <c r="J428" s="116">
        <v>3.48</v>
      </c>
      <c r="K428" s="73">
        <v>3633</v>
      </c>
      <c r="L428" s="73">
        <v>0</v>
      </c>
      <c r="M428" s="117">
        <v>0</v>
      </c>
      <c r="N428" s="79" t="e">
        <f t="shared" si="152"/>
        <v>#DIV/0!</v>
      </c>
      <c r="O428" s="80">
        <f t="shared" si="101"/>
        <v>0</v>
      </c>
      <c r="P428" s="79" t="e">
        <f t="shared" si="102"/>
        <v>#DIV/0!</v>
      </c>
      <c r="Q428" s="81" t="e">
        <f t="shared" si="103"/>
        <v>#DIV/0!</v>
      </c>
      <c r="R428" s="82">
        <f t="shared" si="151"/>
        <v>0</v>
      </c>
      <c r="S428" s="83" t="e">
        <f t="shared" si="104"/>
        <v>#DIV/0!</v>
      </c>
      <c r="T428" s="135"/>
      <c r="U428" s="135"/>
      <c r="V428" s="135"/>
      <c r="W428" s="135"/>
      <c r="X428" s="136"/>
      <c r="Y428" s="50"/>
      <c r="Z428" s="50"/>
    </row>
    <row r="429" spans="1:26" hidden="1" outlineLevel="1" x14ac:dyDescent="0.25">
      <c r="A429" s="118" t="str">
        <f t="shared" ref="A429:A430" si="153">IFERROR(IF(B429&gt;0,MONTH(B429)&amp;"-"&amp;YEAR(B429),B429),)</f>
        <v>7-2025</v>
      </c>
      <c r="B429" s="69">
        <v>45864</v>
      </c>
      <c r="C429" s="198" t="s">
        <v>64</v>
      </c>
      <c r="D429" s="116">
        <v>0</v>
      </c>
      <c r="E429" s="73">
        <v>0</v>
      </c>
      <c r="F429" s="73">
        <v>0</v>
      </c>
      <c r="G429" s="74" t="e">
        <f t="shared" si="98"/>
        <v>#DIV/0!</v>
      </c>
      <c r="H429" s="75" t="e">
        <f t="shared" si="99"/>
        <v>#DIV/0!</v>
      </c>
      <c r="I429" s="76" t="e">
        <f t="shared" si="100"/>
        <v>#DIV/0!</v>
      </c>
      <c r="J429" s="87">
        <v>78.150000000000006</v>
      </c>
      <c r="K429" s="199">
        <v>25824</v>
      </c>
      <c r="L429" s="73">
        <v>0</v>
      </c>
      <c r="M429" s="88">
        <v>204.8</v>
      </c>
      <c r="N429" s="79">
        <f t="shared" si="152"/>
        <v>0.381591796875</v>
      </c>
      <c r="O429" s="80">
        <f t="shared" si="101"/>
        <v>2.620601407549584</v>
      </c>
      <c r="P429" s="79" t="e">
        <f t="shared" si="102"/>
        <v>#DIV/0!</v>
      </c>
      <c r="Q429" s="81" t="e">
        <f t="shared" si="103"/>
        <v>#DIV/0!</v>
      </c>
      <c r="R429" s="82">
        <f t="shared" si="151"/>
        <v>-204.8</v>
      </c>
      <c r="S429" s="83" t="e">
        <f t="shared" si="104"/>
        <v>#DIV/0!</v>
      </c>
      <c r="T429" s="135"/>
      <c r="U429" s="135"/>
      <c r="V429" s="135"/>
      <c r="W429" s="135"/>
      <c r="X429" s="136"/>
      <c r="Y429" s="50"/>
      <c r="Z429" s="50"/>
    </row>
    <row r="430" spans="1:26" ht="12.75" collapsed="1" x14ac:dyDescent="0.2">
      <c r="A430" s="50">
        <f t="shared" si="153"/>
        <v>0</v>
      </c>
      <c r="B430" s="52" t="s">
        <v>88</v>
      </c>
      <c r="C430" s="145"/>
      <c r="D430" s="121">
        <f t="shared" ref="D430:F430" si="154">SUM(D412:D429)</f>
        <v>2546.5200000000004</v>
      </c>
      <c r="E430" s="123">
        <f t="shared" si="154"/>
        <v>66</v>
      </c>
      <c r="F430" s="123">
        <f t="shared" si="154"/>
        <v>70</v>
      </c>
      <c r="G430" s="124">
        <f t="shared" si="98"/>
        <v>0.94285714285714284</v>
      </c>
      <c r="H430" s="125">
        <f t="shared" si="99"/>
        <v>38.583636363636373</v>
      </c>
      <c r="I430" s="126">
        <f t="shared" si="100"/>
        <v>40.922038567493125</v>
      </c>
      <c r="J430" s="121">
        <f t="shared" ref="J430:M430" si="155">SUM(J412:J429)</f>
        <v>1428.7800000000002</v>
      </c>
      <c r="K430" s="123">
        <f t="shared" si="155"/>
        <v>383094</v>
      </c>
      <c r="L430" s="123">
        <f t="shared" si="155"/>
        <v>27</v>
      </c>
      <c r="M430" s="127">
        <f t="shared" si="155"/>
        <v>1930.0600000000002</v>
      </c>
      <c r="N430" s="128">
        <f t="shared" si="152"/>
        <v>0.74027750432629036</v>
      </c>
      <c r="O430" s="129">
        <f t="shared" si="101"/>
        <v>1.3508447766626073</v>
      </c>
      <c r="P430" s="128">
        <f t="shared" si="102"/>
        <v>0.56107158003864099</v>
      </c>
      <c r="Q430" s="130">
        <f t="shared" si="103"/>
        <v>0.75792061322903403</v>
      </c>
      <c r="R430" s="131">
        <f>SUM(R412:R429)</f>
        <v>616.46</v>
      </c>
      <c r="S430" s="132">
        <f t="shared" si="104"/>
        <v>52.917777777777786</v>
      </c>
      <c r="T430" s="273">
        <f t="shared" ref="T430:U430" si="156">IFERROR((D430-D69)/D430,)</f>
        <v>-1.9771295729073388</v>
      </c>
      <c r="U430" s="273">
        <f t="shared" si="156"/>
        <v>-0.42424242424242425</v>
      </c>
      <c r="V430" s="271" t="s">
        <v>139</v>
      </c>
      <c r="W430" s="271" t="s">
        <v>139</v>
      </c>
      <c r="X430" s="50"/>
      <c r="Y430" s="50"/>
      <c r="Z430" s="50"/>
    </row>
    <row r="431" spans="1:26" ht="12.75" hidden="1" outlineLevel="1" x14ac:dyDescent="0.2">
      <c r="A431" s="50"/>
      <c r="B431" s="69">
        <v>45865</v>
      </c>
      <c r="C431" s="70" t="s">
        <v>32</v>
      </c>
      <c r="D431" s="71">
        <v>3049.64</v>
      </c>
      <c r="E431" s="73">
        <v>12</v>
      </c>
      <c r="F431" s="73">
        <v>13</v>
      </c>
      <c r="G431" s="74">
        <f t="shared" si="98"/>
        <v>0.92307692307692313</v>
      </c>
      <c r="H431" s="75">
        <f t="shared" si="99"/>
        <v>254.13666666666666</v>
      </c>
      <c r="I431" s="76">
        <f t="shared" si="100"/>
        <v>275.3147222222222</v>
      </c>
      <c r="J431" s="77">
        <v>840.83</v>
      </c>
      <c r="K431" s="73">
        <v>142970</v>
      </c>
      <c r="L431" s="73">
        <v>4</v>
      </c>
      <c r="M431" s="78">
        <v>1151.9000000000001</v>
      </c>
      <c r="N431" s="79">
        <f t="shared" si="152"/>
        <v>0.72995051653789389</v>
      </c>
      <c r="O431" s="80">
        <f t="shared" si="101"/>
        <v>1.3699558769311275</v>
      </c>
      <c r="P431" s="79">
        <f t="shared" si="102"/>
        <v>0.27571451056518148</v>
      </c>
      <c r="Q431" s="81">
        <f t="shared" si="103"/>
        <v>0.37771671410395985</v>
      </c>
      <c r="R431" s="82">
        <f t="shared" ref="R431:R446" si="157">D431-M431</f>
        <v>1897.7399999999998</v>
      </c>
      <c r="S431" s="83">
        <f t="shared" si="104"/>
        <v>210.20750000000001</v>
      </c>
      <c r="T431" s="135"/>
      <c r="U431" s="135"/>
      <c r="V431" s="135"/>
      <c r="W431" s="135"/>
      <c r="X431" s="136"/>
      <c r="Y431" s="50"/>
      <c r="Z431" s="50"/>
    </row>
    <row r="432" spans="1:26" ht="12.75" hidden="1" outlineLevel="1" x14ac:dyDescent="0.2">
      <c r="A432" s="50"/>
      <c r="B432" s="137"/>
      <c r="C432" s="70" t="s">
        <v>33</v>
      </c>
      <c r="D432" s="87">
        <v>3335.45</v>
      </c>
      <c r="E432" s="73">
        <v>44</v>
      </c>
      <c r="F432" s="73">
        <v>49</v>
      </c>
      <c r="G432" s="74">
        <f t="shared" si="98"/>
        <v>0.89795918367346939</v>
      </c>
      <c r="H432" s="75">
        <f t="shared" si="99"/>
        <v>75.80568181818181</v>
      </c>
      <c r="I432" s="76">
        <f t="shared" si="100"/>
        <v>84.419963842975193</v>
      </c>
      <c r="J432" s="87">
        <v>515.25</v>
      </c>
      <c r="K432" s="73">
        <v>200118</v>
      </c>
      <c r="L432" s="73">
        <v>8</v>
      </c>
      <c r="M432" s="88">
        <v>634.95000000000005</v>
      </c>
      <c r="N432" s="79">
        <f t="shared" si="152"/>
        <v>0.81148121899362147</v>
      </c>
      <c r="O432" s="80">
        <f t="shared" si="101"/>
        <v>1.2323144104803494</v>
      </c>
      <c r="P432" s="79">
        <f t="shared" si="102"/>
        <v>0.15447690716395091</v>
      </c>
      <c r="Q432" s="81">
        <f t="shared" si="103"/>
        <v>0.19036411878457182</v>
      </c>
      <c r="R432" s="89">
        <f t="shared" si="157"/>
        <v>2700.5</v>
      </c>
      <c r="S432" s="83">
        <f t="shared" si="104"/>
        <v>64.40625</v>
      </c>
      <c r="T432" s="135"/>
      <c r="U432" s="135"/>
      <c r="V432" s="135"/>
      <c r="W432" s="135"/>
      <c r="X432" s="136"/>
      <c r="Y432" s="50"/>
      <c r="Z432" s="50"/>
    </row>
    <row r="433" spans="1:26" ht="12.75" hidden="1" outlineLevel="1" x14ac:dyDescent="0.2">
      <c r="A433" s="50"/>
      <c r="B433" s="137"/>
      <c r="C433" s="70" t="s">
        <v>34</v>
      </c>
      <c r="D433" s="90">
        <v>0</v>
      </c>
      <c r="E433" s="73">
        <v>0</v>
      </c>
      <c r="F433" s="73">
        <v>0</v>
      </c>
      <c r="G433" s="74" t="e">
        <f t="shared" si="98"/>
        <v>#DIV/0!</v>
      </c>
      <c r="H433" s="75" t="e">
        <f t="shared" si="99"/>
        <v>#DIV/0!</v>
      </c>
      <c r="I433" s="76" t="e">
        <f t="shared" si="100"/>
        <v>#DIV/0!</v>
      </c>
      <c r="J433" s="90">
        <v>16.8</v>
      </c>
      <c r="K433" s="73">
        <v>275</v>
      </c>
      <c r="L433" s="73">
        <v>0</v>
      </c>
      <c r="M433" s="91">
        <v>0</v>
      </c>
      <c r="N433" s="79" t="e">
        <f>(J433/M433)</f>
        <v>#DIV/0!</v>
      </c>
      <c r="O433" s="80">
        <f t="shared" si="101"/>
        <v>0</v>
      </c>
      <c r="P433" s="79" t="e">
        <f t="shared" si="102"/>
        <v>#DIV/0!</v>
      </c>
      <c r="Q433" s="81" t="e">
        <f t="shared" si="103"/>
        <v>#DIV/0!</v>
      </c>
      <c r="R433" s="92">
        <f t="shared" si="157"/>
        <v>0</v>
      </c>
      <c r="S433" s="83" t="e">
        <f t="shared" si="104"/>
        <v>#DIV/0!</v>
      </c>
      <c r="T433" s="135"/>
      <c r="U433" s="135"/>
      <c r="V433" s="135"/>
      <c r="W433" s="135"/>
      <c r="X433" s="136"/>
      <c r="Y433" s="50"/>
      <c r="Z433" s="50"/>
    </row>
    <row r="434" spans="1:26" ht="12.75" hidden="1" outlineLevel="1" x14ac:dyDescent="0.2">
      <c r="A434" s="50"/>
      <c r="B434" s="137"/>
      <c r="C434" s="70" t="s">
        <v>35</v>
      </c>
      <c r="D434" s="90">
        <v>0</v>
      </c>
      <c r="E434" s="73">
        <v>0</v>
      </c>
      <c r="F434" s="73">
        <v>0</v>
      </c>
      <c r="G434" s="74" t="e">
        <f t="shared" si="98"/>
        <v>#DIV/0!</v>
      </c>
      <c r="H434" s="75" t="e">
        <f t="shared" si="99"/>
        <v>#DIV/0!</v>
      </c>
      <c r="I434" s="76" t="e">
        <f t="shared" si="100"/>
        <v>#DIV/0!</v>
      </c>
      <c r="J434" s="90">
        <v>269.67</v>
      </c>
      <c r="K434" s="73">
        <v>23746</v>
      </c>
      <c r="L434" s="73">
        <v>3</v>
      </c>
      <c r="M434" s="91">
        <v>179.85</v>
      </c>
      <c r="N434" s="79">
        <f t="shared" ref="N434:N449" si="158">J434/M434</f>
        <v>1.4994161801501253</v>
      </c>
      <c r="O434" s="80">
        <f t="shared" si="101"/>
        <v>0.66692624318611626</v>
      </c>
      <c r="P434" s="79" t="e">
        <f t="shared" si="102"/>
        <v>#DIV/0!</v>
      </c>
      <c r="Q434" s="81" t="e">
        <f t="shared" si="103"/>
        <v>#DIV/0!</v>
      </c>
      <c r="R434" s="92">
        <f t="shared" si="157"/>
        <v>-179.85</v>
      </c>
      <c r="S434" s="83">
        <f t="shared" si="104"/>
        <v>89.89</v>
      </c>
      <c r="T434" s="135"/>
      <c r="U434" s="135"/>
      <c r="V434" s="135"/>
      <c r="W434" s="135"/>
      <c r="X434" s="136"/>
      <c r="Y434" s="50"/>
      <c r="Z434" s="50"/>
    </row>
    <row r="435" spans="1:26" ht="12.75" hidden="1" outlineLevel="1" x14ac:dyDescent="0.2">
      <c r="A435" s="50"/>
      <c r="B435" s="137"/>
      <c r="C435" s="70" t="s">
        <v>36</v>
      </c>
      <c r="D435" s="90">
        <v>0</v>
      </c>
      <c r="E435" s="73">
        <v>0</v>
      </c>
      <c r="F435" s="73">
        <v>0</v>
      </c>
      <c r="G435" s="74" t="e">
        <f t="shared" si="98"/>
        <v>#DIV/0!</v>
      </c>
      <c r="H435" s="75" t="e">
        <f t="shared" si="99"/>
        <v>#DIV/0!</v>
      </c>
      <c r="I435" s="76" t="e">
        <f t="shared" si="100"/>
        <v>#DIV/0!</v>
      </c>
      <c r="J435" s="90">
        <v>103.2</v>
      </c>
      <c r="K435" s="73">
        <v>17113</v>
      </c>
      <c r="L435" s="73">
        <v>3</v>
      </c>
      <c r="M435" s="91">
        <v>179.85</v>
      </c>
      <c r="N435" s="79">
        <f t="shared" si="158"/>
        <v>0.5738115095913261</v>
      </c>
      <c r="O435" s="80">
        <f t="shared" si="101"/>
        <v>1.7427325581395348</v>
      </c>
      <c r="P435" s="79" t="e">
        <f t="shared" si="102"/>
        <v>#DIV/0!</v>
      </c>
      <c r="Q435" s="81" t="e">
        <f t="shared" si="103"/>
        <v>#DIV/0!</v>
      </c>
      <c r="R435" s="92">
        <f t="shared" si="157"/>
        <v>-179.85</v>
      </c>
      <c r="S435" s="83">
        <f t="shared" si="104"/>
        <v>34.4</v>
      </c>
      <c r="T435" s="135"/>
      <c r="U435" s="135"/>
      <c r="V435" s="135"/>
      <c r="W435" s="135"/>
      <c r="X435" s="136"/>
      <c r="Y435" s="50"/>
      <c r="Z435" s="50"/>
    </row>
    <row r="436" spans="1:26" ht="12.75" hidden="1" outlineLevel="1" x14ac:dyDescent="0.2">
      <c r="A436" s="50"/>
      <c r="B436" s="69" t="s">
        <v>37</v>
      </c>
      <c r="C436" s="70" t="s">
        <v>38</v>
      </c>
      <c r="D436" s="93">
        <v>35.99</v>
      </c>
      <c r="E436" s="73">
        <v>1</v>
      </c>
      <c r="F436" s="73">
        <v>1</v>
      </c>
      <c r="G436" s="74">
        <f t="shared" si="98"/>
        <v>1</v>
      </c>
      <c r="H436" s="75">
        <f t="shared" si="99"/>
        <v>35.99</v>
      </c>
      <c r="I436" s="76">
        <f t="shared" si="100"/>
        <v>35.99</v>
      </c>
      <c r="J436" s="93">
        <v>47.14</v>
      </c>
      <c r="K436" s="73">
        <v>12800</v>
      </c>
      <c r="L436" s="73">
        <v>1</v>
      </c>
      <c r="M436" s="94">
        <v>35.99</v>
      </c>
      <c r="N436" s="79">
        <f t="shared" si="158"/>
        <v>1.3098082800777993</v>
      </c>
      <c r="O436" s="80">
        <f t="shared" si="101"/>
        <v>0.76347051336444638</v>
      </c>
      <c r="P436" s="79">
        <f t="shared" si="102"/>
        <v>1.3098082800777993</v>
      </c>
      <c r="Q436" s="81">
        <f t="shared" si="103"/>
        <v>1</v>
      </c>
      <c r="R436" s="95">
        <f t="shared" si="157"/>
        <v>0</v>
      </c>
      <c r="S436" s="83">
        <f t="shared" si="104"/>
        <v>47.14</v>
      </c>
      <c r="T436" s="135"/>
      <c r="U436" s="135"/>
      <c r="V436" s="135"/>
      <c r="W436" s="135"/>
      <c r="X436" s="136"/>
      <c r="Y436" s="50"/>
      <c r="Z436" s="50"/>
    </row>
    <row r="437" spans="1:26" ht="12.75" hidden="1" outlineLevel="1" x14ac:dyDescent="0.2">
      <c r="A437" s="50"/>
      <c r="B437" s="137"/>
      <c r="C437" s="70" t="s">
        <v>39</v>
      </c>
      <c r="D437" s="96">
        <v>24.95</v>
      </c>
      <c r="E437" s="73">
        <v>1</v>
      </c>
      <c r="F437" s="73">
        <v>1</v>
      </c>
      <c r="G437" s="74">
        <f t="shared" si="98"/>
        <v>1</v>
      </c>
      <c r="H437" s="75">
        <f t="shared" si="99"/>
        <v>24.95</v>
      </c>
      <c r="I437" s="76">
        <f t="shared" si="100"/>
        <v>24.95</v>
      </c>
      <c r="J437" s="96">
        <v>0</v>
      </c>
      <c r="K437" s="73">
        <v>0</v>
      </c>
      <c r="L437" s="73">
        <v>0</v>
      </c>
      <c r="M437" s="97">
        <v>0</v>
      </c>
      <c r="N437" s="79" t="e">
        <f t="shared" si="158"/>
        <v>#DIV/0!</v>
      </c>
      <c r="O437" s="80" t="e">
        <f t="shared" si="101"/>
        <v>#DIV/0!</v>
      </c>
      <c r="P437" s="79">
        <f t="shared" si="102"/>
        <v>0</v>
      </c>
      <c r="Q437" s="81">
        <f t="shared" si="103"/>
        <v>0</v>
      </c>
      <c r="R437" s="98">
        <f t="shared" si="157"/>
        <v>24.95</v>
      </c>
      <c r="S437" s="83" t="e">
        <f t="shared" si="104"/>
        <v>#DIV/0!</v>
      </c>
      <c r="T437" s="135"/>
      <c r="U437" s="135"/>
      <c r="V437" s="135"/>
      <c r="W437" s="135"/>
      <c r="X437" s="136"/>
      <c r="Y437" s="50"/>
      <c r="Z437" s="50"/>
    </row>
    <row r="438" spans="1:26" ht="12.75" hidden="1" outlineLevel="1" x14ac:dyDescent="0.2">
      <c r="A438" s="50"/>
      <c r="B438" s="137"/>
      <c r="C438" s="70" t="s">
        <v>40</v>
      </c>
      <c r="D438" s="99">
        <v>219.8</v>
      </c>
      <c r="E438" s="73">
        <v>4</v>
      </c>
      <c r="F438" s="73">
        <v>3</v>
      </c>
      <c r="G438" s="74">
        <f t="shared" si="98"/>
        <v>1.3333333333333333</v>
      </c>
      <c r="H438" s="75">
        <f t="shared" si="99"/>
        <v>54.95</v>
      </c>
      <c r="I438" s="76">
        <f t="shared" si="100"/>
        <v>41.212500000000006</v>
      </c>
      <c r="J438" s="99">
        <v>0</v>
      </c>
      <c r="K438" s="73">
        <v>0</v>
      </c>
      <c r="L438" s="73">
        <v>0</v>
      </c>
      <c r="M438" s="100">
        <v>0</v>
      </c>
      <c r="N438" s="79" t="e">
        <f t="shared" si="158"/>
        <v>#DIV/0!</v>
      </c>
      <c r="O438" s="80" t="e">
        <f t="shared" si="101"/>
        <v>#DIV/0!</v>
      </c>
      <c r="P438" s="79">
        <f t="shared" si="102"/>
        <v>0</v>
      </c>
      <c r="Q438" s="81">
        <f t="shared" si="103"/>
        <v>0</v>
      </c>
      <c r="R438" s="101">
        <f t="shared" si="157"/>
        <v>219.8</v>
      </c>
      <c r="S438" s="83" t="e">
        <f t="shared" si="104"/>
        <v>#DIV/0!</v>
      </c>
      <c r="T438" s="135"/>
      <c r="U438" s="135"/>
      <c r="V438" s="135"/>
      <c r="W438" s="135"/>
      <c r="X438" s="136"/>
      <c r="Y438" s="50"/>
      <c r="Z438" s="50"/>
    </row>
    <row r="439" spans="1:26" ht="12.75" hidden="1" outlineLevel="1" x14ac:dyDescent="0.2">
      <c r="A439" s="50"/>
      <c r="B439" s="137"/>
      <c r="C439" s="70" t="s">
        <v>41</v>
      </c>
      <c r="D439" s="102">
        <v>498.97</v>
      </c>
      <c r="E439" s="73">
        <v>5</v>
      </c>
      <c r="F439" s="73">
        <v>5</v>
      </c>
      <c r="G439" s="74">
        <f t="shared" si="98"/>
        <v>1</v>
      </c>
      <c r="H439" s="75">
        <f t="shared" si="99"/>
        <v>99.794000000000011</v>
      </c>
      <c r="I439" s="76">
        <f t="shared" si="100"/>
        <v>99.794000000000011</v>
      </c>
      <c r="J439" s="102">
        <v>299.11</v>
      </c>
      <c r="K439" s="73">
        <v>29821</v>
      </c>
      <c r="L439" s="73">
        <v>3</v>
      </c>
      <c r="M439" s="103">
        <v>258.98</v>
      </c>
      <c r="N439" s="79">
        <f t="shared" si="158"/>
        <v>1.1549540505058304</v>
      </c>
      <c r="O439" s="80">
        <f t="shared" si="101"/>
        <v>0.86583531142389092</v>
      </c>
      <c r="P439" s="79">
        <f t="shared" si="102"/>
        <v>0.59945487704671618</v>
      </c>
      <c r="Q439" s="81">
        <f t="shared" si="103"/>
        <v>0.5190292001523138</v>
      </c>
      <c r="R439" s="104">
        <f t="shared" si="157"/>
        <v>239.99</v>
      </c>
      <c r="S439" s="83">
        <f t="shared" si="104"/>
        <v>99.703333333333333</v>
      </c>
      <c r="T439" s="135"/>
      <c r="U439" s="135"/>
      <c r="V439" s="135"/>
      <c r="W439" s="135"/>
      <c r="X439" s="136"/>
      <c r="Y439" s="50"/>
      <c r="Z439" s="50"/>
    </row>
    <row r="440" spans="1:26" ht="12.75" hidden="1" outlineLevel="1" x14ac:dyDescent="0.2">
      <c r="A440" s="50"/>
      <c r="B440" s="137"/>
      <c r="C440" s="70" t="s">
        <v>42</v>
      </c>
      <c r="D440" s="90">
        <v>0</v>
      </c>
      <c r="E440" s="73">
        <v>0</v>
      </c>
      <c r="F440" s="73">
        <v>0</v>
      </c>
      <c r="G440" s="74" t="e">
        <f t="shared" si="98"/>
        <v>#DIV/0!</v>
      </c>
      <c r="H440" s="75" t="e">
        <f t="shared" si="99"/>
        <v>#DIV/0!</v>
      </c>
      <c r="I440" s="76" t="e">
        <f t="shared" si="100"/>
        <v>#DIV/0!</v>
      </c>
      <c r="J440" s="90">
        <v>0</v>
      </c>
      <c r="K440" s="73">
        <v>0</v>
      </c>
      <c r="L440" s="73">
        <v>0</v>
      </c>
      <c r="M440" s="91">
        <v>0</v>
      </c>
      <c r="N440" s="79" t="e">
        <f t="shared" si="158"/>
        <v>#DIV/0!</v>
      </c>
      <c r="O440" s="80" t="e">
        <f t="shared" si="101"/>
        <v>#DIV/0!</v>
      </c>
      <c r="P440" s="79" t="e">
        <f t="shared" si="102"/>
        <v>#DIV/0!</v>
      </c>
      <c r="Q440" s="81" t="e">
        <f t="shared" si="103"/>
        <v>#DIV/0!</v>
      </c>
      <c r="R440" s="92">
        <f t="shared" si="157"/>
        <v>0</v>
      </c>
      <c r="S440" s="83" t="e">
        <f t="shared" si="104"/>
        <v>#DIV/0!</v>
      </c>
      <c r="T440" s="135"/>
      <c r="U440" s="135"/>
      <c r="V440" s="135"/>
      <c r="W440" s="135"/>
      <c r="X440" s="136"/>
      <c r="Y440" s="50"/>
      <c r="Z440" s="50"/>
    </row>
    <row r="441" spans="1:26" ht="12.75" hidden="1" outlineLevel="1" x14ac:dyDescent="0.2">
      <c r="A441" s="50"/>
      <c r="B441" s="137"/>
      <c r="C441" s="70" t="s">
        <v>43</v>
      </c>
      <c r="D441" s="105">
        <v>215.95</v>
      </c>
      <c r="E441" s="73">
        <v>1</v>
      </c>
      <c r="F441" s="73">
        <v>1</v>
      </c>
      <c r="G441" s="74">
        <f t="shared" si="98"/>
        <v>1</v>
      </c>
      <c r="H441" s="75">
        <f t="shared" si="99"/>
        <v>215.95</v>
      </c>
      <c r="I441" s="76">
        <f t="shared" si="100"/>
        <v>215.95</v>
      </c>
      <c r="J441" s="105">
        <v>64.16</v>
      </c>
      <c r="K441" s="73">
        <v>15185</v>
      </c>
      <c r="L441" s="73">
        <v>0</v>
      </c>
      <c r="M441" s="106">
        <v>0</v>
      </c>
      <c r="N441" s="79" t="e">
        <f t="shared" si="158"/>
        <v>#DIV/0!</v>
      </c>
      <c r="O441" s="80">
        <f t="shared" si="101"/>
        <v>0</v>
      </c>
      <c r="P441" s="79">
        <f t="shared" si="102"/>
        <v>0.29710581153044685</v>
      </c>
      <c r="Q441" s="81">
        <f t="shared" si="103"/>
        <v>0</v>
      </c>
      <c r="R441" s="107">
        <f t="shared" si="157"/>
        <v>215.95</v>
      </c>
      <c r="S441" s="83" t="e">
        <f t="shared" si="104"/>
        <v>#DIV/0!</v>
      </c>
      <c r="T441" s="135"/>
      <c r="U441" s="135"/>
      <c r="V441" s="135"/>
      <c r="W441" s="135"/>
      <c r="X441" s="136"/>
      <c r="Y441" s="50"/>
      <c r="Z441" s="50"/>
    </row>
    <row r="442" spans="1:26" ht="12.75" hidden="1" outlineLevel="1" x14ac:dyDescent="0.2">
      <c r="A442" s="50"/>
      <c r="B442" s="137"/>
      <c r="C442" s="70" t="s">
        <v>44</v>
      </c>
      <c r="D442" s="108">
        <v>179.8</v>
      </c>
      <c r="E442" s="73">
        <v>4</v>
      </c>
      <c r="F442" s="73">
        <v>5</v>
      </c>
      <c r="G442" s="74">
        <f t="shared" si="98"/>
        <v>0.8</v>
      </c>
      <c r="H442" s="75">
        <f t="shared" si="99"/>
        <v>44.95</v>
      </c>
      <c r="I442" s="76">
        <f t="shared" si="100"/>
        <v>56.1875</v>
      </c>
      <c r="J442" s="108">
        <v>128.86000000000001</v>
      </c>
      <c r="K442" s="73">
        <v>54053</v>
      </c>
      <c r="L442" s="73">
        <v>4</v>
      </c>
      <c r="M442" s="109">
        <v>179.8</v>
      </c>
      <c r="N442" s="79">
        <f t="shared" si="158"/>
        <v>0.71668520578420469</v>
      </c>
      <c r="O442" s="80">
        <f t="shared" si="101"/>
        <v>1.3953127425112524</v>
      </c>
      <c r="P442" s="79">
        <f t="shared" si="102"/>
        <v>0.71668520578420469</v>
      </c>
      <c r="Q442" s="81">
        <f t="shared" si="103"/>
        <v>1</v>
      </c>
      <c r="R442" s="110">
        <f t="shared" si="157"/>
        <v>0</v>
      </c>
      <c r="S442" s="83">
        <f t="shared" si="104"/>
        <v>32.215000000000003</v>
      </c>
      <c r="T442" s="135"/>
      <c r="U442" s="135"/>
      <c r="V442" s="135"/>
      <c r="W442" s="135"/>
      <c r="X442" s="136"/>
      <c r="Y442" s="50"/>
      <c r="Z442" s="50"/>
    </row>
    <row r="443" spans="1:26" ht="12.75" hidden="1" outlineLevel="1" x14ac:dyDescent="0.2">
      <c r="A443" s="139"/>
      <c r="B443" s="137"/>
      <c r="C443" s="112" t="s">
        <v>45</v>
      </c>
      <c r="D443" s="71">
        <v>729.51</v>
      </c>
      <c r="E443" s="73">
        <v>13</v>
      </c>
      <c r="F443" s="73">
        <v>13</v>
      </c>
      <c r="G443" s="74">
        <f t="shared" si="98"/>
        <v>1</v>
      </c>
      <c r="H443" s="75">
        <f t="shared" si="99"/>
        <v>56.116153846153843</v>
      </c>
      <c r="I443" s="76">
        <f t="shared" si="100"/>
        <v>56.116153846153843</v>
      </c>
      <c r="J443" s="71">
        <v>0</v>
      </c>
      <c r="K443" s="73">
        <v>0</v>
      </c>
      <c r="L443" s="73">
        <v>0</v>
      </c>
      <c r="M443" s="78">
        <v>0</v>
      </c>
      <c r="N443" s="79" t="e">
        <f t="shared" si="158"/>
        <v>#DIV/0!</v>
      </c>
      <c r="O443" s="80" t="e">
        <f t="shared" si="101"/>
        <v>#DIV/0!</v>
      </c>
      <c r="P443" s="79">
        <f t="shared" si="102"/>
        <v>0</v>
      </c>
      <c r="Q443" s="81">
        <f t="shared" si="103"/>
        <v>0</v>
      </c>
      <c r="R443" s="82">
        <f t="shared" si="157"/>
        <v>729.51</v>
      </c>
      <c r="S443" s="83" t="e">
        <f t="shared" si="104"/>
        <v>#DIV/0!</v>
      </c>
      <c r="T443" s="140"/>
      <c r="U443" s="140"/>
      <c r="V443" s="140"/>
      <c r="W443" s="141"/>
      <c r="X443" s="142"/>
      <c r="Y443" s="50"/>
      <c r="Z443" s="50"/>
    </row>
    <row r="444" spans="1:26" ht="12.75" hidden="1" outlineLevel="1" x14ac:dyDescent="0.2">
      <c r="A444" s="50"/>
      <c r="B444" s="137"/>
      <c r="C444" s="70" t="s">
        <v>46</v>
      </c>
      <c r="D444" s="116">
        <v>807.1</v>
      </c>
      <c r="E444" s="73">
        <v>18</v>
      </c>
      <c r="F444" s="73">
        <v>17</v>
      </c>
      <c r="G444" s="74">
        <f t="shared" si="98"/>
        <v>1.0588235294117647</v>
      </c>
      <c r="H444" s="75">
        <f t="shared" si="99"/>
        <v>44.838888888888889</v>
      </c>
      <c r="I444" s="76">
        <f t="shared" si="100"/>
        <v>42.347839506172839</v>
      </c>
      <c r="J444" s="116">
        <v>111.83</v>
      </c>
      <c r="K444" s="73">
        <v>24815</v>
      </c>
      <c r="L444" s="73">
        <v>7</v>
      </c>
      <c r="M444" s="117">
        <v>309.64999999999998</v>
      </c>
      <c r="N444" s="79">
        <f t="shared" si="158"/>
        <v>0.36114968512837076</v>
      </c>
      <c r="O444" s="80">
        <f t="shared" si="101"/>
        <v>2.7689349906107483</v>
      </c>
      <c r="P444" s="79">
        <f t="shared" si="102"/>
        <v>0.13855779952917854</v>
      </c>
      <c r="Q444" s="81">
        <f t="shared" si="103"/>
        <v>0.38365753933837193</v>
      </c>
      <c r="R444" s="82">
        <f t="shared" si="157"/>
        <v>497.45000000000005</v>
      </c>
      <c r="S444" s="83">
        <f t="shared" si="104"/>
        <v>15.975714285714286</v>
      </c>
      <c r="T444" s="135"/>
      <c r="U444" s="135"/>
      <c r="V444" s="135"/>
      <c r="W444" s="135"/>
      <c r="X444" s="136"/>
      <c r="Y444" s="50"/>
      <c r="Z444" s="50"/>
    </row>
    <row r="445" spans="1:26" ht="12.75" hidden="1" outlineLevel="1" x14ac:dyDescent="0.2">
      <c r="A445" s="50"/>
      <c r="B445" s="137"/>
      <c r="C445" s="70" t="s">
        <v>49</v>
      </c>
      <c r="D445" s="116">
        <v>0</v>
      </c>
      <c r="E445" s="73">
        <v>0</v>
      </c>
      <c r="F445" s="73">
        <v>0</v>
      </c>
      <c r="G445" s="74" t="e">
        <f t="shared" si="98"/>
        <v>#DIV/0!</v>
      </c>
      <c r="H445" s="75" t="e">
        <f t="shared" si="99"/>
        <v>#DIV/0!</v>
      </c>
      <c r="I445" s="76" t="e">
        <f t="shared" si="100"/>
        <v>#DIV/0!</v>
      </c>
      <c r="J445" s="116">
        <v>8.3800000000000008</v>
      </c>
      <c r="K445" s="73">
        <v>11690</v>
      </c>
      <c r="L445" s="73">
        <v>0</v>
      </c>
      <c r="M445" s="117">
        <v>0</v>
      </c>
      <c r="N445" s="79" t="e">
        <f t="shared" si="158"/>
        <v>#DIV/0!</v>
      </c>
      <c r="O445" s="80">
        <f t="shared" si="101"/>
        <v>0</v>
      </c>
      <c r="P445" s="79" t="e">
        <f t="shared" si="102"/>
        <v>#DIV/0!</v>
      </c>
      <c r="Q445" s="81" t="e">
        <f t="shared" si="103"/>
        <v>#DIV/0!</v>
      </c>
      <c r="R445" s="82">
        <f t="shared" si="157"/>
        <v>0</v>
      </c>
      <c r="S445" s="83" t="e">
        <f t="shared" si="104"/>
        <v>#DIV/0!</v>
      </c>
      <c r="T445" s="135"/>
      <c r="U445" s="135"/>
      <c r="V445" s="135"/>
      <c r="W445" s="135"/>
      <c r="X445" s="136"/>
      <c r="Y445" s="50"/>
      <c r="Z445" s="50"/>
    </row>
    <row r="446" spans="1:26" hidden="1" outlineLevel="1" x14ac:dyDescent="0.25">
      <c r="A446" s="118" t="str">
        <f t="shared" ref="A446:A447" si="159">IFERROR(IF(B446&gt;0,MONTH(B446)&amp;"-"&amp;YEAR(B446),B446),)</f>
        <v>8-2025</v>
      </c>
      <c r="B446" s="69">
        <v>45871</v>
      </c>
      <c r="C446" s="198" t="s">
        <v>64</v>
      </c>
      <c r="D446" s="116">
        <v>0</v>
      </c>
      <c r="E446" s="73">
        <v>0</v>
      </c>
      <c r="F446" s="73">
        <v>0</v>
      </c>
      <c r="G446" s="74" t="e">
        <f t="shared" si="98"/>
        <v>#DIV/0!</v>
      </c>
      <c r="H446" s="75" t="e">
        <f t="shared" si="99"/>
        <v>#DIV/0!</v>
      </c>
      <c r="I446" s="76" t="e">
        <f t="shared" si="100"/>
        <v>#DIV/0!</v>
      </c>
      <c r="J446" s="87">
        <v>297.60000000000002</v>
      </c>
      <c r="K446" s="199">
        <v>79848</v>
      </c>
      <c r="L446" s="73">
        <v>0</v>
      </c>
      <c r="M446" s="88">
        <v>1244.01</v>
      </c>
      <c r="N446" s="79">
        <f t="shared" si="158"/>
        <v>0.2392263727783539</v>
      </c>
      <c r="O446" s="80">
        <f t="shared" si="101"/>
        <v>4.1801411290322577</v>
      </c>
      <c r="P446" s="79" t="e">
        <f t="shared" si="102"/>
        <v>#DIV/0!</v>
      </c>
      <c r="Q446" s="81" t="e">
        <f t="shared" si="103"/>
        <v>#DIV/0!</v>
      </c>
      <c r="R446" s="82">
        <f t="shared" si="157"/>
        <v>-1244.01</v>
      </c>
      <c r="S446" s="83" t="e">
        <f t="shared" si="104"/>
        <v>#DIV/0!</v>
      </c>
      <c r="T446" s="135"/>
      <c r="U446" s="135"/>
      <c r="V446" s="135"/>
      <c r="W446" s="135"/>
      <c r="X446" s="136"/>
      <c r="Y446" s="50"/>
      <c r="Z446" s="50"/>
    </row>
    <row r="447" spans="1:26" ht="12.75" collapsed="1" x14ac:dyDescent="0.2">
      <c r="A447" s="50">
        <f t="shared" si="159"/>
        <v>0</v>
      </c>
      <c r="B447" s="52" t="s">
        <v>89</v>
      </c>
      <c r="C447" s="145"/>
      <c r="D447" s="121">
        <f t="shared" ref="D447:F447" si="160">SUM(D431:D446)</f>
        <v>9097.16</v>
      </c>
      <c r="E447" s="123">
        <f t="shared" si="160"/>
        <v>103</v>
      </c>
      <c r="F447" s="123">
        <f t="shared" si="160"/>
        <v>108</v>
      </c>
      <c r="G447" s="124">
        <f t="shared" si="98"/>
        <v>0.95370370370370372</v>
      </c>
      <c r="H447" s="125">
        <f t="shared" si="99"/>
        <v>88.321941747572808</v>
      </c>
      <c r="I447" s="126">
        <f t="shared" si="100"/>
        <v>92.609414647940412</v>
      </c>
      <c r="J447" s="121">
        <f t="shared" ref="J447:M447" si="161">SUM(J431:J446)</f>
        <v>2702.83</v>
      </c>
      <c r="K447" s="123">
        <f t="shared" si="161"/>
        <v>612434</v>
      </c>
      <c r="L447" s="123">
        <f t="shared" si="161"/>
        <v>33</v>
      </c>
      <c r="M447" s="127">
        <f t="shared" si="161"/>
        <v>4174.9800000000005</v>
      </c>
      <c r="N447" s="128">
        <f t="shared" si="158"/>
        <v>0.64738753239536473</v>
      </c>
      <c r="O447" s="129">
        <f t="shared" si="101"/>
        <v>1.5446698460502513</v>
      </c>
      <c r="P447" s="128">
        <f t="shared" si="102"/>
        <v>0.29710700922046002</v>
      </c>
      <c r="Q447" s="130">
        <f t="shared" si="103"/>
        <v>0.45893223819301854</v>
      </c>
      <c r="R447" s="131">
        <f>SUM(R431:R446)</f>
        <v>4922.1799999999985</v>
      </c>
      <c r="S447" s="132">
        <f t="shared" si="104"/>
        <v>81.903939393939396</v>
      </c>
      <c r="T447" s="133">
        <f t="shared" ref="T447:U447" si="162">IFERROR((D447-D69)/D447,)</f>
        <v>0.16662782670635692</v>
      </c>
      <c r="U447" s="133">
        <f t="shared" si="162"/>
        <v>8.7378640776699032E-2</v>
      </c>
      <c r="V447" s="271" t="s">
        <v>139</v>
      </c>
      <c r="W447" s="271" t="s">
        <v>139</v>
      </c>
      <c r="X447" s="50"/>
      <c r="Y447" s="50"/>
      <c r="Z447" s="50"/>
    </row>
    <row r="448" spans="1:26" ht="12.75" hidden="1" outlineLevel="1" x14ac:dyDescent="0.2">
      <c r="A448" s="50"/>
      <c r="B448" s="69">
        <v>45872</v>
      </c>
      <c r="C448" s="70" t="s">
        <v>32</v>
      </c>
      <c r="D448" s="71">
        <v>2641.7</v>
      </c>
      <c r="E448" s="73">
        <v>14</v>
      </c>
      <c r="F448" s="73">
        <v>15</v>
      </c>
      <c r="G448" s="74">
        <f t="shared" si="98"/>
        <v>0.93333333333333335</v>
      </c>
      <c r="H448" s="75">
        <f t="shared" si="99"/>
        <v>188.69285714285712</v>
      </c>
      <c r="I448" s="76">
        <f t="shared" si="100"/>
        <v>202.1709183673469</v>
      </c>
      <c r="J448" s="77">
        <v>914.85</v>
      </c>
      <c r="K448" s="73">
        <v>156774</v>
      </c>
      <c r="L448" s="73">
        <v>7</v>
      </c>
      <c r="M448" s="78">
        <v>1524.9</v>
      </c>
      <c r="N448" s="79">
        <f t="shared" si="158"/>
        <v>0.59994097973637617</v>
      </c>
      <c r="O448" s="80">
        <f t="shared" si="101"/>
        <v>1.6668306279717988</v>
      </c>
      <c r="P448" s="79">
        <f t="shared" si="102"/>
        <v>0.34631108755725482</v>
      </c>
      <c r="Q448" s="81">
        <f t="shared" si="103"/>
        <v>0.5772419275466556</v>
      </c>
      <c r="R448" s="82">
        <f t="shared" ref="R448:R463" si="163">D448-M448</f>
        <v>1116.7999999999997</v>
      </c>
      <c r="S448" s="83">
        <f t="shared" si="104"/>
        <v>130.69285714285715</v>
      </c>
      <c r="T448" s="135"/>
      <c r="U448" s="135"/>
      <c r="V448" s="135"/>
      <c r="W448" s="135"/>
      <c r="X448" s="136"/>
      <c r="Y448" s="50"/>
      <c r="Z448" s="50"/>
    </row>
    <row r="449" spans="1:26" ht="12.75" hidden="1" outlineLevel="1" x14ac:dyDescent="0.2">
      <c r="A449" s="50"/>
      <c r="B449" s="137"/>
      <c r="C449" s="70" t="s">
        <v>33</v>
      </c>
      <c r="D449" s="87">
        <v>4894.68</v>
      </c>
      <c r="E449" s="73">
        <v>51</v>
      </c>
      <c r="F449" s="73">
        <v>53</v>
      </c>
      <c r="G449" s="74">
        <f t="shared" si="98"/>
        <v>0.96226415094339623</v>
      </c>
      <c r="H449" s="75">
        <f t="shared" si="99"/>
        <v>95.974117647058833</v>
      </c>
      <c r="I449" s="76">
        <f t="shared" si="100"/>
        <v>99.737808535178786</v>
      </c>
      <c r="J449" s="87">
        <v>454.16</v>
      </c>
      <c r="K449" s="73">
        <v>182523</v>
      </c>
      <c r="L449" s="73">
        <v>9</v>
      </c>
      <c r="M449" s="88">
        <v>1633.8</v>
      </c>
      <c r="N449" s="79">
        <f t="shared" si="158"/>
        <v>0.27797772065124254</v>
      </c>
      <c r="O449" s="80">
        <f t="shared" si="101"/>
        <v>3.5974106041923548</v>
      </c>
      <c r="P449" s="79">
        <f t="shared" si="102"/>
        <v>9.2786453864195415E-2</v>
      </c>
      <c r="Q449" s="81">
        <f t="shared" si="103"/>
        <v>0.33379097305646127</v>
      </c>
      <c r="R449" s="89">
        <f t="shared" si="163"/>
        <v>3260.88</v>
      </c>
      <c r="S449" s="83">
        <f t="shared" si="104"/>
        <v>50.462222222222223</v>
      </c>
      <c r="T449" s="135"/>
      <c r="U449" s="135"/>
      <c r="V449" s="135"/>
      <c r="W449" s="135"/>
      <c r="X449" s="136"/>
      <c r="Y449" s="50"/>
      <c r="Z449" s="50"/>
    </row>
    <row r="450" spans="1:26" ht="12.75" hidden="1" outlineLevel="1" x14ac:dyDescent="0.2">
      <c r="A450" s="50"/>
      <c r="B450" s="137"/>
      <c r="C450" s="70" t="s">
        <v>34</v>
      </c>
      <c r="D450" s="90">
        <v>209.85</v>
      </c>
      <c r="E450" s="73">
        <v>3</v>
      </c>
      <c r="F450" s="73">
        <v>2</v>
      </c>
      <c r="G450" s="74">
        <f t="shared" si="98"/>
        <v>1.5</v>
      </c>
      <c r="H450" s="75">
        <f t="shared" si="99"/>
        <v>69.95</v>
      </c>
      <c r="I450" s="76">
        <f t="shared" si="100"/>
        <v>46.633333333333333</v>
      </c>
      <c r="J450" s="90">
        <v>8.4</v>
      </c>
      <c r="K450" s="73">
        <v>231</v>
      </c>
      <c r="L450" s="73">
        <v>0</v>
      </c>
      <c r="M450" s="91">
        <v>0</v>
      </c>
      <c r="N450" s="79" t="e">
        <f>(J450/M450)</f>
        <v>#DIV/0!</v>
      </c>
      <c r="O450" s="80">
        <f t="shared" si="101"/>
        <v>0</v>
      </c>
      <c r="P450" s="79">
        <f t="shared" si="102"/>
        <v>4.0028591851322376E-2</v>
      </c>
      <c r="Q450" s="81">
        <f t="shared" si="103"/>
        <v>0</v>
      </c>
      <c r="R450" s="92">
        <f t="shared" si="163"/>
        <v>209.85</v>
      </c>
      <c r="S450" s="83" t="e">
        <f t="shared" si="104"/>
        <v>#DIV/0!</v>
      </c>
      <c r="T450" s="135"/>
      <c r="U450" s="135"/>
      <c r="V450" s="135"/>
      <c r="W450" s="135"/>
      <c r="X450" s="136"/>
      <c r="Y450" s="50"/>
      <c r="Z450" s="50"/>
    </row>
    <row r="451" spans="1:26" ht="12.75" hidden="1" outlineLevel="1" x14ac:dyDescent="0.2">
      <c r="A451" s="50"/>
      <c r="B451" s="137"/>
      <c r="C451" s="70" t="s">
        <v>35</v>
      </c>
      <c r="D451" s="90">
        <v>779.35</v>
      </c>
      <c r="E451" s="73">
        <v>13</v>
      </c>
      <c r="F451" s="73">
        <v>10</v>
      </c>
      <c r="G451" s="74">
        <f t="shared" si="98"/>
        <v>1.3</v>
      </c>
      <c r="H451" s="75">
        <f t="shared" si="99"/>
        <v>59.95</v>
      </c>
      <c r="I451" s="76">
        <f t="shared" si="100"/>
        <v>46.115384615384613</v>
      </c>
      <c r="J451" s="90">
        <v>283.74</v>
      </c>
      <c r="K451" s="73">
        <v>23159</v>
      </c>
      <c r="L451" s="73">
        <v>8</v>
      </c>
      <c r="M451" s="91">
        <v>479.6</v>
      </c>
      <c r="N451" s="79">
        <f t="shared" ref="N451:N466" si="164">J451/M451</f>
        <v>0.59161801501251043</v>
      </c>
      <c r="O451" s="80">
        <f t="shared" si="101"/>
        <v>1.6902798336505251</v>
      </c>
      <c r="P451" s="79">
        <f t="shared" si="102"/>
        <v>0.36407262462308332</v>
      </c>
      <c r="Q451" s="81">
        <f t="shared" si="103"/>
        <v>0.61538461538461542</v>
      </c>
      <c r="R451" s="92">
        <f t="shared" si="163"/>
        <v>299.75</v>
      </c>
      <c r="S451" s="83">
        <f t="shared" si="104"/>
        <v>35.467500000000001</v>
      </c>
      <c r="T451" s="135"/>
      <c r="U451" s="135"/>
      <c r="V451" s="135"/>
      <c r="W451" s="135"/>
      <c r="X451" s="136"/>
      <c r="Y451" s="50"/>
      <c r="Z451" s="50"/>
    </row>
    <row r="452" spans="1:26" ht="12.75" hidden="1" outlineLevel="1" x14ac:dyDescent="0.2">
      <c r="A452" s="50"/>
      <c r="B452" s="137"/>
      <c r="C452" s="70" t="s">
        <v>36</v>
      </c>
      <c r="D452" s="90">
        <v>179.85</v>
      </c>
      <c r="E452" s="73">
        <v>3</v>
      </c>
      <c r="F452" s="73">
        <v>4</v>
      </c>
      <c r="G452" s="74">
        <f t="shared" si="98"/>
        <v>0.75</v>
      </c>
      <c r="H452" s="75">
        <f t="shared" si="99"/>
        <v>59.949999999999996</v>
      </c>
      <c r="I452" s="76">
        <f t="shared" si="100"/>
        <v>79.933333333333323</v>
      </c>
      <c r="J452" s="90">
        <v>88.23</v>
      </c>
      <c r="K452" s="73">
        <v>19717</v>
      </c>
      <c r="L452" s="73">
        <v>2</v>
      </c>
      <c r="M452" s="91">
        <v>119.9</v>
      </c>
      <c r="N452" s="79">
        <f t="shared" si="164"/>
        <v>0.73586321934945786</v>
      </c>
      <c r="O452" s="80">
        <f t="shared" si="101"/>
        <v>1.3589482035588802</v>
      </c>
      <c r="P452" s="79">
        <f t="shared" si="102"/>
        <v>0.49057547956630532</v>
      </c>
      <c r="Q452" s="81">
        <f t="shared" si="103"/>
        <v>0.66666666666666674</v>
      </c>
      <c r="R452" s="92">
        <f t="shared" si="163"/>
        <v>59.949999999999989</v>
      </c>
      <c r="S452" s="83">
        <f t="shared" si="104"/>
        <v>44.115000000000002</v>
      </c>
      <c r="T452" s="135"/>
      <c r="U452" s="135"/>
      <c r="V452" s="135"/>
      <c r="W452" s="135"/>
      <c r="X452" s="136"/>
      <c r="Y452" s="50"/>
      <c r="Z452" s="50"/>
    </row>
    <row r="453" spans="1:26" ht="12.75" hidden="1" outlineLevel="1" x14ac:dyDescent="0.2">
      <c r="A453" s="50"/>
      <c r="B453" s="69" t="s">
        <v>37</v>
      </c>
      <c r="C453" s="70" t="s">
        <v>38</v>
      </c>
      <c r="D453" s="93">
        <v>29.95</v>
      </c>
      <c r="E453" s="73">
        <v>1</v>
      </c>
      <c r="F453" s="73">
        <v>1</v>
      </c>
      <c r="G453" s="74">
        <f t="shared" si="98"/>
        <v>1</v>
      </c>
      <c r="H453" s="75">
        <f t="shared" si="99"/>
        <v>29.95</v>
      </c>
      <c r="I453" s="76">
        <f t="shared" si="100"/>
        <v>29.95</v>
      </c>
      <c r="J453" s="93">
        <v>59.13</v>
      </c>
      <c r="K453" s="73">
        <v>13495</v>
      </c>
      <c r="L453" s="73">
        <v>0</v>
      </c>
      <c r="M453" s="94">
        <v>0</v>
      </c>
      <c r="N453" s="79" t="e">
        <f t="shared" si="164"/>
        <v>#DIV/0!</v>
      </c>
      <c r="O453" s="80">
        <f t="shared" si="101"/>
        <v>0</v>
      </c>
      <c r="P453" s="79">
        <f t="shared" si="102"/>
        <v>1.9742904841402338</v>
      </c>
      <c r="Q453" s="81">
        <f t="shared" si="103"/>
        <v>0</v>
      </c>
      <c r="R453" s="95">
        <f t="shared" si="163"/>
        <v>29.95</v>
      </c>
      <c r="S453" s="83" t="e">
        <f t="shared" si="104"/>
        <v>#DIV/0!</v>
      </c>
      <c r="T453" s="135"/>
      <c r="U453" s="135"/>
      <c r="V453" s="135"/>
      <c r="W453" s="135"/>
      <c r="X453" s="136"/>
      <c r="Y453" s="50"/>
      <c r="Z453" s="50"/>
    </row>
    <row r="454" spans="1:26" ht="12.75" hidden="1" outlineLevel="1" x14ac:dyDescent="0.2">
      <c r="A454" s="50"/>
      <c r="B454" s="137"/>
      <c r="C454" s="70" t="s">
        <v>39</v>
      </c>
      <c r="D454" s="96">
        <v>0</v>
      </c>
      <c r="E454" s="73">
        <v>0</v>
      </c>
      <c r="F454" s="73">
        <v>0</v>
      </c>
      <c r="G454" s="74" t="e">
        <f t="shared" si="98"/>
        <v>#DIV/0!</v>
      </c>
      <c r="H454" s="75" t="e">
        <f t="shared" si="99"/>
        <v>#DIV/0!</v>
      </c>
      <c r="I454" s="76" t="e">
        <f t="shared" si="100"/>
        <v>#DIV/0!</v>
      </c>
      <c r="J454" s="96">
        <v>0</v>
      </c>
      <c r="K454" s="73">
        <v>0</v>
      </c>
      <c r="L454" s="73">
        <v>0</v>
      </c>
      <c r="M454" s="97">
        <v>0</v>
      </c>
      <c r="N454" s="79" t="e">
        <f t="shared" si="164"/>
        <v>#DIV/0!</v>
      </c>
      <c r="O454" s="80" t="e">
        <f t="shared" si="101"/>
        <v>#DIV/0!</v>
      </c>
      <c r="P454" s="79" t="e">
        <f t="shared" si="102"/>
        <v>#DIV/0!</v>
      </c>
      <c r="Q454" s="81" t="e">
        <f t="shared" si="103"/>
        <v>#DIV/0!</v>
      </c>
      <c r="R454" s="98">
        <f t="shared" si="163"/>
        <v>0</v>
      </c>
      <c r="S454" s="83" t="e">
        <f t="shared" si="104"/>
        <v>#DIV/0!</v>
      </c>
      <c r="T454" s="135"/>
      <c r="U454" s="135"/>
      <c r="V454" s="135"/>
      <c r="W454" s="135"/>
      <c r="X454" s="136"/>
      <c r="Y454" s="50"/>
      <c r="Z454" s="50"/>
    </row>
    <row r="455" spans="1:26" ht="12.75" hidden="1" outlineLevel="1" x14ac:dyDescent="0.2">
      <c r="A455" s="50"/>
      <c r="B455" s="137"/>
      <c r="C455" s="70" t="s">
        <v>40</v>
      </c>
      <c r="D455" s="99">
        <v>879.2</v>
      </c>
      <c r="E455" s="73">
        <v>16</v>
      </c>
      <c r="F455" s="73">
        <v>5</v>
      </c>
      <c r="G455" s="74">
        <f t="shared" si="98"/>
        <v>3.2</v>
      </c>
      <c r="H455" s="75">
        <f t="shared" si="99"/>
        <v>54.95</v>
      </c>
      <c r="I455" s="76">
        <f t="shared" si="100"/>
        <v>17.171875</v>
      </c>
      <c r="J455" s="99">
        <v>0</v>
      </c>
      <c r="K455" s="73">
        <v>0</v>
      </c>
      <c r="L455" s="73">
        <v>0</v>
      </c>
      <c r="M455" s="100">
        <v>0</v>
      </c>
      <c r="N455" s="79" t="e">
        <f t="shared" si="164"/>
        <v>#DIV/0!</v>
      </c>
      <c r="O455" s="80" t="e">
        <f t="shared" si="101"/>
        <v>#DIV/0!</v>
      </c>
      <c r="P455" s="79">
        <f t="shared" si="102"/>
        <v>0</v>
      </c>
      <c r="Q455" s="81">
        <f t="shared" si="103"/>
        <v>0</v>
      </c>
      <c r="R455" s="101">
        <f t="shared" si="163"/>
        <v>879.2</v>
      </c>
      <c r="S455" s="83" t="e">
        <f t="shared" si="104"/>
        <v>#DIV/0!</v>
      </c>
      <c r="T455" s="135"/>
      <c r="U455" s="135"/>
      <c r="V455" s="135"/>
      <c r="W455" s="135"/>
      <c r="X455" s="136"/>
      <c r="Y455" s="50"/>
      <c r="Z455" s="50"/>
    </row>
    <row r="456" spans="1:26" ht="12.75" hidden="1" outlineLevel="1" x14ac:dyDescent="0.2">
      <c r="A456" s="50"/>
      <c r="B456" s="137"/>
      <c r="C456" s="70" t="s">
        <v>41</v>
      </c>
      <c r="D456" s="102">
        <v>746.9</v>
      </c>
      <c r="E456" s="73">
        <v>11</v>
      </c>
      <c r="F456" s="73">
        <v>11</v>
      </c>
      <c r="G456" s="74">
        <f t="shared" si="98"/>
        <v>1</v>
      </c>
      <c r="H456" s="75">
        <f t="shared" si="99"/>
        <v>67.899999999999991</v>
      </c>
      <c r="I456" s="76">
        <f t="shared" si="100"/>
        <v>67.899999999999991</v>
      </c>
      <c r="J456" s="102">
        <v>598.57000000000005</v>
      </c>
      <c r="K456" s="73">
        <v>32914</v>
      </c>
      <c r="L456" s="73">
        <v>6</v>
      </c>
      <c r="M456" s="103">
        <v>447.95</v>
      </c>
      <c r="N456" s="79">
        <f t="shared" si="164"/>
        <v>1.3362428842504745</v>
      </c>
      <c r="O456" s="80">
        <f t="shared" si="101"/>
        <v>0.74836694120988345</v>
      </c>
      <c r="P456" s="79">
        <f t="shared" si="102"/>
        <v>0.80140581068416128</v>
      </c>
      <c r="Q456" s="81">
        <f t="shared" si="103"/>
        <v>0.59974561520953273</v>
      </c>
      <c r="R456" s="104">
        <f t="shared" si="163"/>
        <v>298.95</v>
      </c>
      <c r="S456" s="83">
        <f t="shared" si="104"/>
        <v>99.76166666666667</v>
      </c>
      <c r="T456" s="135"/>
      <c r="U456" s="135"/>
      <c r="V456" s="135"/>
      <c r="W456" s="135"/>
      <c r="X456" s="136"/>
      <c r="Y456" s="50"/>
      <c r="Z456" s="50"/>
    </row>
    <row r="457" spans="1:26" ht="12.75" hidden="1" outlineLevel="1" x14ac:dyDescent="0.2">
      <c r="A457" s="50"/>
      <c r="B457" s="137"/>
      <c r="C457" s="70" t="s">
        <v>42</v>
      </c>
      <c r="D457" s="90">
        <v>0</v>
      </c>
      <c r="E457" s="73">
        <v>0</v>
      </c>
      <c r="F457" s="73">
        <v>0</v>
      </c>
      <c r="G457" s="74" t="e">
        <f t="shared" si="98"/>
        <v>#DIV/0!</v>
      </c>
      <c r="H457" s="75" t="e">
        <f t="shared" si="99"/>
        <v>#DIV/0!</v>
      </c>
      <c r="I457" s="76" t="e">
        <f t="shared" si="100"/>
        <v>#DIV/0!</v>
      </c>
      <c r="J457" s="90">
        <v>0</v>
      </c>
      <c r="K457" s="73">
        <v>0</v>
      </c>
      <c r="L457" s="73">
        <v>0</v>
      </c>
      <c r="M457" s="91">
        <v>0</v>
      </c>
      <c r="N457" s="79" t="e">
        <f t="shared" si="164"/>
        <v>#DIV/0!</v>
      </c>
      <c r="O457" s="80" t="e">
        <f t="shared" si="101"/>
        <v>#DIV/0!</v>
      </c>
      <c r="P457" s="79" t="e">
        <f t="shared" si="102"/>
        <v>#DIV/0!</v>
      </c>
      <c r="Q457" s="81" t="e">
        <f t="shared" si="103"/>
        <v>#DIV/0!</v>
      </c>
      <c r="R457" s="92">
        <f t="shared" si="163"/>
        <v>0</v>
      </c>
      <c r="S457" s="83" t="e">
        <f t="shared" si="104"/>
        <v>#DIV/0!</v>
      </c>
      <c r="T457" s="135"/>
      <c r="U457" s="135"/>
      <c r="V457" s="135"/>
      <c r="W457" s="135"/>
      <c r="X457" s="136"/>
      <c r="Y457" s="50"/>
      <c r="Z457" s="50"/>
    </row>
    <row r="458" spans="1:26" ht="12.75" hidden="1" outlineLevel="1" x14ac:dyDescent="0.2">
      <c r="A458" s="50"/>
      <c r="B458" s="137"/>
      <c r="C458" s="70" t="s">
        <v>43</v>
      </c>
      <c r="D458" s="105">
        <v>0</v>
      </c>
      <c r="E458" s="73">
        <v>0</v>
      </c>
      <c r="F458" s="73">
        <v>0</v>
      </c>
      <c r="G458" s="74" t="e">
        <f t="shared" si="98"/>
        <v>#DIV/0!</v>
      </c>
      <c r="H458" s="75" t="e">
        <f t="shared" si="99"/>
        <v>#DIV/0!</v>
      </c>
      <c r="I458" s="76" t="e">
        <f t="shared" si="100"/>
        <v>#DIV/0!</v>
      </c>
      <c r="J458" s="105">
        <v>40.35</v>
      </c>
      <c r="K458" s="73">
        <v>15859</v>
      </c>
      <c r="L458" s="73">
        <v>0</v>
      </c>
      <c r="M458" s="106">
        <v>0</v>
      </c>
      <c r="N458" s="79" t="e">
        <f t="shared" si="164"/>
        <v>#DIV/0!</v>
      </c>
      <c r="O458" s="80">
        <f t="shared" si="101"/>
        <v>0</v>
      </c>
      <c r="P458" s="79" t="e">
        <f t="shared" si="102"/>
        <v>#DIV/0!</v>
      </c>
      <c r="Q458" s="81" t="e">
        <f t="shared" si="103"/>
        <v>#DIV/0!</v>
      </c>
      <c r="R458" s="107">
        <f t="shared" si="163"/>
        <v>0</v>
      </c>
      <c r="S458" s="83" t="e">
        <f t="shared" si="104"/>
        <v>#DIV/0!</v>
      </c>
      <c r="T458" s="135"/>
      <c r="U458" s="135"/>
      <c r="V458" s="135"/>
      <c r="W458" s="135"/>
      <c r="X458" s="136"/>
      <c r="Y458" s="50"/>
      <c r="Z458" s="50"/>
    </row>
    <row r="459" spans="1:26" ht="12.75" hidden="1" outlineLevel="1" x14ac:dyDescent="0.2">
      <c r="A459" s="50"/>
      <c r="B459" s="137"/>
      <c r="C459" s="70" t="s">
        <v>44</v>
      </c>
      <c r="D459" s="108">
        <v>494.45</v>
      </c>
      <c r="E459" s="73">
        <v>11</v>
      </c>
      <c r="F459" s="73">
        <v>11</v>
      </c>
      <c r="G459" s="74">
        <f t="shared" si="98"/>
        <v>1</v>
      </c>
      <c r="H459" s="75">
        <f t="shared" si="99"/>
        <v>44.949999999999996</v>
      </c>
      <c r="I459" s="76">
        <f t="shared" si="100"/>
        <v>44.949999999999996</v>
      </c>
      <c r="J459" s="108">
        <v>169.87</v>
      </c>
      <c r="K459" s="73">
        <v>69626</v>
      </c>
      <c r="L459" s="73">
        <v>4</v>
      </c>
      <c r="M459" s="109">
        <v>179.8</v>
      </c>
      <c r="N459" s="79">
        <f t="shared" si="164"/>
        <v>0.9447719688542825</v>
      </c>
      <c r="O459" s="80">
        <f t="shared" si="101"/>
        <v>1.0584564667098371</v>
      </c>
      <c r="P459" s="79">
        <f t="shared" si="102"/>
        <v>0.34355344321973913</v>
      </c>
      <c r="Q459" s="81">
        <f t="shared" si="103"/>
        <v>0.36363636363636365</v>
      </c>
      <c r="R459" s="110">
        <f t="shared" si="163"/>
        <v>314.64999999999998</v>
      </c>
      <c r="S459" s="83">
        <f t="shared" si="104"/>
        <v>42.467500000000001</v>
      </c>
      <c r="T459" s="135"/>
      <c r="U459" s="135"/>
      <c r="V459" s="135"/>
      <c r="W459" s="135"/>
      <c r="X459" s="136"/>
      <c r="Y459" s="50"/>
      <c r="Z459" s="50"/>
    </row>
    <row r="460" spans="1:26" ht="12.75" hidden="1" outlineLevel="1" x14ac:dyDescent="0.2">
      <c r="A460" s="139"/>
      <c r="B460" s="137"/>
      <c r="C460" s="112" t="s">
        <v>45</v>
      </c>
      <c r="D460" s="71">
        <v>0</v>
      </c>
      <c r="E460" s="73">
        <v>0</v>
      </c>
      <c r="F460" s="73">
        <v>0</v>
      </c>
      <c r="G460" s="74" t="e">
        <f t="shared" si="98"/>
        <v>#DIV/0!</v>
      </c>
      <c r="H460" s="75" t="e">
        <f t="shared" si="99"/>
        <v>#DIV/0!</v>
      </c>
      <c r="I460" s="76" t="e">
        <f t="shared" si="100"/>
        <v>#DIV/0!</v>
      </c>
      <c r="J460" s="71">
        <v>0</v>
      </c>
      <c r="K460" s="73">
        <v>0</v>
      </c>
      <c r="L460" s="73">
        <v>0</v>
      </c>
      <c r="M460" s="78">
        <v>0</v>
      </c>
      <c r="N460" s="79" t="e">
        <f t="shared" si="164"/>
        <v>#DIV/0!</v>
      </c>
      <c r="O460" s="80" t="e">
        <f t="shared" si="101"/>
        <v>#DIV/0!</v>
      </c>
      <c r="P460" s="79" t="e">
        <f t="shared" si="102"/>
        <v>#DIV/0!</v>
      </c>
      <c r="Q460" s="81" t="e">
        <f t="shared" si="103"/>
        <v>#DIV/0!</v>
      </c>
      <c r="R460" s="82">
        <f t="shared" si="163"/>
        <v>0</v>
      </c>
      <c r="S460" s="83" t="e">
        <f t="shared" si="104"/>
        <v>#DIV/0!</v>
      </c>
      <c r="T460" s="140"/>
      <c r="U460" s="140"/>
      <c r="V460" s="140"/>
      <c r="W460" s="141"/>
      <c r="X460" s="142"/>
      <c r="Y460" s="50"/>
      <c r="Z460" s="50"/>
    </row>
    <row r="461" spans="1:26" ht="12.75" hidden="1" outlineLevel="1" x14ac:dyDescent="0.2">
      <c r="A461" s="50"/>
      <c r="B461" s="137"/>
      <c r="C461" s="70" t="s">
        <v>46</v>
      </c>
      <c r="D461" s="116">
        <v>447.5</v>
      </c>
      <c r="E461" s="73">
        <v>10</v>
      </c>
      <c r="F461" s="73">
        <v>9</v>
      </c>
      <c r="G461" s="74">
        <f t="shared" si="98"/>
        <v>1.1111111111111112</v>
      </c>
      <c r="H461" s="75">
        <f t="shared" si="99"/>
        <v>44.75</v>
      </c>
      <c r="I461" s="76">
        <f t="shared" si="100"/>
        <v>40.274999999999999</v>
      </c>
      <c r="J461" s="116">
        <v>134.13999999999999</v>
      </c>
      <c r="K461" s="73">
        <v>33640</v>
      </c>
      <c r="L461" s="73">
        <v>3</v>
      </c>
      <c r="M461" s="117">
        <v>89.9</v>
      </c>
      <c r="N461" s="79">
        <f t="shared" si="164"/>
        <v>1.4921023359288095</v>
      </c>
      <c r="O461" s="80">
        <f t="shared" si="101"/>
        <v>0.67019531832413903</v>
      </c>
      <c r="P461" s="79">
        <f t="shared" si="102"/>
        <v>0.29975418994413405</v>
      </c>
      <c r="Q461" s="81">
        <f t="shared" si="103"/>
        <v>0.20089385474860336</v>
      </c>
      <c r="R461" s="82">
        <f t="shared" si="163"/>
        <v>357.6</v>
      </c>
      <c r="S461" s="83">
        <f t="shared" si="104"/>
        <v>44.713333333333331</v>
      </c>
      <c r="T461" s="135"/>
      <c r="U461" s="135"/>
      <c r="V461" s="135"/>
      <c r="W461" s="135"/>
      <c r="X461" s="136"/>
      <c r="Y461" s="50"/>
      <c r="Z461" s="50"/>
    </row>
    <row r="462" spans="1:26" ht="12.75" hidden="1" outlineLevel="1" x14ac:dyDescent="0.2">
      <c r="A462" s="50"/>
      <c r="B462" s="137"/>
      <c r="C462" s="70" t="s">
        <v>49</v>
      </c>
      <c r="D462" s="116">
        <v>-439.5</v>
      </c>
      <c r="E462" s="73">
        <v>-9</v>
      </c>
      <c r="F462" s="73">
        <v>1</v>
      </c>
      <c r="G462" s="74">
        <f t="shared" si="98"/>
        <v>-9</v>
      </c>
      <c r="H462" s="75">
        <f t="shared" si="99"/>
        <v>48.833333333333336</v>
      </c>
      <c r="I462" s="76">
        <f t="shared" si="100"/>
        <v>-5.4259259259259265</v>
      </c>
      <c r="J462" s="116">
        <v>39.31</v>
      </c>
      <c r="K462" s="73">
        <v>18928</v>
      </c>
      <c r="L462" s="73">
        <v>1</v>
      </c>
      <c r="M462" s="117">
        <v>96</v>
      </c>
      <c r="N462" s="79">
        <f t="shared" si="164"/>
        <v>0.40947916666666667</v>
      </c>
      <c r="O462" s="80">
        <f t="shared" si="101"/>
        <v>2.4421266853218011</v>
      </c>
      <c r="P462" s="79">
        <f t="shared" si="102"/>
        <v>-8.9442548350398179E-2</v>
      </c>
      <c r="Q462" s="81">
        <f t="shared" si="103"/>
        <v>-0.21843003412969283</v>
      </c>
      <c r="R462" s="82">
        <f t="shared" si="163"/>
        <v>-535.5</v>
      </c>
      <c r="S462" s="83">
        <f t="shared" si="104"/>
        <v>39.31</v>
      </c>
      <c r="T462" s="135"/>
      <c r="U462" s="135"/>
      <c r="V462" s="135"/>
      <c r="W462" s="135"/>
      <c r="X462" s="136"/>
      <c r="Y462" s="50"/>
      <c r="Z462" s="50"/>
    </row>
    <row r="463" spans="1:26" hidden="1" outlineLevel="1" x14ac:dyDescent="0.25">
      <c r="A463" s="118" t="str">
        <f t="shared" ref="A463:A464" si="165">IFERROR(IF(B463&gt;0,MONTH(B463)&amp;"-"&amp;YEAR(B463),B463),)</f>
        <v>8-2025</v>
      </c>
      <c r="B463" s="69">
        <v>45878</v>
      </c>
      <c r="C463" s="198" t="s">
        <v>64</v>
      </c>
      <c r="D463" s="116">
        <v>0</v>
      </c>
      <c r="E463" s="73">
        <v>0</v>
      </c>
      <c r="F463" s="73">
        <v>0</v>
      </c>
      <c r="G463" s="74" t="e">
        <f t="shared" si="98"/>
        <v>#DIV/0!</v>
      </c>
      <c r="H463" s="75" t="e">
        <f t="shared" si="99"/>
        <v>#DIV/0!</v>
      </c>
      <c r="I463" s="76" t="e">
        <f t="shared" si="100"/>
        <v>#DIV/0!</v>
      </c>
      <c r="J463" s="87">
        <v>604.87000000000012</v>
      </c>
      <c r="K463" s="199">
        <v>156306</v>
      </c>
      <c r="L463" s="73">
        <v>0</v>
      </c>
      <c r="M463" s="88">
        <v>1903.35</v>
      </c>
      <c r="N463" s="79">
        <f t="shared" si="164"/>
        <v>0.31779231355242082</v>
      </c>
      <c r="O463" s="80">
        <f t="shared" si="101"/>
        <v>3.1467092102435226</v>
      </c>
      <c r="P463" s="79" t="e">
        <f t="shared" si="102"/>
        <v>#DIV/0!</v>
      </c>
      <c r="Q463" s="81" t="e">
        <f t="shared" si="103"/>
        <v>#DIV/0!</v>
      </c>
      <c r="R463" s="82">
        <f t="shared" si="163"/>
        <v>-1903.35</v>
      </c>
      <c r="S463" s="83" t="e">
        <f t="shared" si="104"/>
        <v>#DIV/0!</v>
      </c>
      <c r="T463" s="135"/>
      <c r="U463" s="135"/>
      <c r="V463" s="135"/>
      <c r="W463" s="135"/>
      <c r="X463" s="136"/>
      <c r="Y463" s="50"/>
      <c r="Z463" s="50"/>
    </row>
    <row r="464" spans="1:26" ht="12.75" collapsed="1" x14ac:dyDescent="0.2">
      <c r="A464" s="50">
        <f t="shared" si="165"/>
        <v>0</v>
      </c>
      <c r="B464" s="52" t="s">
        <v>90</v>
      </c>
      <c r="C464" s="145"/>
      <c r="D464" s="121">
        <f t="shared" ref="D464:F464" si="166">SUM(D448:D463)</f>
        <v>10863.930000000002</v>
      </c>
      <c r="E464" s="123">
        <f t="shared" si="166"/>
        <v>124</v>
      </c>
      <c r="F464" s="123">
        <f t="shared" si="166"/>
        <v>122</v>
      </c>
      <c r="G464" s="124">
        <f t="shared" si="98"/>
        <v>1.0163934426229508</v>
      </c>
      <c r="H464" s="125">
        <f t="shared" si="99"/>
        <v>87.612338709677431</v>
      </c>
      <c r="I464" s="126">
        <f t="shared" si="100"/>
        <v>86.199236472424573</v>
      </c>
      <c r="J464" s="121">
        <f t="shared" ref="J464:M464" si="167">SUM(J448:J463)</f>
        <v>3395.62</v>
      </c>
      <c r="K464" s="123">
        <f t="shared" si="167"/>
        <v>723172</v>
      </c>
      <c r="L464" s="123">
        <f t="shared" si="167"/>
        <v>40</v>
      </c>
      <c r="M464" s="127">
        <f t="shared" si="167"/>
        <v>6475.1999999999989</v>
      </c>
      <c r="N464" s="128">
        <f t="shared" si="164"/>
        <v>0.52440387941685207</v>
      </c>
      <c r="O464" s="129">
        <f t="shared" si="101"/>
        <v>1.9069271591049644</v>
      </c>
      <c r="P464" s="128">
        <f t="shared" si="102"/>
        <v>0.3125590831310584</v>
      </c>
      <c r="Q464" s="130">
        <f t="shared" si="103"/>
        <v>0.59602740444756153</v>
      </c>
      <c r="R464" s="131">
        <f>SUM(R448:R463)</f>
        <v>4388.7299999999996</v>
      </c>
      <c r="S464" s="132">
        <f t="shared" si="104"/>
        <v>84.890500000000003</v>
      </c>
      <c r="T464" s="133">
        <f t="shared" ref="T464:U464" si="168">IFERROR((D464-D69)/D464,)</f>
        <v>0.30215677015591996</v>
      </c>
      <c r="U464" s="133">
        <f t="shared" si="168"/>
        <v>0.24193548387096775</v>
      </c>
      <c r="V464" s="271" t="s">
        <v>139</v>
      </c>
      <c r="W464" s="271" t="s">
        <v>139</v>
      </c>
      <c r="X464" s="50"/>
      <c r="Y464" s="50"/>
      <c r="Z464" s="50"/>
    </row>
    <row r="465" spans="1:26" ht="12.75" hidden="1" outlineLevel="1" x14ac:dyDescent="0.2">
      <c r="A465" s="50"/>
      <c r="B465" s="69">
        <v>45879</v>
      </c>
      <c r="C465" s="70" t="s">
        <v>32</v>
      </c>
      <c r="D465" s="71">
        <v>3711.18</v>
      </c>
      <c r="E465" s="73">
        <v>9</v>
      </c>
      <c r="F465" s="73">
        <v>9</v>
      </c>
      <c r="G465" s="74">
        <f t="shared" si="98"/>
        <v>1</v>
      </c>
      <c r="H465" s="75">
        <f t="shared" si="99"/>
        <v>412.3533333333333</v>
      </c>
      <c r="I465" s="76">
        <f t="shared" si="100"/>
        <v>412.3533333333333</v>
      </c>
      <c r="J465" s="77">
        <v>1396.61</v>
      </c>
      <c r="K465" s="73">
        <v>210756</v>
      </c>
      <c r="L465" s="73">
        <v>5</v>
      </c>
      <c r="M465" s="78">
        <v>2943.95</v>
      </c>
      <c r="N465" s="79">
        <f t="shared" si="164"/>
        <v>0.47440004076156184</v>
      </c>
      <c r="O465" s="80">
        <f t="shared" si="101"/>
        <v>2.1079256198938858</v>
      </c>
      <c r="P465" s="79">
        <f t="shared" si="102"/>
        <v>0.37632505025355817</v>
      </c>
      <c r="Q465" s="81">
        <f t="shared" si="103"/>
        <v>0.79326521483732937</v>
      </c>
      <c r="R465" s="82">
        <f t="shared" ref="R465:R480" si="169">D465-M465</f>
        <v>767.23</v>
      </c>
      <c r="S465" s="83">
        <f t="shared" si="104"/>
        <v>279.322</v>
      </c>
      <c r="T465" s="135"/>
      <c r="U465" s="135"/>
      <c r="V465" s="135"/>
      <c r="W465" s="135"/>
      <c r="X465" s="136"/>
      <c r="Y465" s="50"/>
      <c r="Z465" s="50"/>
    </row>
    <row r="466" spans="1:26" ht="12.75" hidden="1" outlineLevel="1" x14ac:dyDescent="0.2">
      <c r="A466" s="50"/>
      <c r="B466" s="137"/>
      <c r="C466" s="70" t="s">
        <v>33</v>
      </c>
      <c r="D466" s="87">
        <v>4721.95</v>
      </c>
      <c r="E466" s="73">
        <v>76</v>
      </c>
      <c r="F466" s="73">
        <v>65</v>
      </c>
      <c r="G466" s="74">
        <f t="shared" si="98"/>
        <v>1.1692307692307693</v>
      </c>
      <c r="H466" s="75">
        <f t="shared" si="99"/>
        <v>62.130921052631578</v>
      </c>
      <c r="I466" s="76">
        <f t="shared" si="100"/>
        <v>53.138287742382268</v>
      </c>
      <c r="J466" s="87">
        <v>576.22</v>
      </c>
      <c r="K466" s="73">
        <v>155896</v>
      </c>
      <c r="L466" s="73">
        <v>5</v>
      </c>
      <c r="M466" s="88">
        <v>980</v>
      </c>
      <c r="N466" s="79">
        <f t="shared" si="164"/>
        <v>0.58797959183673476</v>
      </c>
      <c r="O466" s="80">
        <f t="shared" si="101"/>
        <v>1.7007393009614382</v>
      </c>
      <c r="P466" s="79">
        <f t="shared" si="102"/>
        <v>0.12203009349950764</v>
      </c>
      <c r="Q466" s="81">
        <f t="shared" si="103"/>
        <v>0.20754137591461155</v>
      </c>
      <c r="R466" s="89">
        <f t="shared" si="169"/>
        <v>3741.95</v>
      </c>
      <c r="S466" s="83">
        <f t="shared" si="104"/>
        <v>115.244</v>
      </c>
      <c r="T466" s="135"/>
      <c r="U466" s="135"/>
      <c r="V466" s="135"/>
      <c r="W466" s="135"/>
      <c r="X466" s="136"/>
      <c r="Y466" s="50"/>
      <c r="Z466" s="50"/>
    </row>
    <row r="467" spans="1:26" ht="12.75" hidden="1" outlineLevel="1" x14ac:dyDescent="0.2">
      <c r="A467" s="50"/>
      <c r="B467" s="137"/>
      <c r="C467" s="70" t="s">
        <v>34</v>
      </c>
      <c r="D467" s="90">
        <v>69.95</v>
      </c>
      <c r="E467" s="73">
        <v>1</v>
      </c>
      <c r="F467" s="73">
        <v>1</v>
      </c>
      <c r="G467" s="74">
        <f t="shared" si="98"/>
        <v>1</v>
      </c>
      <c r="H467" s="75">
        <f t="shared" si="99"/>
        <v>69.95</v>
      </c>
      <c r="I467" s="76">
        <f t="shared" si="100"/>
        <v>69.95</v>
      </c>
      <c r="J467" s="90">
        <v>23.9</v>
      </c>
      <c r="K467" s="73">
        <v>235</v>
      </c>
      <c r="L467" s="73">
        <v>0</v>
      </c>
      <c r="M467" s="91">
        <v>0</v>
      </c>
      <c r="N467" s="79" t="e">
        <f>(J467/M467)</f>
        <v>#DIV/0!</v>
      </c>
      <c r="O467" s="80">
        <f t="shared" si="101"/>
        <v>0</v>
      </c>
      <c r="P467" s="79">
        <f t="shared" si="102"/>
        <v>0.34167262330235881</v>
      </c>
      <c r="Q467" s="81">
        <f t="shared" si="103"/>
        <v>0</v>
      </c>
      <c r="R467" s="92">
        <f t="shared" si="169"/>
        <v>69.95</v>
      </c>
      <c r="S467" s="83" t="e">
        <f t="shared" si="104"/>
        <v>#DIV/0!</v>
      </c>
      <c r="T467" s="135"/>
      <c r="U467" s="135"/>
      <c r="V467" s="135"/>
      <c r="W467" s="135"/>
      <c r="X467" s="136"/>
      <c r="Y467" s="50"/>
      <c r="Z467" s="50"/>
    </row>
    <row r="468" spans="1:26" ht="12.75" hidden="1" outlineLevel="1" x14ac:dyDescent="0.2">
      <c r="A468" s="50"/>
      <c r="B468" s="137"/>
      <c r="C468" s="70" t="s">
        <v>35</v>
      </c>
      <c r="D468" s="90">
        <v>899.25</v>
      </c>
      <c r="E468" s="73">
        <v>15</v>
      </c>
      <c r="F468" s="73">
        <v>12</v>
      </c>
      <c r="G468" s="74">
        <f t="shared" si="98"/>
        <v>1.25</v>
      </c>
      <c r="H468" s="75">
        <f t="shared" si="99"/>
        <v>59.95</v>
      </c>
      <c r="I468" s="76">
        <f t="shared" si="100"/>
        <v>47.96</v>
      </c>
      <c r="J468" s="90">
        <v>278.45</v>
      </c>
      <c r="K468" s="73">
        <v>22772</v>
      </c>
      <c r="L468" s="73">
        <v>3</v>
      </c>
      <c r="M468" s="91">
        <v>179.85</v>
      </c>
      <c r="N468" s="79">
        <f t="shared" ref="N468:N483" si="170">J468/M468</f>
        <v>1.5482346399777591</v>
      </c>
      <c r="O468" s="80">
        <f t="shared" si="101"/>
        <v>0.64589692943077748</v>
      </c>
      <c r="P468" s="79">
        <f t="shared" si="102"/>
        <v>0.30964692799555182</v>
      </c>
      <c r="Q468" s="81">
        <f t="shared" si="103"/>
        <v>0.19999999999999998</v>
      </c>
      <c r="R468" s="92">
        <f t="shared" si="169"/>
        <v>719.4</v>
      </c>
      <c r="S468" s="83">
        <f t="shared" si="104"/>
        <v>92.816666666666663</v>
      </c>
      <c r="T468" s="135"/>
      <c r="U468" s="135"/>
      <c r="V468" s="135"/>
      <c r="W468" s="135"/>
      <c r="X468" s="136"/>
      <c r="Y468" s="50"/>
      <c r="Z468" s="50"/>
    </row>
    <row r="469" spans="1:26" ht="12.75" hidden="1" outlineLevel="1" x14ac:dyDescent="0.2">
      <c r="A469" s="50"/>
      <c r="B469" s="137"/>
      <c r="C469" s="70" t="s">
        <v>36</v>
      </c>
      <c r="D469" s="90">
        <v>59.95</v>
      </c>
      <c r="E469" s="73">
        <v>1</v>
      </c>
      <c r="F469" s="73">
        <v>1</v>
      </c>
      <c r="G469" s="74">
        <f t="shared" si="98"/>
        <v>1</v>
      </c>
      <c r="H469" s="75">
        <f t="shared" si="99"/>
        <v>59.95</v>
      </c>
      <c r="I469" s="76">
        <f t="shared" si="100"/>
        <v>59.95</v>
      </c>
      <c r="J469" s="90">
        <v>120.39</v>
      </c>
      <c r="K469" s="73">
        <v>19826</v>
      </c>
      <c r="L469" s="73">
        <v>3</v>
      </c>
      <c r="M469" s="91">
        <v>119.9</v>
      </c>
      <c r="N469" s="79">
        <f t="shared" si="170"/>
        <v>1.0040867389491241</v>
      </c>
      <c r="O469" s="80">
        <f t="shared" si="101"/>
        <v>0.99592989450951075</v>
      </c>
      <c r="P469" s="79">
        <f t="shared" si="102"/>
        <v>2.0081734778982483</v>
      </c>
      <c r="Q469" s="81">
        <f t="shared" si="103"/>
        <v>2</v>
      </c>
      <c r="R469" s="92">
        <f t="shared" si="169"/>
        <v>-59.95</v>
      </c>
      <c r="S469" s="83">
        <f t="shared" si="104"/>
        <v>40.130000000000003</v>
      </c>
      <c r="T469" s="135"/>
      <c r="U469" s="135"/>
      <c r="V469" s="135"/>
      <c r="W469" s="135"/>
      <c r="X469" s="136"/>
      <c r="Y469" s="50"/>
      <c r="Z469" s="50"/>
    </row>
    <row r="470" spans="1:26" ht="12.75" hidden="1" outlineLevel="1" x14ac:dyDescent="0.2">
      <c r="A470" s="50"/>
      <c r="B470" s="69" t="s">
        <v>37</v>
      </c>
      <c r="C470" s="70" t="s">
        <v>38</v>
      </c>
      <c r="D470" s="93">
        <v>64.900000000000006</v>
      </c>
      <c r="E470" s="73">
        <v>2</v>
      </c>
      <c r="F470" s="73">
        <v>2</v>
      </c>
      <c r="G470" s="74">
        <f t="shared" si="98"/>
        <v>1</v>
      </c>
      <c r="H470" s="75">
        <f t="shared" si="99"/>
        <v>32.450000000000003</v>
      </c>
      <c r="I470" s="76">
        <f t="shared" si="100"/>
        <v>32.450000000000003</v>
      </c>
      <c r="J470" s="93">
        <v>53.57</v>
      </c>
      <c r="K470" s="73">
        <v>15457</v>
      </c>
      <c r="L470" s="73">
        <v>1</v>
      </c>
      <c r="M470" s="94">
        <v>29.95</v>
      </c>
      <c r="N470" s="79">
        <f t="shared" si="170"/>
        <v>1.7886477462437396</v>
      </c>
      <c r="O470" s="80">
        <f t="shared" si="101"/>
        <v>0.55908157550868021</v>
      </c>
      <c r="P470" s="79">
        <f t="shared" si="102"/>
        <v>0.8254237288135593</v>
      </c>
      <c r="Q470" s="81">
        <f t="shared" si="103"/>
        <v>0.46147919876733429</v>
      </c>
      <c r="R470" s="95">
        <f t="shared" si="169"/>
        <v>34.950000000000003</v>
      </c>
      <c r="S470" s="83">
        <f t="shared" si="104"/>
        <v>53.57</v>
      </c>
      <c r="T470" s="135"/>
      <c r="U470" s="135"/>
      <c r="V470" s="135"/>
      <c r="W470" s="135"/>
      <c r="X470" s="136"/>
      <c r="Y470" s="50"/>
      <c r="Z470" s="50"/>
    </row>
    <row r="471" spans="1:26" ht="12.75" hidden="1" outlineLevel="1" x14ac:dyDescent="0.2">
      <c r="A471" s="50"/>
      <c r="B471" s="137"/>
      <c r="C471" s="70" t="s">
        <v>39</v>
      </c>
      <c r="D471" s="96">
        <v>24.95</v>
      </c>
      <c r="E471" s="73">
        <v>1</v>
      </c>
      <c r="F471" s="73">
        <v>1</v>
      </c>
      <c r="G471" s="74">
        <f t="shared" si="98"/>
        <v>1</v>
      </c>
      <c r="H471" s="75">
        <f t="shared" si="99"/>
        <v>24.95</v>
      </c>
      <c r="I471" s="76">
        <f t="shared" si="100"/>
        <v>24.95</v>
      </c>
      <c r="J471" s="96">
        <v>0</v>
      </c>
      <c r="K471" s="73">
        <v>0</v>
      </c>
      <c r="L471" s="73">
        <v>0</v>
      </c>
      <c r="M471" s="97">
        <v>0</v>
      </c>
      <c r="N471" s="79" t="e">
        <f t="shared" si="170"/>
        <v>#DIV/0!</v>
      </c>
      <c r="O471" s="80" t="e">
        <f t="shared" si="101"/>
        <v>#DIV/0!</v>
      </c>
      <c r="P471" s="79">
        <f t="shared" si="102"/>
        <v>0</v>
      </c>
      <c r="Q471" s="81">
        <f t="shared" si="103"/>
        <v>0</v>
      </c>
      <c r="R471" s="98">
        <f t="shared" si="169"/>
        <v>24.95</v>
      </c>
      <c r="S471" s="83" t="e">
        <f t="shared" si="104"/>
        <v>#DIV/0!</v>
      </c>
      <c r="T471" s="135"/>
      <c r="U471" s="135"/>
      <c r="V471" s="135"/>
      <c r="W471" s="135"/>
      <c r="X471" s="136"/>
      <c r="Y471" s="50"/>
      <c r="Z471" s="50"/>
    </row>
    <row r="472" spans="1:26" ht="12.75" hidden="1" outlineLevel="1" x14ac:dyDescent="0.2">
      <c r="A472" s="50"/>
      <c r="B472" s="137"/>
      <c r="C472" s="70" t="s">
        <v>40</v>
      </c>
      <c r="D472" s="99">
        <v>219.8</v>
      </c>
      <c r="E472" s="73">
        <v>4</v>
      </c>
      <c r="F472" s="73">
        <v>3</v>
      </c>
      <c r="G472" s="74">
        <f t="shared" si="98"/>
        <v>1.3333333333333333</v>
      </c>
      <c r="H472" s="75">
        <f t="shared" si="99"/>
        <v>54.95</v>
      </c>
      <c r="I472" s="76">
        <f t="shared" si="100"/>
        <v>41.212500000000006</v>
      </c>
      <c r="J472" s="99">
        <v>0</v>
      </c>
      <c r="K472" s="73">
        <v>0</v>
      </c>
      <c r="L472" s="73">
        <v>0</v>
      </c>
      <c r="M472" s="100">
        <v>0</v>
      </c>
      <c r="N472" s="79" t="e">
        <f t="shared" si="170"/>
        <v>#DIV/0!</v>
      </c>
      <c r="O472" s="80" t="e">
        <f t="shared" si="101"/>
        <v>#DIV/0!</v>
      </c>
      <c r="P472" s="79">
        <f t="shared" si="102"/>
        <v>0</v>
      </c>
      <c r="Q472" s="81">
        <f t="shared" si="103"/>
        <v>0</v>
      </c>
      <c r="R472" s="101">
        <f t="shared" si="169"/>
        <v>219.8</v>
      </c>
      <c r="S472" s="83" t="e">
        <f t="shared" si="104"/>
        <v>#DIV/0!</v>
      </c>
      <c r="T472" s="135"/>
      <c r="U472" s="135"/>
      <c r="V472" s="135"/>
      <c r="W472" s="135"/>
      <c r="X472" s="136"/>
      <c r="Y472" s="50"/>
      <c r="Z472" s="50"/>
    </row>
    <row r="473" spans="1:26" ht="12.75" hidden="1" outlineLevel="1" x14ac:dyDescent="0.2">
      <c r="A473" s="50"/>
      <c r="B473" s="137"/>
      <c r="C473" s="70" t="s">
        <v>41</v>
      </c>
      <c r="D473" s="102">
        <v>1340.03</v>
      </c>
      <c r="E473" s="73">
        <v>11</v>
      </c>
      <c r="F473" s="73">
        <v>11</v>
      </c>
      <c r="G473" s="74">
        <f t="shared" si="98"/>
        <v>1</v>
      </c>
      <c r="H473" s="75">
        <f t="shared" si="99"/>
        <v>121.82090909090908</v>
      </c>
      <c r="I473" s="76">
        <f t="shared" si="100"/>
        <v>121.82090909090908</v>
      </c>
      <c r="J473" s="102">
        <v>365.85</v>
      </c>
      <c r="K473" s="73">
        <v>33599</v>
      </c>
      <c r="L473" s="73">
        <v>3</v>
      </c>
      <c r="M473" s="103">
        <v>378.68</v>
      </c>
      <c r="N473" s="79">
        <f t="shared" si="170"/>
        <v>0.96611915073412913</v>
      </c>
      <c r="O473" s="80">
        <f t="shared" si="101"/>
        <v>1.0350690173568402</v>
      </c>
      <c r="P473" s="79">
        <f t="shared" si="102"/>
        <v>0.27301627575502041</v>
      </c>
      <c r="Q473" s="81">
        <f t="shared" si="103"/>
        <v>0.28259068826817313</v>
      </c>
      <c r="R473" s="104">
        <f t="shared" si="169"/>
        <v>961.34999999999991</v>
      </c>
      <c r="S473" s="83">
        <f t="shared" si="104"/>
        <v>121.95</v>
      </c>
      <c r="T473" s="135"/>
      <c r="U473" s="135"/>
      <c r="V473" s="135"/>
      <c r="W473" s="135"/>
      <c r="X473" s="136"/>
      <c r="Y473" s="50"/>
      <c r="Z473" s="50"/>
    </row>
    <row r="474" spans="1:26" ht="12.75" hidden="1" outlineLevel="1" x14ac:dyDescent="0.2">
      <c r="A474" s="50"/>
      <c r="B474" s="137"/>
      <c r="C474" s="70" t="s">
        <v>42</v>
      </c>
      <c r="D474" s="90">
        <v>-19.989999999999998</v>
      </c>
      <c r="E474" s="73">
        <v>-1</v>
      </c>
      <c r="F474" s="73">
        <v>0</v>
      </c>
      <c r="G474" s="74" t="e">
        <f t="shared" si="98"/>
        <v>#DIV/0!</v>
      </c>
      <c r="H474" s="75">
        <f t="shared" si="99"/>
        <v>19.989999999999998</v>
      </c>
      <c r="I474" s="76" t="e">
        <f t="shared" si="100"/>
        <v>#DIV/0!</v>
      </c>
      <c r="J474" s="90">
        <v>0</v>
      </c>
      <c r="K474" s="73">
        <v>0</v>
      </c>
      <c r="L474" s="73">
        <v>0</v>
      </c>
      <c r="M474" s="91">
        <v>0</v>
      </c>
      <c r="N474" s="79" t="e">
        <f t="shared" si="170"/>
        <v>#DIV/0!</v>
      </c>
      <c r="O474" s="80" t="e">
        <f t="shared" si="101"/>
        <v>#DIV/0!</v>
      </c>
      <c r="P474" s="79">
        <f t="shared" si="102"/>
        <v>0</v>
      </c>
      <c r="Q474" s="81">
        <f t="shared" si="103"/>
        <v>0</v>
      </c>
      <c r="R474" s="92">
        <f t="shared" si="169"/>
        <v>-19.989999999999998</v>
      </c>
      <c r="S474" s="83" t="e">
        <f t="shared" si="104"/>
        <v>#DIV/0!</v>
      </c>
      <c r="T474" s="135"/>
      <c r="U474" s="135"/>
      <c r="V474" s="135"/>
      <c r="W474" s="135"/>
      <c r="X474" s="136"/>
      <c r="Y474" s="50"/>
      <c r="Z474" s="50"/>
    </row>
    <row r="475" spans="1:26" ht="12.75" hidden="1" outlineLevel="1" x14ac:dyDescent="0.2">
      <c r="A475" s="50"/>
      <c r="B475" s="137"/>
      <c r="C475" s="70" t="s">
        <v>43</v>
      </c>
      <c r="D475" s="105">
        <v>0</v>
      </c>
      <c r="E475" s="73">
        <v>0</v>
      </c>
      <c r="F475" s="73">
        <v>0</v>
      </c>
      <c r="G475" s="74" t="e">
        <f t="shared" si="98"/>
        <v>#DIV/0!</v>
      </c>
      <c r="H475" s="75" t="e">
        <f t="shared" si="99"/>
        <v>#DIV/0!</v>
      </c>
      <c r="I475" s="76" t="e">
        <f t="shared" si="100"/>
        <v>#DIV/0!</v>
      </c>
      <c r="J475" s="105">
        <v>46.47</v>
      </c>
      <c r="K475" s="73">
        <v>14231</v>
      </c>
      <c r="L475" s="73">
        <v>0</v>
      </c>
      <c r="M475" s="106">
        <v>0</v>
      </c>
      <c r="N475" s="79" t="e">
        <f t="shared" si="170"/>
        <v>#DIV/0!</v>
      </c>
      <c r="O475" s="80">
        <f t="shared" si="101"/>
        <v>0</v>
      </c>
      <c r="P475" s="79" t="e">
        <f t="shared" si="102"/>
        <v>#DIV/0!</v>
      </c>
      <c r="Q475" s="81" t="e">
        <f t="shared" si="103"/>
        <v>#DIV/0!</v>
      </c>
      <c r="R475" s="107">
        <f t="shared" si="169"/>
        <v>0</v>
      </c>
      <c r="S475" s="83" t="e">
        <f t="shared" si="104"/>
        <v>#DIV/0!</v>
      </c>
      <c r="T475" s="135"/>
      <c r="U475" s="135"/>
      <c r="V475" s="135"/>
      <c r="W475" s="135"/>
      <c r="X475" s="136"/>
      <c r="Y475" s="50"/>
      <c r="Z475" s="50"/>
    </row>
    <row r="476" spans="1:26" ht="12.75" hidden="1" outlineLevel="1" x14ac:dyDescent="0.2">
      <c r="A476" s="50"/>
      <c r="B476" s="137"/>
      <c r="C476" s="70" t="s">
        <v>44</v>
      </c>
      <c r="D476" s="108">
        <v>134.85</v>
      </c>
      <c r="E476" s="73">
        <v>3</v>
      </c>
      <c r="F476" s="73">
        <v>5</v>
      </c>
      <c r="G476" s="74">
        <f t="shared" si="98"/>
        <v>0.6</v>
      </c>
      <c r="H476" s="75">
        <f t="shared" si="99"/>
        <v>44.949999999999996</v>
      </c>
      <c r="I476" s="76">
        <f t="shared" si="100"/>
        <v>74.916666666666657</v>
      </c>
      <c r="J476" s="108">
        <v>151.04</v>
      </c>
      <c r="K476" s="73">
        <v>64325</v>
      </c>
      <c r="L476" s="73">
        <v>2</v>
      </c>
      <c r="M476" s="109">
        <v>89.9</v>
      </c>
      <c r="N476" s="79">
        <f t="shared" si="170"/>
        <v>1.6800889877641823</v>
      </c>
      <c r="O476" s="80">
        <f t="shared" si="101"/>
        <v>0.59520656779661019</v>
      </c>
      <c r="P476" s="79">
        <f t="shared" si="102"/>
        <v>1.1200593251761215</v>
      </c>
      <c r="Q476" s="81">
        <f t="shared" si="103"/>
        <v>0.66666666666666674</v>
      </c>
      <c r="R476" s="110">
        <f t="shared" si="169"/>
        <v>44.949999999999989</v>
      </c>
      <c r="S476" s="83">
        <f t="shared" si="104"/>
        <v>75.52</v>
      </c>
      <c r="T476" s="135"/>
      <c r="U476" s="135"/>
      <c r="V476" s="135"/>
      <c r="W476" s="135"/>
      <c r="X476" s="136"/>
      <c r="Y476" s="50"/>
      <c r="Z476" s="50"/>
    </row>
    <row r="477" spans="1:26" ht="12.75" hidden="1" outlineLevel="1" x14ac:dyDescent="0.2">
      <c r="A477" s="139"/>
      <c r="B477" s="137"/>
      <c r="C477" s="112" t="s">
        <v>45</v>
      </c>
      <c r="D477" s="71">
        <v>0</v>
      </c>
      <c r="E477" s="73">
        <v>0</v>
      </c>
      <c r="F477" s="73">
        <v>0</v>
      </c>
      <c r="G477" s="74" t="e">
        <f t="shared" si="98"/>
        <v>#DIV/0!</v>
      </c>
      <c r="H477" s="75" t="e">
        <f t="shared" si="99"/>
        <v>#DIV/0!</v>
      </c>
      <c r="I477" s="76" t="e">
        <f t="shared" si="100"/>
        <v>#DIV/0!</v>
      </c>
      <c r="J477" s="71">
        <v>0</v>
      </c>
      <c r="K477" s="73">
        <v>0</v>
      </c>
      <c r="L477" s="73">
        <v>0</v>
      </c>
      <c r="M477" s="78">
        <v>0</v>
      </c>
      <c r="N477" s="79" t="e">
        <f t="shared" si="170"/>
        <v>#DIV/0!</v>
      </c>
      <c r="O477" s="80" t="e">
        <f t="shared" si="101"/>
        <v>#DIV/0!</v>
      </c>
      <c r="P477" s="79" t="e">
        <f t="shared" si="102"/>
        <v>#DIV/0!</v>
      </c>
      <c r="Q477" s="81" t="e">
        <f t="shared" si="103"/>
        <v>#DIV/0!</v>
      </c>
      <c r="R477" s="82">
        <f t="shared" si="169"/>
        <v>0</v>
      </c>
      <c r="S477" s="83" t="e">
        <f t="shared" si="104"/>
        <v>#DIV/0!</v>
      </c>
      <c r="T477" s="140"/>
      <c r="U477" s="140"/>
      <c r="V477" s="140"/>
      <c r="W477" s="141"/>
      <c r="X477" s="142"/>
      <c r="Y477" s="50"/>
      <c r="Z477" s="50"/>
    </row>
    <row r="478" spans="1:26" ht="12.75" hidden="1" outlineLevel="1" x14ac:dyDescent="0.2">
      <c r="A478" s="50"/>
      <c r="B478" s="137"/>
      <c r="C478" s="70" t="s">
        <v>46</v>
      </c>
      <c r="D478" s="116">
        <v>179.8</v>
      </c>
      <c r="E478" s="73">
        <v>4</v>
      </c>
      <c r="F478" s="73">
        <v>4</v>
      </c>
      <c r="G478" s="74">
        <f t="shared" si="98"/>
        <v>1</v>
      </c>
      <c r="H478" s="75">
        <f t="shared" si="99"/>
        <v>44.95</v>
      </c>
      <c r="I478" s="76">
        <f t="shared" si="100"/>
        <v>44.95</v>
      </c>
      <c r="J478" s="116">
        <v>92.52</v>
      </c>
      <c r="K478" s="73">
        <v>27385</v>
      </c>
      <c r="L478" s="73">
        <v>3</v>
      </c>
      <c r="M478" s="117">
        <v>134.85</v>
      </c>
      <c r="N478" s="79">
        <f t="shared" si="170"/>
        <v>0.68609566184649606</v>
      </c>
      <c r="O478" s="80">
        <f t="shared" si="101"/>
        <v>1.4575226977950713</v>
      </c>
      <c r="P478" s="79">
        <f t="shared" si="102"/>
        <v>0.51457174638487202</v>
      </c>
      <c r="Q478" s="81">
        <f t="shared" si="103"/>
        <v>0.74999999999999989</v>
      </c>
      <c r="R478" s="82">
        <f t="shared" si="169"/>
        <v>44.950000000000017</v>
      </c>
      <c r="S478" s="83">
        <f t="shared" si="104"/>
        <v>30.84</v>
      </c>
      <c r="T478" s="135"/>
      <c r="U478" s="135"/>
      <c r="V478" s="135"/>
      <c r="W478" s="135"/>
      <c r="X478" s="136"/>
      <c r="Y478" s="50"/>
      <c r="Z478" s="50"/>
    </row>
    <row r="479" spans="1:26" ht="12.75" hidden="1" outlineLevel="1" x14ac:dyDescent="0.2">
      <c r="A479" s="50"/>
      <c r="B479" s="137"/>
      <c r="C479" s="70" t="s">
        <v>49</v>
      </c>
      <c r="D479" s="116">
        <v>0</v>
      </c>
      <c r="E479" s="73">
        <v>0</v>
      </c>
      <c r="F479" s="73">
        <v>0</v>
      </c>
      <c r="G479" s="74" t="e">
        <f t="shared" si="98"/>
        <v>#DIV/0!</v>
      </c>
      <c r="H479" s="75" t="e">
        <f t="shared" si="99"/>
        <v>#DIV/0!</v>
      </c>
      <c r="I479" s="76" t="e">
        <f t="shared" si="100"/>
        <v>#DIV/0!</v>
      </c>
      <c r="J479" s="116">
        <v>24.33</v>
      </c>
      <c r="K479" s="73">
        <v>17119</v>
      </c>
      <c r="L479" s="73">
        <v>0</v>
      </c>
      <c r="M479" s="117">
        <v>0</v>
      </c>
      <c r="N479" s="79" t="e">
        <f t="shared" si="170"/>
        <v>#DIV/0!</v>
      </c>
      <c r="O479" s="80">
        <f t="shared" si="101"/>
        <v>0</v>
      </c>
      <c r="P479" s="79" t="e">
        <f t="shared" si="102"/>
        <v>#DIV/0!</v>
      </c>
      <c r="Q479" s="81" t="e">
        <f t="shared" si="103"/>
        <v>#DIV/0!</v>
      </c>
      <c r="R479" s="82">
        <f t="shared" si="169"/>
        <v>0</v>
      </c>
      <c r="S479" s="83" t="e">
        <f t="shared" si="104"/>
        <v>#DIV/0!</v>
      </c>
      <c r="T479" s="135"/>
      <c r="U479" s="135"/>
      <c r="V479" s="135"/>
      <c r="W479" s="135"/>
      <c r="X479" s="136"/>
      <c r="Y479" s="50"/>
      <c r="Z479" s="50"/>
    </row>
    <row r="480" spans="1:26" hidden="1" outlineLevel="1" x14ac:dyDescent="0.25">
      <c r="A480" s="118" t="str">
        <f t="shared" ref="A480:A481" si="171">IFERROR(IF(B480&gt;0,MONTH(B480)&amp;"-"&amp;YEAR(B480),B480),)</f>
        <v>8-2025</v>
      </c>
      <c r="B480" s="69">
        <v>45885</v>
      </c>
      <c r="C480" s="198" t="s">
        <v>64</v>
      </c>
      <c r="D480" s="116">
        <v>0</v>
      </c>
      <c r="E480" s="73">
        <v>0</v>
      </c>
      <c r="F480" s="73">
        <v>0</v>
      </c>
      <c r="G480" s="74" t="e">
        <f t="shared" si="98"/>
        <v>#DIV/0!</v>
      </c>
      <c r="H480" s="75" t="e">
        <f t="shared" si="99"/>
        <v>#DIV/0!</v>
      </c>
      <c r="I480" s="76" t="e">
        <f t="shared" si="100"/>
        <v>#DIV/0!</v>
      </c>
      <c r="J480" s="87">
        <v>1108.2399999999998</v>
      </c>
      <c r="K480" s="199">
        <v>211514</v>
      </c>
      <c r="L480" s="73">
        <v>0</v>
      </c>
      <c r="M480" s="88">
        <v>2676.62</v>
      </c>
      <c r="N480" s="79">
        <f t="shared" si="170"/>
        <v>0.41404457861033683</v>
      </c>
      <c r="O480" s="80">
        <f t="shared" si="101"/>
        <v>2.4151988738901324</v>
      </c>
      <c r="P480" s="79" t="e">
        <f t="shared" si="102"/>
        <v>#DIV/0!</v>
      </c>
      <c r="Q480" s="81" t="e">
        <f t="shared" si="103"/>
        <v>#DIV/0!</v>
      </c>
      <c r="R480" s="82">
        <f t="shared" si="169"/>
        <v>-2676.62</v>
      </c>
      <c r="S480" s="83" t="e">
        <f t="shared" si="104"/>
        <v>#DIV/0!</v>
      </c>
      <c r="T480" s="135"/>
      <c r="U480" s="135"/>
      <c r="V480" s="135"/>
      <c r="W480" s="135"/>
      <c r="X480" s="136"/>
      <c r="Y480" s="50"/>
      <c r="Z480" s="50"/>
    </row>
    <row r="481" spans="1:26" ht="12.75" collapsed="1" x14ac:dyDescent="0.2">
      <c r="A481" s="50">
        <f t="shared" si="171"/>
        <v>0</v>
      </c>
      <c r="B481" s="52" t="s">
        <v>91</v>
      </c>
      <c r="C481" s="145"/>
      <c r="D481" s="121">
        <f t="shared" ref="D481:F481" si="172">SUM(D465:D480)</f>
        <v>11406.62</v>
      </c>
      <c r="E481" s="123">
        <f t="shared" si="172"/>
        <v>126</v>
      </c>
      <c r="F481" s="123">
        <f t="shared" si="172"/>
        <v>114</v>
      </c>
      <c r="G481" s="124">
        <f t="shared" si="98"/>
        <v>1.1052631578947369</v>
      </c>
      <c r="H481" s="125">
        <f t="shared" si="99"/>
        <v>90.52873015873017</v>
      </c>
      <c r="I481" s="126">
        <f t="shared" si="100"/>
        <v>81.906946334089199</v>
      </c>
      <c r="J481" s="121">
        <f t="shared" ref="J481:M481" si="173">SUM(J465:J480)</f>
        <v>4237.5899999999992</v>
      </c>
      <c r="K481" s="123">
        <f t="shared" si="173"/>
        <v>793115</v>
      </c>
      <c r="L481" s="123">
        <f t="shared" si="173"/>
        <v>25</v>
      </c>
      <c r="M481" s="127">
        <f t="shared" si="173"/>
        <v>7533.7</v>
      </c>
      <c r="N481" s="128">
        <f t="shared" si="170"/>
        <v>0.56248456933512081</v>
      </c>
      <c r="O481" s="129">
        <f t="shared" si="101"/>
        <v>1.7778265476367467</v>
      </c>
      <c r="P481" s="128">
        <f t="shared" si="102"/>
        <v>0.37150268878949233</v>
      </c>
      <c r="Q481" s="130">
        <f t="shared" si="103"/>
        <v>0.6604673426483918</v>
      </c>
      <c r="R481" s="131">
        <f>SUM(R465:R480)</f>
        <v>3872.9199999999992</v>
      </c>
      <c r="S481" s="132">
        <f t="shared" si="104"/>
        <v>169.50359999999998</v>
      </c>
      <c r="T481" s="133">
        <f t="shared" ref="T481:U481" si="174">IFERROR((D481-D69)/D481,)</f>
        <v>0.33535788866465288</v>
      </c>
      <c r="U481" s="133">
        <f t="shared" si="174"/>
        <v>0.25396825396825395</v>
      </c>
      <c r="V481" s="271" t="s">
        <v>139</v>
      </c>
      <c r="W481" s="271" t="s">
        <v>139</v>
      </c>
      <c r="X481" s="50"/>
      <c r="Y481" s="50"/>
      <c r="Z481" s="50"/>
    </row>
    <row r="482" spans="1:26" ht="12.75" hidden="1" outlineLevel="1" x14ac:dyDescent="0.2">
      <c r="A482" s="50"/>
      <c r="B482" s="69">
        <v>45886</v>
      </c>
      <c r="C482" s="70" t="s">
        <v>32</v>
      </c>
      <c r="D482" s="71">
        <v>5642.85</v>
      </c>
      <c r="E482" s="73">
        <v>18</v>
      </c>
      <c r="F482" s="73">
        <v>16</v>
      </c>
      <c r="G482" s="74">
        <f t="shared" si="98"/>
        <v>1.125</v>
      </c>
      <c r="H482" s="75">
        <f t="shared" si="99"/>
        <v>313.49166666666667</v>
      </c>
      <c r="I482" s="76">
        <f t="shared" si="100"/>
        <v>278.65925925925927</v>
      </c>
      <c r="J482" s="77">
        <v>1621.84</v>
      </c>
      <c r="K482" s="73">
        <v>221353</v>
      </c>
      <c r="L482" s="73">
        <v>8</v>
      </c>
      <c r="M482" s="78">
        <v>1816.35</v>
      </c>
      <c r="N482" s="79">
        <f t="shared" si="170"/>
        <v>0.89291160844550888</v>
      </c>
      <c r="O482" s="80">
        <f t="shared" si="101"/>
        <v>1.1199316825334189</v>
      </c>
      <c r="P482" s="79">
        <f t="shared" si="102"/>
        <v>0.28741504736081941</v>
      </c>
      <c r="Q482" s="81">
        <f t="shared" si="103"/>
        <v>0.32188521757622474</v>
      </c>
      <c r="R482" s="82">
        <f t="shared" ref="R482:R497" si="175">D482-M482</f>
        <v>3826.5000000000005</v>
      </c>
      <c r="S482" s="83">
        <f t="shared" si="104"/>
        <v>202.73</v>
      </c>
      <c r="T482" s="135"/>
      <c r="U482" s="135"/>
      <c r="V482" s="135"/>
      <c r="W482" s="135"/>
      <c r="X482" s="136"/>
      <c r="Y482" s="50"/>
      <c r="Z482" s="50"/>
    </row>
    <row r="483" spans="1:26" ht="12.75" hidden="1" outlineLevel="1" x14ac:dyDescent="0.2">
      <c r="A483" s="50"/>
      <c r="B483" s="137"/>
      <c r="C483" s="70" t="s">
        <v>33</v>
      </c>
      <c r="D483" s="87">
        <v>6158.86</v>
      </c>
      <c r="E483" s="73">
        <v>80</v>
      </c>
      <c r="F483" s="73">
        <v>72</v>
      </c>
      <c r="G483" s="74">
        <f t="shared" si="98"/>
        <v>1.1111111111111112</v>
      </c>
      <c r="H483" s="75">
        <f t="shared" si="99"/>
        <v>76.985749999999996</v>
      </c>
      <c r="I483" s="76">
        <f t="shared" si="100"/>
        <v>69.287174999999991</v>
      </c>
      <c r="J483" s="87">
        <v>539.69000000000005</v>
      </c>
      <c r="K483" s="73">
        <v>149671</v>
      </c>
      <c r="L483" s="73">
        <v>9</v>
      </c>
      <c r="M483" s="88">
        <v>788.95</v>
      </c>
      <c r="N483" s="79">
        <f t="shared" si="170"/>
        <v>0.68406109385892644</v>
      </c>
      <c r="O483" s="80">
        <f t="shared" si="101"/>
        <v>1.4618577331431006</v>
      </c>
      <c r="P483" s="79">
        <f t="shared" si="102"/>
        <v>8.7628229899689242E-2</v>
      </c>
      <c r="Q483" s="81">
        <f t="shared" si="103"/>
        <v>0.12810000552050219</v>
      </c>
      <c r="R483" s="89">
        <f t="shared" si="175"/>
        <v>5369.91</v>
      </c>
      <c r="S483" s="83">
        <f t="shared" si="104"/>
        <v>59.965555555555561</v>
      </c>
      <c r="T483" s="135"/>
      <c r="U483" s="135"/>
      <c r="V483" s="135"/>
      <c r="W483" s="135"/>
      <c r="X483" s="136"/>
      <c r="Y483" s="50"/>
      <c r="Z483" s="50"/>
    </row>
    <row r="484" spans="1:26" ht="12.75" hidden="1" outlineLevel="1" x14ac:dyDescent="0.2">
      <c r="A484" s="50"/>
      <c r="B484" s="137"/>
      <c r="C484" s="70" t="s">
        <v>34</v>
      </c>
      <c r="D484" s="90">
        <v>69.95</v>
      </c>
      <c r="E484" s="73">
        <v>1</v>
      </c>
      <c r="F484" s="73">
        <v>2</v>
      </c>
      <c r="G484" s="74">
        <f t="shared" si="98"/>
        <v>0.5</v>
      </c>
      <c r="H484" s="75">
        <f t="shared" si="99"/>
        <v>69.95</v>
      </c>
      <c r="I484" s="76">
        <f t="shared" si="100"/>
        <v>139.9</v>
      </c>
      <c r="J484" s="90">
        <v>0</v>
      </c>
      <c r="K484" s="73">
        <v>214</v>
      </c>
      <c r="L484" s="73">
        <v>0</v>
      </c>
      <c r="M484" s="91">
        <v>0</v>
      </c>
      <c r="N484" s="79" t="e">
        <f>(J484/M484)</f>
        <v>#DIV/0!</v>
      </c>
      <c r="O484" s="80" t="e">
        <f t="shared" si="101"/>
        <v>#DIV/0!</v>
      </c>
      <c r="P484" s="79">
        <f t="shared" si="102"/>
        <v>0</v>
      </c>
      <c r="Q484" s="81">
        <f t="shared" si="103"/>
        <v>0</v>
      </c>
      <c r="R484" s="92">
        <f t="shared" si="175"/>
        <v>69.95</v>
      </c>
      <c r="S484" s="83" t="e">
        <f t="shared" si="104"/>
        <v>#DIV/0!</v>
      </c>
      <c r="T484" s="135"/>
      <c r="U484" s="135"/>
      <c r="V484" s="135"/>
      <c r="W484" s="135"/>
      <c r="X484" s="136"/>
      <c r="Y484" s="50"/>
      <c r="Z484" s="50"/>
    </row>
    <row r="485" spans="1:26" ht="12.75" hidden="1" outlineLevel="1" x14ac:dyDescent="0.2">
      <c r="A485" s="50"/>
      <c r="B485" s="137"/>
      <c r="C485" s="70" t="s">
        <v>35</v>
      </c>
      <c r="D485" s="90">
        <v>611.5</v>
      </c>
      <c r="E485" s="73">
        <v>10</v>
      </c>
      <c r="F485" s="73">
        <v>8</v>
      </c>
      <c r="G485" s="74">
        <f t="shared" si="98"/>
        <v>1.25</v>
      </c>
      <c r="H485" s="75">
        <f t="shared" si="99"/>
        <v>61.15</v>
      </c>
      <c r="I485" s="76">
        <f t="shared" si="100"/>
        <v>48.92</v>
      </c>
      <c r="J485" s="90">
        <v>256.79000000000002</v>
      </c>
      <c r="K485" s="73">
        <v>21116</v>
      </c>
      <c r="L485" s="73">
        <v>3</v>
      </c>
      <c r="M485" s="91">
        <v>179.85</v>
      </c>
      <c r="N485" s="79">
        <f t="shared" ref="N485:N500" si="176">J485/M485</f>
        <v>1.4278009452321381</v>
      </c>
      <c r="O485" s="80">
        <f t="shared" si="101"/>
        <v>0.70037774056622137</v>
      </c>
      <c r="P485" s="79">
        <f t="shared" si="102"/>
        <v>0.4199345870809485</v>
      </c>
      <c r="Q485" s="81">
        <f t="shared" si="103"/>
        <v>0.29411283728536386</v>
      </c>
      <c r="R485" s="92">
        <f t="shared" si="175"/>
        <v>431.65</v>
      </c>
      <c r="S485" s="83">
        <f t="shared" si="104"/>
        <v>85.596666666666678</v>
      </c>
      <c r="T485" s="135"/>
      <c r="U485" s="135"/>
      <c r="V485" s="135"/>
      <c r="W485" s="135"/>
      <c r="X485" s="136"/>
      <c r="Y485" s="50"/>
      <c r="Z485" s="50"/>
    </row>
    <row r="486" spans="1:26" ht="12.75" hidden="1" outlineLevel="1" x14ac:dyDescent="0.2">
      <c r="A486" s="50"/>
      <c r="B486" s="137"/>
      <c r="C486" s="70" t="s">
        <v>36</v>
      </c>
      <c r="D486" s="90">
        <v>309.75</v>
      </c>
      <c r="E486" s="73">
        <v>5</v>
      </c>
      <c r="F486" s="73">
        <v>5</v>
      </c>
      <c r="G486" s="74">
        <f t="shared" si="98"/>
        <v>1</v>
      </c>
      <c r="H486" s="75">
        <f t="shared" si="99"/>
        <v>61.95</v>
      </c>
      <c r="I486" s="76">
        <f t="shared" si="100"/>
        <v>61.95</v>
      </c>
      <c r="J486" s="90">
        <v>89.76</v>
      </c>
      <c r="K486" s="73">
        <v>20605</v>
      </c>
      <c r="L486" s="73">
        <v>3</v>
      </c>
      <c r="M486" s="91">
        <v>189.85</v>
      </c>
      <c r="N486" s="79">
        <f t="shared" si="176"/>
        <v>0.4727943112983935</v>
      </c>
      <c r="O486" s="80">
        <f t="shared" si="101"/>
        <v>2.1150846702317287</v>
      </c>
      <c r="P486" s="79">
        <f t="shared" si="102"/>
        <v>0.28978208232445524</v>
      </c>
      <c r="Q486" s="81">
        <f t="shared" si="103"/>
        <v>0.6129136400322841</v>
      </c>
      <c r="R486" s="92">
        <f t="shared" si="175"/>
        <v>119.9</v>
      </c>
      <c r="S486" s="83">
        <f t="shared" si="104"/>
        <v>29.92</v>
      </c>
      <c r="T486" s="135"/>
      <c r="U486" s="135"/>
      <c r="V486" s="135"/>
      <c r="W486" s="135"/>
      <c r="X486" s="136"/>
      <c r="Y486" s="50"/>
      <c r="Z486" s="50"/>
    </row>
    <row r="487" spans="1:26" ht="12.75" hidden="1" outlineLevel="1" x14ac:dyDescent="0.2">
      <c r="A487" s="50"/>
      <c r="B487" s="69" t="s">
        <v>37</v>
      </c>
      <c r="C487" s="70" t="s">
        <v>38</v>
      </c>
      <c r="D487" s="93">
        <v>59.9</v>
      </c>
      <c r="E487" s="73">
        <v>2</v>
      </c>
      <c r="F487" s="73">
        <v>1</v>
      </c>
      <c r="G487" s="74">
        <f t="shared" si="98"/>
        <v>2</v>
      </c>
      <c r="H487" s="75">
        <f t="shared" si="99"/>
        <v>29.95</v>
      </c>
      <c r="I487" s="76">
        <f t="shared" si="100"/>
        <v>14.975</v>
      </c>
      <c r="J487" s="93">
        <v>44.23</v>
      </c>
      <c r="K487" s="73">
        <v>12174</v>
      </c>
      <c r="L487" s="73">
        <v>0</v>
      </c>
      <c r="M487" s="94">
        <v>0</v>
      </c>
      <c r="N487" s="79" t="e">
        <f t="shared" si="176"/>
        <v>#DIV/0!</v>
      </c>
      <c r="O487" s="80">
        <f t="shared" si="101"/>
        <v>0</v>
      </c>
      <c r="P487" s="79">
        <f t="shared" si="102"/>
        <v>0.73839732888146903</v>
      </c>
      <c r="Q487" s="81">
        <f t="shared" si="103"/>
        <v>0</v>
      </c>
      <c r="R487" s="95">
        <f t="shared" si="175"/>
        <v>59.9</v>
      </c>
      <c r="S487" s="83" t="e">
        <f t="shared" si="104"/>
        <v>#DIV/0!</v>
      </c>
      <c r="T487" s="135"/>
      <c r="U487" s="135"/>
      <c r="V487" s="135"/>
      <c r="W487" s="135"/>
      <c r="X487" s="136"/>
      <c r="Y487" s="50"/>
      <c r="Z487" s="50"/>
    </row>
    <row r="488" spans="1:26" ht="12.75" hidden="1" outlineLevel="1" x14ac:dyDescent="0.2">
      <c r="A488" s="50"/>
      <c r="B488" s="137"/>
      <c r="C488" s="70" t="s">
        <v>39</v>
      </c>
      <c r="D488" s="96">
        <v>0</v>
      </c>
      <c r="E488" s="73">
        <v>0</v>
      </c>
      <c r="F488" s="73">
        <v>0</v>
      </c>
      <c r="G488" s="74" t="e">
        <f t="shared" si="98"/>
        <v>#DIV/0!</v>
      </c>
      <c r="H488" s="75" t="e">
        <f t="shared" si="99"/>
        <v>#DIV/0!</v>
      </c>
      <c r="I488" s="76" t="e">
        <f t="shared" si="100"/>
        <v>#DIV/0!</v>
      </c>
      <c r="J488" s="96">
        <v>0</v>
      </c>
      <c r="K488" s="73">
        <v>0</v>
      </c>
      <c r="L488" s="73">
        <v>0</v>
      </c>
      <c r="M488" s="97">
        <v>0</v>
      </c>
      <c r="N488" s="79" t="e">
        <f t="shared" si="176"/>
        <v>#DIV/0!</v>
      </c>
      <c r="O488" s="80" t="e">
        <f t="shared" si="101"/>
        <v>#DIV/0!</v>
      </c>
      <c r="P488" s="79" t="e">
        <f t="shared" si="102"/>
        <v>#DIV/0!</v>
      </c>
      <c r="Q488" s="81" t="e">
        <f t="shared" si="103"/>
        <v>#DIV/0!</v>
      </c>
      <c r="R488" s="98">
        <f t="shared" si="175"/>
        <v>0</v>
      </c>
      <c r="S488" s="83" t="e">
        <f t="shared" si="104"/>
        <v>#DIV/0!</v>
      </c>
      <c r="T488" s="135"/>
      <c r="U488" s="135"/>
      <c r="V488" s="135"/>
      <c r="W488" s="135"/>
      <c r="X488" s="136"/>
      <c r="Y488" s="50"/>
      <c r="Z488" s="50"/>
    </row>
    <row r="489" spans="1:26" ht="12.75" hidden="1" outlineLevel="1" x14ac:dyDescent="0.2">
      <c r="A489" s="50"/>
      <c r="B489" s="137"/>
      <c r="C489" s="70" t="s">
        <v>40</v>
      </c>
      <c r="D489" s="99">
        <v>219.8</v>
      </c>
      <c r="E489" s="73">
        <v>4</v>
      </c>
      <c r="F489" s="73">
        <v>4</v>
      </c>
      <c r="G489" s="74">
        <f t="shared" si="98"/>
        <v>1</v>
      </c>
      <c r="H489" s="75">
        <f t="shared" si="99"/>
        <v>54.95</v>
      </c>
      <c r="I489" s="76">
        <f t="shared" si="100"/>
        <v>54.95</v>
      </c>
      <c r="J489" s="99">
        <v>0</v>
      </c>
      <c r="K489" s="73">
        <v>0</v>
      </c>
      <c r="L489" s="73">
        <v>0</v>
      </c>
      <c r="M489" s="100">
        <v>0</v>
      </c>
      <c r="N489" s="79" t="e">
        <f t="shared" si="176"/>
        <v>#DIV/0!</v>
      </c>
      <c r="O489" s="80" t="e">
        <f t="shared" si="101"/>
        <v>#DIV/0!</v>
      </c>
      <c r="P489" s="79">
        <f t="shared" si="102"/>
        <v>0</v>
      </c>
      <c r="Q489" s="81">
        <f t="shared" si="103"/>
        <v>0</v>
      </c>
      <c r="R489" s="101">
        <f t="shared" si="175"/>
        <v>219.8</v>
      </c>
      <c r="S489" s="83" t="e">
        <f t="shared" si="104"/>
        <v>#DIV/0!</v>
      </c>
      <c r="T489" s="135"/>
      <c r="U489" s="135"/>
      <c r="V489" s="135"/>
      <c r="W489" s="135"/>
      <c r="X489" s="136"/>
      <c r="Y489" s="50"/>
      <c r="Z489" s="50"/>
    </row>
    <row r="490" spans="1:26" ht="12.75" hidden="1" outlineLevel="1" x14ac:dyDescent="0.2">
      <c r="A490" s="50"/>
      <c r="B490" s="137"/>
      <c r="C490" s="70" t="s">
        <v>41</v>
      </c>
      <c r="D490" s="102">
        <v>483.95</v>
      </c>
      <c r="E490" s="73">
        <v>6</v>
      </c>
      <c r="F490" s="73">
        <v>6</v>
      </c>
      <c r="G490" s="74">
        <f t="shared" si="98"/>
        <v>1</v>
      </c>
      <c r="H490" s="75">
        <f t="shared" si="99"/>
        <v>80.658333333333331</v>
      </c>
      <c r="I490" s="76">
        <f t="shared" si="100"/>
        <v>80.658333333333331</v>
      </c>
      <c r="J490" s="102">
        <v>164.44</v>
      </c>
      <c r="K490" s="73">
        <v>27147</v>
      </c>
      <c r="L490" s="73">
        <v>2</v>
      </c>
      <c r="M490" s="103">
        <v>133.97999999999999</v>
      </c>
      <c r="N490" s="79">
        <f t="shared" si="176"/>
        <v>1.2273473652783999</v>
      </c>
      <c r="O490" s="80">
        <f t="shared" si="101"/>
        <v>0.81476526392605197</v>
      </c>
      <c r="P490" s="79">
        <f t="shared" si="102"/>
        <v>0.33978716809587767</v>
      </c>
      <c r="Q490" s="81">
        <f t="shared" si="103"/>
        <v>0.27684678169232357</v>
      </c>
      <c r="R490" s="104">
        <f t="shared" si="175"/>
        <v>349.97</v>
      </c>
      <c r="S490" s="83">
        <f t="shared" si="104"/>
        <v>82.22</v>
      </c>
      <c r="T490" s="135"/>
      <c r="U490" s="135"/>
      <c r="V490" s="135"/>
      <c r="W490" s="135"/>
      <c r="X490" s="136"/>
      <c r="Y490" s="50"/>
      <c r="Z490" s="50"/>
    </row>
    <row r="491" spans="1:26" ht="12.75" hidden="1" outlineLevel="1" x14ac:dyDescent="0.2">
      <c r="A491" s="50"/>
      <c r="B491" s="137"/>
      <c r="C491" s="70" t="s">
        <v>42</v>
      </c>
      <c r="D491" s="90">
        <v>9.9499999999999993</v>
      </c>
      <c r="E491" s="73">
        <v>1</v>
      </c>
      <c r="F491" s="73">
        <v>1</v>
      </c>
      <c r="G491" s="74">
        <f t="shared" si="98"/>
        <v>1</v>
      </c>
      <c r="H491" s="75">
        <f t="shared" si="99"/>
        <v>9.9499999999999993</v>
      </c>
      <c r="I491" s="76">
        <f t="shared" si="100"/>
        <v>9.9499999999999993</v>
      </c>
      <c r="J491" s="90">
        <v>0</v>
      </c>
      <c r="K491" s="73">
        <v>0</v>
      </c>
      <c r="L491" s="73">
        <v>0</v>
      </c>
      <c r="M491" s="91">
        <v>0</v>
      </c>
      <c r="N491" s="79" t="e">
        <f t="shared" si="176"/>
        <v>#DIV/0!</v>
      </c>
      <c r="O491" s="80" t="e">
        <f t="shared" si="101"/>
        <v>#DIV/0!</v>
      </c>
      <c r="P491" s="79">
        <f t="shared" si="102"/>
        <v>0</v>
      </c>
      <c r="Q491" s="81">
        <f t="shared" si="103"/>
        <v>0</v>
      </c>
      <c r="R491" s="92">
        <f t="shared" si="175"/>
        <v>9.9499999999999993</v>
      </c>
      <c r="S491" s="83" t="e">
        <f t="shared" si="104"/>
        <v>#DIV/0!</v>
      </c>
      <c r="T491" s="135"/>
      <c r="U491" s="135"/>
      <c r="V491" s="135"/>
      <c r="W491" s="135"/>
      <c r="X491" s="136"/>
      <c r="Y491" s="50"/>
      <c r="Z491" s="50"/>
    </row>
    <row r="492" spans="1:26" ht="12.75" hidden="1" outlineLevel="1" x14ac:dyDescent="0.2">
      <c r="A492" s="50"/>
      <c r="B492" s="137"/>
      <c r="C492" s="70" t="s">
        <v>43</v>
      </c>
      <c r="D492" s="105">
        <v>169.95</v>
      </c>
      <c r="E492" s="73">
        <v>1</v>
      </c>
      <c r="F492" s="73">
        <v>1</v>
      </c>
      <c r="G492" s="74">
        <f t="shared" si="98"/>
        <v>1</v>
      </c>
      <c r="H492" s="75">
        <f t="shared" si="99"/>
        <v>169.95</v>
      </c>
      <c r="I492" s="76">
        <f t="shared" si="100"/>
        <v>169.95</v>
      </c>
      <c r="J492" s="105">
        <v>44.76</v>
      </c>
      <c r="K492" s="73">
        <v>13817</v>
      </c>
      <c r="L492" s="73">
        <v>0</v>
      </c>
      <c r="M492" s="106">
        <v>0</v>
      </c>
      <c r="N492" s="79" t="e">
        <f t="shared" si="176"/>
        <v>#DIV/0!</v>
      </c>
      <c r="O492" s="80">
        <f t="shared" si="101"/>
        <v>0</v>
      </c>
      <c r="P492" s="79">
        <f t="shared" si="102"/>
        <v>0.26337157987643423</v>
      </c>
      <c r="Q492" s="81">
        <f t="shared" si="103"/>
        <v>0</v>
      </c>
      <c r="R492" s="107">
        <f t="shared" si="175"/>
        <v>169.95</v>
      </c>
      <c r="S492" s="83" t="e">
        <f t="shared" si="104"/>
        <v>#DIV/0!</v>
      </c>
      <c r="T492" s="135"/>
      <c r="U492" s="135"/>
      <c r="V492" s="135"/>
      <c r="W492" s="135"/>
      <c r="X492" s="136"/>
      <c r="Y492" s="50"/>
      <c r="Z492" s="50"/>
    </row>
    <row r="493" spans="1:26" ht="12.75" hidden="1" outlineLevel="1" x14ac:dyDescent="0.2">
      <c r="A493" s="50"/>
      <c r="B493" s="137"/>
      <c r="C493" s="70" t="s">
        <v>44</v>
      </c>
      <c r="D493" s="108">
        <v>404.55</v>
      </c>
      <c r="E493" s="73">
        <v>9</v>
      </c>
      <c r="F493" s="73">
        <v>9</v>
      </c>
      <c r="G493" s="74">
        <f t="shared" si="98"/>
        <v>1</v>
      </c>
      <c r="H493" s="75">
        <f t="shared" si="99"/>
        <v>44.95</v>
      </c>
      <c r="I493" s="76">
        <f t="shared" si="100"/>
        <v>44.95</v>
      </c>
      <c r="J493" s="108">
        <v>111.88</v>
      </c>
      <c r="K493" s="73">
        <v>67224</v>
      </c>
      <c r="L493" s="73">
        <v>6</v>
      </c>
      <c r="M493" s="109">
        <v>269.7</v>
      </c>
      <c r="N493" s="79">
        <f t="shared" si="176"/>
        <v>0.41483129403040414</v>
      </c>
      <c r="O493" s="80">
        <f t="shared" si="101"/>
        <v>2.4106185198426884</v>
      </c>
      <c r="P493" s="79">
        <f t="shared" si="102"/>
        <v>0.27655419602026943</v>
      </c>
      <c r="Q493" s="81">
        <f t="shared" si="103"/>
        <v>0.66666666666666663</v>
      </c>
      <c r="R493" s="110">
        <f t="shared" si="175"/>
        <v>134.85000000000002</v>
      </c>
      <c r="S493" s="83">
        <f t="shared" si="104"/>
        <v>18.646666666666665</v>
      </c>
      <c r="T493" s="135"/>
      <c r="U493" s="135"/>
      <c r="V493" s="135"/>
      <c r="W493" s="135"/>
      <c r="X493" s="136"/>
      <c r="Y493" s="50"/>
      <c r="Z493" s="50"/>
    </row>
    <row r="494" spans="1:26" ht="12.75" hidden="1" outlineLevel="1" x14ac:dyDescent="0.2">
      <c r="A494" s="139"/>
      <c r="B494" s="137"/>
      <c r="C494" s="112" t="s">
        <v>45</v>
      </c>
      <c r="D494" s="71">
        <v>59.9</v>
      </c>
      <c r="E494" s="73">
        <v>2</v>
      </c>
      <c r="F494" s="73">
        <v>1</v>
      </c>
      <c r="G494" s="74">
        <f t="shared" si="98"/>
        <v>2</v>
      </c>
      <c r="H494" s="75">
        <f t="shared" si="99"/>
        <v>29.95</v>
      </c>
      <c r="I494" s="76">
        <f t="shared" si="100"/>
        <v>14.975</v>
      </c>
      <c r="J494" s="71">
        <v>0</v>
      </c>
      <c r="K494" s="73">
        <v>0</v>
      </c>
      <c r="L494" s="73">
        <v>0</v>
      </c>
      <c r="M494" s="78">
        <v>0</v>
      </c>
      <c r="N494" s="79" t="e">
        <f t="shared" si="176"/>
        <v>#DIV/0!</v>
      </c>
      <c r="O494" s="80" t="e">
        <f t="shared" si="101"/>
        <v>#DIV/0!</v>
      </c>
      <c r="P494" s="79">
        <f t="shared" si="102"/>
        <v>0</v>
      </c>
      <c r="Q494" s="81">
        <f t="shared" si="103"/>
        <v>0</v>
      </c>
      <c r="R494" s="82">
        <f t="shared" si="175"/>
        <v>59.9</v>
      </c>
      <c r="S494" s="83" t="e">
        <f t="shared" si="104"/>
        <v>#DIV/0!</v>
      </c>
      <c r="T494" s="140"/>
      <c r="U494" s="140"/>
      <c r="V494" s="140"/>
      <c r="W494" s="141"/>
      <c r="X494" s="142"/>
      <c r="Y494" s="50"/>
      <c r="Z494" s="50"/>
    </row>
    <row r="495" spans="1:26" ht="12.75" hidden="1" outlineLevel="1" x14ac:dyDescent="0.2">
      <c r="A495" s="50"/>
      <c r="B495" s="137"/>
      <c r="C495" s="70" t="s">
        <v>46</v>
      </c>
      <c r="D495" s="116">
        <v>351.6</v>
      </c>
      <c r="E495" s="73">
        <v>8</v>
      </c>
      <c r="F495" s="73">
        <v>7</v>
      </c>
      <c r="G495" s="74">
        <f t="shared" si="98"/>
        <v>1.1428571428571428</v>
      </c>
      <c r="H495" s="75">
        <f t="shared" si="99"/>
        <v>43.95</v>
      </c>
      <c r="I495" s="76">
        <f t="shared" si="100"/>
        <v>38.456250000000004</v>
      </c>
      <c r="J495" s="116">
        <v>103.37</v>
      </c>
      <c r="K495" s="73">
        <v>27901</v>
      </c>
      <c r="L495" s="73">
        <v>4</v>
      </c>
      <c r="M495" s="117">
        <v>177.8</v>
      </c>
      <c r="N495" s="79">
        <f t="shared" si="176"/>
        <v>0.58138357705286836</v>
      </c>
      <c r="O495" s="80">
        <f t="shared" si="101"/>
        <v>1.7200348263519396</v>
      </c>
      <c r="P495" s="79">
        <f t="shared" si="102"/>
        <v>0.29399886234357225</v>
      </c>
      <c r="Q495" s="81">
        <f t="shared" si="103"/>
        <v>0.50568828213879413</v>
      </c>
      <c r="R495" s="82">
        <f t="shared" si="175"/>
        <v>173.8</v>
      </c>
      <c r="S495" s="83">
        <f t="shared" si="104"/>
        <v>25.842500000000001</v>
      </c>
      <c r="T495" s="135"/>
      <c r="U495" s="135"/>
      <c r="V495" s="135"/>
      <c r="W495" s="135"/>
      <c r="X495" s="136"/>
      <c r="Y495" s="50"/>
      <c r="Z495" s="50"/>
    </row>
    <row r="496" spans="1:26" ht="12.75" hidden="1" outlineLevel="1" x14ac:dyDescent="0.2">
      <c r="A496" s="50"/>
      <c r="B496" s="137"/>
      <c r="C496" s="70" t="s">
        <v>49</v>
      </c>
      <c r="D496" s="116">
        <v>0</v>
      </c>
      <c r="E496" s="73">
        <v>0</v>
      </c>
      <c r="F496" s="73">
        <v>0</v>
      </c>
      <c r="G496" s="74" t="e">
        <f t="shared" si="98"/>
        <v>#DIV/0!</v>
      </c>
      <c r="H496" s="75" t="e">
        <f t="shared" si="99"/>
        <v>#DIV/0!</v>
      </c>
      <c r="I496" s="76" t="e">
        <f t="shared" si="100"/>
        <v>#DIV/0!</v>
      </c>
      <c r="J496" s="116">
        <v>7.49</v>
      </c>
      <c r="K496" s="73">
        <v>10124</v>
      </c>
      <c r="L496" s="73">
        <v>0</v>
      </c>
      <c r="M496" s="117">
        <v>0</v>
      </c>
      <c r="N496" s="79" t="e">
        <f t="shared" si="176"/>
        <v>#DIV/0!</v>
      </c>
      <c r="O496" s="80">
        <f t="shared" si="101"/>
        <v>0</v>
      </c>
      <c r="P496" s="79" t="e">
        <f t="shared" si="102"/>
        <v>#DIV/0!</v>
      </c>
      <c r="Q496" s="81" t="e">
        <f t="shared" si="103"/>
        <v>#DIV/0!</v>
      </c>
      <c r="R496" s="82">
        <f t="shared" si="175"/>
        <v>0</v>
      </c>
      <c r="S496" s="83" t="e">
        <f t="shared" si="104"/>
        <v>#DIV/0!</v>
      </c>
      <c r="T496" s="135"/>
      <c r="U496" s="135"/>
      <c r="V496" s="135"/>
      <c r="W496" s="135"/>
      <c r="X496" s="136"/>
      <c r="Y496" s="50"/>
      <c r="Z496" s="50"/>
    </row>
    <row r="497" spans="1:26" hidden="1" outlineLevel="1" x14ac:dyDescent="0.25">
      <c r="A497" s="118" t="str">
        <f t="shared" ref="A497:A498" si="177">IFERROR(IF(B497&gt;0,MONTH(B497)&amp;"-"&amp;YEAR(B497),B497),)</f>
        <v>8-2025</v>
      </c>
      <c r="B497" s="69">
        <v>45892</v>
      </c>
      <c r="C497" s="198" t="s">
        <v>64</v>
      </c>
      <c r="D497" s="116">
        <v>0</v>
      </c>
      <c r="E497" s="73">
        <v>0</v>
      </c>
      <c r="F497" s="73">
        <v>0</v>
      </c>
      <c r="G497" s="74" t="e">
        <f t="shared" si="98"/>
        <v>#DIV/0!</v>
      </c>
      <c r="H497" s="75" t="e">
        <f t="shared" si="99"/>
        <v>#DIV/0!</v>
      </c>
      <c r="I497" s="76" t="e">
        <f t="shared" si="100"/>
        <v>#DIV/0!</v>
      </c>
      <c r="J497" s="87">
        <v>426.91</v>
      </c>
      <c r="K497" s="199">
        <v>127972</v>
      </c>
      <c r="L497" s="73">
        <v>0</v>
      </c>
      <c r="M497" s="88">
        <v>1436.8000000000002</v>
      </c>
      <c r="N497" s="79">
        <f t="shared" si="176"/>
        <v>0.29712555679287306</v>
      </c>
      <c r="O497" s="80">
        <f t="shared" si="101"/>
        <v>3.3655805673326933</v>
      </c>
      <c r="P497" s="79" t="e">
        <f t="shared" si="102"/>
        <v>#DIV/0!</v>
      </c>
      <c r="Q497" s="81" t="e">
        <f t="shared" si="103"/>
        <v>#DIV/0!</v>
      </c>
      <c r="R497" s="82">
        <f t="shared" si="175"/>
        <v>-1436.8000000000002</v>
      </c>
      <c r="S497" s="83" t="e">
        <f t="shared" si="104"/>
        <v>#DIV/0!</v>
      </c>
      <c r="T497" s="135"/>
      <c r="U497" s="135"/>
      <c r="V497" s="135"/>
      <c r="W497" s="135"/>
      <c r="X497" s="136"/>
      <c r="Y497" s="50"/>
      <c r="Z497" s="50"/>
    </row>
    <row r="498" spans="1:26" ht="12.75" collapsed="1" x14ac:dyDescent="0.2">
      <c r="A498" s="50">
        <f t="shared" si="177"/>
        <v>0</v>
      </c>
      <c r="B498" s="52" t="s">
        <v>92</v>
      </c>
      <c r="C498" s="145"/>
      <c r="D498" s="121">
        <f t="shared" ref="D498:F498" si="178">SUM(D482:D497)</f>
        <v>14552.51</v>
      </c>
      <c r="E498" s="123">
        <f t="shared" si="178"/>
        <v>147</v>
      </c>
      <c r="F498" s="123">
        <f t="shared" si="178"/>
        <v>133</v>
      </c>
      <c r="G498" s="124">
        <f t="shared" si="98"/>
        <v>1.1052631578947369</v>
      </c>
      <c r="H498" s="125">
        <f t="shared" si="99"/>
        <v>98.99666666666667</v>
      </c>
      <c r="I498" s="126">
        <f t="shared" si="100"/>
        <v>89.568412698412686</v>
      </c>
      <c r="J498" s="121">
        <f t="shared" ref="J498:M498" si="179">SUM(J482:J497)</f>
        <v>3411.16</v>
      </c>
      <c r="K498" s="123">
        <f t="shared" si="179"/>
        <v>699318</v>
      </c>
      <c r="L498" s="123">
        <f t="shared" si="179"/>
        <v>35</v>
      </c>
      <c r="M498" s="127">
        <f t="shared" si="179"/>
        <v>4993.2800000000007</v>
      </c>
      <c r="N498" s="128">
        <f t="shared" si="176"/>
        <v>0.68315015380671607</v>
      </c>
      <c r="O498" s="129">
        <f t="shared" si="101"/>
        <v>1.4638070333845381</v>
      </c>
      <c r="P498" s="128">
        <f t="shared" si="102"/>
        <v>0.23440354962820845</v>
      </c>
      <c r="Q498" s="130">
        <f t="shared" si="103"/>
        <v>0.34312156459607318</v>
      </c>
      <c r="R498" s="131">
        <f>SUM(R482:R497)</f>
        <v>9559.23</v>
      </c>
      <c r="S498" s="132">
        <f t="shared" si="104"/>
        <v>97.46171428571428</v>
      </c>
      <c r="T498" s="133">
        <f t="shared" ref="T498:U498" si="180">IFERROR((D498-D69)/D498,)</f>
        <v>0.47903694963961557</v>
      </c>
      <c r="U498" s="133">
        <f t="shared" si="180"/>
        <v>0.36054421768707484</v>
      </c>
      <c r="V498" s="271" t="s">
        <v>139</v>
      </c>
      <c r="W498" s="271" t="s">
        <v>139</v>
      </c>
      <c r="X498" s="50"/>
      <c r="Y498" s="50"/>
      <c r="Z498" s="50"/>
    </row>
    <row r="499" spans="1:26" ht="12.75" hidden="1" outlineLevel="1" x14ac:dyDescent="0.2">
      <c r="A499" s="50"/>
      <c r="B499" s="69">
        <v>45893</v>
      </c>
      <c r="C499" s="70" t="s">
        <v>32</v>
      </c>
      <c r="D499" s="71">
        <v>17865.38</v>
      </c>
      <c r="E499" s="73">
        <v>62</v>
      </c>
      <c r="F499" s="73">
        <v>60</v>
      </c>
      <c r="G499" s="74">
        <f t="shared" si="98"/>
        <v>1.0333333333333334</v>
      </c>
      <c r="H499" s="75">
        <f t="shared" si="99"/>
        <v>288.15129032258068</v>
      </c>
      <c r="I499" s="76">
        <f t="shared" si="100"/>
        <v>278.85608740894901</v>
      </c>
      <c r="J499" s="77">
        <v>1362.71</v>
      </c>
      <c r="K499" s="73">
        <v>227967</v>
      </c>
      <c r="L499" s="73">
        <v>3</v>
      </c>
      <c r="M499" s="78">
        <v>1381.6</v>
      </c>
      <c r="N499" s="79">
        <f t="shared" si="176"/>
        <v>0.98632744643891146</v>
      </c>
      <c r="O499" s="80">
        <f t="shared" si="101"/>
        <v>1.0138620836421541</v>
      </c>
      <c r="P499" s="79">
        <f t="shared" si="102"/>
        <v>7.6276575141418765E-2</v>
      </c>
      <c r="Q499" s="81">
        <f t="shared" si="103"/>
        <v>7.733392740596616E-2</v>
      </c>
      <c r="R499" s="82">
        <f t="shared" ref="R499:R514" si="181">D499-M499</f>
        <v>16483.780000000002</v>
      </c>
      <c r="S499" s="83">
        <f t="shared" si="104"/>
        <v>454.23666666666668</v>
      </c>
      <c r="T499" s="135"/>
      <c r="U499" s="135"/>
      <c r="V499" s="135"/>
      <c r="W499" s="135"/>
      <c r="X499" s="136"/>
      <c r="Y499" s="50"/>
      <c r="Z499" s="50"/>
    </row>
    <row r="500" spans="1:26" ht="12.75" hidden="1" outlineLevel="1" x14ac:dyDescent="0.2">
      <c r="A500" s="50"/>
      <c r="B500" s="137"/>
      <c r="C500" s="70" t="s">
        <v>33</v>
      </c>
      <c r="D500" s="87">
        <v>21043.59</v>
      </c>
      <c r="E500" s="73">
        <v>261</v>
      </c>
      <c r="F500" s="73">
        <v>242</v>
      </c>
      <c r="G500" s="74">
        <f t="shared" si="98"/>
        <v>1.0785123966942149</v>
      </c>
      <c r="H500" s="75">
        <f t="shared" si="99"/>
        <v>80.626781609195405</v>
      </c>
      <c r="I500" s="76">
        <f t="shared" si="100"/>
        <v>74.757399039943621</v>
      </c>
      <c r="J500" s="87">
        <v>457.07</v>
      </c>
      <c r="K500" s="73">
        <v>129310</v>
      </c>
      <c r="L500" s="73">
        <v>7</v>
      </c>
      <c r="M500" s="88">
        <v>674.8</v>
      </c>
      <c r="N500" s="79">
        <f t="shared" si="176"/>
        <v>0.67734143449911088</v>
      </c>
      <c r="O500" s="80">
        <f t="shared" si="101"/>
        <v>1.4763602949220032</v>
      </c>
      <c r="P500" s="79">
        <f t="shared" si="102"/>
        <v>2.1720153262822551E-2</v>
      </c>
      <c r="Q500" s="81">
        <f t="shared" si="103"/>
        <v>3.2066771876851807E-2</v>
      </c>
      <c r="R500" s="89">
        <f t="shared" si="181"/>
        <v>20368.79</v>
      </c>
      <c r="S500" s="83">
        <f t="shared" si="104"/>
        <v>65.295714285714283</v>
      </c>
      <c r="T500" s="135"/>
      <c r="U500" s="135"/>
      <c r="V500" s="135"/>
      <c r="W500" s="135"/>
      <c r="X500" s="136"/>
      <c r="Y500" s="50"/>
      <c r="Z500" s="50"/>
    </row>
    <row r="501" spans="1:26" ht="12.75" hidden="1" outlineLevel="1" x14ac:dyDescent="0.2">
      <c r="A501" s="50"/>
      <c r="B501" s="137"/>
      <c r="C501" s="70" t="s">
        <v>34</v>
      </c>
      <c r="D501" s="90">
        <v>769.45</v>
      </c>
      <c r="E501" s="73">
        <v>11</v>
      </c>
      <c r="F501" s="73">
        <v>10</v>
      </c>
      <c r="G501" s="74">
        <f t="shared" si="98"/>
        <v>1.1000000000000001</v>
      </c>
      <c r="H501" s="75">
        <f t="shared" si="99"/>
        <v>69.95</v>
      </c>
      <c r="I501" s="76">
        <f t="shared" si="100"/>
        <v>63.590909090909086</v>
      </c>
      <c r="J501" s="90">
        <v>0</v>
      </c>
      <c r="K501" s="73">
        <v>235</v>
      </c>
      <c r="L501" s="73">
        <v>0</v>
      </c>
      <c r="M501" s="91">
        <v>0</v>
      </c>
      <c r="N501" s="79" t="e">
        <f>(J501/M501)</f>
        <v>#DIV/0!</v>
      </c>
      <c r="O501" s="80" t="e">
        <f t="shared" si="101"/>
        <v>#DIV/0!</v>
      </c>
      <c r="P501" s="79">
        <f t="shared" si="102"/>
        <v>0</v>
      </c>
      <c r="Q501" s="81">
        <f t="shared" si="103"/>
        <v>0</v>
      </c>
      <c r="R501" s="92">
        <f t="shared" si="181"/>
        <v>769.45</v>
      </c>
      <c r="S501" s="83" t="e">
        <f t="shared" si="104"/>
        <v>#DIV/0!</v>
      </c>
      <c r="T501" s="135"/>
      <c r="U501" s="135"/>
      <c r="V501" s="135"/>
      <c r="W501" s="135"/>
      <c r="X501" s="136"/>
      <c r="Y501" s="50"/>
      <c r="Z501" s="50"/>
    </row>
    <row r="502" spans="1:26" ht="12.75" hidden="1" outlineLevel="1" x14ac:dyDescent="0.2">
      <c r="A502" s="50"/>
      <c r="B502" s="137"/>
      <c r="C502" s="70" t="s">
        <v>35</v>
      </c>
      <c r="D502" s="90">
        <v>2778.7</v>
      </c>
      <c r="E502" s="73">
        <v>46</v>
      </c>
      <c r="F502" s="73">
        <v>36</v>
      </c>
      <c r="G502" s="74">
        <f t="shared" si="98"/>
        <v>1.2777777777777777</v>
      </c>
      <c r="H502" s="75">
        <f t="shared" si="99"/>
        <v>60.406521739130433</v>
      </c>
      <c r="I502" s="76">
        <f t="shared" si="100"/>
        <v>47.274669187145562</v>
      </c>
      <c r="J502" s="90">
        <v>193.28</v>
      </c>
      <c r="K502" s="73">
        <v>22281</v>
      </c>
      <c r="L502" s="73">
        <v>0</v>
      </c>
      <c r="M502" s="91">
        <v>0</v>
      </c>
      <c r="N502" s="79" t="e">
        <f t="shared" ref="N502:N517" si="182">J502/M502</f>
        <v>#DIV/0!</v>
      </c>
      <c r="O502" s="80">
        <f t="shared" si="101"/>
        <v>0</v>
      </c>
      <c r="P502" s="79">
        <f t="shared" si="102"/>
        <v>6.9557706841328684E-2</v>
      </c>
      <c r="Q502" s="81">
        <f t="shared" si="103"/>
        <v>0</v>
      </c>
      <c r="R502" s="92">
        <f t="shared" si="181"/>
        <v>2778.7</v>
      </c>
      <c r="S502" s="83" t="e">
        <f t="shared" si="104"/>
        <v>#DIV/0!</v>
      </c>
      <c r="T502" s="135"/>
      <c r="U502" s="135"/>
      <c r="V502" s="135"/>
      <c r="W502" s="135"/>
      <c r="X502" s="136"/>
      <c r="Y502" s="50"/>
      <c r="Z502" s="50"/>
    </row>
    <row r="503" spans="1:26" ht="12.75" hidden="1" outlineLevel="1" x14ac:dyDescent="0.2">
      <c r="A503" s="50"/>
      <c r="B503" s="137"/>
      <c r="C503" s="70" t="s">
        <v>36</v>
      </c>
      <c r="D503" s="90">
        <v>1199.05</v>
      </c>
      <c r="E503" s="73">
        <v>19</v>
      </c>
      <c r="F503" s="73">
        <v>21</v>
      </c>
      <c r="G503" s="74">
        <f t="shared" si="98"/>
        <v>0.90476190476190477</v>
      </c>
      <c r="H503" s="75">
        <f t="shared" si="99"/>
        <v>63.107894736842105</v>
      </c>
      <c r="I503" s="76">
        <f t="shared" si="100"/>
        <v>69.750831024930747</v>
      </c>
      <c r="J503" s="90">
        <v>120.59</v>
      </c>
      <c r="K503" s="73">
        <v>21886</v>
      </c>
      <c r="L503" s="73">
        <v>2</v>
      </c>
      <c r="M503" s="91">
        <v>139.9</v>
      </c>
      <c r="N503" s="79">
        <f t="shared" si="182"/>
        <v>0.86197283774124378</v>
      </c>
      <c r="O503" s="80">
        <f t="shared" si="101"/>
        <v>1.1601293639605275</v>
      </c>
      <c r="P503" s="79">
        <f t="shared" si="102"/>
        <v>0.10057128560110087</v>
      </c>
      <c r="Q503" s="81">
        <f t="shared" si="103"/>
        <v>0.11667570159709771</v>
      </c>
      <c r="R503" s="92">
        <f t="shared" si="181"/>
        <v>1059.1499999999999</v>
      </c>
      <c r="S503" s="83">
        <f t="shared" si="104"/>
        <v>60.295000000000002</v>
      </c>
      <c r="T503" s="135"/>
      <c r="U503" s="135"/>
      <c r="V503" s="135"/>
      <c r="W503" s="135"/>
      <c r="X503" s="136"/>
      <c r="Y503" s="50"/>
      <c r="Z503" s="50"/>
    </row>
    <row r="504" spans="1:26" ht="12.75" hidden="1" outlineLevel="1" x14ac:dyDescent="0.2">
      <c r="A504" s="50"/>
      <c r="B504" s="69" t="s">
        <v>37</v>
      </c>
      <c r="C504" s="70" t="s">
        <v>38</v>
      </c>
      <c r="D504" s="93">
        <v>254.7</v>
      </c>
      <c r="E504" s="73">
        <v>6</v>
      </c>
      <c r="F504" s="73">
        <v>5</v>
      </c>
      <c r="G504" s="74">
        <f t="shared" si="98"/>
        <v>1.2</v>
      </c>
      <c r="H504" s="75">
        <f t="shared" si="99"/>
        <v>42.449999999999996</v>
      </c>
      <c r="I504" s="76">
        <f t="shared" si="100"/>
        <v>35.375</v>
      </c>
      <c r="J504" s="93">
        <v>35.770000000000003</v>
      </c>
      <c r="K504" s="73">
        <v>15412</v>
      </c>
      <c r="L504" s="73">
        <v>0</v>
      </c>
      <c r="M504" s="94">
        <v>0</v>
      </c>
      <c r="N504" s="79" t="e">
        <f t="shared" si="182"/>
        <v>#DIV/0!</v>
      </c>
      <c r="O504" s="80">
        <f t="shared" si="101"/>
        <v>0</v>
      </c>
      <c r="P504" s="79">
        <f t="shared" si="102"/>
        <v>0.14043973301923834</v>
      </c>
      <c r="Q504" s="81">
        <f t="shared" si="103"/>
        <v>0</v>
      </c>
      <c r="R504" s="95">
        <f t="shared" si="181"/>
        <v>254.7</v>
      </c>
      <c r="S504" s="83" t="e">
        <f t="shared" si="104"/>
        <v>#DIV/0!</v>
      </c>
      <c r="T504" s="135"/>
      <c r="U504" s="135"/>
      <c r="V504" s="135"/>
      <c r="W504" s="135"/>
      <c r="X504" s="136"/>
      <c r="Y504" s="50"/>
      <c r="Z504" s="50"/>
    </row>
    <row r="505" spans="1:26" ht="12.75" hidden="1" outlineLevel="1" x14ac:dyDescent="0.2">
      <c r="A505" s="50"/>
      <c r="B505" s="137"/>
      <c r="C505" s="70" t="s">
        <v>39</v>
      </c>
      <c r="D505" s="96">
        <v>74.849999999999994</v>
      </c>
      <c r="E505" s="73">
        <v>3</v>
      </c>
      <c r="F505" s="73">
        <v>3</v>
      </c>
      <c r="G505" s="74">
        <f t="shared" si="98"/>
        <v>1</v>
      </c>
      <c r="H505" s="75">
        <f t="shared" si="99"/>
        <v>24.95</v>
      </c>
      <c r="I505" s="76">
        <f t="shared" si="100"/>
        <v>24.95</v>
      </c>
      <c r="J505" s="96">
        <v>0</v>
      </c>
      <c r="K505" s="73">
        <v>0</v>
      </c>
      <c r="L505" s="73">
        <v>0</v>
      </c>
      <c r="M505" s="97">
        <v>0</v>
      </c>
      <c r="N505" s="79" t="e">
        <f t="shared" si="182"/>
        <v>#DIV/0!</v>
      </c>
      <c r="O505" s="80" t="e">
        <f t="shared" si="101"/>
        <v>#DIV/0!</v>
      </c>
      <c r="P505" s="79">
        <f t="shared" si="102"/>
        <v>0</v>
      </c>
      <c r="Q505" s="81">
        <f t="shared" si="103"/>
        <v>0</v>
      </c>
      <c r="R505" s="98">
        <f t="shared" si="181"/>
        <v>74.849999999999994</v>
      </c>
      <c r="S505" s="83" t="e">
        <f t="shared" si="104"/>
        <v>#DIV/0!</v>
      </c>
      <c r="T505" s="135"/>
      <c r="U505" s="135"/>
      <c r="V505" s="135"/>
      <c r="W505" s="135"/>
      <c r="X505" s="136"/>
      <c r="Y505" s="50"/>
      <c r="Z505" s="50"/>
    </row>
    <row r="506" spans="1:26" ht="12.75" hidden="1" outlineLevel="1" x14ac:dyDescent="0.2">
      <c r="A506" s="50"/>
      <c r="B506" s="137"/>
      <c r="C506" s="70" t="s">
        <v>40</v>
      </c>
      <c r="D506" s="99">
        <v>1593.55</v>
      </c>
      <c r="E506" s="73">
        <v>29</v>
      </c>
      <c r="F506" s="73">
        <v>17</v>
      </c>
      <c r="G506" s="74">
        <f t="shared" si="98"/>
        <v>1.7058823529411764</v>
      </c>
      <c r="H506" s="75">
        <f t="shared" si="99"/>
        <v>54.949999999999996</v>
      </c>
      <c r="I506" s="76">
        <f t="shared" si="100"/>
        <v>32.21206896551724</v>
      </c>
      <c r="J506" s="99">
        <v>0</v>
      </c>
      <c r="K506" s="73">
        <v>0</v>
      </c>
      <c r="L506" s="73">
        <v>0</v>
      </c>
      <c r="M506" s="100">
        <v>0</v>
      </c>
      <c r="N506" s="79" t="e">
        <f t="shared" si="182"/>
        <v>#DIV/0!</v>
      </c>
      <c r="O506" s="80" t="e">
        <f t="shared" si="101"/>
        <v>#DIV/0!</v>
      </c>
      <c r="P506" s="79">
        <f t="shared" si="102"/>
        <v>0</v>
      </c>
      <c r="Q506" s="81">
        <f t="shared" si="103"/>
        <v>0</v>
      </c>
      <c r="R506" s="101">
        <f t="shared" si="181"/>
        <v>1593.55</v>
      </c>
      <c r="S506" s="83" t="e">
        <f t="shared" si="104"/>
        <v>#DIV/0!</v>
      </c>
      <c r="T506" s="135"/>
      <c r="U506" s="135"/>
      <c r="V506" s="135"/>
      <c r="W506" s="135"/>
      <c r="X506" s="136"/>
      <c r="Y506" s="50"/>
      <c r="Z506" s="50"/>
    </row>
    <row r="507" spans="1:26" ht="12.75" hidden="1" outlineLevel="1" x14ac:dyDescent="0.2">
      <c r="A507" s="50"/>
      <c r="B507" s="137"/>
      <c r="C507" s="70" t="s">
        <v>41</v>
      </c>
      <c r="D507" s="102">
        <v>4412.82</v>
      </c>
      <c r="E507" s="73">
        <v>46</v>
      </c>
      <c r="F507" s="73">
        <v>44</v>
      </c>
      <c r="G507" s="74">
        <f t="shared" si="98"/>
        <v>1.0454545454545454</v>
      </c>
      <c r="H507" s="75">
        <f t="shared" si="99"/>
        <v>95.930869565217378</v>
      </c>
      <c r="I507" s="76">
        <f t="shared" si="100"/>
        <v>91.75996219281663</v>
      </c>
      <c r="J507" s="102">
        <v>253.99</v>
      </c>
      <c r="K507" s="73">
        <v>26721</v>
      </c>
      <c r="L507" s="73">
        <v>5</v>
      </c>
      <c r="M507" s="103">
        <v>188.97</v>
      </c>
      <c r="N507" s="79">
        <f t="shared" si="182"/>
        <v>1.3440757792242155</v>
      </c>
      <c r="O507" s="80">
        <f t="shared" si="101"/>
        <v>0.74400566951454783</v>
      </c>
      <c r="P507" s="79">
        <f t="shared" si="102"/>
        <v>5.755729896075526E-2</v>
      </c>
      <c r="Q507" s="81">
        <f t="shared" si="103"/>
        <v>4.28229567487457E-2</v>
      </c>
      <c r="R507" s="104">
        <f t="shared" si="181"/>
        <v>4223.8499999999995</v>
      </c>
      <c r="S507" s="83">
        <f t="shared" si="104"/>
        <v>50.798000000000002</v>
      </c>
      <c r="T507" s="135"/>
      <c r="U507" s="135"/>
      <c r="V507" s="135"/>
      <c r="W507" s="135"/>
      <c r="X507" s="136"/>
      <c r="Y507" s="50"/>
      <c r="Z507" s="50"/>
    </row>
    <row r="508" spans="1:26" ht="12.75" hidden="1" outlineLevel="1" x14ac:dyDescent="0.2">
      <c r="A508" s="50"/>
      <c r="B508" s="137"/>
      <c r="C508" s="70" t="s">
        <v>42</v>
      </c>
      <c r="D508" s="90">
        <v>-0.09</v>
      </c>
      <c r="E508" s="73">
        <v>1</v>
      </c>
      <c r="F508" s="73">
        <v>2</v>
      </c>
      <c r="G508" s="74">
        <f t="shared" si="98"/>
        <v>0.5</v>
      </c>
      <c r="H508" s="75">
        <f t="shared" si="99"/>
        <v>-0.09</v>
      </c>
      <c r="I508" s="76">
        <f t="shared" si="100"/>
        <v>-0.18</v>
      </c>
      <c r="J508" s="90">
        <v>0</v>
      </c>
      <c r="K508" s="73">
        <v>0</v>
      </c>
      <c r="L508" s="73">
        <v>0</v>
      </c>
      <c r="M508" s="91">
        <v>0</v>
      </c>
      <c r="N508" s="79" t="e">
        <f t="shared" si="182"/>
        <v>#DIV/0!</v>
      </c>
      <c r="O508" s="80" t="e">
        <f t="shared" si="101"/>
        <v>#DIV/0!</v>
      </c>
      <c r="P508" s="79">
        <f t="shared" si="102"/>
        <v>0</v>
      </c>
      <c r="Q508" s="81">
        <f t="shared" si="103"/>
        <v>0</v>
      </c>
      <c r="R508" s="92">
        <f t="shared" si="181"/>
        <v>-0.09</v>
      </c>
      <c r="S508" s="83" t="e">
        <f t="shared" si="104"/>
        <v>#DIV/0!</v>
      </c>
      <c r="T508" s="135"/>
      <c r="U508" s="135"/>
      <c r="V508" s="135"/>
      <c r="W508" s="135"/>
      <c r="X508" s="136"/>
      <c r="Y508" s="50"/>
      <c r="Z508" s="50"/>
    </row>
    <row r="509" spans="1:26" ht="12.75" hidden="1" outlineLevel="1" x14ac:dyDescent="0.2">
      <c r="A509" s="50"/>
      <c r="B509" s="137"/>
      <c r="C509" s="70" t="s">
        <v>43</v>
      </c>
      <c r="D509" s="105">
        <v>500.75</v>
      </c>
      <c r="E509" s="73">
        <v>5</v>
      </c>
      <c r="F509" s="73">
        <v>5</v>
      </c>
      <c r="G509" s="74">
        <f t="shared" si="98"/>
        <v>1</v>
      </c>
      <c r="H509" s="75">
        <f t="shared" si="99"/>
        <v>100.15</v>
      </c>
      <c r="I509" s="76">
        <f t="shared" si="100"/>
        <v>100.15</v>
      </c>
      <c r="J509" s="105">
        <v>26.68</v>
      </c>
      <c r="K509" s="73">
        <v>15003</v>
      </c>
      <c r="L509" s="73">
        <v>0</v>
      </c>
      <c r="M509" s="106">
        <v>0</v>
      </c>
      <c r="N509" s="79" t="e">
        <f t="shared" si="182"/>
        <v>#DIV/0!</v>
      </c>
      <c r="O509" s="80">
        <f t="shared" si="101"/>
        <v>0</v>
      </c>
      <c r="P509" s="79">
        <f t="shared" si="102"/>
        <v>5.3280079880179729E-2</v>
      </c>
      <c r="Q509" s="81">
        <f t="shared" si="103"/>
        <v>0</v>
      </c>
      <c r="R509" s="107">
        <f t="shared" si="181"/>
        <v>500.75</v>
      </c>
      <c r="S509" s="83" t="e">
        <f t="shared" si="104"/>
        <v>#DIV/0!</v>
      </c>
      <c r="T509" s="135"/>
      <c r="U509" s="135"/>
      <c r="V509" s="135"/>
      <c r="W509" s="135"/>
      <c r="X509" s="136"/>
      <c r="Y509" s="50"/>
      <c r="Z509" s="50"/>
    </row>
    <row r="510" spans="1:26" ht="12.75" hidden="1" outlineLevel="1" x14ac:dyDescent="0.2">
      <c r="A510" s="50"/>
      <c r="B510" s="137"/>
      <c r="C510" s="70" t="s">
        <v>44</v>
      </c>
      <c r="D510" s="108">
        <v>1303.55</v>
      </c>
      <c r="E510" s="73">
        <v>29</v>
      </c>
      <c r="F510" s="73">
        <v>31</v>
      </c>
      <c r="G510" s="74">
        <f t="shared" si="98"/>
        <v>0.93548387096774188</v>
      </c>
      <c r="H510" s="75">
        <f t="shared" si="99"/>
        <v>44.949999999999996</v>
      </c>
      <c r="I510" s="76">
        <f t="shared" si="100"/>
        <v>48.05</v>
      </c>
      <c r="J510" s="108">
        <v>149.07</v>
      </c>
      <c r="K510" s="73">
        <v>73351</v>
      </c>
      <c r="L510" s="73">
        <v>3</v>
      </c>
      <c r="M510" s="109">
        <v>134.85</v>
      </c>
      <c r="N510" s="79">
        <f t="shared" si="182"/>
        <v>1.1054505005561734</v>
      </c>
      <c r="O510" s="80">
        <f t="shared" si="101"/>
        <v>0.90460857315355203</v>
      </c>
      <c r="P510" s="79">
        <f t="shared" si="102"/>
        <v>0.11435694833339725</v>
      </c>
      <c r="Q510" s="81">
        <f t="shared" si="103"/>
        <v>0.10344827586206896</v>
      </c>
      <c r="R510" s="110">
        <f t="shared" si="181"/>
        <v>1168.7</v>
      </c>
      <c r="S510" s="83">
        <f t="shared" si="104"/>
        <v>49.69</v>
      </c>
      <c r="T510" s="135"/>
      <c r="U510" s="135"/>
      <c r="V510" s="135"/>
      <c r="W510" s="135"/>
      <c r="X510" s="136"/>
      <c r="Y510" s="50"/>
      <c r="Z510" s="50"/>
    </row>
    <row r="511" spans="1:26" ht="12.75" hidden="1" outlineLevel="1" x14ac:dyDescent="0.2">
      <c r="A511" s="139"/>
      <c r="B511" s="137"/>
      <c r="C511" s="112" t="s">
        <v>45</v>
      </c>
      <c r="D511" s="71">
        <v>84.85</v>
      </c>
      <c r="E511" s="73">
        <v>3</v>
      </c>
      <c r="F511" s="73">
        <v>2</v>
      </c>
      <c r="G511" s="74">
        <f t="shared" si="98"/>
        <v>1.5</v>
      </c>
      <c r="H511" s="75">
        <f t="shared" si="99"/>
        <v>28.283333333333331</v>
      </c>
      <c r="I511" s="76">
        <f t="shared" si="100"/>
        <v>18.855555555555554</v>
      </c>
      <c r="J511" s="71">
        <v>0</v>
      </c>
      <c r="K511" s="73">
        <v>0</v>
      </c>
      <c r="L511" s="73">
        <v>0</v>
      </c>
      <c r="M511" s="78">
        <v>0</v>
      </c>
      <c r="N511" s="79" t="e">
        <f t="shared" si="182"/>
        <v>#DIV/0!</v>
      </c>
      <c r="O511" s="80" t="e">
        <f t="shared" si="101"/>
        <v>#DIV/0!</v>
      </c>
      <c r="P511" s="79">
        <f t="shared" si="102"/>
        <v>0</v>
      </c>
      <c r="Q511" s="81">
        <f t="shared" si="103"/>
        <v>0</v>
      </c>
      <c r="R511" s="82">
        <f t="shared" si="181"/>
        <v>84.85</v>
      </c>
      <c r="S511" s="83" t="e">
        <f t="shared" si="104"/>
        <v>#DIV/0!</v>
      </c>
      <c r="T511" s="140"/>
      <c r="U511" s="140"/>
      <c r="V511" s="140"/>
      <c r="W511" s="141"/>
      <c r="X511" s="142"/>
      <c r="Y511" s="50"/>
      <c r="Z511" s="50"/>
    </row>
    <row r="512" spans="1:26" ht="12.75" hidden="1" outlineLevel="1" x14ac:dyDescent="0.2">
      <c r="A512" s="50"/>
      <c r="B512" s="137"/>
      <c r="C512" s="70" t="s">
        <v>46</v>
      </c>
      <c r="D512" s="116">
        <v>1625.15</v>
      </c>
      <c r="E512" s="73">
        <v>37</v>
      </c>
      <c r="F512" s="73">
        <v>36</v>
      </c>
      <c r="G512" s="74">
        <f t="shared" si="98"/>
        <v>1.0277777777777777</v>
      </c>
      <c r="H512" s="75">
        <f t="shared" si="99"/>
        <v>43.922972972972978</v>
      </c>
      <c r="I512" s="76">
        <f t="shared" si="100"/>
        <v>42.735865595325066</v>
      </c>
      <c r="J512" s="116">
        <v>146.27000000000001</v>
      </c>
      <c r="K512" s="73">
        <v>31773</v>
      </c>
      <c r="L512" s="73">
        <v>5</v>
      </c>
      <c r="M512" s="117">
        <v>173.8</v>
      </c>
      <c r="N512" s="79">
        <f t="shared" si="182"/>
        <v>0.84159953970080548</v>
      </c>
      <c r="O512" s="80">
        <f t="shared" si="101"/>
        <v>1.1882135776304095</v>
      </c>
      <c r="P512" s="79">
        <f t="shared" si="102"/>
        <v>9.0003999630803314E-2</v>
      </c>
      <c r="Q512" s="81">
        <f t="shared" si="103"/>
        <v>0.10694397440236286</v>
      </c>
      <c r="R512" s="82">
        <f t="shared" si="181"/>
        <v>1451.3500000000001</v>
      </c>
      <c r="S512" s="83">
        <f t="shared" si="104"/>
        <v>29.254000000000001</v>
      </c>
      <c r="T512" s="135"/>
      <c r="U512" s="135"/>
      <c r="V512" s="135"/>
      <c r="W512" s="135"/>
      <c r="X512" s="136"/>
      <c r="Y512" s="50"/>
      <c r="Z512" s="50"/>
    </row>
    <row r="513" spans="1:26" ht="12.75" hidden="1" outlineLevel="1" x14ac:dyDescent="0.2">
      <c r="A513" s="50"/>
      <c r="B513" s="137"/>
      <c r="C513" s="70" t="s">
        <v>49</v>
      </c>
      <c r="D513" s="116">
        <v>-439.5</v>
      </c>
      <c r="E513" s="73">
        <v>-9</v>
      </c>
      <c r="F513" s="73">
        <v>1</v>
      </c>
      <c r="G513" s="74">
        <f t="shared" si="98"/>
        <v>-9</v>
      </c>
      <c r="H513" s="75">
        <f t="shared" si="99"/>
        <v>48.833333333333336</v>
      </c>
      <c r="I513" s="76">
        <f t="shared" si="100"/>
        <v>-5.4259259259259265</v>
      </c>
      <c r="J513" s="116">
        <v>2.5099999999999998</v>
      </c>
      <c r="K513" s="73">
        <v>13162</v>
      </c>
      <c r="L513" s="73">
        <v>0</v>
      </c>
      <c r="M513" s="117">
        <v>0</v>
      </c>
      <c r="N513" s="79" t="e">
        <f t="shared" si="182"/>
        <v>#DIV/0!</v>
      </c>
      <c r="O513" s="80">
        <f t="shared" si="101"/>
        <v>0</v>
      </c>
      <c r="P513" s="79">
        <f t="shared" si="102"/>
        <v>-5.7110352673492596E-3</v>
      </c>
      <c r="Q513" s="81">
        <f t="shared" si="103"/>
        <v>0</v>
      </c>
      <c r="R513" s="82">
        <f t="shared" si="181"/>
        <v>-439.5</v>
      </c>
      <c r="S513" s="83" t="e">
        <f t="shared" si="104"/>
        <v>#DIV/0!</v>
      </c>
      <c r="T513" s="135"/>
      <c r="U513" s="135"/>
      <c r="V513" s="135"/>
      <c r="W513" s="135"/>
      <c r="X513" s="136"/>
      <c r="Y513" s="50"/>
      <c r="Z513" s="50"/>
    </row>
    <row r="514" spans="1:26" hidden="1" outlineLevel="1" x14ac:dyDescent="0.25">
      <c r="A514" s="118" t="str">
        <f t="shared" ref="A514:A515" si="183">IFERROR(IF(B514&gt;0,MONTH(B514)&amp;"-"&amp;YEAR(B514),B514),)</f>
        <v>8-2025</v>
      </c>
      <c r="B514" s="69">
        <v>45899</v>
      </c>
      <c r="C514" s="198" t="s">
        <v>64</v>
      </c>
      <c r="D514" s="116">
        <v>0</v>
      </c>
      <c r="E514" s="73">
        <v>0</v>
      </c>
      <c r="F514" s="73">
        <v>0</v>
      </c>
      <c r="G514" s="74" t="e">
        <f t="shared" si="98"/>
        <v>#DIV/0!</v>
      </c>
      <c r="H514" s="75" t="e">
        <f t="shared" si="99"/>
        <v>#DIV/0!</v>
      </c>
      <c r="I514" s="76" t="e">
        <f t="shared" si="100"/>
        <v>#DIV/0!</v>
      </c>
      <c r="J514" s="87">
        <v>658.4899999999999</v>
      </c>
      <c r="K514" s="199">
        <v>145902</v>
      </c>
      <c r="L514" s="73">
        <v>0</v>
      </c>
      <c r="M514" s="88">
        <v>2898.3700000000003</v>
      </c>
      <c r="N514" s="79">
        <f t="shared" si="182"/>
        <v>0.22719321549698618</v>
      </c>
      <c r="O514" s="80">
        <f t="shared" si="101"/>
        <v>4.4015398867105056</v>
      </c>
      <c r="P514" s="79" t="e">
        <f t="shared" si="102"/>
        <v>#DIV/0!</v>
      </c>
      <c r="Q514" s="81" t="e">
        <f t="shared" si="103"/>
        <v>#DIV/0!</v>
      </c>
      <c r="R514" s="82">
        <f t="shared" si="181"/>
        <v>-2898.3700000000003</v>
      </c>
      <c r="S514" s="83" t="e">
        <f t="shared" si="104"/>
        <v>#DIV/0!</v>
      </c>
      <c r="T514" s="135"/>
      <c r="U514" s="135"/>
      <c r="V514" s="135"/>
      <c r="W514" s="135"/>
      <c r="X514" s="136"/>
      <c r="Y514" s="50"/>
      <c r="Z514" s="50"/>
    </row>
    <row r="515" spans="1:26" ht="12.75" collapsed="1" x14ac:dyDescent="0.2">
      <c r="A515" s="50">
        <f t="shared" si="183"/>
        <v>0</v>
      </c>
      <c r="B515" s="52" t="s">
        <v>93</v>
      </c>
      <c r="C515" s="145"/>
      <c r="D515" s="121">
        <f t="shared" ref="D515:F515" si="184">SUM(D499:D514)</f>
        <v>53066.8</v>
      </c>
      <c r="E515" s="123">
        <f t="shared" si="184"/>
        <v>549</v>
      </c>
      <c r="F515" s="123">
        <f t="shared" si="184"/>
        <v>515</v>
      </c>
      <c r="G515" s="124">
        <f t="shared" si="98"/>
        <v>1.0660194174757283</v>
      </c>
      <c r="H515" s="125">
        <f t="shared" si="99"/>
        <v>96.660837887067402</v>
      </c>
      <c r="I515" s="126">
        <f t="shared" si="100"/>
        <v>90.674556487868315</v>
      </c>
      <c r="J515" s="121">
        <f t="shared" ref="J515:M515" si="185">SUM(J499:J514)</f>
        <v>3406.43</v>
      </c>
      <c r="K515" s="123">
        <f t="shared" si="185"/>
        <v>723003</v>
      </c>
      <c r="L515" s="123">
        <f t="shared" si="185"/>
        <v>25</v>
      </c>
      <c r="M515" s="127">
        <f t="shared" si="185"/>
        <v>5592.29</v>
      </c>
      <c r="N515" s="128">
        <f t="shared" si="182"/>
        <v>0.60912971251490888</v>
      </c>
      <c r="O515" s="129">
        <f t="shared" si="101"/>
        <v>1.6416864576697598</v>
      </c>
      <c r="P515" s="128">
        <f t="shared" si="102"/>
        <v>6.419135881568136E-2</v>
      </c>
      <c r="Q515" s="130">
        <f t="shared" si="103"/>
        <v>0.10538208446712445</v>
      </c>
      <c r="R515" s="131">
        <f>SUM(R499:R514)</f>
        <v>47474.509999999995</v>
      </c>
      <c r="S515" s="132">
        <f t="shared" si="104"/>
        <v>136.25719999999998</v>
      </c>
      <c r="T515" s="133">
        <f t="shared" ref="T515:U515" si="186">IFERROR((D515-D69)/D515,)</f>
        <v>0.85713628860228996</v>
      </c>
      <c r="U515" s="133">
        <f t="shared" si="186"/>
        <v>0.82877959927140255</v>
      </c>
      <c r="V515" s="271" t="s">
        <v>139</v>
      </c>
      <c r="W515" s="271" t="s">
        <v>139</v>
      </c>
      <c r="X515" s="50"/>
      <c r="Y515" s="50"/>
      <c r="Z515" s="50"/>
    </row>
    <row r="516" spans="1:26" ht="12.75" hidden="1" outlineLevel="1" x14ac:dyDescent="0.2">
      <c r="A516" s="50"/>
      <c r="B516" s="69">
        <v>45900</v>
      </c>
      <c r="C516" s="70" t="s">
        <v>32</v>
      </c>
      <c r="D516" s="71">
        <v>9451.59</v>
      </c>
      <c r="E516" s="73">
        <v>33</v>
      </c>
      <c r="F516" s="73">
        <v>34</v>
      </c>
      <c r="G516" s="74">
        <f t="shared" si="98"/>
        <v>0.97058823529411764</v>
      </c>
      <c r="H516" s="75">
        <f t="shared" si="99"/>
        <v>286.41181818181821</v>
      </c>
      <c r="I516" s="76">
        <f t="shared" si="100"/>
        <v>295.09096418732787</v>
      </c>
      <c r="J516" s="77">
        <v>1146.46</v>
      </c>
      <c r="K516" s="73">
        <v>223376</v>
      </c>
      <c r="L516" s="73">
        <v>9</v>
      </c>
      <c r="M516" s="78">
        <v>3006.7</v>
      </c>
      <c r="N516" s="79">
        <f t="shared" si="182"/>
        <v>0.3813017594039978</v>
      </c>
      <c r="O516" s="80">
        <f t="shared" si="101"/>
        <v>2.622594769987614</v>
      </c>
      <c r="P516" s="79">
        <f t="shared" si="102"/>
        <v>0.12129810963023153</v>
      </c>
      <c r="Q516" s="81">
        <f t="shared" si="103"/>
        <v>0.31811578792562945</v>
      </c>
      <c r="R516" s="82">
        <f t="shared" ref="R516:R531" si="187">D516-M516</f>
        <v>6444.89</v>
      </c>
      <c r="S516" s="83">
        <f t="shared" si="104"/>
        <v>127.38444444444445</v>
      </c>
      <c r="T516" s="135"/>
      <c r="U516" s="135"/>
      <c r="V516" s="135"/>
      <c r="W516" s="135"/>
      <c r="X516" s="136"/>
      <c r="Y516" s="50"/>
      <c r="Z516" s="50"/>
    </row>
    <row r="517" spans="1:26" ht="12.75" hidden="1" outlineLevel="1" x14ac:dyDescent="0.2">
      <c r="A517" s="50"/>
      <c r="B517" s="137"/>
      <c r="C517" s="70" t="s">
        <v>33</v>
      </c>
      <c r="D517" s="87">
        <v>6608.36</v>
      </c>
      <c r="E517" s="73">
        <v>60</v>
      </c>
      <c r="F517" s="73">
        <v>62</v>
      </c>
      <c r="G517" s="74">
        <f t="shared" si="98"/>
        <v>0.967741935483871</v>
      </c>
      <c r="H517" s="75">
        <f t="shared" si="99"/>
        <v>110.13933333333333</v>
      </c>
      <c r="I517" s="76">
        <f t="shared" si="100"/>
        <v>113.81064444444443</v>
      </c>
      <c r="J517" s="87">
        <v>495.4</v>
      </c>
      <c r="K517" s="73">
        <v>124118</v>
      </c>
      <c r="L517" s="73">
        <v>17</v>
      </c>
      <c r="M517" s="88">
        <v>2863.85</v>
      </c>
      <c r="N517" s="79">
        <f t="shared" si="182"/>
        <v>0.17298392024721965</v>
      </c>
      <c r="O517" s="80">
        <f t="shared" si="101"/>
        <v>5.780884134033105</v>
      </c>
      <c r="P517" s="79">
        <f t="shared" si="102"/>
        <v>7.4965649571149276E-2</v>
      </c>
      <c r="Q517" s="81">
        <f t="shared" si="103"/>
        <v>0.43336773420334246</v>
      </c>
      <c r="R517" s="89">
        <f t="shared" si="187"/>
        <v>3744.5099999999998</v>
      </c>
      <c r="S517" s="83">
        <f t="shared" si="104"/>
        <v>29.141176470588235</v>
      </c>
      <c r="T517" s="135"/>
      <c r="U517" s="135"/>
      <c r="V517" s="135"/>
      <c r="W517" s="135"/>
      <c r="X517" s="136"/>
      <c r="Y517" s="50"/>
      <c r="Z517" s="50"/>
    </row>
    <row r="518" spans="1:26" ht="12.75" hidden="1" outlineLevel="1" x14ac:dyDescent="0.2">
      <c r="A518" s="50"/>
      <c r="B518" s="137"/>
      <c r="C518" s="70" t="s">
        <v>34</v>
      </c>
      <c r="D518" s="90">
        <v>139.9</v>
      </c>
      <c r="E518" s="73">
        <v>2</v>
      </c>
      <c r="F518" s="73">
        <v>2</v>
      </c>
      <c r="G518" s="74">
        <f t="shared" si="98"/>
        <v>1</v>
      </c>
      <c r="H518" s="75">
        <f t="shared" si="99"/>
        <v>69.95</v>
      </c>
      <c r="I518" s="76">
        <f t="shared" si="100"/>
        <v>69.95</v>
      </c>
      <c r="J518" s="90">
        <v>20.239999999999998</v>
      </c>
      <c r="K518" s="73">
        <v>235</v>
      </c>
      <c r="L518" s="73">
        <v>0</v>
      </c>
      <c r="M518" s="91">
        <v>0</v>
      </c>
      <c r="N518" s="79" t="e">
        <f>(J518/M518)</f>
        <v>#DIV/0!</v>
      </c>
      <c r="O518" s="80">
        <f t="shared" si="101"/>
        <v>0</v>
      </c>
      <c r="P518" s="79">
        <f t="shared" si="102"/>
        <v>0.14467476769120799</v>
      </c>
      <c r="Q518" s="81">
        <f t="shared" si="103"/>
        <v>0</v>
      </c>
      <c r="R518" s="92">
        <f t="shared" si="187"/>
        <v>139.9</v>
      </c>
      <c r="S518" s="83" t="e">
        <f t="shared" si="104"/>
        <v>#DIV/0!</v>
      </c>
      <c r="T518" s="135"/>
      <c r="U518" s="135"/>
      <c r="V518" s="135"/>
      <c r="W518" s="135"/>
      <c r="X518" s="136"/>
      <c r="Y518" s="50"/>
      <c r="Z518" s="50"/>
    </row>
    <row r="519" spans="1:26" ht="12.75" hidden="1" outlineLevel="1" x14ac:dyDescent="0.2">
      <c r="A519" s="50"/>
      <c r="B519" s="137"/>
      <c r="C519" s="70" t="s">
        <v>35</v>
      </c>
      <c r="D519" s="90">
        <v>545.54999999999995</v>
      </c>
      <c r="E519" s="73">
        <v>9</v>
      </c>
      <c r="F519" s="73">
        <v>9</v>
      </c>
      <c r="G519" s="74">
        <f t="shared" si="98"/>
        <v>1</v>
      </c>
      <c r="H519" s="75">
        <f t="shared" si="99"/>
        <v>60.61666666666666</v>
      </c>
      <c r="I519" s="76">
        <f t="shared" si="100"/>
        <v>60.61666666666666</v>
      </c>
      <c r="J519" s="90">
        <v>287.41000000000003</v>
      </c>
      <c r="K519" s="73">
        <v>22597</v>
      </c>
      <c r="L519" s="73">
        <v>5</v>
      </c>
      <c r="M519" s="91">
        <v>299.75</v>
      </c>
      <c r="N519" s="79">
        <f t="shared" ref="N519:N534" si="188">J519/M519</f>
        <v>0.95883236030025032</v>
      </c>
      <c r="O519" s="80">
        <f t="shared" si="101"/>
        <v>1.0429351797084303</v>
      </c>
      <c r="P519" s="79">
        <f t="shared" si="102"/>
        <v>0.5268261387590506</v>
      </c>
      <c r="Q519" s="81">
        <f t="shared" si="103"/>
        <v>0.54944551370176886</v>
      </c>
      <c r="R519" s="92">
        <f t="shared" si="187"/>
        <v>245.79999999999995</v>
      </c>
      <c r="S519" s="83">
        <f t="shared" si="104"/>
        <v>57.482000000000006</v>
      </c>
      <c r="T519" s="135"/>
      <c r="U519" s="135"/>
      <c r="V519" s="135"/>
      <c r="W519" s="135"/>
      <c r="X519" s="136"/>
      <c r="Y519" s="50"/>
      <c r="Z519" s="50"/>
    </row>
    <row r="520" spans="1:26" ht="12.75" hidden="1" outlineLevel="1" x14ac:dyDescent="0.2">
      <c r="A520" s="50"/>
      <c r="B520" s="137"/>
      <c r="C520" s="70" t="s">
        <v>36</v>
      </c>
      <c r="D520" s="90">
        <v>719.45</v>
      </c>
      <c r="E520" s="73">
        <v>11</v>
      </c>
      <c r="F520" s="73">
        <v>10</v>
      </c>
      <c r="G520" s="74">
        <f t="shared" si="98"/>
        <v>1.1000000000000001</v>
      </c>
      <c r="H520" s="75">
        <f t="shared" si="99"/>
        <v>65.404545454545456</v>
      </c>
      <c r="I520" s="76">
        <f t="shared" si="100"/>
        <v>59.458677685950413</v>
      </c>
      <c r="J520" s="90">
        <v>127.66</v>
      </c>
      <c r="K520" s="73">
        <v>21787</v>
      </c>
      <c r="L520" s="73">
        <v>3</v>
      </c>
      <c r="M520" s="91">
        <v>189.85</v>
      </c>
      <c r="N520" s="79">
        <f t="shared" si="188"/>
        <v>0.67242559915722944</v>
      </c>
      <c r="O520" s="80">
        <f t="shared" si="101"/>
        <v>1.4871533761554128</v>
      </c>
      <c r="P520" s="79">
        <f t="shared" si="102"/>
        <v>0.17744110084092013</v>
      </c>
      <c r="Q520" s="81">
        <f t="shared" si="103"/>
        <v>0.26388213218430745</v>
      </c>
      <c r="R520" s="92">
        <f t="shared" si="187"/>
        <v>529.6</v>
      </c>
      <c r="S520" s="83">
        <f t="shared" si="104"/>
        <v>42.553333333333335</v>
      </c>
      <c r="T520" s="135"/>
      <c r="U520" s="135"/>
      <c r="V520" s="135"/>
      <c r="W520" s="135"/>
      <c r="X520" s="136"/>
      <c r="Y520" s="50"/>
      <c r="Z520" s="50"/>
    </row>
    <row r="521" spans="1:26" ht="12.75" hidden="1" outlineLevel="1" x14ac:dyDescent="0.2">
      <c r="A521" s="50"/>
      <c r="B521" s="69" t="s">
        <v>37</v>
      </c>
      <c r="C521" s="70" t="s">
        <v>38</v>
      </c>
      <c r="D521" s="93">
        <v>299.7</v>
      </c>
      <c r="E521" s="73">
        <v>6</v>
      </c>
      <c r="F521" s="73">
        <v>8</v>
      </c>
      <c r="G521" s="74">
        <f t="shared" si="98"/>
        <v>0.75</v>
      </c>
      <c r="H521" s="75">
        <f t="shared" si="99"/>
        <v>49.949999999999996</v>
      </c>
      <c r="I521" s="76">
        <f t="shared" si="100"/>
        <v>66.599999999999994</v>
      </c>
      <c r="J521" s="93">
        <v>32.57</v>
      </c>
      <c r="K521" s="73">
        <v>13136</v>
      </c>
      <c r="L521" s="73">
        <v>0</v>
      </c>
      <c r="M521" s="94">
        <v>0</v>
      </c>
      <c r="N521" s="79" t="e">
        <f t="shared" si="188"/>
        <v>#DIV/0!</v>
      </c>
      <c r="O521" s="80">
        <f t="shared" si="101"/>
        <v>0</v>
      </c>
      <c r="P521" s="79">
        <f t="shared" si="102"/>
        <v>0.10867534200867535</v>
      </c>
      <c r="Q521" s="81">
        <f t="shared" si="103"/>
        <v>0</v>
      </c>
      <c r="R521" s="95">
        <f t="shared" si="187"/>
        <v>299.7</v>
      </c>
      <c r="S521" s="83" t="e">
        <f t="shared" si="104"/>
        <v>#DIV/0!</v>
      </c>
      <c r="T521" s="135"/>
      <c r="U521" s="135"/>
      <c r="V521" s="135"/>
      <c r="W521" s="135"/>
      <c r="X521" s="136"/>
      <c r="Y521" s="50"/>
      <c r="Z521" s="50"/>
    </row>
    <row r="522" spans="1:26" ht="12.75" hidden="1" outlineLevel="1" x14ac:dyDescent="0.2">
      <c r="A522" s="50"/>
      <c r="B522" s="137"/>
      <c r="C522" s="70" t="s">
        <v>39</v>
      </c>
      <c r="D522" s="96">
        <v>0</v>
      </c>
      <c r="E522" s="73">
        <v>0</v>
      </c>
      <c r="F522" s="73">
        <v>0</v>
      </c>
      <c r="G522" s="74" t="e">
        <f t="shared" si="98"/>
        <v>#DIV/0!</v>
      </c>
      <c r="H522" s="75" t="e">
        <f t="shared" si="99"/>
        <v>#DIV/0!</v>
      </c>
      <c r="I522" s="76" t="e">
        <f t="shared" si="100"/>
        <v>#DIV/0!</v>
      </c>
      <c r="J522" s="96">
        <v>0</v>
      </c>
      <c r="K522" s="73">
        <v>0</v>
      </c>
      <c r="L522" s="73">
        <v>0</v>
      </c>
      <c r="M522" s="97">
        <v>0</v>
      </c>
      <c r="N522" s="79" t="e">
        <f t="shared" si="188"/>
        <v>#DIV/0!</v>
      </c>
      <c r="O522" s="80" t="e">
        <f t="shared" si="101"/>
        <v>#DIV/0!</v>
      </c>
      <c r="P522" s="79" t="e">
        <f t="shared" si="102"/>
        <v>#DIV/0!</v>
      </c>
      <c r="Q522" s="81" t="e">
        <f t="shared" si="103"/>
        <v>#DIV/0!</v>
      </c>
      <c r="R522" s="98">
        <f t="shared" si="187"/>
        <v>0</v>
      </c>
      <c r="S522" s="83" t="e">
        <f t="shared" si="104"/>
        <v>#DIV/0!</v>
      </c>
      <c r="T522" s="135"/>
      <c r="U522" s="135"/>
      <c r="V522" s="135"/>
      <c r="W522" s="135"/>
      <c r="X522" s="136"/>
      <c r="Y522" s="50"/>
      <c r="Z522" s="50"/>
    </row>
    <row r="523" spans="1:26" ht="12.75" hidden="1" outlineLevel="1" x14ac:dyDescent="0.2">
      <c r="A523" s="50"/>
      <c r="B523" s="137"/>
      <c r="C523" s="70" t="s">
        <v>40</v>
      </c>
      <c r="D523" s="99">
        <v>219.8</v>
      </c>
      <c r="E523" s="73">
        <v>4</v>
      </c>
      <c r="F523" s="73">
        <v>5</v>
      </c>
      <c r="G523" s="74">
        <f t="shared" ref="G523:G777" si="189">E523/F523</f>
        <v>0.8</v>
      </c>
      <c r="H523" s="75">
        <f t="shared" ref="H523:H777" si="190">D523/E523</f>
        <v>54.95</v>
      </c>
      <c r="I523" s="76">
        <f t="shared" ref="I523:I777" si="191">H523/G523</f>
        <v>68.6875</v>
      </c>
      <c r="J523" s="99">
        <v>0</v>
      </c>
      <c r="K523" s="73">
        <v>0</v>
      </c>
      <c r="L523" s="73">
        <v>0</v>
      </c>
      <c r="M523" s="100">
        <v>0</v>
      </c>
      <c r="N523" s="79" t="e">
        <f t="shared" si="188"/>
        <v>#DIV/0!</v>
      </c>
      <c r="O523" s="80" t="e">
        <f t="shared" ref="O523:O777" si="192">M523/J523</f>
        <v>#DIV/0!</v>
      </c>
      <c r="P523" s="79">
        <f t="shared" ref="P523:P777" si="193">J523/D523</f>
        <v>0</v>
      </c>
      <c r="Q523" s="81">
        <f t="shared" ref="Q523:Q777" si="194">M523/D523</f>
        <v>0</v>
      </c>
      <c r="R523" s="101">
        <f t="shared" si="187"/>
        <v>219.8</v>
      </c>
      <c r="S523" s="83" t="e">
        <f t="shared" ref="S523:S777" si="195">J523/L523</f>
        <v>#DIV/0!</v>
      </c>
      <c r="T523" s="135"/>
      <c r="U523" s="135"/>
      <c r="V523" s="135"/>
      <c r="W523" s="135"/>
      <c r="X523" s="136"/>
      <c r="Y523" s="50"/>
      <c r="Z523" s="50"/>
    </row>
    <row r="524" spans="1:26" ht="12.75" hidden="1" outlineLevel="1" x14ac:dyDescent="0.2">
      <c r="A524" s="50"/>
      <c r="B524" s="137"/>
      <c r="C524" s="70" t="s">
        <v>41</v>
      </c>
      <c r="D524" s="102">
        <v>1526.27</v>
      </c>
      <c r="E524" s="73">
        <v>17</v>
      </c>
      <c r="F524" s="73">
        <v>18</v>
      </c>
      <c r="G524" s="74">
        <f t="shared" si="189"/>
        <v>0.94444444444444442</v>
      </c>
      <c r="H524" s="75">
        <f t="shared" si="190"/>
        <v>89.780588235294118</v>
      </c>
      <c r="I524" s="76">
        <f t="shared" si="191"/>
        <v>95.061799307958481</v>
      </c>
      <c r="J524" s="102">
        <v>394.92</v>
      </c>
      <c r="K524" s="73">
        <v>28872</v>
      </c>
      <c r="L524" s="73">
        <v>5</v>
      </c>
      <c r="M524" s="103">
        <v>582.66999999999996</v>
      </c>
      <c r="N524" s="79">
        <f t="shared" si="188"/>
        <v>0.67777644292652794</v>
      </c>
      <c r="O524" s="80">
        <f t="shared" si="192"/>
        <v>1.4754127418211282</v>
      </c>
      <c r="P524" s="79">
        <f t="shared" si="193"/>
        <v>0.2587484521087357</v>
      </c>
      <c r="Q524" s="81">
        <f t="shared" si="194"/>
        <v>0.38176076316772262</v>
      </c>
      <c r="R524" s="104">
        <f t="shared" si="187"/>
        <v>943.6</v>
      </c>
      <c r="S524" s="83">
        <f t="shared" si="195"/>
        <v>78.984000000000009</v>
      </c>
      <c r="T524" s="135"/>
      <c r="U524" s="135"/>
      <c r="V524" s="135"/>
      <c r="W524" s="135"/>
      <c r="X524" s="136"/>
      <c r="Y524" s="50"/>
      <c r="Z524" s="50"/>
    </row>
    <row r="525" spans="1:26" ht="12.75" hidden="1" outlineLevel="1" x14ac:dyDescent="0.2">
      <c r="A525" s="50"/>
      <c r="B525" s="137"/>
      <c r="C525" s="70" t="s">
        <v>42</v>
      </c>
      <c r="D525" s="90">
        <v>9.9499999999999993</v>
      </c>
      <c r="E525" s="73">
        <v>1</v>
      </c>
      <c r="F525" s="73">
        <v>1</v>
      </c>
      <c r="G525" s="74">
        <f t="shared" si="189"/>
        <v>1</v>
      </c>
      <c r="H525" s="75">
        <f t="shared" si="190"/>
        <v>9.9499999999999993</v>
      </c>
      <c r="I525" s="76">
        <f t="shared" si="191"/>
        <v>9.9499999999999993</v>
      </c>
      <c r="J525" s="90">
        <v>0</v>
      </c>
      <c r="K525" s="73">
        <v>0</v>
      </c>
      <c r="L525" s="73">
        <v>0</v>
      </c>
      <c r="M525" s="91">
        <v>0</v>
      </c>
      <c r="N525" s="79" t="e">
        <f t="shared" si="188"/>
        <v>#DIV/0!</v>
      </c>
      <c r="O525" s="80" t="e">
        <f t="shared" si="192"/>
        <v>#DIV/0!</v>
      </c>
      <c r="P525" s="79">
        <f t="shared" si="193"/>
        <v>0</v>
      </c>
      <c r="Q525" s="81">
        <f t="shared" si="194"/>
        <v>0</v>
      </c>
      <c r="R525" s="92">
        <f t="shared" si="187"/>
        <v>9.9499999999999993</v>
      </c>
      <c r="S525" s="83" t="e">
        <f t="shared" si="195"/>
        <v>#DIV/0!</v>
      </c>
      <c r="T525" s="135"/>
      <c r="U525" s="135"/>
      <c r="V525" s="135"/>
      <c r="W525" s="135"/>
      <c r="X525" s="136"/>
      <c r="Y525" s="50"/>
      <c r="Z525" s="50"/>
    </row>
    <row r="526" spans="1:26" ht="12.75" hidden="1" outlineLevel="1" x14ac:dyDescent="0.2">
      <c r="A526" s="50"/>
      <c r="B526" s="137"/>
      <c r="C526" s="70" t="s">
        <v>43</v>
      </c>
      <c r="D526" s="105">
        <v>586.85</v>
      </c>
      <c r="E526" s="73">
        <v>3</v>
      </c>
      <c r="F526" s="73">
        <v>4</v>
      </c>
      <c r="G526" s="74">
        <f t="shared" si="189"/>
        <v>0.75</v>
      </c>
      <c r="H526" s="75">
        <f t="shared" si="190"/>
        <v>195.61666666666667</v>
      </c>
      <c r="I526" s="76">
        <f t="shared" si="191"/>
        <v>260.82222222222225</v>
      </c>
      <c r="J526" s="105">
        <v>53.96</v>
      </c>
      <c r="K526" s="73">
        <v>14217</v>
      </c>
      <c r="L526" s="73">
        <v>2</v>
      </c>
      <c r="M526" s="106">
        <v>210.95</v>
      </c>
      <c r="N526" s="79">
        <f t="shared" si="188"/>
        <v>0.25579521213557715</v>
      </c>
      <c r="O526" s="80">
        <f t="shared" si="192"/>
        <v>3.909377316530763</v>
      </c>
      <c r="P526" s="79">
        <f t="shared" si="193"/>
        <v>9.1948538808894947E-2</v>
      </c>
      <c r="Q526" s="81">
        <f t="shared" si="194"/>
        <v>0.35946153190764246</v>
      </c>
      <c r="R526" s="107">
        <f t="shared" si="187"/>
        <v>375.90000000000003</v>
      </c>
      <c r="S526" s="83">
        <f t="shared" si="195"/>
        <v>26.98</v>
      </c>
      <c r="T526" s="135"/>
      <c r="U526" s="135"/>
      <c r="V526" s="135"/>
      <c r="W526" s="135"/>
      <c r="X526" s="136"/>
      <c r="Y526" s="50"/>
      <c r="Z526" s="50"/>
    </row>
    <row r="527" spans="1:26" ht="12.75" hidden="1" outlineLevel="1" x14ac:dyDescent="0.2">
      <c r="A527" s="50"/>
      <c r="B527" s="137"/>
      <c r="C527" s="70" t="s">
        <v>44</v>
      </c>
      <c r="D527" s="108">
        <v>314.64999999999998</v>
      </c>
      <c r="E527" s="73">
        <v>7</v>
      </c>
      <c r="F527" s="73">
        <v>7</v>
      </c>
      <c r="G527" s="74">
        <f t="shared" si="189"/>
        <v>1</v>
      </c>
      <c r="H527" s="75">
        <f t="shared" si="190"/>
        <v>44.949999999999996</v>
      </c>
      <c r="I527" s="76">
        <f t="shared" si="191"/>
        <v>44.949999999999996</v>
      </c>
      <c r="J527" s="108">
        <v>145.41999999999999</v>
      </c>
      <c r="K527" s="73">
        <v>69627</v>
      </c>
      <c r="L527" s="73">
        <v>6</v>
      </c>
      <c r="M527" s="109">
        <v>269.7</v>
      </c>
      <c r="N527" s="79">
        <f t="shared" si="188"/>
        <v>0.53919169447534299</v>
      </c>
      <c r="O527" s="80">
        <f t="shared" si="192"/>
        <v>1.8546279741438592</v>
      </c>
      <c r="P527" s="79">
        <f t="shared" si="193"/>
        <v>0.46216430955029397</v>
      </c>
      <c r="Q527" s="81">
        <f t="shared" si="194"/>
        <v>0.85714285714285721</v>
      </c>
      <c r="R527" s="110">
        <f t="shared" si="187"/>
        <v>44.949999999999989</v>
      </c>
      <c r="S527" s="83">
        <f t="shared" si="195"/>
        <v>24.236666666666665</v>
      </c>
      <c r="T527" s="135"/>
      <c r="U527" s="135"/>
      <c r="V527" s="135"/>
      <c r="W527" s="135"/>
      <c r="X527" s="136"/>
      <c r="Y527" s="50"/>
      <c r="Z527" s="50"/>
    </row>
    <row r="528" spans="1:26" ht="12.75" hidden="1" outlineLevel="1" x14ac:dyDescent="0.2">
      <c r="A528" s="139"/>
      <c r="B528" s="137"/>
      <c r="C528" s="112" t="s">
        <v>45</v>
      </c>
      <c r="D528" s="71">
        <v>59.9</v>
      </c>
      <c r="E528" s="73">
        <v>2</v>
      </c>
      <c r="F528" s="73">
        <v>1</v>
      </c>
      <c r="G528" s="74">
        <f t="shared" si="189"/>
        <v>2</v>
      </c>
      <c r="H528" s="75">
        <f t="shared" si="190"/>
        <v>29.95</v>
      </c>
      <c r="I528" s="76">
        <f t="shared" si="191"/>
        <v>14.975</v>
      </c>
      <c r="J528" s="71">
        <v>0</v>
      </c>
      <c r="K528" s="73">
        <v>0</v>
      </c>
      <c r="L528" s="73">
        <v>0</v>
      </c>
      <c r="M528" s="78">
        <v>0</v>
      </c>
      <c r="N528" s="79" t="e">
        <f t="shared" si="188"/>
        <v>#DIV/0!</v>
      </c>
      <c r="O528" s="80" t="e">
        <f t="shared" si="192"/>
        <v>#DIV/0!</v>
      </c>
      <c r="P528" s="79">
        <f t="shared" si="193"/>
        <v>0</v>
      </c>
      <c r="Q528" s="81">
        <f t="shared" si="194"/>
        <v>0</v>
      </c>
      <c r="R528" s="82">
        <f t="shared" si="187"/>
        <v>59.9</v>
      </c>
      <c r="S528" s="83" t="e">
        <f t="shared" si="195"/>
        <v>#DIV/0!</v>
      </c>
      <c r="T528" s="140"/>
      <c r="U528" s="140"/>
      <c r="V528" s="140"/>
      <c r="W528" s="141"/>
      <c r="X528" s="142"/>
      <c r="Y528" s="50"/>
      <c r="Z528" s="50"/>
    </row>
    <row r="529" spans="1:26" ht="12.75" hidden="1" outlineLevel="1" x14ac:dyDescent="0.2">
      <c r="A529" s="50"/>
      <c r="B529" s="137"/>
      <c r="C529" s="70" t="s">
        <v>46</v>
      </c>
      <c r="D529" s="116">
        <v>958.9</v>
      </c>
      <c r="E529" s="73">
        <v>22</v>
      </c>
      <c r="F529" s="73">
        <v>24</v>
      </c>
      <c r="G529" s="74">
        <f t="shared" si="189"/>
        <v>0.91666666666666663</v>
      </c>
      <c r="H529" s="75">
        <f t="shared" si="190"/>
        <v>43.586363636363636</v>
      </c>
      <c r="I529" s="76">
        <f t="shared" si="191"/>
        <v>47.548760330578517</v>
      </c>
      <c r="J529" s="116">
        <v>105.6</v>
      </c>
      <c r="K529" s="73">
        <v>28622</v>
      </c>
      <c r="L529" s="73">
        <v>5</v>
      </c>
      <c r="M529" s="117">
        <v>218.75</v>
      </c>
      <c r="N529" s="79">
        <f t="shared" si="188"/>
        <v>0.48274285714285714</v>
      </c>
      <c r="O529" s="80">
        <f t="shared" si="192"/>
        <v>2.0714962121212124</v>
      </c>
      <c r="P529" s="79">
        <f t="shared" si="193"/>
        <v>0.11012618625508394</v>
      </c>
      <c r="Q529" s="81">
        <f t="shared" si="194"/>
        <v>0.22812597768276149</v>
      </c>
      <c r="R529" s="82">
        <f t="shared" si="187"/>
        <v>740.15</v>
      </c>
      <c r="S529" s="83">
        <f t="shared" si="195"/>
        <v>21.119999999999997</v>
      </c>
      <c r="T529" s="135"/>
      <c r="U529" s="135"/>
      <c r="V529" s="135"/>
      <c r="W529" s="135"/>
      <c r="X529" s="136"/>
      <c r="Y529" s="50"/>
      <c r="Z529" s="50"/>
    </row>
    <row r="530" spans="1:26" ht="12.75" hidden="1" outlineLevel="1" x14ac:dyDescent="0.2">
      <c r="A530" s="50"/>
      <c r="B530" s="137"/>
      <c r="C530" s="70" t="s">
        <v>49</v>
      </c>
      <c r="D530" s="116">
        <v>0</v>
      </c>
      <c r="E530" s="73">
        <v>0</v>
      </c>
      <c r="F530" s="73">
        <v>0</v>
      </c>
      <c r="G530" s="74" t="e">
        <f t="shared" si="189"/>
        <v>#DIV/0!</v>
      </c>
      <c r="H530" s="75" t="e">
        <f t="shared" si="190"/>
        <v>#DIV/0!</v>
      </c>
      <c r="I530" s="76" t="e">
        <f t="shared" si="191"/>
        <v>#DIV/0!</v>
      </c>
      <c r="J530" s="116">
        <v>2.4900000000000002</v>
      </c>
      <c r="K530" s="73">
        <v>10639</v>
      </c>
      <c r="L530" s="73">
        <v>0</v>
      </c>
      <c r="M530" s="117">
        <v>0</v>
      </c>
      <c r="N530" s="79" t="e">
        <f t="shared" si="188"/>
        <v>#DIV/0!</v>
      </c>
      <c r="O530" s="80">
        <f t="shared" si="192"/>
        <v>0</v>
      </c>
      <c r="P530" s="79" t="e">
        <f t="shared" si="193"/>
        <v>#DIV/0!</v>
      </c>
      <c r="Q530" s="81" t="e">
        <f t="shared" si="194"/>
        <v>#DIV/0!</v>
      </c>
      <c r="R530" s="82">
        <f t="shared" si="187"/>
        <v>0</v>
      </c>
      <c r="S530" s="83" t="e">
        <f t="shared" si="195"/>
        <v>#DIV/0!</v>
      </c>
      <c r="T530" s="135"/>
      <c r="U530" s="135"/>
      <c r="V530" s="135"/>
      <c r="W530" s="135"/>
      <c r="X530" s="136"/>
      <c r="Y530" s="50"/>
      <c r="Z530" s="50"/>
    </row>
    <row r="531" spans="1:26" hidden="1" outlineLevel="1" x14ac:dyDescent="0.25">
      <c r="A531" s="118" t="str">
        <f t="shared" ref="A531:A532" si="196">IFERROR(IF(B531&gt;0,MONTH(B531)&amp;"-"&amp;YEAR(B531),B531),)</f>
        <v>9-2025</v>
      </c>
      <c r="B531" s="69">
        <v>45906</v>
      </c>
      <c r="C531" s="198" t="s">
        <v>64</v>
      </c>
      <c r="D531" s="116">
        <v>0</v>
      </c>
      <c r="E531" s="73">
        <v>0</v>
      </c>
      <c r="F531" s="73">
        <v>0</v>
      </c>
      <c r="G531" s="74" t="e">
        <f t="shared" si="189"/>
        <v>#DIV/0!</v>
      </c>
      <c r="H531" s="75" t="e">
        <f t="shared" si="190"/>
        <v>#DIV/0!</v>
      </c>
      <c r="I531" s="76" t="e">
        <f t="shared" si="191"/>
        <v>#DIV/0!</v>
      </c>
      <c r="J531" s="87">
        <v>839.62000000000012</v>
      </c>
      <c r="K531" s="199">
        <v>188037</v>
      </c>
      <c r="L531" s="73">
        <v>0</v>
      </c>
      <c r="M531" s="88">
        <v>2485.4500000000003</v>
      </c>
      <c r="N531" s="79">
        <f t="shared" si="188"/>
        <v>0.33781407793357343</v>
      </c>
      <c r="O531" s="80">
        <f t="shared" si="192"/>
        <v>2.9602081894190229</v>
      </c>
      <c r="P531" s="79" t="e">
        <f t="shared" si="193"/>
        <v>#DIV/0!</v>
      </c>
      <c r="Q531" s="81" t="e">
        <f t="shared" si="194"/>
        <v>#DIV/0!</v>
      </c>
      <c r="R531" s="82">
        <f t="shared" si="187"/>
        <v>-2485.4500000000003</v>
      </c>
      <c r="S531" s="83" t="e">
        <f t="shared" si="195"/>
        <v>#DIV/0!</v>
      </c>
      <c r="T531" s="135"/>
      <c r="U531" s="135"/>
      <c r="V531" s="135"/>
      <c r="W531" s="135"/>
      <c r="X531" s="136"/>
      <c r="Y531" s="50"/>
      <c r="Z531" s="50"/>
    </row>
    <row r="532" spans="1:26" ht="12.75" collapsed="1" x14ac:dyDescent="0.2">
      <c r="A532" s="50">
        <f t="shared" si="196"/>
        <v>0</v>
      </c>
      <c r="B532" s="52" t="s">
        <v>94</v>
      </c>
      <c r="C532" s="145"/>
      <c r="D532" s="121">
        <f t="shared" ref="D532:F532" si="197">SUM(D516:D531)</f>
        <v>21440.870000000006</v>
      </c>
      <c r="E532" s="123">
        <f t="shared" si="197"/>
        <v>177</v>
      </c>
      <c r="F532" s="123">
        <f t="shared" si="197"/>
        <v>185</v>
      </c>
      <c r="G532" s="124">
        <f t="shared" si="189"/>
        <v>0.95675675675675675</v>
      </c>
      <c r="H532" s="125">
        <f t="shared" si="190"/>
        <v>121.13485875706218</v>
      </c>
      <c r="I532" s="126">
        <f t="shared" si="191"/>
        <v>126.60988062178815</v>
      </c>
      <c r="J532" s="121">
        <f t="shared" ref="J532:M532" si="198">SUM(J516:J531)</f>
        <v>3651.75</v>
      </c>
      <c r="K532" s="123">
        <f t="shared" si="198"/>
        <v>745263</v>
      </c>
      <c r="L532" s="123">
        <f t="shared" si="198"/>
        <v>52</v>
      </c>
      <c r="M532" s="127">
        <f t="shared" si="198"/>
        <v>10127.67</v>
      </c>
      <c r="N532" s="128">
        <f t="shared" si="188"/>
        <v>0.36057158260488342</v>
      </c>
      <c r="O532" s="129">
        <f t="shared" si="192"/>
        <v>2.7733744095296777</v>
      </c>
      <c r="P532" s="128">
        <f t="shared" si="193"/>
        <v>0.17031724925341177</v>
      </c>
      <c r="Q532" s="130">
        <f t="shared" si="194"/>
        <v>0.47235350058089981</v>
      </c>
      <c r="R532" s="131">
        <f>SUM(R516:R531)</f>
        <v>11313.199999999999</v>
      </c>
      <c r="S532" s="132">
        <f t="shared" si="195"/>
        <v>70.225961538461533</v>
      </c>
      <c r="T532" s="133">
        <f t="shared" ref="T532:U532" si="199">IFERROR((D532-D69)/D532,)</f>
        <v>0.64640800489905514</v>
      </c>
      <c r="U532" s="133">
        <f t="shared" si="199"/>
        <v>0.46892655367231639</v>
      </c>
      <c r="V532" s="271" t="s">
        <v>139</v>
      </c>
      <c r="W532" s="271" t="s">
        <v>139</v>
      </c>
      <c r="X532" s="50"/>
      <c r="Y532" s="50"/>
      <c r="Z532" s="50"/>
    </row>
    <row r="533" spans="1:26" ht="12.75" hidden="1" outlineLevel="1" x14ac:dyDescent="0.2">
      <c r="A533" s="50"/>
      <c r="B533" s="69">
        <v>45907</v>
      </c>
      <c r="C533" s="70" t="s">
        <v>32</v>
      </c>
      <c r="D533" s="71">
        <v>1746.1</v>
      </c>
      <c r="E533" s="73">
        <v>10</v>
      </c>
      <c r="F533" s="73">
        <v>13</v>
      </c>
      <c r="G533" s="74">
        <f t="shared" si="189"/>
        <v>0.76923076923076927</v>
      </c>
      <c r="H533" s="75">
        <f t="shared" si="190"/>
        <v>174.60999999999999</v>
      </c>
      <c r="I533" s="76">
        <f t="shared" si="191"/>
        <v>226.99299999999997</v>
      </c>
      <c r="J533" s="77">
        <v>854.46</v>
      </c>
      <c r="K533" s="73">
        <v>178937</v>
      </c>
      <c r="L533" s="73">
        <v>3</v>
      </c>
      <c r="M533" s="78">
        <v>2267</v>
      </c>
      <c r="N533" s="79">
        <f t="shared" si="188"/>
        <v>0.37691221879135423</v>
      </c>
      <c r="O533" s="80">
        <f t="shared" si="192"/>
        <v>2.6531376541909508</v>
      </c>
      <c r="P533" s="79">
        <f t="shared" si="193"/>
        <v>0.48935341618464012</v>
      </c>
      <c r="Q533" s="81">
        <f t="shared" si="194"/>
        <v>1.2983219746864441</v>
      </c>
      <c r="R533" s="82">
        <f t="shared" ref="R533:R548" si="200">D533-M533</f>
        <v>-520.90000000000009</v>
      </c>
      <c r="S533" s="83">
        <f t="shared" si="195"/>
        <v>284.82</v>
      </c>
      <c r="T533" s="135"/>
      <c r="U533" s="135"/>
      <c r="V533" s="135"/>
      <c r="W533" s="135"/>
      <c r="X533" s="136"/>
      <c r="Y533" s="50"/>
      <c r="Z533" s="50"/>
    </row>
    <row r="534" spans="1:26" ht="12.75" hidden="1" outlineLevel="1" x14ac:dyDescent="0.2">
      <c r="A534" s="50"/>
      <c r="B534" s="137"/>
      <c r="C534" s="70" t="s">
        <v>33</v>
      </c>
      <c r="D534" s="87">
        <v>7724.65</v>
      </c>
      <c r="E534" s="73">
        <v>67</v>
      </c>
      <c r="F534" s="73">
        <v>65</v>
      </c>
      <c r="G534" s="74">
        <f t="shared" si="189"/>
        <v>1.0307692307692307</v>
      </c>
      <c r="H534" s="75">
        <f t="shared" si="190"/>
        <v>115.29328358208954</v>
      </c>
      <c r="I534" s="76">
        <f t="shared" si="191"/>
        <v>111.85169302740032</v>
      </c>
      <c r="J534" s="87">
        <v>474.07</v>
      </c>
      <c r="K534" s="73">
        <v>105026</v>
      </c>
      <c r="L534" s="73">
        <v>10</v>
      </c>
      <c r="M534" s="88">
        <v>1723.85</v>
      </c>
      <c r="N534" s="79">
        <f t="shared" si="188"/>
        <v>0.27500652608985704</v>
      </c>
      <c r="O534" s="80">
        <f t="shared" si="192"/>
        <v>3.6362773430084165</v>
      </c>
      <c r="P534" s="79">
        <f t="shared" si="193"/>
        <v>6.1371065355711914E-2</v>
      </c>
      <c r="Q534" s="81">
        <f t="shared" si="194"/>
        <v>0.22316221446926399</v>
      </c>
      <c r="R534" s="89">
        <f t="shared" si="200"/>
        <v>6000.7999999999993</v>
      </c>
      <c r="S534" s="83">
        <f t="shared" si="195"/>
        <v>47.406999999999996</v>
      </c>
      <c r="T534" s="135"/>
      <c r="U534" s="135"/>
      <c r="V534" s="135"/>
      <c r="W534" s="135"/>
      <c r="X534" s="136"/>
      <c r="Y534" s="50"/>
      <c r="Z534" s="50"/>
    </row>
    <row r="535" spans="1:26" ht="12.75" hidden="1" outlineLevel="1" x14ac:dyDescent="0.2">
      <c r="A535" s="50"/>
      <c r="B535" s="137"/>
      <c r="C535" s="70" t="s">
        <v>34</v>
      </c>
      <c r="D535" s="90">
        <v>69.95</v>
      </c>
      <c r="E535" s="73">
        <v>1</v>
      </c>
      <c r="F535" s="73">
        <v>1</v>
      </c>
      <c r="G535" s="74">
        <f t="shared" si="189"/>
        <v>1</v>
      </c>
      <c r="H535" s="75">
        <f t="shared" si="190"/>
        <v>69.95</v>
      </c>
      <c r="I535" s="76">
        <f t="shared" si="191"/>
        <v>69.95</v>
      </c>
      <c r="J535" s="90">
        <v>0</v>
      </c>
      <c r="K535" s="73">
        <v>286</v>
      </c>
      <c r="L535" s="73">
        <v>0</v>
      </c>
      <c r="M535" s="91">
        <v>0</v>
      </c>
      <c r="N535" s="79" t="e">
        <f>(J535/M535)</f>
        <v>#DIV/0!</v>
      </c>
      <c r="O535" s="80" t="e">
        <f t="shared" si="192"/>
        <v>#DIV/0!</v>
      </c>
      <c r="P535" s="79">
        <f t="shared" si="193"/>
        <v>0</v>
      </c>
      <c r="Q535" s="81">
        <f t="shared" si="194"/>
        <v>0</v>
      </c>
      <c r="R535" s="92">
        <f t="shared" si="200"/>
        <v>69.95</v>
      </c>
      <c r="S535" s="83" t="e">
        <f t="shared" si="195"/>
        <v>#DIV/0!</v>
      </c>
      <c r="T535" s="135"/>
      <c r="U535" s="135"/>
      <c r="V535" s="135"/>
      <c r="W535" s="135"/>
      <c r="X535" s="136"/>
      <c r="Y535" s="50"/>
      <c r="Z535" s="50"/>
    </row>
    <row r="536" spans="1:26" ht="12.75" hidden="1" outlineLevel="1" x14ac:dyDescent="0.2">
      <c r="A536" s="50"/>
      <c r="B536" s="137"/>
      <c r="C536" s="70" t="s">
        <v>35</v>
      </c>
      <c r="D536" s="90">
        <v>296.75</v>
      </c>
      <c r="E536" s="73">
        <v>5</v>
      </c>
      <c r="F536" s="73">
        <v>7</v>
      </c>
      <c r="G536" s="74">
        <f t="shared" si="189"/>
        <v>0.7142857142857143</v>
      </c>
      <c r="H536" s="75">
        <f t="shared" si="190"/>
        <v>59.35</v>
      </c>
      <c r="I536" s="76">
        <f t="shared" si="191"/>
        <v>83.09</v>
      </c>
      <c r="J536" s="90">
        <v>257.62</v>
      </c>
      <c r="K536" s="73">
        <v>22610</v>
      </c>
      <c r="L536" s="73">
        <v>7</v>
      </c>
      <c r="M536" s="91">
        <v>419.65</v>
      </c>
      <c r="N536" s="79">
        <f t="shared" ref="N536:N551" si="201">J536/M536</f>
        <v>0.61389252948885986</v>
      </c>
      <c r="O536" s="80">
        <f t="shared" si="192"/>
        <v>1.6289496157130656</v>
      </c>
      <c r="P536" s="79">
        <f t="shared" si="193"/>
        <v>0.86813816343723671</v>
      </c>
      <c r="Q536" s="81">
        <f t="shared" si="194"/>
        <v>1.4141533277169334</v>
      </c>
      <c r="R536" s="92">
        <f t="shared" si="200"/>
        <v>-122.89999999999998</v>
      </c>
      <c r="S536" s="83">
        <f t="shared" si="195"/>
        <v>36.802857142857142</v>
      </c>
      <c r="T536" s="135"/>
      <c r="U536" s="135"/>
      <c r="V536" s="135"/>
      <c r="W536" s="135"/>
      <c r="X536" s="136"/>
      <c r="Y536" s="50"/>
      <c r="Z536" s="50"/>
    </row>
    <row r="537" spans="1:26" ht="12.75" hidden="1" outlineLevel="1" x14ac:dyDescent="0.2">
      <c r="A537" s="50"/>
      <c r="B537" s="137"/>
      <c r="C537" s="70" t="s">
        <v>36</v>
      </c>
      <c r="D537" s="90">
        <v>499.6</v>
      </c>
      <c r="E537" s="73">
        <v>8</v>
      </c>
      <c r="F537" s="73">
        <v>9</v>
      </c>
      <c r="G537" s="74">
        <f t="shared" si="189"/>
        <v>0.88888888888888884</v>
      </c>
      <c r="H537" s="75">
        <f t="shared" si="190"/>
        <v>62.45</v>
      </c>
      <c r="I537" s="76">
        <f t="shared" si="191"/>
        <v>70.256250000000009</v>
      </c>
      <c r="J537" s="90">
        <v>147.16</v>
      </c>
      <c r="K537" s="73">
        <v>21588</v>
      </c>
      <c r="L537" s="73">
        <v>4</v>
      </c>
      <c r="M537" s="91">
        <v>249.8</v>
      </c>
      <c r="N537" s="79">
        <f t="shared" si="201"/>
        <v>0.58911128903122489</v>
      </c>
      <c r="O537" s="80">
        <f t="shared" si="192"/>
        <v>1.6974721391682523</v>
      </c>
      <c r="P537" s="79">
        <f t="shared" si="193"/>
        <v>0.29455564451561245</v>
      </c>
      <c r="Q537" s="81">
        <f t="shared" si="194"/>
        <v>0.5</v>
      </c>
      <c r="R537" s="92">
        <f t="shared" si="200"/>
        <v>249.8</v>
      </c>
      <c r="S537" s="83">
        <f t="shared" si="195"/>
        <v>36.79</v>
      </c>
      <c r="T537" s="135"/>
      <c r="U537" s="135"/>
      <c r="V537" s="135"/>
      <c r="W537" s="135"/>
      <c r="X537" s="136"/>
      <c r="Y537" s="50"/>
      <c r="Z537" s="50"/>
    </row>
    <row r="538" spans="1:26" ht="12.75" hidden="1" outlineLevel="1" x14ac:dyDescent="0.2">
      <c r="A538" s="50"/>
      <c r="B538" s="69" t="s">
        <v>37</v>
      </c>
      <c r="C538" s="70" t="s">
        <v>38</v>
      </c>
      <c r="D538" s="93">
        <v>139.80000000000001</v>
      </c>
      <c r="E538" s="73">
        <v>4</v>
      </c>
      <c r="F538" s="73">
        <v>4</v>
      </c>
      <c r="G538" s="74">
        <f t="shared" si="189"/>
        <v>1</v>
      </c>
      <c r="H538" s="75">
        <f t="shared" si="190"/>
        <v>34.950000000000003</v>
      </c>
      <c r="I538" s="76">
        <f t="shared" si="191"/>
        <v>34.950000000000003</v>
      </c>
      <c r="J538" s="93">
        <v>36.22</v>
      </c>
      <c r="K538" s="73">
        <v>11868</v>
      </c>
      <c r="L538" s="73">
        <v>0</v>
      </c>
      <c r="M538" s="94">
        <v>0</v>
      </c>
      <c r="N538" s="79" t="e">
        <f t="shared" si="201"/>
        <v>#DIV/0!</v>
      </c>
      <c r="O538" s="80">
        <f t="shared" si="192"/>
        <v>0</v>
      </c>
      <c r="P538" s="79">
        <f t="shared" si="193"/>
        <v>0.25908440629470669</v>
      </c>
      <c r="Q538" s="81">
        <f t="shared" si="194"/>
        <v>0</v>
      </c>
      <c r="R538" s="95">
        <f t="shared" si="200"/>
        <v>139.80000000000001</v>
      </c>
      <c r="S538" s="83" t="e">
        <f t="shared" si="195"/>
        <v>#DIV/0!</v>
      </c>
      <c r="T538" s="135"/>
      <c r="U538" s="135"/>
      <c r="V538" s="135"/>
      <c r="W538" s="135"/>
      <c r="X538" s="136"/>
      <c r="Y538" s="50"/>
      <c r="Z538" s="50"/>
    </row>
    <row r="539" spans="1:26" ht="12.75" hidden="1" outlineLevel="1" x14ac:dyDescent="0.2">
      <c r="A539" s="50"/>
      <c r="B539" s="137"/>
      <c r="C539" s="70" t="s">
        <v>39</v>
      </c>
      <c r="D539" s="96">
        <v>-24.95</v>
      </c>
      <c r="E539" s="73">
        <v>-1</v>
      </c>
      <c r="F539" s="73">
        <v>0</v>
      </c>
      <c r="G539" s="74" t="e">
        <f t="shared" si="189"/>
        <v>#DIV/0!</v>
      </c>
      <c r="H539" s="75">
        <f t="shared" si="190"/>
        <v>24.95</v>
      </c>
      <c r="I539" s="76" t="e">
        <f t="shared" si="191"/>
        <v>#DIV/0!</v>
      </c>
      <c r="J539" s="96">
        <v>0</v>
      </c>
      <c r="K539" s="73">
        <v>0</v>
      </c>
      <c r="L539" s="73">
        <v>0</v>
      </c>
      <c r="M539" s="97">
        <v>0</v>
      </c>
      <c r="N539" s="79" t="e">
        <f t="shared" si="201"/>
        <v>#DIV/0!</v>
      </c>
      <c r="O539" s="80" t="e">
        <f t="shared" si="192"/>
        <v>#DIV/0!</v>
      </c>
      <c r="P539" s="79">
        <f t="shared" si="193"/>
        <v>0</v>
      </c>
      <c r="Q539" s="81">
        <f t="shared" si="194"/>
        <v>0</v>
      </c>
      <c r="R539" s="98">
        <f t="shared" si="200"/>
        <v>-24.95</v>
      </c>
      <c r="S539" s="83" t="e">
        <f t="shared" si="195"/>
        <v>#DIV/0!</v>
      </c>
      <c r="T539" s="135"/>
      <c r="U539" s="135"/>
      <c r="V539" s="135"/>
      <c r="W539" s="135"/>
      <c r="X539" s="136"/>
      <c r="Y539" s="50"/>
      <c r="Z539" s="50"/>
    </row>
    <row r="540" spans="1:26" ht="12.75" hidden="1" outlineLevel="1" x14ac:dyDescent="0.2">
      <c r="A540" s="50"/>
      <c r="B540" s="137"/>
      <c r="C540" s="70" t="s">
        <v>40</v>
      </c>
      <c r="D540" s="99">
        <v>824.25</v>
      </c>
      <c r="E540" s="73">
        <v>15</v>
      </c>
      <c r="F540" s="73">
        <v>5</v>
      </c>
      <c r="G540" s="74">
        <f t="shared" si="189"/>
        <v>3</v>
      </c>
      <c r="H540" s="75">
        <f t="shared" si="190"/>
        <v>54.95</v>
      </c>
      <c r="I540" s="76">
        <f t="shared" si="191"/>
        <v>18.316666666666666</v>
      </c>
      <c r="J540" s="99">
        <v>0</v>
      </c>
      <c r="K540" s="73">
        <v>0</v>
      </c>
      <c r="L540" s="73">
        <v>0</v>
      </c>
      <c r="M540" s="100">
        <v>0</v>
      </c>
      <c r="N540" s="79" t="e">
        <f t="shared" si="201"/>
        <v>#DIV/0!</v>
      </c>
      <c r="O540" s="80" t="e">
        <f t="shared" si="192"/>
        <v>#DIV/0!</v>
      </c>
      <c r="P540" s="79">
        <f t="shared" si="193"/>
        <v>0</v>
      </c>
      <c r="Q540" s="81">
        <f t="shared" si="194"/>
        <v>0</v>
      </c>
      <c r="R540" s="101">
        <f t="shared" si="200"/>
        <v>824.25</v>
      </c>
      <c r="S540" s="83" t="e">
        <f t="shared" si="195"/>
        <v>#DIV/0!</v>
      </c>
      <c r="T540" s="135"/>
      <c r="U540" s="135"/>
      <c r="V540" s="135"/>
      <c r="W540" s="135"/>
      <c r="X540" s="136"/>
      <c r="Y540" s="50"/>
      <c r="Z540" s="50"/>
    </row>
    <row r="541" spans="1:26" ht="12.75" hidden="1" outlineLevel="1" x14ac:dyDescent="0.2">
      <c r="A541" s="50"/>
      <c r="B541" s="137"/>
      <c r="C541" s="70" t="s">
        <v>41</v>
      </c>
      <c r="D541" s="102">
        <v>1085.6099999999999</v>
      </c>
      <c r="E541" s="73">
        <v>12</v>
      </c>
      <c r="F541" s="73">
        <v>14</v>
      </c>
      <c r="G541" s="74">
        <f t="shared" si="189"/>
        <v>0.8571428571428571</v>
      </c>
      <c r="H541" s="75">
        <f t="shared" si="190"/>
        <v>90.467499999999987</v>
      </c>
      <c r="I541" s="76">
        <f t="shared" si="191"/>
        <v>105.54541666666665</v>
      </c>
      <c r="J541" s="102">
        <v>274.98</v>
      </c>
      <c r="K541" s="73">
        <v>26078</v>
      </c>
      <c r="L541" s="73">
        <v>6</v>
      </c>
      <c r="M541" s="103">
        <v>863.37</v>
      </c>
      <c r="N541" s="79">
        <f t="shared" si="201"/>
        <v>0.31849612564717328</v>
      </c>
      <c r="O541" s="80">
        <f t="shared" si="192"/>
        <v>3.1397556185904429</v>
      </c>
      <c r="P541" s="79">
        <f t="shared" si="193"/>
        <v>0.25329538231961757</v>
      </c>
      <c r="Q541" s="81">
        <f t="shared" si="194"/>
        <v>0.79528559980103364</v>
      </c>
      <c r="R541" s="104">
        <f t="shared" si="200"/>
        <v>222.2399999999999</v>
      </c>
      <c r="S541" s="83">
        <f t="shared" si="195"/>
        <v>45.830000000000005</v>
      </c>
      <c r="T541" s="135"/>
      <c r="U541" s="135"/>
      <c r="V541" s="135"/>
      <c r="W541" s="135"/>
      <c r="X541" s="136"/>
      <c r="Y541" s="50"/>
      <c r="Z541" s="50"/>
    </row>
    <row r="542" spans="1:26" ht="12.75" hidden="1" outlineLevel="1" x14ac:dyDescent="0.2">
      <c r="A542" s="50"/>
      <c r="B542" s="137"/>
      <c r="C542" s="70" t="s">
        <v>42</v>
      </c>
      <c r="D542" s="90">
        <v>0</v>
      </c>
      <c r="E542" s="73">
        <v>0</v>
      </c>
      <c r="F542" s="73">
        <v>0</v>
      </c>
      <c r="G542" s="74" t="e">
        <f t="shared" si="189"/>
        <v>#DIV/0!</v>
      </c>
      <c r="H542" s="75" t="e">
        <f t="shared" si="190"/>
        <v>#DIV/0!</v>
      </c>
      <c r="I542" s="76" t="e">
        <f t="shared" si="191"/>
        <v>#DIV/0!</v>
      </c>
      <c r="J542" s="90">
        <v>0</v>
      </c>
      <c r="K542" s="73">
        <v>0</v>
      </c>
      <c r="L542" s="73">
        <v>0</v>
      </c>
      <c r="M542" s="91">
        <v>0</v>
      </c>
      <c r="N542" s="79" t="e">
        <f t="shared" si="201"/>
        <v>#DIV/0!</v>
      </c>
      <c r="O542" s="80" t="e">
        <f t="shared" si="192"/>
        <v>#DIV/0!</v>
      </c>
      <c r="P542" s="79" t="e">
        <f t="shared" si="193"/>
        <v>#DIV/0!</v>
      </c>
      <c r="Q542" s="81" t="e">
        <f t="shared" si="194"/>
        <v>#DIV/0!</v>
      </c>
      <c r="R542" s="92">
        <f t="shared" si="200"/>
        <v>0</v>
      </c>
      <c r="S542" s="83" t="e">
        <f t="shared" si="195"/>
        <v>#DIV/0!</v>
      </c>
      <c r="T542" s="135"/>
      <c r="U542" s="135"/>
      <c r="V542" s="135"/>
      <c r="W542" s="135"/>
      <c r="X542" s="136"/>
      <c r="Y542" s="50"/>
      <c r="Z542" s="50"/>
    </row>
    <row r="543" spans="1:26" ht="12.75" hidden="1" outlineLevel="1" x14ac:dyDescent="0.2">
      <c r="A543" s="50"/>
      <c r="B543" s="137"/>
      <c r="C543" s="70" t="s">
        <v>43</v>
      </c>
      <c r="D543" s="105">
        <v>171</v>
      </c>
      <c r="E543" s="73">
        <v>0</v>
      </c>
      <c r="F543" s="73">
        <v>1</v>
      </c>
      <c r="G543" s="74">
        <f t="shared" si="189"/>
        <v>0</v>
      </c>
      <c r="H543" s="75" t="e">
        <f t="shared" si="190"/>
        <v>#DIV/0!</v>
      </c>
      <c r="I543" s="76" t="e">
        <f t="shared" si="191"/>
        <v>#DIV/0!</v>
      </c>
      <c r="J543" s="105">
        <v>38.020000000000003</v>
      </c>
      <c r="K543" s="73">
        <v>12107</v>
      </c>
      <c r="L543" s="73">
        <v>1</v>
      </c>
      <c r="M543" s="106">
        <v>210.95</v>
      </c>
      <c r="N543" s="79">
        <f t="shared" si="201"/>
        <v>0.18023228253140558</v>
      </c>
      <c r="O543" s="80">
        <f t="shared" si="192"/>
        <v>5.548395581273013</v>
      </c>
      <c r="P543" s="79">
        <f t="shared" si="193"/>
        <v>0.22233918128654973</v>
      </c>
      <c r="Q543" s="81">
        <f t="shared" si="194"/>
        <v>1.2336257309941521</v>
      </c>
      <c r="R543" s="107">
        <f t="shared" si="200"/>
        <v>-39.949999999999989</v>
      </c>
      <c r="S543" s="83">
        <f t="shared" si="195"/>
        <v>38.020000000000003</v>
      </c>
      <c r="T543" s="135"/>
      <c r="U543" s="135"/>
      <c r="V543" s="135"/>
      <c r="W543" s="135"/>
      <c r="X543" s="136"/>
      <c r="Y543" s="50"/>
      <c r="Z543" s="50"/>
    </row>
    <row r="544" spans="1:26" ht="12.75" hidden="1" outlineLevel="1" x14ac:dyDescent="0.2">
      <c r="A544" s="50"/>
      <c r="B544" s="137"/>
      <c r="C544" s="70" t="s">
        <v>44</v>
      </c>
      <c r="D544" s="108">
        <v>134.85</v>
      </c>
      <c r="E544" s="73">
        <v>3</v>
      </c>
      <c r="F544" s="73">
        <v>3</v>
      </c>
      <c r="G544" s="74">
        <f t="shared" si="189"/>
        <v>1</v>
      </c>
      <c r="H544" s="75">
        <f t="shared" si="190"/>
        <v>44.949999999999996</v>
      </c>
      <c r="I544" s="76">
        <f t="shared" si="191"/>
        <v>44.949999999999996</v>
      </c>
      <c r="J544" s="108">
        <v>103.17</v>
      </c>
      <c r="K544" s="73">
        <v>64840</v>
      </c>
      <c r="L544" s="73">
        <v>2</v>
      </c>
      <c r="M544" s="109">
        <v>89.9</v>
      </c>
      <c r="N544" s="79">
        <f t="shared" si="201"/>
        <v>1.1476084538375972</v>
      </c>
      <c r="O544" s="80">
        <f t="shared" si="192"/>
        <v>0.87137733837355824</v>
      </c>
      <c r="P544" s="79">
        <f t="shared" si="193"/>
        <v>0.76507230255839831</v>
      </c>
      <c r="Q544" s="81">
        <f t="shared" si="194"/>
        <v>0.66666666666666674</v>
      </c>
      <c r="R544" s="110">
        <f t="shared" si="200"/>
        <v>44.949999999999989</v>
      </c>
      <c r="S544" s="83">
        <f t="shared" si="195"/>
        <v>51.585000000000001</v>
      </c>
      <c r="T544" s="135"/>
      <c r="U544" s="135"/>
      <c r="V544" s="135"/>
      <c r="W544" s="135"/>
      <c r="X544" s="136"/>
      <c r="Y544" s="50"/>
      <c r="Z544" s="50"/>
    </row>
    <row r="545" spans="1:26" ht="12.75" hidden="1" outlineLevel="1" x14ac:dyDescent="0.2">
      <c r="A545" s="139"/>
      <c r="B545" s="137"/>
      <c r="C545" s="112" t="s">
        <v>45</v>
      </c>
      <c r="D545" s="71">
        <v>59.9</v>
      </c>
      <c r="E545" s="73">
        <v>2</v>
      </c>
      <c r="F545" s="73">
        <v>1</v>
      </c>
      <c r="G545" s="74">
        <f t="shared" si="189"/>
        <v>2</v>
      </c>
      <c r="H545" s="75">
        <f t="shared" si="190"/>
        <v>29.95</v>
      </c>
      <c r="I545" s="76">
        <f t="shared" si="191"/>
        <v>14.975</v>
      </c>
      <c r="J545" s="71">
        <v>0</v>
      </c>
      <c r="K545" s="73">
        <v>0</v>
      </c>
      <c r="L545" s="73">
        <v>0</v>
      </c>
      <c r="M545" s="78">
        <v>0</v>
      </c>
      <c r="N545" s="79" t="e">
        <f t="shared" si="201"/>
        <v>#DIV/0!</v>
      </c>
      <c r="O545" s="80" t="e">
        <f t="shared" si="192"/>
        <v>#DIV/0!</v>
      </c>
      <c r="P545" s="79">
        <f t="shared" si="193"/>
        <v>0</v>
      </c>
      <c r="Q545" s="81">
        <f t="shared" si="194"/>
        <v>0</v>
      </c>
      <c r="R545" s="82">
        <f t="shared" si="200"/>
        <v>59.9</v>
      </c>
      <c r="S545" s="83" t="e">
        <f t="shared" si="195"/>
        <v>#DIV/0!</v>
      </c>
      <c r="T545" s="140"/>
      <c r="U545" s="140"/>
      <c r="V545" s="140"/>
      <c r="W545" s="141"/>
      <c r="X545" s="142"/>
      <c r="Y545" s="50"/>
      <c r="Z545" s="50"/>
    </row>
    <row r="546" spans="1:26" ht="12.75" hidden="1" outlineLevel="1" x14ac:dyDescent="0.2">
      <c r="A546" s="50"/>
      <c r="B546" s="137"/>
      <c r="C546" s="70" t="s">
        <v>46</v>
      </c>
      <c r="D546" s="116">
        <v>787.1</v>
      </c>
      <c r="E546" s="73">
        <v>18</v>
      </c>
      <c r="F546" s="73">
        <v>19</v>
      </c>
      <c r="G546" s="74">
        <f t="shared" si="189"/>
        <v>0.94736842105263153</v>
      </c>
      <c r="H546" s="75">
        <f t="shared" si="190"/>
        <v>43.727777777777781</v>
      </c>
      <c r="I546" s="76">
        <f t="shared" si="191"/>
        <v>46.157098765432103</v>
      </c>
      <c r="J546" s="116">
        <v>106.64</v>
      </c>
      <c r="K546" s="73">
        <v>24790</v>
      </c>
      <c r="L546" s="73">
        <v>2</v>
      </c>
      <c r="M546" s="117">
        <v>87.9</v>
      </c>
      <c r="N546" s="79">
        <f t="shared" si="201"/>
        <v>1.2131968145620022</v>
      </c>
      <c r="O546" s="80">
        <f t="shared" si="192"/>
        <v>0.82426856714178554</v>
      </c>
      <c r="P546" s="79">
        <f t="shared" si="193"/>
        <v>0.13548469063651378</v>
      </c>
      <c r="Q546" s="81">
        <f t="shared" si="194"/>
        <v>0.1116757718206073</v>
      </c>
      <c r="R546" s="82">
        <f t="shared" si="200"/>
        <v>699.2</v>
      </c>
      <c r="S546" s="83">
        <f t="shared" si="195"/>
        <v>53.32</v>
      </c>
      <c r="T546" s="135"/>
      <c r="U546" s="135"/>
      <c r="V546" s="135"/>
      <c r="W546" s="135"/>
      <c r="X546" s="136"/>
      <c r="Y546" s="50"/>
      <c r="Z546" s="50"/>
    </row>
    <row r="547" spans="1:26" ht="12.75" hidden="1" outlineLevel="1" x14ac:dyDescent="0.2">
      <c r="A547" s="50"/>
      <c r="B547" s="137"/>
      <c r="C547" s="70" t="s">
        <v>49</v>
      </c>
      <c r="D547" s="116">
        <v>0</v>
      </c>
      <c r="E547" s="73">
        <v>0</v>
      </c>
      <c r="F547" s="73">
        <v>0</v>
      </c>
      <c r="G547" s="74" t="e">
        <f t="shared" si="189"/>
        <v>#DIV/0!</v>
      </c>
      <c r="H547" s="75" t="e">
        <f t="shared" si="190"/>
        <v>#DIV/0!</v>
      </c>
      <c r="I547" s="76" t="e">
        <f t="shared" si="191"/>
        <v>#DIV/0!</v>
      </c>
      <c r="J547" s="116">
        <v>7.87</v>
      </c>
      <c r="K547" s="73">
        <v>8514</v>
      </c>
      <c r="L547" s="73">
        <v>0</v>
      </c>
      <c r="M547" s="117">
        <v>0</v>
      </c>
      <c r="N547" s="79" t="e">
        <f t="shared" si="201"/>
        <v>#DIV/0!</v>
      </c>
      <c r="O547" s="80">
        <f t="shared" si="192"/>
        <v>0</v>
      </c>
      <c r="P547" s="79" t="e">
        <f t="shared" si="193"/>
        <v>#DIV/0!</v>
      </c>
      <c r="Q547" s="81" t="e">
        <f t="shared" si="194"/>
        <v>#DIV/0!</v>
      </c>
      <c r="R547" s="82">
        <f t="shared" si="200"/>
        <v>0</v>
      </c>
      <c r="S547" s="83" t="e">
        <f t="shared" si="195"/>
        <v>#DIV/0!</v>
      </c>
      <c r="T547" s="135"/>
      <c r="U547" s="135"/>
      <c r="V547" s="135"/>
      <c r="W547" s="135"/>
      <c r="X547" s="136"/>
      <c r="Y547" s="50"/>
      <c r="Z547" s="50"/>
    </row>
    <row r="548" spans="1:26" hidden="1" outlineLevel="1" x14ac:dyDescent="0.25">
      <c r="A548" s="118" t="str">
        <f t="shared" ref="A548:A549" si="202">IFERROR(IF(B548&gt;0,MONTH(B548)&amp;"-"&amp;YEAR(B548),B548),)</f>
        <v>9-2025</v>
      </c>
      <c r="B548" s="69">
        <v>45913</v>
      </c>
      <c r="C548" s="198" t="s">
        <v>64</v>
      </c>
      <c r="D548" s="116">
        <v>0</v>
      </c>
      <c r="E548" s="73">
        <v>0</v>
      </c>
      <c r="F548" s="73">
        <v>0</v>
      </c>
      <c r="G548" s="74" t="e">
        <f t="shared" si="189"/>
        <v>#DIV/0!</v>
      </c>
      <c r="H548" s="75" t="e">
        <f t="shared" si="190"/>
        <v>#DIV/0!</v>
      </c>
      <c r="I548" s="76" t="e">
        <f t="shared" si="191"/>
        <v>#DIV/0!</v>
      </c>
      <c r="J548" s="87">
        <v>339.11</v>
      </c>
      <c r="K548" s="199">
        <v>81358</v>
      </c>
      <c r="L548" s="73">
        <v>0</v>
      </c>
      <c r="M548" s="88">
        <v>1248.5500000000002</v>
      </c>
      <c r="N548" s="79">
        <f t="shared" si="201"/>
        <v>0.27160305954907688</v>
      </c>
      <c r="O548" s="80">
        <f t="shared" si="192"/>
        <v>3.6818436495532425</v>
      </c>
      <c r="P548" s="79" t="e">
        <f t="shared" si="193"/>
        <v>#DIV/0!</v>
      </c>
      <c r="Q548" s="81" t="e">
        <f t="shared" si="194"/>
        <v>#DIV/0!</v>
      </c>
      <c r="R548" s="82">
        <f t="shared" si="200"/>
        <v>-1248.5500000000002</v>
      </c>
      <c r="S548" s="83" t="e">
        <f t="shared" si="195"/>
        <v>#DIV/0!</v>
      </c>
      <c r="T548" s="135"/>
      <c r="U548" s="135"/>
      <c r="V548" s="135"/>
      <c r="W548" s="135"/>
      <c r="X548" s="136"/>
      <c r="Y548" s="50"/>
      <c r="Z548" s="50"/>
    </row>
    <row r="549" spans="1:26" ht="12.75" collapsed="1" x14ac:dyDescent="0.2">
      <c r="A549" s="50">
        <f t="shared" si="202"/>
        <v>0</v>
      </c>
      <c r="B549" s="52" t="s">
        <v>95</v>
      </c>
      <c r="C549" s="145"/>
      <c r="D549" s="121">
        <f t="shared" ref="D549:F549" si="203">SUM(D533:D548)</f>
        <v>13514.61</v>
      </c>
      <c r="E549" s="123">
        <f t="shared" si="203"/>
        <v>144</v>
      </c>
      <c r="F549" s="123">
        <f t="shared" si="203"/>
        <v>142</v>
      </c>
      <c r="G549" s="124">
        <f t="shared" si="189"/>
        <v>1.0140845070422535</v>
      </c>
      <c r="H549" s="125">
        <f t="shared" si="190"/>
        <v>93.851458333333341</v>
      </c>
      <c r="I549" s="126">
        <f t="shared" si="191"/>
        <v>92.547965856481497</v>
      </c>
      <c r="J549" s="121">
        <f t="shared" ref="J549:M549" si="204">SUM(J533:J548)</f>
        <v>2639.32</v>
      </c>
      <c r="K549" s="123">
        <f t="shared" si="204"/>
        <v>558002</v>
      </c>
      <c r="L549" s="123">
        <f t="shared" si="204"/>
        <v>35</v>
      </c>
      <c r="M549" s="127">
        <f t="shared" si="204"/>
        <v>7160.9699999999993</v>
      </c>
      <c r="N549" s="128">
        <f t="shared" si="201"/>
        <v>0.36857017973821987</v>
      </c>
      <c r="O549" s="129">
        <f t="shared" si="192"/>
        <v>2.7131874876862216</v>
      </c>
      <c r="P549" s="128">
        <f t="shared" si="193"/>
        <v>0.19529383385832075</v>
      </c>
      <c r="Q549" s="130">
        <f t="shared" si="194"/>
        <v>0.52986878644666768</v>
      </c>
      <c r="R549" s="131">
        <f>SUM(R533:R548)</f>
        <v>6353.6399999999994</v>
      </c>
      <c r="S549" s="132">
        <f t="shared" si="195"/>
        <v>75.409142857142868</v>
      </c>
      <c r="T549" s="133">
        <f t="shared" ref="T549:U549" si="205">IFERROR((D549-D69)/D549,)</f>
        <v>0.4390278372812832</v>
      </c>
      <c r="U549" s="133">
        <f t="shared" si="205"/>
        <v>0.34722222222222221</v>
      </c>
      <c r="V549" s="271" t="s">
        <v>139</v>
      </c>
      <c r="W549" s="271" t="s">
        <v>139</v>
      </c>
      <c r="X549" s="50"/>
      <c r="Y549" s="50"/>
      <c r="Z549" s="50"/>
    </row>
    <row r="550" spans="1:26" ht="12.75" hidden="1" outlineLevel="1" x14ac:dyDescent="0.2">
      <c r="A550" s="50"/>
      <c r="B550" s="69">
        <v>45914</v>
      </c>
      <c r="C550" s="70" t="s">
        <v>32</v>
      </c>
      <c r="D550" s="71">
        <v>1165.55</v>
      </c>
      <c r="E550" s="73">
        <v>6</v>
      </c>
      <c r="F550" s="73">
        <v>8</v>
      </c>
      <c r="G550" s="74">
        <f t="shared" si="189"/>
        <v>0.75</v>
      </c>
      <c r="H550" s="75">
        <f t="shared" si="190"/>
        <v>194.25833333333333</v>
      </c>
      <c r="I550" s="76">
        <f t="shared" si="191"/>
        <v>259.01111111111112</v>
      </c>
      <c r="J550" s="77">
        <v>839.67</v>
      </c>
      <c r="K550" s="73">
        <v>144598</v>
      </c>
      <c r="L550" s="73">
        <v>2</v>
      </c>
      <c r="M550" s="78">
        <v>968</v>
      </c>
      <c r="N550" s="79">
        <f t="shared" si="201"/>
        <v>0.8674276859504132</v>
      </c>
      <c r="O550" s="80">
        <f t="shared" si="192"/>
        <v>1.1528338513940002</v>
      </c>
      <c r="P550" s="79">
        <f t="shared" si="193"/>
        <v>0.72040667496031918</v>
      </c>
      <c r="Q550" s="81">
        <f t="shared" si="194"/>
        <v>0.8305092016644503</v>
      </c>
      <c r="R550" s="82">
        <f t="shared" ref="R550:R565" si="206">D550-M550</f>
        <v>197.54999999999995</v>
      </c>
      <c r="S550" s="83">
        <f t="shared" si="195"/>
        <v>419.83499999999998</v>
      </c>
      <c r="T550" s="135"/>
      <c r="U550" s="135"/>
      <c r="V550" s="135"/>
      <c r="W550" s="135"/>
      <c r="X550" s="136"/>
      <c r="Y550" s="50"/>
      <c r="Z550" s="50"/>
    </row>
    <row r="551" spans="1:26" ht="12.75" hidden="1" outlineLevel="1" x14ac:dyDescent="0.2">
      <c r="A551" s="50"/>
      <c r="B551" s="137"/>
      <c r="C551" s="70" t="s">
        <v>33</v>
      </c>
      <c r="D551" s="87">
        <v>4327</v>
      </c>
      <c r="E551" s="73">
        <v>33</v>
      </c>
      <c r="F551" s="73">
        <v>38</v>
      </c>
      <c r="G551" s="74">
        <f t="shared" si="189"/>
        <v>0.86842105263157898</v>
      </c>
      <c r="H551" s="75">
        <f t="shared" si="190"/>
        <v>131.12121212121212</v>
      </c>
      <c r="I551" s="76">
        <f t="shared" si="191"/>
        <v>150.98806244260788</v>
      </c>
      <c r="J551" s="87">
        <v>361.95</v>
      </c>
      <c r="K551" s="73">
        <v>99708</v>
      </c>
      <c r="L551" s="73">
        <v>8</v>
      </c>
      <c r="M551" s="88">
        <v>923.85</v>
      </c>
      <c r="N551" s="79">
        <f t="shared" si="201"/>
        <v>0.39178438058126319</v>
      </c>
      <c r="O551" s="80">
        <f t="shared" si="192"/>
        <v>2.5524243680066308</v>
      </c>
      <c r="P551" s="79">
        <f t="shared" si="193"/>
        <v>8.3649179570140966E-2</v>
      </c>
      <c r="Q551" s="81">
        <f t="shared" si="194"/>
        <v>0.21350820429859024</v>
      </c>
      <c r="R551" s="89">
        <f t="shared" si="206"/>
        <v>3403.15</v>
      </c>
      <c r="S551" s="83">
        <f t="shared" si="195"/>
        <v>45.243749999999999</v>
      </c>
      <c r="T551" s="135"/>
      <c r="U551" s="135"/>
      <c r="V551" s="135"/>
      <c r="W551" s="135"/>
      <c r="X551" s="136"/>
      <c r="Y551" s="50"/>
      <c r="Z551" s="50"/>
    </row>
    <row r="552" spans="1:26" ht="12.75" hidden="1" outlineLevel="1" x14ac:dyDescent="0.2">
      <c r="A552" s="50"/>
      <c r="B552" s="137"/>
      <c r="C552" s="70" t="s">
        <v>34</v>
      </c>
      <c r="D552" s="90">
        <v>419.7</v>
      </c>
      <c r="E552" s="73">
        <v>6</v>
      </c>
      <c r="F552" s="73">
        <v>3</v>
      </c>
      <c r="G552" s="74">
        <f t="shared" si="189"/>
        <v>2</v>
      </c>
      <c r="H552" s="75">
        <f t="shared" si="190"/>
        <v>69.95</v>
      </c>
      <c r="I552" s="76">
        <f t="shared" si="191"/>
        <v>34.975000000000001</v>
      </c>
      <c r="J552" s="90">
        <v>6.71</v>
      </c>
      <c r="K552" s="73">
        <v>243</v>
      </c>
      <c r="L552" s="73">
        <v>0</v>
      </c>
      <c r="M552" s="91">
        <v>0</v>
      </c>
      <c r="N552" s="79" t="e">
        <f>(J552/M552)</f>
        <v>#DIV/0!</v>
      </c>
      <c r="O552" s="80">
        <f t="shared" si="192"/>
        <v>0</v>
      </c>
      <c r="P552" s="79">
        <f t="shared" si="193"/>
        <v>1.5987610197760304E-2</v>
      </c>
      <c r="Q552" s="81">
        <f t="shared" si="194"/>
        <v>0</v>
      </c>
      <c r="R552" s="92">
        <f t="shared" si="206"/>
        <v>419.7</v>
      </c>
      <c r="S552" s="83" t="e">
        <f t="shared" si="195"/>
        <v>#DIV/0!</v>
      </c>
      <c r="T552" s="135"/>
      <c r="U552" s="135"/>
      <c r="V552" s="135"/>
      <c r="W552" s="135"/>
      <c r="X552" s="136"/>
      <c r="Y552" s="50"/>
      <c r="Z552" s="50"/>
    </row>
    <row r="553" spans="1:26" ht="12.75" hidden="1" outlineLevel="1" x14ac:dyDescent="0.2">
      <c r="A553" s="50"/>
      <c r="B553" s="137"/>
      <c r="C553" s="70" t="s">
        <v>35</v>
      </c>
      <c r="D553" s="90">
        <v>734.4</v>
      </c>
      <c r="E553" s="73">
        <v>12</v>
      </c>
      <c r="F553" s="73">
        <v>9</v>
      </c>
      <c r="G553" s="74">
        <f t="shared" si="189"/>
        <v>1.3333333333333333</v>
      </c>
      <c r="H553" s="75">
        <f t="shared" si="190"/>
        <v>61.199999999999996</v>
      </c>
      <c r="I553" s="76">
        <f t="shared" si="191"/>
        <v>45.9</v>
      </c>
      <c r="J553" s="90">
        <v>179.68</v>
      </c>
      <c r="K553" s="73">
        <v>21866</v>
      </c>
      <c r="L553" s="73">
        <v>5</v>
      </c>
      <c r="M553" s="91">
        <v>299.75</v>
      </c>
      <c r="N553" s="79">
        <f t="shared" ref="N553:N568" si="207">J553/M553</f>
        <v>0.59943286071726443</v>
      </c>
      <c r="O553" s="80">
        <f t="shared" si="192"/>
        <v>1.6682435440783614</v>
      </c>
      <c r="P553" s="79">
        <f t="shared" si="193"/>
        <v>0.24466230936819175</v>
      </c>
      <c r="Q553" s="81">
        <f t="shared" si="194"/>
        <v>0.40815631808278868</v>
      </c>
      <c r="R553" s="92">
        <f t="shared" si="206"/>
        <v>434.65</v>
      </c>
      <c r="S553" s="83">
        <f t="shared" si="195"/>
        <v>35.936</v>
      </c>
      <c r="T553" s="135"/>
      <c r="U553" s="135"/>
      <c r="V553" s="135"/>
      <c r="W553" s="135"/>
      <c r="X553" s="136"/>
      <c r="Y553" s="50"/>
      <c r="Z553" s="50"/>
    </row>
    <row r="554" spans="1:26" ht="12.75" hidden="1" outlineLevel="1" x14ac:dyDescent="0.2">
      <c r="A554" s="50"/>
      <c r="B554" s="137"/>
      <c r="C554" s="70" t="s">
        <v>36</v>
      </c>
      <c r="D554" s="90">
        <v>224.81</v>
      </c>
      <c r="E554" s="73">
        <v>3</v>
      </c>
      <c r="F554" s="73">
        <v>4</v>
      </c>
      <c r="G554" s="74">
        <f t="shared" si="189"/>
        <v>0.75</v>
      </c>
      <c r="H554" s="75">
        <f t="shared" si="190"/>
        <v>74.936666666666667</v>
      </c>
      <c r="I554" s="76">
        <f t="shared" si="191"/>
        <v>99.915555555555557</v>
      </c>
      <c r="J554" s="90">
        <v>74.989999999999995</v>
      </c>
      <c r="K554" s="73">
        <v>20107</v>
      </c>
      <c r="L554" s="73">
        <v>2</v>
      </c>
      <c r="M554" s="91">
        <v>129.9</v>
      </c>
      <c r="N554" s="79">
        <f t="shared" si="207"/>
        <v>0.57729022324865276</v>
      </c>
      <c r="O554" s="80">
        <f t="shared" si="192"/>
        <v>1.7322309641285507</v>
      </c>
      <c r="P554" s="79">
        <f t="shared" si="193"/>
        <v>0.33357057070415014</v>
      </c>
      <c r="Q554" s="81">
        <f t="shared" si="194"/>
        <v>0.57782127129576089</v>
      </c>
      <c r="R554" s="92">
        <f t="shared" si="206"/>
        <v>94.91</v>
      </c>
      <c r="S554" s="83">
        <f t="shared" si="195"/>
        <v>37.494999999999997</v>
      </c>
      <c r="T554" s="135"/>
      <c r="U554" s="135"/>
      <c r="V554" s="135"/>
      <c r="W554" s="135"/>
      <c r="X554" s="136"/>
      <c r="Y554" s="50"/>
      <c r="Z554" s="50"/>
    </row>
    <row r="555" spans="1:26" ht="12.75" hidden="1" outlineLevel="1" x14ac:dyDescent="0.2">
      <c r="A555" s="50"/>
      <c r="B555" s="69" t="s">
        <v>37</v>
      </c>
      <c r="C555" s="70" t="s">
        <v>38</v>
      </c>
      <c r="D555" s="93">
        <v>209.85</v>
      </c>
      <c r="E555" s="73">
        <v>3</v>
      </c>
      <c r="F555" s="73">
        <v>3</v>
      </c>
      <c r="G555" s="74">
        <f t="shared" si="189"/>
        <v>1</v>
      </c>
      <c r="H555" s="75">
        <f t="shared" si="190"/>
        <v>69.95</v>
      </c>
      <c r="I555" s="76">
        <f t="shared" si="191"/>
        <v>69.95</v>
      </c>
      <c r="J555" s="93">
        <v>29.95</v>
      </c>
      <c r="K555" s="73">
        <v>15344</v>
      </c>
      <c r="L555" s="73">
        <v>0</v>
      </c>
      <c r="M555" s="94">
        <v>0</v>
      </c>
      <c r="N555" s="79" t="e">
        <f t="shared" si="207"/>
        <v>#DIV/0!</v>
      </c>
      <c r="O555" s="80">
        <f t="shared" si="192"/>
        <v>0</v>
      </c>
      <c r="P555" s="79">
        <f t="shared" si="193"/>
        <v>0.14272099118417916</v>
      </c>
      <c r="Q555" s="81">
        <f t="shared" si="194"/>
        <v>0</v>
      </c>
      <c r="R555" s="95">
        <f t="shared" si="206"/>
        <v>209.85</v>
      </c>
      <c r="S555" s="83" t="e">
        <f t="shared" si="195"/>
        <v>#DIV/0!</v>
      </c>
      <c r="T555" s="135"/>
      <c r="U555" s="135"/>
      <c r="V555" s="135"/>
      <c r="W555" s="135"/>
      <c r="X555" s="136"/>
      <c r="Y555" s="50"/>
      <c r="Z555" s="50"/>
    </row>
    <row r="556" spans="1:26" ht="12.75" hidden="1" outlineLevel="1" x14ac:dyDescent="0.2">
      <c r="A556" s="50"/>
      <c r="B556" s="137"/>
      <c r="C556" s="70" t="s">
        <v>39</v>
      </c>
      <c r="D556" s="96">
        <v>99.8</v>
      </c>
      <c r="E556" s="73">
        <v>4</v>
      </c>
      <c r="F556" s="73">
        <v>2</v>
      </c>
      <c r="G556" s="74">
        <f t="shared" si="189"/>
        <v>2</v>
      </c>
      <c r="H556" s="75">
        <f t="shared" si="190"/>
        <v>24.95</v>
      </c>
      <c r="I556" s="76">
        <f t="shared" si="191"/>
        <v>12.475</v>
      </c>
      <c r="J556" s="96">
        <v>0</v>
      </c>
      <c r="K556" s="73">
        <v>0</v>
      </c>
      <c r="L556" s="73">
        <v>0</v>
      </c>
      <c r="M556" s="97">
        <v>0</v>
      </c>
      <c r="N556" s="79" t="e">
        <f t="shared" si="207"/>
        <v>#DIV/0!</v>
      </c>
      <c r="O556" s="80" t="e">
        <f t="shared" si="192"/>
        <v>#DIV/0!</v>
      </c>
      <c r="P556" s="79">
        <f t="shared" si="193"/>
        <v>0</v>
      </c>
      <c r="Q556" s="81">
        <f t="shared" si="194"/>
        <v>0</v>
      </c>
      <c r="R556" s="98">
        <f t="shared" si="206"/>
        <v>99.8</v>
      </c>
      <c r="S556" s="83" t="e">
        <f t="shared" si="195"/>
        <v>#DIV/0!</v>
      </c>
      <c r="T556" s="135"/>
      <c r="U556" s="135"/>
      <c r="V556" s="135"/>
      <c r="W556" s="135"/>
      <c r="X556" s="136"/>
      <c r="Y556" s="50"/>
      <c r="Z556" s="50"/>
    </row>
    <row r="557" spans="1:26" ht="12.75" hidden="1" outlineLevel="1" x14ac:dyDescent="0.2">
      <c r="A557" s="50"/>
      <c r="B557" s="137"/>
      <c r="C557" s="70" t="s">
        <v>40</v>
      </c>
      <c r="D557" s="99">
        <v>-54.95</v>
      </c>
      <c r="E557" s="73">
        <v>-1</v>
      </c>
      <c r="F557" s="73">
        <v>3</v>
      </c>
      <c r="G557" s="74">
        <f t="shared" si="189"/>
        <v>-0.33333333333333331</v>
      </c>
      <c r="H557" s="75">
        <f t="shared" si="190"/>
        <v>54.95</v>
      </c>
      <c r="I557" s="76">
        <f t="shared" si="191"/>
        <v>-164.85000000000002</v>
      </c>
      <c r="J557" s="99">
        <v>0</v>
      </c>
      <c r="K557" s="73">
        <v>0</v>
      </c>
      <c r="L557" s="73">
        <v>0</v>
      </c>
      <c r="M557" s="100">
        <v>0</v>
      </c>
      <c r="N557" s="79" t="e">
        <f t="shared" si="207"/>
        <v>#DIV/0!</v>
      </c>
      <c r="O557" s="80" t="e">
        <f t="shared" si="192"/>
        <v>#DIV/0!</v>
      </c>
      <c r="P557" s="79">
        <f t="shared" si="193"/>
        <v>0</v>
      </c>
      <c r="Q557" s="81">
        <f t="shared" si="194"/>
        <v>0</v>
      </c>
      <c r="R557" s="101">
        <f t="shared" si="206"/>
        <v>-54.95</v>
      </c>
      <c r="S557" s="83" t="e">
        <f t="shared" si="195"/>
        <v>#DIV/0!</v>
      </c>
      <c r="T557" s="135"/>
      <c r="U557" s="135"/>
      <c r="V557" s="135"/>
      <c r="W557" s="135"/>
      <c r="X557" s="136"/>
      <c r="Y557" s="50"/>
      <c r="Z557" s="50"/>
    </row>
    <row r="558" spans="1:26" ht="12.75" hidden="1" outlineLevel="1" x14ac:dyDescent="0.2">
      <c r="A558" s="50"/>
      <c r="B558" s="137"/>
      <c r="C558" s="70" t="s">
        <v>41</v>
      </c>
      <c r="D558" s="102">
        <v>623.23</v>
      </c>
      <c r="E558" s="73">
        <v>9</v>
      </c>
      <c r="F558" s="73">
        <v>11</v>
      </c>
      <c r="G558" s="74">
        <f t="shared" si="189"/>
        <v>0.81818181818181823</v>
      </c>
      <c r="H558" s="75">
        <f t="shared" si="190"/>
        <v>69.247777777777785</v>
      </c>
      <c r="I558" s="76">
        <f t="shared" si="191"/>
        <v>84.636172839506173</v>
      </c>
      <c r="J558" s="102">
        <v>233.2</v>
      </c>
      <c r="K558" s="73">
        <v>24539</v>
      </c>
      <c r="L558" s="73">
        <v>3</v>
      </c>
      <c r="M558" s="103">
        <v>282.98</v>
      </c>
      <c r="N558" s="79">
        <f t="shared" si="207"/>
        <v>0.82408650788041549</v>
      </c>
      <c r="O558" s="80">
        <f t="shared" si="192"/>
        <v>1.213464837049743</v>
      </c>
      <c r="P558" s="79">
        <f t="shared" si="193"/>
        <v>0.3741796768448245</v>
      </c>
      <c r="Q558" s="81">
        <f t="shared" si="194"/>
        <v>0.45405388058983043</v>
      </c>
      <c r="R558" s="104">
        <f t="shared" si="206"/>
        <v>340.25</v>
      </c>
      <c r="S558" s="83">
        <f t="shared" si="195"/>
        <v>77.733333333333334</v>
      </c>
      <c r="T558" s="135"/>
      <c r="U558" s="135"/>
      <c r="V558" s="135"/>
      <c r="W558" s="135"/>
      <c r="X558" s="136"/>
      <c r="Y558" s="50"/>
      <c r="Z558" s="50"/>
    </row>
    <row r="559" spans="1:26" ht="12.75" hidden="1" outlineLevel="1" x14ac:dyDescent="0.2">
      <c r="A559" s="50"/>
      <c r="B559" s="137"/>
      <c r="C559" s="70" t="s">
        <v>42</v>
      </c>
      <c r="D559" s="90">
        <v>0</v>
      </c>
      <c r="E559" s="73">
        <v>0</v>
      </c>
      <c r="F559" s="73">
        <v>0</v>
      </c>
      <c r="G559" s="74" t="e">
        <f t="shared" si="189"/>
        <v>#DIV/0!</v>
      </c>
      <c r="H559" s="75" t="e">
        <f t="shared" si="190"/>
        <v>#DIV/0!</v>
      </c>
      <c r="I559" s="76" t="e">
        <f t="shared" si="191"/>
        <v>#DIV/0!</v>
      </c>
      <c r="J559" s="90">
        <v>0</v>
      </c>
      <c r="K559" s="73">
        <v>0</v>
      </c>
      <c r="L559" s="73">
        <v>0</v>
      </c>
      <c r="M559" s="91">
        <v>0</v>
      </c>
      <c r="N559" s="79" t="e">
        <f t="shared" si="207"/>
        <v>#DIV/0!</v>
      </c>
      <c r="O559" s="80" t="e">
        <f t="shared" si="192"/>
        <v>#DIV/0!</v>
      </c>
      <c r="P559" s="79" t="e">
        <f t="shared" si="193"/>
        <v>#DIV/0!</v>
      </c>
      <c r="Q559" s="81" t="e">
        <f t="shared" si="194"/>
        <v>#DIV/0!</v>
      </c>
      <c r="R559" s="92">
        <f t="shared" si="206"/>
        <v>0</v>
      </c>
      <c r="S559" s="83" t="e">
        <f t="shared" si="195"/>
        <v>#DIV/0!</v>
      </c>
      <c r="T559" s="135"/>
      <c r="U559" s="135"/>
      <c r="V559" s="135"/>
      <c r="W559" s="135"/>
      <c r="X559" s="136"/>
      <c r="Y559" s="50"/>
      <c r="Z559" s="50"/>
    </row>
    <row r="560" spans="1:26" ht="12.75" hidden="1" outlineLevel="1" x14ac:dyDescent="0.2">
      <c r="A560" s="50"/>
      <c r="B560" s="137"/>
      <c r="C560" s="70" t="s">
        <v>43</v>
      </c>
      <c r="D560" s="105">
        <v>250.9</v>
      </c>
      <c r="E560" s="73">
        <v>2</v>
      </c>
      <c r="F560" s="73">
        <v>2</v>
      </c>
      <c r="G560" s="74">
        <f t="shared" si="189"/>
        <v>1</v>
      </c>
      <c r="H560" s="75">
        <f t="shared" si="190"/>
        <v>125.45</v>
      </c>
      <c r="I560" s="76">
        <f t="shared" si="191"/>
        <v>125.45</v>
      </c>
      <c r="J560" s="105">
        <v>102.13</v>
      </c>
      <c r="K560" s="73">
        <v>11856</v>
      </c>
      <c r="L560" s="73">
        <v>2</v>
      </c>
      <c r="M560" s="106">
        <v>210.95</v>
      </c>
      <c r="N560" s="79">
        <f t="shared" si="207"/>
        <v>0.48414316188670303</v>
      </c>
      <c r="O560" s="80">
        <f t="shared" si="192"/>
        <v>2.0655047488495053</v>
      </c>
      <c r="P560" s="79">
        <f t="shared" si="193"/>
        <v>0.40705460342766042</v>
      </c>
      <c r="Q560" s="81">
        <f t="shared" si="194"/>
        <v>0.84077321642088476</v>
      </c>
      <c r="R560" s="107">
        <f t="shared" si="206"/>
        <v>39.950000000000017</v>
      </c>
      <c r="S560" s="83">
        <f t="shared" si="195"/>
        <v>51.064999999999998</v>
      </c>
      <c r="T560" s="135"/>
      <c r="U560" s="135"/>
      <c r="V560" s="135"/>
      <c r="W560" s="135"/>
      <c r="X560" s="136"/>
      <c r="Y560" s="50"/>
      <c r="Z560" s="50"/>
    </row>
    <row r="561" spans="1:26" ht="12.75" hidden="1" outlineLevel="1" x14ac:dyDescent="0.2">
      <c r="A561" s="50"/>
      <c r="B561" s="137"/>
      <c r="C561" s="70" t="s">
        <v>44</v>
      </c>
      <c r="D561" s="108">
        <v>214.8</v>
      </c>
      <c r="E561" s="73">
        <v>4</v>
      </c>
      <c r="F561" s="73">
        <v>6</v>
      </c>
      <c r="G561" s="74">
        <f t="shared" si="189"/>
        <v>0.66666666666666663</v>
      </c>
      <c r="H561" s="75">
        <f t="shared" si="190"/>
        <v>53.7</v>
      </c>
      <c r="I561" s="76">
        <f t="shared" si="191"/>
        <v>80.550000000000011</v>
      </c>
      <c r="J561" s="108">
        <v>128.68</v>
      </c>
      <c r="K561" s="73">
        <v>60875</v>
      </c>
      <c r="L561" s="73">
        <v>6</v>
      </c>
      <c r="M561" s="109">
        <v>304.7</v>
      </c>
      <c r="N561" s="79">
        <f t="shared" si="207"/>
        <v>0.42231703314735808</v>
      </c>
      <c r="O561" s="80">
        <f t="shared" si="192"/>
        <v>2.3678893378924464</v>
      </c>
      <c r="P561" s="79">
        <f t="shared" si="193"/>
        <v>0.59906890130353818</v>
      </c>
      <c r="Q561" s="81">
        <f t="shared" si="194"/>
        <v>1.4185288640595901</v>
      </c>
      <c r="R561" s="110">
        <f t="shared" si="206"/>
        <v>-89.899999999999977</v>
      </c>
      <c r="S561" s="83">
        <f t="shared" si="195"/>
        <v>21.446666666666669</v>
      </c>
      <c r="T561" s="135"/>
      <c r="U561" s="135"/>
      <c r="V561" s="135"/>
      <c r="W561" s="135"/>
      <c r="X561" s="136"/>
      <c r="Y561" s="50"/>
      <c r="Z561" s="50"/>
    </row>
    <row r="562" spans="1:26" ht="12.75" hidden="1" outlineLevel="1" x14ac:dyDescent="0.2">
      <c r="A562" s="139"/>
      <c r="B562" s="137"/>
      <c r="C562" s="112" t="s">
        <v>45</v>
      </c>
      <c r="D562" s="71">
        <v>29.95</v>
      </c>
      <c r="E562" s="73">
        <v>1</v>
      </c>
      <c r="F562" s="73">
        <v>1</v>
      </c>
      <c r="G562" s="74">
        <f t="shared" si="189"/>
        <v>1</v>
      </c>
      <c r="H562" s="75">
        <f t="shared" si="190"/>
        <v>29.95</v>
      </c>
      <c r="I562" s="76">
        <f t="shared" si="191"/>
        <v>29.95</v>
      </c>
      <c r="J562" s="71">
        <v>0</v>
      </c>
      <c r="K562" s="73">
        <v>0</v>
      </c>
      <c r="L562" s="73">
        <v>0</v>
      </c>
      <c r="M562" s="78">
        <v>0</v>
      </c>
      <c r="N562" s="79" t="e">
        <f t="shared" si="207"/>
        <v>#DIV/0!</v>
      </c>
      <c r="O562" s="80" t="e">
        <f t="shared" si="192"/>
        <v>#DIV/0!</v>
      </c>
      <c r="P562" s="79">
        <f t="shared" si="193"/>
        <v>0</v>
      </c>
      <c r="Q562" s="81">
        <f t="shared" si="194"/>
        <v>0</v>
      </c>
      <c r="R562" s="82">
        <f t="shared" si="206"/>
        <v>29.95</v>
      </c>
      <c r="S562" s="83" t="e">
        <f t="shared" si="195"/>
        <v>#DIV/0!</v>
      </c>
      <c r="T562" s="140"/>
      <c r="U562" s="140"/>
      <c r="V562" s="140"/>
      <c r="W562" s="141"/>
      <c r="X562" s="142"/>
      <c r="Y562" s="50"/>
      <c r="Z562" s="50"/>
    </row>
    <row r="563" spans="1:26" ht="12.75" hidden="1" outlineLevel="1" x14ac:dyDescent="0.2">
      <c r="A563" s="50"/>
      <c r="B563" s="137"/>
      <c r="C563" s="70" t="s">
        <v>46</v>
      </c>
      <c r="D563" s="116">
        <v>869</v>
      </c>
      <c r="E563" s="73">
        <v>20</v>
      </c>
      <c r="F563" s="73">
        <v>15</v>
      </c>
      <c r="G563" s="74">
        <f t="shared" si="189"/>
        <v>1.3333333333333333</v>
      </c>
      <c r="H563" s="75">
        <f t="shared" si="190"/>
        <v>43.45</v>
      </c>
      <c r="I563" s="76">
        <f t="shared" si="191"/>
        <v>32.587500000000006</v>
      </c>
      <c r="J563" s="116">
        <v>166.52</v>
      </c>
      <c r="K563" s="73">
        <v>25286</v>
      </c>
      <c r="L563" s="73">
        <v>5</v>
      </c>
      <c r="M563" s="117">
        <v>173.8</v>
      </c>
      <c r="N563" s="79">
        <f t="shared" si="207"/>
        <v>0.95811277330264677</v>
      </c>
      <c r="O563" s="80">
        <f t="shared" si="192"/>
        <v>1.043718472255585</v>
      </c>
      <c r="P563" s="79">
        <f t="shared" si="193"/>
        <v>0.19162255466052935</v>
      </c>
      <c r="Q563" s="81">
        <f t="shared" si="194"/>
        <v>0.2</v>
      </c>
      <c r="R563" s="82">
        <f t="shared" si="206"/>
        <v>695.2</v>
      </c>
      <c r="S563" s="83">
        <f t="shared" si="195"/>
        <v>33.304000000000002</v>
      </c>
      <c r="T563" s="135"/>
      <c r="U563" s="135"/>
      <c r="V563" s="135"/>
      <c r="W563" s="135"/>
      <c r="X563" s="136"/>
      <c r="Y563" s="50"/>
      <c r="Z563" s="50"/>
    </row>
    <row r="564" spans="1:26" ht="12.75" hidden="1" outlineLevel="1" x14ac:dyDescent="0.2">
      <c r="A564" s="50"/>
      <c r="B564" s="137"/>
      <c r="C564" s="70" t="s">
        <v>49</v>
      </c>
      <c r="D564" s="116">
        <v>0</v>
      </c>
      <c r="E564" s="73">
        <v>0</v>
      </c>
      <c r="F564" s="73">
        <v>0</v>
      </c>
      <c r="G564" s="74" t="e">
        <f t="shared" si="189"/>
        <v>#DIV/0!</v>
      </c>
      <c r="H564" s="75" t="e">
        <f t="shared" si="190"/>
        <v>#DIV/0!</v>
      </c>
      <c r="I564" s="76" t="e">
        <f t="shared" si="191"/>
        <v>#DIV/0!</v>
      </c>
      <c r="J564" s="116">
        <v>5.34</v>
      </c>
      <c r="K564" s="73">
        <v>6369</v>
      </c>
      <c r="L564" s="73">
        <v>0</v>
      </c>
      <c r="M564" s="117">
        <v>0</v>
      </c>
      <c r="N564" s="79" t="e">
        <f t="shared" si="207"/>
        <v>#DIV/0!</v>
      </c>
      <c r="O564" s="80">
        <f t="shared" si="192"/>
        <v>0</v>
      </c>
      <c r="P564" s="79" t="e">
        <f t="shared" si="193"/>
        <v>#DIV/0!</v>
      </c>
      <c r="Q564" s="81" t="e">
        <f t="shared" si="194"/>
        <v>#DIV/0!</v>
      </c>
      <c r="R564" s="82">
        <f t="shared" si="206"/>
        <v>0</v>
      </c>
      <c r="S564" s="83" t="e">
        <f t="shared" si="195"/>
        <v>#DIV/0!</v>
      </c>
      <c r="T564" s="135"/>
      <c r="U564" s="135"/>
      <c r="V564" s="135"/>
      <c r="W564" s="135"/>
      <c r="X564" s="136"/>
      <c r="Y564" s="50"/>
      <c r="Z564" s="50"/>
    </row>
    <row r="565" spans="1:26" hidden="1" outlineLevel="1" x14ac:dyDescent="0.25">
      <c r="A565" s="118" t="str">
        <f t="shared" ref="A565:A566" si="208">IFERROR(IF(B565&gt;0,MONTH(B565)&amp;"-"&amp;YEAR(B565),B565),)</f>
        <v>9-2025</v>
      </c>
      <c r="B565" s="69">
        <v>45920</v>
      </c>
      <c r="C565" s="198" t="s">
        <v>64</v>
      </c>
      <c r="D565" s="116">
        <v>0</v>
      </c>
      <c r="E565" s="73">
        <v>0</v>
      </c>
      <c r="F565" s="73">
        <v>0</v>
      </c>
      <c r="G565" s="74" t="e">
        <f t="shared" si="189"/>
        <v>#DIV/0!</v>
      </c>
      <c r="H565" s="75" t="e">
        <f t="shared" si="190"/>
        <v>#DIV/0!</v>
      </c>
      <c r="I565" s="76" t="e">
        <f t="shared" si="191"/>
        <v>#DIV/0!</v>
      </c>
      <c r="J565" s="87">
        <v>413.14</v>
      </c>
      <c r="K565" s="199">
        <v>96320</v>
      </c>
      <c r="L565" s="73">
        <v>0</v>
      </c>
      <c r="M565" s="88">
        <v>1369.43</v>
      </c>
      <c r="N565" s="79">
        <f t="shared" si="207"/>
        <v>0.30168756343880299</v>
      </c>
      <c r="O565" s="80">
        <f t="shared" si="192"/>
        <v>3.3146875151280439</v>
      </c>
      <c r="P565" s="79" t="e">
        <f t="shared" si="193"/>
        <v>#DIV/0!</v>
      </c>
      <c r="Q565" s="81" t="e">
        <f t="shared" si="194"/>
        <v>#DIV/0!</v>
      </c>
      <c r="R565" s="82">
        <f t="shared" si="206"/>
        <v>-1369.43</v>
      </c>
      <c r="S565" s="83" t="e">
        <f t="shared" si="195"/>
        <v>#DIV/0!</v>
      </c>
      <c r="T565" s="135"/>
      <c r="U565" s="135"/>
      <c r="V565" s="135"/>
      <c r="W565" s="135"/>
      <c r="X565" s="136"/>
      <c r="Y565" s="50"/>
      <c r="Z565" s="50"/>
    </row>
    <row r="566" spans="1:26" ht="12.75" collapsed="1" x14ac:dyDescent="0.2">
      <c r="A566" s="50">
        <f t="shared" si="208"/>
        <v>0</v>
      </c>
      <c r="B566" s="52" t="s">
        <v>96</v>
      </c>
      <c r="C566" s="145"/>
      <c r="D566" s="121">
        <f t="shared" ref="D566:F566" si="209">SUM(D550:D565)</f>
        <v>9114.0400000000009</v>
      </c>
      <c r="E566" s="123">
        <f t="shared" si="209"/>
        <v>102</v>
      </c>
      <c r="F566" s="123">
        <f t="shared" si="209"/>
        <v>105</v>
      </c>
      <c r="G566" s="124">
        <f t="shared" si="189"/>
        <v>0.97142857142857142</v>
      </c>
      <c r="H566" s="125">
        <f t="shared" si="190"/>
        <v>89.353333333333339</v>
      </c>
      <c r="I566" s="126">
        <f t="shared" si="191"/>
        <v>91.981372549019611</v>
      </c>
      <c r="J566" s="121">
        <f t="shared" ref="J566:M566" si="210">SUM(J550:J565)</f>
        <v>2541.9600000000005</v>
      </c>
      <c r="K566" s="123">
        <f t="shared" si="210"/>
        <v>527111</v>
      </c>
      <c r="L566" s="123">
        <f t="shared" si="210"/>
        <v>33</v>
      </c>
      <c r="M566" s="127">
        <f t="shared" si="210"/>
        <v>4663.3599999999997</v>
      </c>
      <c r="N566" s="128">
        <f t="shared" si="207"/>
        <v>0.54509195086804374</v>
      </c>
      <c r="O566" s="129">
        <f t="shared" si="192"/>
        <v>1.8345528647185632</v>
      </c>
      <c r="P566" s="128">
        <f t="shared" si="193"/>
        <v>0.27890595169650345</v>
      </c>
      <c r="Q566" s="130">
        <f t="shared" si="194"/>
        <v>0.51166771267187761</v>
      </c>
      <c r="R566" s="131">
        <f>SUM(R550:R565)</f>
        <v>4450.6799999999994</v>
      </c>
      <c r="S566" s="132">
        <f t="shared" si="195"/>
        <v>77.029090909090925</v>
      </c>
      <c r="T566" s="133">
        <f t="shared" ref="T566:U566" si="211">IFERROR((D566-D69)/D566,)</f>
        <v>0.16817130493173202</v>
      </c>
      <c r="U566" s="133">
        <f t="shared" si="211"/>
        <v>7.8431372549019607E-2</v>
      </c>
      <c r="V566" s="271" t="s">
        <v>139</v>
      </c>
      <c r="W566" s="271" t="s">
        <v>139</v>
      </c>
      <c r="X566" s="50"/>
      <c r="Y566" s="50"/>
      <c r="Z566" s="50"/>
    </row>
    <row r="567" spans="1:26" ht="12.75" hidden="1" outlineLevel="1" x14ac:dyDescent="0.2">
      <c r="A567" s="50"/>
      <c r="B567" s="69">
        <v>45921</v>
      </c>
      <c r="C567" s="70" t="s">
        <v>32</v>
      </c>
      <c r="D567" s="71">
        <v>3731.7</v>
      </c>
      <c r="E567" s="73">
        <v>24</v>
      </c>
      <c r="F567" s="73">
        <v>21</v>
      </c>
      <c r="G567" s="74">
        <f t="shared" si="189"/>
        <v>1.1428571428571428</v>
      </c>
      <c r="H567" s="75">
        <f t="shared" si="190"/>
        <v>155.48749999999998</v>
      </c>
      <c r="I567" s="76">
        <f t="shared" si="191"/>
        <v>136.05156249999999</v>
      </c>
      <c r="J567" s="77">
        <v>899.34</v>
      </c>
      <c r="K567" s="73">
        <v>187987</v>
      </c>
      <c r="L567" s="73">
        <v>18</v>
      </c>
      <c r="M567" s="78">
        <v>2904.5</v>
      </c>
      <c r="N567" s="79">
        <f t="shared" si="207"/>
        <v>0.30963677052849026</v>
      </c>
      <c r="O567" s="80">
        <f t="shared" si="192"/>
        <v>3.2295905886539016</v>
      </c>
      <c r="P567" s="79">
        <f t="shared" si="193"/>
        <v>0.24100008039231452</v>
      </c>
      <c r="Q567" s="81">
        <f t="shared" si="194"/>
        <v>0.77833159149985265</v>
      </c>
      <c r="R567" s="82">
        <f t="shared" ref="R567:R582" si="212">D567-M567</f>
        <v>827.19999999999982</v>
      </c>
      <c r="S567" s="83">
        <f t="shared" si="195"/>
        <v>49.963333333333338</v>
      </c>
      <c r="T567" s="135"/>
      <c r="U567" s="135"/>
      <c r="V567" s="135"/>
      <c r="W567" s="135"/>
      <c r="X567" s="136"/>
      <c r="Y567" s="50"/>
      <c r="Z567" s="50"/>
    </row>
    <row r="568" spans="1:26" ht="12.75" hidden="1" outlineLevel="1" x14ac:dyDescent="0.2">
      <c r="A568" s="50"/>
      <c r="B568" s="137"/>
      <c r="C568" s="70" t="s">
        <v>33</v>
      </c>
      <c r="D568" s="87">
        <v>2737.5</v>
      </c>
      <c r="E568" s="73">
        <v>23</v>
      </c>
      <c r="F568" s="73">
        <v>25</v>
      </c>
      <c r="G568" s="74">
        <f t="shared" si="189"/>
        <v>0.92</v>
      </c>
      <c r="H568" s="75">
        <f t="shared" si="190"/>
        <v>119.02173913043478</v>
      </c>
      <c r="I568" s="76">
        <f t="shared" si="191"/>
        <v>129.37145557655953</v>
      </c>
      <c r="J568" s="87">
        <v>345.36</v>
      </c>
      <c r="K568" s="73">
        <v>106659</v>
      </c>
      <c r="L568" s="73">
        <v>11</v>
      </c>
      <c r="M568" s="88">
        <v>1103.8499999999999</v>
      </c>
      <c r="N568" s="79">
        <f t="shared" si="207"/>
        <v>0.31286859627666808</v>
      </c>
      <c r="O568" s="80">
        <f t="shared" si="192"/>
        <v>3.1962300208478105</v>
      </c>
      <c r="P568" s="79">
        <f t="shared" si="193"/>
        <v>0.12615890410958905</v>
      </c>
      <c r="Q568" s="81">
        <f t="shared" si="194"/>
        <v>0.40323287671232871</v>
      </c>
      <c r="R568" s="89">
        <f t="shared" si="212"/>
        <v>1633.65</v>
      </c>
      <c r="S568" s="83">
        <f t="shared" si="195"/>
        <v>31.396363636363638</v>
      </c>
      <c r="T568" s="135"/>
      <c r="U568" s="135"/>
      <c r="V568" s="135"/>
      <c r="W568" s="135"/>
      <c r="X568" s="136"/>
      <c r="Y568" s="50"/>
      <c r="Z568" s="50"/>
    </row>
    <row r="569" spans="1:26" ht="12.75" hidden="1" outlineLevel="1" x14ac:dyDescent="0.2">
      <c r="A569" s="50"/>
      <c r="B569" s="137"/>
      <c r="C569" s="70" t="s">
        <v>34</v>
      </c>
      <c r="D569" s="90">
        <v>419.7</v>
      </c>
      <c r="E569" s="73">
        <v>6</v>
      </c>
      <c r="F569" s="73">
        <v>3</v>
      </c>
      <c r="G569" s="74">
        <f t="shared" si="189"/>
        <v>2</v>
      </c>
      <c r="H569" s="75">
        <f t="shared" si="190"/>
        <v>69.95</v>
      </c>
      <c r="I569" s="76">
        <f t="shared" si="191"/>
        <v>34.975000000000001</v>
      </c>
      <c r="J569" s="90">
        <v>1.35</v>
      </c>
      <c r="K569" s="73">
        <v>260</v>
      </c>
      <c r="L569" s="73">
        <v>0</v>
      </c>
      <c r="M569" s="91">
        <v>0</v>
      </c>
      <c r="N569" s="79" t="e">
        <f>(J569/M569)</f>
        <v>#DIV/0!</v>
      </c>
      <c r="O569" s="80">
        <f t="shared" si="192"/>
        <v>0</v>
      </c>
      <c r="P569" s="79">
        <f t="shared" si="193"/>
        <v>3.2165832737669768E-3</v>
      </c>
      <c r="Q569" s="81">
        <f t="shared" si="194"/>
        <v>0</v>
      </c>
      <c r="R569" s="92">
        <f t="shared" si="212"/>
        <v>419.7</v>
      </c>
      <c r="S569" s="83" t="e">
        <f t="shared" si="195"/>
        <v>#DIV/0!</v>
      </c>
      <c r="T569" s="135"/>
      <c r="U569" s="135"/>
      <c r="V569" s="135"/>
      <c r="W569" s="135"/>
      <c r="X569" s="136"/>
      <c r="Y569" s="50"/>
      <c r="Z569" s="50"/>
    </row>
    <row r="570" spans="1:26" ht="12.75" hidden="1" outlineLevel="1" x14ac:dyDescent="0.2">
      <c r="A570" s="50"/>
      <c r="B570" s="137"/>
      <c r="C570" s="70" t="s">
        <v>35</v>
      </c>
      <c r="D570" s="90">
        <v>479.6</v>
      </c>
      <c r="E570" s="73">
        <v>8</v>
      </c>
      <c r="F570" s="73">
        <v>8</v>
      </c>
      <c r="G570" s="74">
        <f t="shared" si="189"/>
        <v>1</v>
      </c>
      <c r="H570" s="75">
        <f t="shared" si="190"/>
        <v>59.95</v>
      </c>
      <c r="I570" s="76">
        <f t="shared" si="191"/>
        <v>59.95</v>
      </c>
      <c r="J570" s="90">
        <v>209.26</v>
      </c>
      <c r="K570" s="73">
        <v>21090</v>
      </c>
      <c r="L570" s="73">
        <v>5</v>
      </c>
      <c r="M570" s="91">
        <v>299.75</v>
      </c>
      <c r="N570" s="79">
        <f t="shared" ref="N570:N585" si="213">J570/M570</f>
        <v>0.69811509591326104</v>
      </c>
      <c r="O570" s="80">
        <f t="shared" si="192"/>
        <v>1.4324285577750169</v>
      </c>
      <c r="P570" s="79">
        <f t="shared" si="193"/>
        <v>0.43632193494578814</v>
      </c>
      <c r="Q570" s="81">
        <f t="shared" si="194"/>
        <v>0.625</v>
      </c>
      <c r="R570" s="92">
        <f t="shared" si="212"/>
        <v>179.85000000000002</v>
      </c>
      <c r="S570" s="83">
        <f t="shared" si="195"/>
        <v>41.851999999999997</v>
      </c>
      <c r="T570" s="135"/>
      <c r="U570" s="135"/>
      <c r="V570" s="135"/>
      <c r="W570" s="135"/>
      <c r="X570" s="136"/>
      <c r="Y570" s="50"/>
      <c r="Z570" s="50"/>
    </row>
    <row r="571" spans="1:26" ht="12.75" hidden="1" outlineLevel="1" x14ac:dyDescent="0.2">
      <c r="A571" s="50"/>
      <c r="B571" s="137"/>
      <c r="C571" s="70" t="s">
        <v>36</v>
      </c>
      <c r="D571" s="90">
        <v>509.6</v>
      </c>
      <c r="E571" s="73">
        <v>8</v>
      </c>
      <c r="F571" s="73">
        <v>8</v>
      </c>
      <c r="G571" s="74">
        <f t="shared" si="189"/>
        <v>1</v>
      </c>
      <c r="H571" s="75">
        <f t="shared" si="190"/>
        <v>63.7</v>
      </c>
      <c r="I571" s="76">
        <f t="shared" si="191"/>
        <v>63.7</v>
      </c>
      <c r="J571" s="90">
        <v>106.49</v>
      </c>
      <c r="K571" s="73">
        <v>19928</v>
      </c>
      <c r="L571" s="73">
        <v>6</v>
      </c>
      <c r="M571" s="91">
        <v>379.7</v>
      </c>
      <c r="N571" s="79">
        <f t="shared" si="213"/>
        <v>0.28045825651830392</v>
      </c>
      <c r="O571" s="80">
        <f t="shared" si="192"/>
        <v>3.565593013428491</v>
      </c>
      <c r="P571" s="79">
        <f t="shared" si="193"/>
        <v>0.2089678178963893</v>
      </c>
      <c r="Q571" s="81">
        <f t="shared" si="194"/>
        <v>0.74509419152276291</v>
      </c>
      <c r="R571" s="92">
        <f t="shared" si="212"/>
        <v>129.90000000000003</v>
      </c>
      <c r="S571" s="83">
        <f t="shared" si="195"/>
        <v>17.748333333333331</v>
      </c>
      <c r="T571" s="135"/>
      <c r="U571" s="135"/>
      <c r="V571" s="135"/>
      <c r="W571" s="135"/>
      <c r="X571" s="136"/>
      <c r="Y571" s="50"/>
      <c r="Z571" s="50"/>
    </row>
    <row r="572" spans="1:26" ht="12.75" hidden="1" outlineLevel="1" x14ac:dyDescent="0.2">
      <c r="A572" s="50"/>
      <c r="B572" s="69" t="s">
        <v>37</v>
      </c>
      <c r="C572" s="70" t="s">
        <v>38</v>
      </c>
      <c r="D572" s="93">
        <v>475.64</v>
      </c>
      <c r="E572" s="73">
        <v>8</v>
      </c>
      <c r="F572" s="73">
        <v>8</v>
      </c>
      <c r="G572" s="74">
        <f t="shared" si="189"/>
        <v>1</v>
      </c>
      <c r="H572" s="75">
        <f t="shared" si="190"/>
        <v>59.454999999999998</v>
      </c>
      <c r="I572" s="76">
        <f t="shared" si="191"/>
        <v>59.454999999999998</v>
      </c>
      <c r="J572" s="93">
        <v>39.43</v>
      </c>
      <c r="K572" s="73">
        <v>15087</v>
      </c>
      <c r="L572" s="73">
        <v>1</v>
      </c>
      <c r="M572" s="94">
        <v>29.95</v>
      </c>
      <c r="N572" s="79">
        <f t="shared" si="213"/>
        <v>1.3165275459098498</v>
      </c>
      <c r="O572" s="80">
        <f t="shared" si="192"/>
        <v>0.75957392848085215</v>
      </c>
      <c r="P572" s="79">
        <f t="shared" si="193"/>
        <v>8.2898831048692292E-2</v>
      </c>
      <c r="Q572" s="81">
        <f t="shared" si="194"/>
        <v>6.2967790766125645E-2</v>
      </c>
      <c r="R572" s="95">
        <f t="shared" si="212"/>
        <v>445.69</v>
      </c>
      <c r="S572" s="83">
        <f t="shared" si="195"/>
        <v>39.43</v>
      </c>
      <c r="T572" s="135"/>
      <c r="U572" s="135"/>
      <c r="V572" s="135"/>
      <c r="W572" s="135"/>
      <c r="X572" s="136"/>
      <c r="Y572" s="50"/>
      <c r="Z572" s="50"/>
    </row>
    <row r="573" spans="1:26" ht="12.75" hidden="1" outlineLevel="1" x14ac:dyDescent="0.2">
      <c r="A573" s="50"/>
      <c r="B573" s="137"/>
      <c r="C573" s="70" t="s">
        <v>39</v>
      </c>
      <c r="D573" s="96">
        <v>0</v>
      </c>
      <c r="E573" s="73">
        <v>0</v>
      </c>
      <c r="F573" s="73">
        <v>0</v>
      </c>
      <c r="G573" s="74" t="e">
        <f t="shared" si="189"/>
        <v>#DIV/0!</v>
      </c>
      <c r="H573" s="75" t="e">
        <f t="shared" si="190"/>
        <v>#DIV/0!</v>
      </c>
      <c r="I573" s="76" t="e">
        <f t="shared" si="191"/>
        <v>#DIV/0!</v>
      </c>
      <c r="J573" s="96">
        <v>0</v>
      </c>
      <c r="K573" s="73">
        <v>0</v>
      </c>
      <c r="L573" s="73">
        <v>0</v>
      </c>
      <c r="M573" s="97">
        <v>0</v>
      </c>
      <c r="N573" s="79" t="e">
        <f t="shared" si="213"/>
        <v>#DIV/0!</v>
      </c>
      <c r="O573" s="80" t="e">
        <f t="shared" si="192"/>
        <v>#DIV/0!</v>
      </c>
      <c r="P573" s="79" t="e">
        <f t="shared" si="193"/>
        <v>#DIV/0!</v>
      </c>
      <c r="Q573" s="81" t="e">
        <f t="shared" si="194"/>
        <v>#DIV/0!</v>
      </c>
      <c r="R573" s="98">
        <f t="shared" si="212"/>
        <v>0</v>
      </c>
      <c r="S573" s="83" t="e">
        <f t="shared" si="195"/>
        <v>#DIV/0!</v>
      </c>
      <c r="T573" s="135"/>
      <c r="U573" s="135"/>
      <c r="V573" s="135"/>
      <c r="W573" s="135"/>
      <c r="X573" s="136"/>
      <c r="Y573" s="50"/>
      <c r="Z573" s="50"/>
    </row>
    <row r="574" spans="1:26" ht="12.75" hidden="1" outlineLevel="1" x14ac:dyDescent="0.2">
      <c r="A574" s="50"/>
      <c r="B574" s="137"/>
      <c r="C574" s="70" t="s">
        <v>40</v>
      </c>
      <c r="D574" s="99">
        <v>329.7</v>
      </c>
      <c r="E574" s="73">
        <v>6</v>
      </c>
      <c r="F574" s="73">
        <v>3</v>
      </c>
      <c r="G574" s="74">
        <f t="shared" si="189"/>
        <v>2</v>
      </c>
      <c r="H574" s="75">
        <f t="shared" si="190"/>
        <v>54.949999999999996</v>
      </c>
      <c r="I574" s="76">
        <f t="shared" si="191"/>
        <v>27.474999999999998</v>
      </c>
      <c r="J574" s="99">
        <v>0</v>
      </c>
      <c r="K574" s="73">
        <v>0</v>
      </c>
      <c r="L574" s="73">
        <v>0</v>
      </c>
      <c r="M574" s="100">
        <v>0</v>
      </c>
      <c r="N574" s="79" t="e">
        <f t="shared" si="213"/>
        <v>#DIV/0!</v>
      </c>
      <c r="O574" s="80" t="e">
        <f t="shared" si="192"/>
        <v>#DIV/0!</v>
      </c>
      <c r="P574" s="79">
        <f t="shared" si="193"/>
        <v>0</v>
      </c>
      <c r="Q574" s="81">
        <f t="shared" si="194"/>
        <v>0</v>
      </c>
      <c r="R574" s="101">
        <f t="shared" si="212"/>
        <v>329.7</v>
      </c>
      <c r="S574" s="83" t="e">
        <f t="shared" si="195"/>
        <v>#DIV/0!</v>
      </c>
      <c r="T574" s="135"/>
      <c r="U574" s="135"/>
      <c r="V574" s="135"/>
      <c r="W574" s="135"/>
      <c r="X574" s="136"/>
      <c r="Y574" s="50"/>
      <c r="Z574" s="50"/>
    </row>
    <row r="575" spans="1:26" ht="12.75" hidden="1" outlineLevel="1" x14ac:dyDescent="0.2">
      <c r="A575" s="50"/>
      <c r="B575" s="137"/>
      <c r="C575" s="70" t="s">
        <v>41</v>
      </c>
      <c r="D575" s="102">
        <v>1252.8</v>
      </c>
      <c r="E575" s="73">
        <v>18</v>
      </c>
      <c r="F575" s="73">
        <v>18</v>
      </c>
      <c r="G575" s="74">
        <f t="shared" si="189"/>
        <v>1</v>
      </c>
      <c r="H575" s="75">
        <f t="shared" si="190"/>
        <v>69.599999999999994</v>
      </c>
      <c r="I575" s="76">
        <f t="shared" si="191"/>
        <v>69.599999999999994</v>
      </c>
      <c r="J575" s="102">
        <v>189.33</v>
      </c>
      <c r="K575" s="73">
        <v>24077</v>
      </c>
      <c r="L575" s="73">
        <v>6</v>
      </c>
      <c r="M575" s="103">
        <v>437.6</v>
      </c>
      <c r="N575" s="79">
        <f t="shared" si="213"/>
        <v>0.43265539305301648</v>
      </c>
      <c r="O575" s="80">
        <f t="shared" si="192"/>
        <v>2.3113082976812973</v>
      </c>
      <c r="P575" s="79">
        <f t="shared" si="193"/>
        <v>0.15112547892720307</v>
      </c>
      <c r="Q575" s="81">
        <f t="shared" si="194"/>
        <v>0.34929757343550449</v>
      </c>
      <c r="R575" s="104">
        <f t="shared" si="212"/>
        <v>815.19999999999993</v>
      </c>
      <c r="S575" s="83">
        <f t="shared" si="195"/>
        <v>31.555000000000003</v>
      </c>
      <c r="T575" s="135"/>
      <c r="U575" s="135"/>
      <c r="V575" s="135"/>
      <c r="W575" s="135"/>
      <c r="X575" s="136"/>
      <c r="Y575" s="50"/>
      <c r="Z575" s="50"/>
    </row>
    <row r="576" spans="1:26" ht="12.75" hidden="1" outlineLevel="1" x14ac:dyDescent="0.2">
      <c r="A576" s="50"/>
      <c r="B576" s="137"/>
      <c r="C576" s="70" t="s">
        <v>42</v>
      </c>
      <c r="D576" s="90">
        <v>0</v>
      </c>
      <c r="E576" s="73">
        <v>0</v>
      </c>
      <c r="F576" s="73">
        <v>0</v>
      </c>
      <c r="G576" s="74" t="e">
        <f t="shared" si="189"/>
        <v>#DIV/0!</v>
      </c>
      <c r="H576" s="75" t="e">
        <f t="shared" si="190"/>
        <v>#DIV/0!</v>
      </c>
      <c r="I576" s="76" t="e">
        <f t="shared" si="191"/>
        <v>#DIV/0!</v>
      </c>
      <c r="J576" s="90">
        <v>0</v>
      </c>
      <c r="K576" s="73">
        <v>0</v>
      </c>
      <c r="L576" s="73">
        <v>0</v>
      </c>
      <c r="M576" s="91">
        <v>0</v>
      </c>
      <c r="N576" s="79" t="e">
        <f t="shared" si="213"/>
        <v>#DIV/0!</v>
      </c>
      <c r="O576" s="80" t="e">
        <f t="shared" si="192"/>
        <v>#DIV/0!</v>
      </c>
      <c r="P576" s="79" t="e">
        <f t="shared" si="193"/>
        <v>#DIV/0!</v>
      </c>
      <c r="Q576" s="81" t="e">
        <f t="shared" si="194"/>
        <v>#DIV/0!</v>
      </c>
      <c r="R576" s="92">
        <f t="shared" si="212"/>
        <v>0</v>
      </c>
      <c r="S576" s="83" t="e">
        <f t="shared" si="195"/>
        <v>#DIV/0!</v>
      </c>
      <c r="T576" s="135"/>
      <c r="U576" s="135"/>
      <c r="V576" s="135"/>
      <c r="W576" s="135"/>
      <c r="X576" s="136"/>
      <c r="Y576" s="50"/>
      <c r="Z576" s="50"/>
    </row>
    <row r="577" spans="1:26" ht="12.75" hidden="1" outlineLevel="1" x14ac:dyDescent="0.2">
      <c r="A577" s="50"/>
      <c r="B577" s="137"/>
      <c r="C577" s="70" t="s">
        <v>43</v>
      </c>
      <c r="D577" s="105">
        <v>0</v>
      </c>
      <c r="E577" s="73">
        <v>0</v>
      </c>
      <c r="F577" s="73">
        <v>0</v>
      </c>
      <c r="G577" s="74" t="e">
        <f t="shared" si="189"/>
        <v>#DIV/0!</v>
      </c>
      <c r="H577" s="75" t="e">
        <f t="shared" si="190"/>
        <v>#DIV/0!</v>
      </c>
      <c r="I577" s="76" t="e">
        <f t="shared" si="191"/>
        <v>#DIV/0!</v>
      </c>
      <c r="J577" s="105">
        <v>76.47</v>
      </c>
      <c r="K577" s="73">
        <v>11585</v>
      </c>
      <c r="L577" s="73">
        <v>0</v>
      </c>
      <c r="M577" s="106">
        <v>0</v>
      </c>
      <c r="N577" s="79" t="e">
        <f t="shared" si="213"/>
        <v>#DIV/0!</v>
      </c>
      <c r="O577" s="80">
        <f t="shared" si="192"/>
        <v>0</v>
      </c>
      <c r="P577" s="79" t="e">
        <f t="shared" si="193"/>
        <v>#DIV/0!</v>
      </c>
      <c r="Q577" s="81" t="e">
        <f t="shared" si="194"/>
        <v>#DIV/0!</v>
      </c>
      <c r="R577" s="107">
        <f t="shared" si="212"/>
        <v>0</v>
      </c>
      <c r="S577" s="83" t="e">
        <f t="shared" si="195"/>
        <v>#DIV/0!</v>
      </c>
      <c r="T577" s="135"/>
      <c r="U577" s="135"/>
      <c r="V577" s="135"/>
      <c r="W577" s="135"/>
      <c r="X577" s="136"/>
      <c r="Y577" s="50"/>
      <c r="Z577" s="50"/>
    </row>
    <row r="578" spans="1:26" ht="12.75" hidden="1" outlineLevel="1" x14ac:dyDescent="0.2">
      <c r="A578" s="50"/>
      <c r="B578" s="137"/>
      <c r="C578" s="70" t="s">
        <v>44</v>
      </c>
      <c r="D578" s="108">
        <v>134.85</v>
      </c>
      <c r="E578" s="73">
        <v>3</v>
      </c>
      <c r="F578" s="73">
        <v>3</v>
      </c>
      <c r="G578" s="74">
        <f t="shared" si="189"/>
        <v>1</v>
      </c>
      <c r="H578" s="75">
        <f t="shared" si="190"/>
        <v>44.949999999999996</v>
      </c>
      <c r="I578" s="76">
        <f t="shared" si="191"/>
        <v>44.949999999999996</v>
      </c>
      <c r="J578" s="108">
        <v>69.52</v>
      </c>
      <c r="K578" s="73">
        <v>40853</v>
      </c>
      <c r="L578" s="73">
        <v>1</v>
      </c>
      <c r="M578" s="109">
        <v>44.95</v>
      </c>
      <c r="N578" s="79">
        <f t="shared" si="213"/>
        <v>1.5466073414905448</v>
      </c>
      <c r="O578" s="80">
        <f t="shared" si="192"/>
        <v>0.64657652474108174</v>
      </c>
      <c r="P578" s="79">
        <f t="shared" si="193"/>
        <v>0.51553578049684834</v>
      </c>
      <c r="Q578" s="81">
        <f t="shared" si="194"/>
        <v>0.33333333333333337</v>
      </c>
      <c r="R578" s="110">
        <f t="shared" si="212"/>
        <v>89.899999999999991</v>
      </c>
      <c r="S578" s="83">
        <f t="shared" si="195"/>
        <v>69.52</v>
      </c>
      <c r="T578" s="135"/>
      <c r="U578" s="135"/>
      <c r="V578" s="135"/>
      <c r="W578" s="135"/>
      <c r="X578" s="136"/>
      <c r="Y578" s="50"/>
      <c r="Z578" s="50"/>
    </row>
    <row r="579" spans="1:26" ht="12.75" hidden="1" outlineLevel="1" x14ac:dyDescent="0.2">
      <c r="A579" s="139"/>
      <c r="B579" s="137"/>
      <c r="C579" s="112" t="s">
        <v>45</v>
      </c>
      <c r="D579" s="71">
        <v>24.95</v>
      </c>
      <c r="E579" s="73">
        <v>1</v>
      </c>
      <c r="F579" s="73">
        <v>1</v>
      </c>
      <c r="G579" s="74">
        <f t="shared" si="189"/>
        <v>1</v>
      </c>
      <c r="H579" s="75">
        <f t="shared" si="190"/>
        <v>24.95</v>
      </c>
      <c r="I579" s="76">
        <f t="shared" si="191"/>
        <v>24.95</v>
      </c>
      <c r="J579" s="71">
        <v>0</v>
      </c>
      <c r="K579" s="73">
        <v>0</v>
      </c>
      <c r="L579" s="73">
        <v>0</v>
      </c>
      <c r="M579" s="78">
        <v>0</v>
      </c>
      <c r="N579" s="79" t="e">
        <f t="shared" si="213"/>
        <v>#DIV/0!</v>
      </c>
      <c r="O579" s="80" t="e">
        <f t="shared" si="192"/>
        <v>#DIV/0!</v>
      </c>
      <c r="P579" s="79">
        <f t="shared" si="193"/>
        <v>0</v>
      </c>
      <c r="Q579" s="81">
        <f t="shared" si="194"/>
        <v>0</v>
      </c>
      <c r="R579" s="82">
        <f t="shared" si="212"/>
        <v>24.95</v>
      </c>
      <c r="S579" s="83" t="e">
        <f t="shared" si="195"/>
        <v>#DIV/0!</v>
      </c>
      <c r="T579" s="140"/>
      <c r="U579" s="140"/>
      <c r="V579" s="140"/>
      <c r="W579" s="141"/>
      <c r="X579" s="142"/>
      <c r="Y579" s="50"/>
      <c r="Z579" s="50"/>
    </row>
    <row r="580" spans="1:26" ht="12.75" hidden="1" outlineLevel="1" x14ac:dyDescent="0.2">
      <c r="A580" s="50"/>
      <c r="B580" s="137"/>
      <c r="C580" s="70" t="s">
        <v>46</v>
      </c>
      <c r="D580" s="116">
        <v>431.5</v>
      </c>
      <c r="E580" s="73">
        <v>10</v>
      </c>
      <c r="F580" s="73">
        <v>10</v>
      </c>
      <c r="G580" s="74">
        <f t="shared" si="189"/>
        <v>1</v>
      </c>
      <c r="H580" s="75">
        <f t="shared" si="190"/>
        <v>43.15</v>
      </c>
      <c r="I580" s="76">
        <f t="shared" si="191"/>
        <v>43.15</v>
      </c>
      <c r="J580" s="116">
        <v>105.15</v>
      </c>
      <c r="K580" s="73">
        <v>22565</v>
      </c>
      <c r="L580" s="73">
        <v>4</v>
      </c>
      <c r="M580" s="117">
        <v>128.85</v>
      </c>
      <c r="N580" s="79">
        <f t="shared" si="213"/>
        <v>0.81606519208381845</v>
      </c>
      <c r="O580" s="80">
        <f t="shared" si="192"/>
        <v>1.2253922967189728</v>
      </c>
      <c r="P580" s="79">
        <f t="shared" si="193"/>
        <v>0.24368482039397452</v>
      </c>
      <c r="Q580" s="81">
        <f t="shared" si="194"/>
        <v>0.29860950173812284</v>
      </c>
      <c r="R580" s="82">
        <f t="shared" si="212"/>
        <v>302.64999999999998</v>
      </c>
      <c r="S580" s="83">
        <f t="shared" si="195"/>
        <v>26.287500000000001</v>
      </c>
      <c r="T580" s="135"/>
      <c r="U580" s="135"/>
      <c r="V580" s="135"/>
      <c r="W580" s="135"/>
      <c r="X580" s="136"/>
      <c r="Y580" s="50"/>
      <c r="Z580" s="50"/>
    </row>
    <row r="581" spans="1:26" ht="12.75" hidden="1" outlineLevel="1" x14ac:dyDescent="0.2">
      <c r="A581" s="50"/>
      <c r="B581" s="137"/>
      <c r="C581" s="70" t="s">
        <v>49</v>
      </c>
      <c r="D581" s="116">
        <v>96</v>
      </c>
      <c r="E581" s="73">
        <v>1</v>
      </c>
      <c r="F581" s="73">
        <v>1</v>
      </c>
      <c r="G581" s="74">
        <f t="shared" si="189"/>
        <v>1</v>
      </c>
      <c r="H581" s="75">
        <f t="shared" si="190"/>
        <v>96</v>
      </c>
      <c r="I581" s="76">
        <f t="shared" si="191"/>
        <v>96</v>
      </c>
      <c r="J581" s="116">
        <v>4.07</v>
      </c>
      <c r="K581" s="73">
        <v>8988</v>
      </c>
      <c r="L581" s="73">
        <v>0</v>
      </c>
      <c r="M581" s="117">
        <v>0</v>
      </c>
      <c r="N581" s="79" t="e">
        <f t="shared" si="213"/>
        <v>#DIV/0!</v>
      </c>
      <c r="O581" s="80">
        <f t="shared" si="192"/>
        <v>0</v>
      </c>
      <c r="P581" s="79">
        <f t="shared" si="193"/>
        <v>4.2395833333333334E-2</v>
      </c>
      <c r="Q581" s="81">
        <f t="shared" si="194"/>
        <v>0</v>
      </c>
      <c r="R581" s="82">
        <f t="shared" si="212"/>
        <v>96</v>
      </c>
      <c r="S581" s="83" t="e">
        <f t="shared" si="195"/>
        <v>#DIV/0!</v>
      </c>
      <c r="T581" s="135"/>
      <c r="U581" s="135"/>
      <c r="V581" s="135"/>
      <c r="W581" s="135"/>
      <c r="X581" s="136"/>
      <c r="Y581" s="50"/>
      <c r="Z581" s="50"/>
    </row>
    <row r="582" spans="1:26" hidden="1" outlineLevel="1" x14ac:dyDescent="0.25">
      <c r="A582" s="118" t="str">
        <f t="shared" ref="A582:A583" si="214">IFERROR(IF(B582&gt;0,MONTH(B582)&amp;"-"&amp;YEAR(B582),B582),)</f>
        <v>9-2025</v>
      </c>
      <c r="B582" s="69">
        <v>45927</v>
      </c>
      <c r="C582" s="198" t="s">
        <v>64</v>
      </c>
      <c r="D582" s="116">
        <v>0</v>
      </c>
      <c r="E582" s="73">
        <v>0</v>
      </c>
      <c r="F582" s="73">
        <v>0</v>
      </c>
      <c r="G582" s="74" t="e">
        <f t="shared" si="189"/>
        <v>#DIV/0!</v>
      </c>
      <c r="H582" s="75" t="e">
        <f t="shared" si="190"/>
        <v>#DIV/0!</v>
      </c>
      <c r="I582" s="76" t="e">
        <f t="shared" si="191"/>
        <v>#DIV/0!</v>
      </c>
      <c r="J582" s="87">
        <v>436.38</v>
      </c>
      <c r="K582" s="199">
        <v>125083</v>
      </c>
      <c r="L582" s="73">
        <v>0</v>
      </c>
      <c r="M582" s="88">
        <v>1059.94</v>
      </c>
      <c r="N582" s="79">
        <f t="shared" si="213"/>
        <v>0.41170254920089816</v>
      </c>
      <c r="O582" s="80">
        <f t="shared" si="192"/>
        <v>2.428938081488611</v>
      </c>
      <c r="P582" s="79" t="e">
        <f t="shared" si="193"/>
        <v>#DIV/0!</v>
      </c>
      <c r="Q582" s="81" t="e">
        <f t="shared" si="194"/>
        <v>#DIV/0!</v>
      </c>
      <c r="R582" s="82">
        <f t="shared" si="212"/>
        <v>-1059.94</v>
      </c>
      <c r="S582" s="83" t="e">
        <f t="shared" si="195"/>
        <v>#DIV/0!</v>
      </c>
      <c r="T582" s="135"/>
      <c r="U582" s="135"/>
      <c r="V582" s="135"/>
      <c r="W582" s="135"/>
      <c r="X582" s="136"/>
      <c r="Y582" s="50"/>
      <c r="Z582" s="50"/>
    </row>
    <row r="583" spans="1:26" ht="12.75" collapsed="1" x14ac:dyDescent="0.2">
      <c r="A583" s="50">
        <f t="shared" si="214"/>
        <v>0</v>
      </c>
      <c r="B583" s="52" t="s">
        <v>97</v>
      </c>
      <c r="C583" s="145"/>
      <c r="D583" s="121">
        <f t="shared" ref="D583:F583" si="215">SUM(D567:D582)</f>
        <v>10623.54</v>
      </c>
      <c r="E583" s="123">
        <f t="shared" si="215"/>
        <v>116</v>
      </c>
      <c r="F583" s="123">
        <f t="shared" si="215"/>
        <v>109</v>
      </c>
      <c r="G583" s="124">
        <f t="shared" si="189"/>
        <v>1.0642201834862386</v>
      </c>
      <c r="H583" s="125">
        <f t="shared" si="190"/>
        <v>91.582241379310346</v>
      </c>
      <c r="I583" s="126">
        <f t="shared" si="191"/>
        <v>86.055726813317477</v>
      </c>
      <c r="J583" s="121">
        <f t="shared" ref="J583:M583" si="216">SUM(J567:J582)</f>
        <v>2482.15</v>
      </c>
      <c r="K583" s="123">
        <f t="shared" si="216"/>
        <v>584162</v>
      </c>
      <c r="L583" s="123">
        <f t="shared" si="216"/>
        <v>52</v>
      </c>
      <c r="M583" s="127">
        <f t="shared" si="216"/>
        <v>6389.09</v>
      </c>
      <c r="N583" s="128">
        <f t="shared" si="213"/>
        <v>0.38849820553474751</v>
      </c>
      <c r="O583" s="129">
        <f t="shared" si="192"/>
        <v>2.5740144632677318</v>
      </c>
      <c r="P583" s="128">
        <f t="shared" si="193"/>
        <v>0.23364622338693128</v>
      </c>
      <c r="Q583" s="130">
        <f t="shared" si="194"/>
        <v>0.60140875828584439</v>
      </c>
      <c r="R583" s="131">
        <f>SUM(R567:R582)</f>
        <v>4234.4499999999989</v>
      </c>
      <c r="S583" s="132">
        <f t="shared" si="195"/>
        <v>47.73365384615385</v>
      </c>
      <c r="T583" s="133">
        <f t="shared" ref="T583:U583" si="217">IFERROR((D583-D69)/D583,)</f>
        <v>0.28636593828422569</v>
      </c>
      <c r="U583" s="133">
        <f t="shared" si="217"/>
        <v>0.18965517241379309</v>
      </c>
      <c r="V583" s="271" t="s">
        <v>139</v>
      </c>
      <c r="W583" s="271" t="s">
        <v>139</v>
      </c>
      <c r="X583" s="50"/>
      <c r="Y583" s="50"/>
      <c r="Z583" s="50"/>
    </row>
    <row r="584" spans="1:26" ht="12.75" hidden="1" outlineLevel="1" x14ac:dyDescent="0.2">
      <c r="A584" s="50"/>
      <c r="B584" s="69">
        <v>45928</v>
      </c>
      <c r="C584" s="70" t="s">
        <v>32</v>
      </c>
      <c r="D584" s="71">
        <v>3475.28</v>
      </c>
      <c r="E584" s="73">
        <v>13</v>
      </c>
      <c r="F584" s="73">
        <v>13</v>
      </c>
      <c r="G584" s="74">
        <f t="shared" si="189"/>
        <v>1</v>
      </c>
      <c r="H584" s="75">
        <f t="shared" si="190"/>
        <v>267.32923076923078</v>
      </c>
      <c r="I584" s="76">
        <f t="shared" si="191"/>
        <v>267.32923076923078</v>
      </c>
      <c r="J584" s="77">
        <v>855.56</v>
      </c>
      <c r="K584" s="73">
        <v>196963</v>
      </c>
      <c r="L584" s="73">
        <v>4</v>
      </c>
      <c r="M584" s="78">
        <v>1745.28</v>
      </c>
      <c r="N584" s="79">
        <f t="shared" si="213"/>
        <v>0.49021360469380271</v>
      </c>
      <c r="O584" s="80">
        <f t="shared" si="192"/>
        <v>2.0399270653139467</v>
      </c>
      <c r="P584" s="79">
        <f t="shared" si="193"/>
        <v>0.24618448009944519</v>
      </c>
      <c r="Q584" s="81">
        <f t="shared" si="194"/>
        <v>0.50219838401510086</v>
      </c>
      <c r="R584" s="82">
        <f t="shared" ref="R584:R599" si="218">D584-M584</f>
        <v>1730.0000000000002</v>
      </c>
      <c r="S584" s="83">
        <f t="shared" si="195"/>
        <v>213.89</v>
      </c>
      <c r="T584" s="135"/>
      <c r="U584" s="135"/>
      <c r="V584" s="135"/>
      <c r="W584" s="135"/>
      <c r="X584" s="136"/>
      <c r="Y584" s="50"/>
      <c r="Z584" s="50"/>
    </row>
    <row r="585" spans="1:26" ht="12.75" hidden="1" outlineLevel="1" x14ac:dyDescent="0.2">
      <c r="A585" s="50"/>
      <c r="B585" s="137"/>
      <c r="C585" s="70" t="s">
        <v>33</v>
      </c>
      <c r="D585" s="87">
        <v>1340.95</v>
      </c>
      <c r="E585" s="73">
        <v>32</v>
      </c>
      <c r="F585" s="73">
        <v>38</v>
      </c>
      <c r="G585" s="74">
        <f t="shared" si="189"/>
        <v>0.84210526315789469</v>
      </c>
      <c r="H585" s="75">
        <f t="shared" si="190"/>
        <v>41.904687500000001</v>
      </c>
      <c r="I585" s="76">
        <f t="shared" si="191"/>
        <v>49.761816406250006</v>
      </c>
      <c r="J585" s="87">
        <v>363.51</v>
      </c>
      <c r="K585" s="73">
        <v>108420</v>
      </c>
      <c r="L585" s="73">
        <v>8</v>
      </c>
      <c r="M585" s="88">
        <v>888.75</v>
      </c>
      <c r="N585" s="79">
        <f t="shared" si="213"/>
        <v>0.4090126582278481</v>
      </c>
      <c r="O585" s="80">
        <f t="shared" si="192"/>
        <v>2.4449121069571675</v>
      </c>
      <c r="P585" s="79">
        <f t="shared" si="193"/>
        <v>0.27108393303255152</v>
      </c>
      <c r="Q585" s="81">
        <f t="shared" si="194"/>
        <v>0.66277638987285137</v>
      </c>
      <c r="R585" s="89">
        <f t="shared" si="218"/>
        <v>452.20000000000005</v>
      </c>
      <c r="S585" s="83">
        <f t="shared" si="195"/>
        <v>45.438749999999999</v>
      </c>
      <c r="T585" s="135"/>
      <c r="U585" s="135"/>
      <c r="V585" s="135"/>
      <c r="W585" s="135"/>
      <c r="X585" s="136"/>
      <c r="Y585" s="50"/>
      <c r="Z585" s="50"/>
    </row>
    <row r="586" spans="1:26" ht="12.75" hidden="1" outlineLevel="1" x14ac:dyDescent="0.2">
      <c r="A586" s="50"/>
      <c r="B586" s="137"/>
      <c r="C586" s="70" t="s">
        <v>34</v>
      </c>
      <c r="D586" s="90">
        <v>69.95</v>
      </c>
      <c r="E586" s="73">
        <v>1</v>
      </c>
      <c r="F586" s="73">
        <v>1</v>
      </c>
      <c r="G586" s="74">
        <f t="shared" si="189"/>
        <v>1</v>
      </c>
      <c r="H586" s="75">
        <f t="shared" si="190"/>
        <v>69.95</v>
      </c>
      <c r="I586" s="76">
        <f t="shared" si="191"/>
        <v>69.95</v>
      </c>
      <c r="J586" s="90">
        <v>0</v>
      </c>
      <c r="K586" s="73">
        <v>311</v>
      </c>
      <c r="L586" s="73">
        <v>0</v>
      </c>
      <c r="M586" s="91">
        <v>0</v>
      </c>
      <c r="N586" s="79" t="e">
        <f>(J586/M586)</f>
        <v>#DIV/0!</v>
      </c>
      <c r="O586" s="80" t="e">
        <f t="shared" si="192"/>
        <v>#DIV/0!</v>
      </c>
      <c r="P586" s="79">
        <f t="shared" si="193"/>
        <v>0</v>
      </c>
      <c r="Q586" s="81">
        <f t="shared" si="194"/>
        <v>0</v>
      </c>
      <c r="R586" s="92">
        <f t="shared" si="218"/>
        <v>69.95</v>
      </c>
      <c r="S586" s="83" t="e">
        <f t="shared" si="195"/>
        <v>#DIV/0!</v>
      </c>
      <c r="T586" s="135"/>
      <c r="U586" s="135"/>
      <c r="V586" s="135"/>
      <c r="W586" s="135"/>
      <c r="X586" s="136"/>
      <c r="Y586" s="50"/>
      <c r="Z586" s="50"/>
    </row>
    <row r="587" spans="1:26" ht="12.75" hidden="1" outlineLevel="1" x14ac:dyDescent="0.2">
      <c r="A587" s="50"/>
      <c r="B587" s="137"/>
      <c r="C587" s="70" t="s">
        <v>35</v>
      </c>
      <c r="D587" s="90">
        <v>539.54999999999995</v>
      </c>
      <c r="E587" s="73">
        <v>9</v>
      </c>
      <c r="F587" s="73">
        <v>8</v>
      </c>
      <c r="G587" s="74">
        <f t="shared" si="189"/>
        <v>1.125</v>
      </c>
      <c r="H587" s="75">
        <f t="shared" si="190"/>
        <v>59.949999999999996</v>
      </c>
      <c r="I587" s="76">
        <f t="shared" si="191"/>
        <v>53.288888888888884</v>
      </c>
      <c r="J587" s="90">
        <v>264.74</v>
      </c>
      <c r="K587" s="73">
        <v>24715</v>
      </c>
      <c r="L587" s="73">
        <v>7</v>
      </c>
      <c r="M587" s="91">
        <v>419.65</v>
      </c>
      <c r="N587" s="79">
        <f t="shared" ref="N587:N602" si="219">J587/M587</f>
        <v>0.63085904920767311</v>
      </c>
      <c r="O587" s="80">
        <f t="shared" si="192"/>
        <v>1.5851401374933896</v>
      </c>
      <c r="P587" s="79">
        <f t="shared" si="193"/>
        <v>0.49066814938374576</v>
      </c>
      <c r="Q587" s="81">
        <f t="shared" si="194"/>
        <v>0.77777777777777779</v>
      </c>
      <c r="R587" s="92">
        <f t="shared" si="218"/>
        <v>119.89999999999998</v>
      </c>
      <c r="S587" s="83">
        <f t="shared" si="195"/>
        <v>37.82</v>
      </c>
      <c r="T587" s="135"/>
      <c r="U587" s="135"/>
      <c r="V587" s="135"/>
      <c r="W587" s="135"/>
      <c r="X587" s="136"/>
      <c r="Y587" s="50"/>
      <c r="Z587" s="50"/>
    </row>
    <row r="588" spans="1:26" ht="12.75" hidden="1" outlineLevel="1" x14ac:dyDescent="0.2">
      <c r="A588" s="50"/>
      <c r="B588" s="137"/>
      <c r="C588" s="70" t="s">
        <v>36</v>
      </c>
      <c r="D588" s="90">
        <v>659.5</v>
      </c>
      <c r="E588" s="73">
        <v>10</v>
      </c>
      <c r="F588" s="73">
        <v>9</v>
      </c>
      <c r="G588" s="74">
        <f t="shared" si="189"/>
        <v>1.1111111111111112</v>
      </c>
      <c r="H588" s="75">
        <f t="shared" si="190"/>
        <v>65.95</v>
      </c>
      <c r="I588" s="76">
        <f t="shared" si="191"/>
        <v>59.354999999999997</v>
      </c>
      <c r="J588" s="90">
        <v>64.989999999999995</v>
      </c>
      <c r="K588" s="73">
        <v>19719</v>
      </c>
      <c r="L588" s="73">
        <v>2</v>
      </c>
      <c r="M588" s="91">
        <v>129.9</v>
      </c>
      <c r="N588" s="79">
        <f t="shared" si="219"/>
        <v>0.50030792917628941</v>
      </c>
      <c r="O588" s="80">
        <f t="shared" si="192"/>
        <v>1.9987690413909835</v>
      </c>
      <c r="P588" s="79">
        <f t="shared" si="193"/>
        <v>9.8544351781652759E-2</v>
      </c>
      <c r="Q588" s="81">
        <f t="shared" si="194"/>
        <v>0.19696739954510994</v>
      </c>
      <c r="R588" s="92">
        <f t="shared" si="218"/>
        <v>529.6</v>
      </c>
      <c r="S588" s="83">
        <f t="shared" si="195"/>
        <v>32.494999999999997</v>
      </c>
      <c r="T588" s="135"/>
      <c r="U588" s="135"/>
      <c r="V588" s="135"/>
      <c r="W588" s="135"/>
      <c r="X588" s="136"/>
      <c r="Y588" s="50"/>
      <c r="Z588" s="50"/>
    </row>
    <row r="589" spans="1:26" ht="12.75" hidden="1" outlineLevel="1" x14ac:dyDescent="0.2">
      <c r="A589" s="50"/>
      <c r="B589" s="69" t="s">
        <v>37</v>
      </c>
      <c r="C589" s="70" t="s">
        <v>38</v>
      </c>
      <c r="D589" s="93">
        <v>234.8</v>
      </c>
      <c r="E589" s="73">
        <v>4</v>
      </c>
      <c r="F589" s="73">
        <v>4</v>
      </c>
      <c r="G589" s="74">
        <f t="shared" si="189"/>
        <v>1</v>
      </c>
      <c r="H589" s="75">
        <f t="shared" si="190"/>
        <v>58.7</v>
      </c>
      <c r="I589" s="76">
        <f t="shared" si="191"/>
        <v>58.7</v>
      </c>
      <c r="J589" s="93">
        <v>50.88</v>
      </c>
      <c r="K589" s="73">
        <v>14681</v>
      </c>
      <c r="L589" s="73">
        <v>2</v>
      </c>
      <c r="M589" s="94">
        <v>169.9</v>
      </c>
      <c r="N589" s="79">
        <f t="shared" si="219"/>
        <v>0.29947027663331371</v>
      </c>
      <c r="O589" s="80">
        <f t="shared" si="192"/>
        <v>3.3392295597484276</v>
      </c>
      <c r="P589" s="79">
        <f t="shared" si="193"/>
        <v>0.21669505962521296</v>
      </c>
      <c r="Q589" s="81">
        <f t="shared" si="194"/>
        <v>0.72359454855195915</v>
      </c>
      <c r="R589" s="95">
        <f t="shared" si="218"/>
        <v>64.900000000000006</v>
      </c>
      <c r="S589" s="83">
        <f t="shared" si="195"/>
        <v>25.44</v>
      </c>
      <c r="T589" s="135"/>
      <c r="U589" s="135"/>
      <c r="V589" s="135"/>
      <c r="W589" s="135"/>
      <c r="X589" s="136"/>
      <c r="Y589" s="50"/>
      <c r="Z589" s="50"/>
    </row>
    <row r="590" spans="1:26" ht="12.75" hidden="1" outlineLevel="1" x14ac:dyDescent="0.2">
      <c r="A590" s="50"/>
      <c r="B590" s="137"/>
      <c r="C590" s="70" t="s">
        <v>39</v>
      </c>
      <c r="D590" s="96">
        <v>0</v>
      </c>
      <c r="E590" s="73">
        <v>0</v>
      </c>
      <c r="F590" s="73">
        <v>0</v>
      </c>
      <c r="G590" s="74" t="e">
        <f t="shared" si="189"/>
        <v>#DIV/0!</v>
      </c>
      <c r="H590" s="75" t="e">
        <f t="shared" si="190"/>
        <v>#DIV/0!</v>
      </c>
      <c r="I590" s="76" t="e">
        <f t="shared" si="191"/>
        <v>#DIV/0!</v>
      </c>
      <c r="J590" s="96">
        <v>0</v>
      </c>
      <c r="K590" s="73">
        <v>0</v>
      </c>
      <c r="L590" s="73">
        <v>0</v>
      </c>
      <c r="M590" s="97">
        <v>0</v>
      </c>
      <c r="N590" s="79" t="e">
        <f t="shared" si="219"/>
        <v>#DIV/0!</v>
      </c>
      <c r="O590" s="80" t="e">
        <f t="shared" si="192"/>
        <v>#DIV/0!</v>
      </c>
      <c r="P590" s="79" t="e">
        <f t="shared" si="193"/>
        <v>#DIV/0!</v>
      </c>
      <c r="Q590" s="81" t="e">
        <f t="shared" si="194"/>
        <v>#DIV/0!</v>
      </c>
      <c r="R590" s="98">
        <f t="shared" si="218"/>
        <v>0</v>
      </c>
      <c r="S590" s="83" t="e">
        <f t="shared" si="195"/>
        <v>#DIV/0!</v>
      </c>
      <c r="T590" s="135"/>
      <c r="U590" s="135"/>
      <c r="V590" s="135"/>
      <c r="W590" s="135"/>
      <c r="X590" s="136"/>
      <c r="Y590" s="50"/>
      <c r="Z590" s="50"/>
    </row>
    <row r="591" spans="1:26" ht="12.75" hidden="1" outlineLevel="1" x14ac:dyDescent="0.2">
      <c r="A591" s="50"/>
      <c r="B591" s="137"/>
      <c r="C591" s="70" t="s">
        <v>40</v>
      </c>
      <c r="D591" s="99">
        <v>0</v>
      </c>
      <c r="E591" s="73">
        <v>0</v>
      </c>
      <c r="F591" s="73">
        <v>0</v>
      </c>
      <c r="G591" s="74" t="e">
        <f t="shared" si="189"/>
        <v>#DIV/0!</v>
      </c>
      <c r="H591" s="75" t="e">
        <f t="shared" si="190"/>
        <v>#DIV/0!</v>
      </c>
      <c r="I591" s="76" t="e">
        <f t="shared" si="191"/>
        <v>#DIV/0!</v>
      </c>
      <c r="J591" s="99">
        <v>0</v>
      </c>
      <c r="K591" s="73">
        <v>0</v>
      </c>
      <c r="L591" s="73">
        <v>0</v>
      </c>
      <c r="M591" s="100">
        <v>0</v>
      </c>
      <c r="N591" s="79" t="e">
        <f t="shared" si="219"/>
        <v>#DIV/0!</v>
      </c>
      <c r="O591" s="80" t="e">
        <f t="shared" si="192"/>
        <v>#DIV/0!</v>
      </c>
      <c r="P591" s="79" t="e">
        <f t="shared" si="193"/>
        <v>#DIV/0!</v>
      </c>
      <c r="Q591" s="81" t="e">
        <f t="shared" si="194"/>
        <v>#DIV/0!</v>
      </c>
      <c r="R591" s="101">
        <f t="shared" si="218"/>
        <v>0</v>
      </c>
      <c r="S591" s="83" t="e">
        <f t="shared" si="195"/>
        <v>#DIV/0!</v>
      </c>
      <c r="T591" s="135"/>
      <c r="U591" s="135"/>
      <c r="V591" s="135"/>
      <c r="W591" s="135"/>
      <c r="X591" s="136"/>
      <c r="Y591" s="50"/>
      <c r="Z591" s="50"/>
    </row>
    <row r="592" spans="1:26" ht="12.75" hidden="1" outlineLevel="1" x14ac:dyDescent="0.2">
      <c r="A592" s="50"/>
      <c r="B592" s="137"/>
      <c r="C592" s="70" t="s">
        <v>41</v>
      </c>
      <c r="D592" s="102">
        <v>1932.18</v>
      </c>
      <c r="E592" s="73">
        <v>20</v>
      </c>
      <c r="F592" s="73">
        <v>19</v>
      </c>
      <c r="G592" s="74">
        <f t="shared" si="189"/>
        <v>1.0526315789473684</v>
      </c>
      <c r="H592" s="75">
        <f t="shared" si="190"/>
        <v>96.609000000000009</v>
      </c>
      <c r="I592" s="76">
        <f t="shared" si="191"/>
        <v>91.77855000000001</v>
      </c>
      <c r="J592" s="102">
        <v>149.81</v>
      </c>
      <c r="K592" s="73">
        <v>22219</v>
      </c>
      <c r="L592" s="73">
        <v>8</v>
      </c>
      <c r="M592" s="103">
        <v>695.57</v>
      </c>
      <c r="N592" s="79">
        <f t="shared" si="219"/>
        <v>0.21537731644550512</v>
      </c>
      <c r="O592" s="80">
        <f t="shared" si="192"/>
        <v>4.6430144850143522</v>
      </c>
      <c r="P592" s="79">
        <f t="shared" si="193"/>
        <v>7.7534184185738389E-2</v>
      </c>
      <c r="Q592" s="81">
        <f t="shared" si="194"/>
        <v>0.35999234025815402</v>
      </c>
      <c r="R592" s="104">
        <f t="shared" si="218"/>
        <v>1236.6100000000001</v>
      </c>
      <c r="S592" s="83">
        <f t="shared" si="195"/>
        <v>18.72625</v>
      </c>
      <c r="T592" s="135"/>
      <c r="U592" s="135"/>
      <c r="V592" s="135"/>
      <c r="W592" s="135"/>
      <c r="X592" s="136"/>
      <c r="Y592" s="50"/>
      <c r="Z592" s="50"/>
    </row>
    <row r="593" spans="1:26" ht="12.75" hidden="1" outlineLevel="1" x14ac:dyDescent="0.2">
      <c r="A593" s="50"/>
      <c r="B593" s="137"/>
      <c r="C593" s="70" t="s">
        <v>42</v>
      </c>
      <c r="D593" s="90">
        <v>0</v>
      </c>
      <c r="E593" s="73">
        <v>0</v>
      </c>
      <c r="F593" s="73">
        <v>0</v>
      </c>
      <c r="G593" s="74" t="e">
        <f t="shared" si="189"/>
        <v>#DIV/0!</v>
      </c>
      <c r="H593" s="75" t="e">
        <f t="shared" si="190"/>
        <v>#DIV/0!</v>
      </c>
      <c r="I593" s="76" t="e">
        <f t="shared" si="191"/>
        <v>#DIV/0!</v>
      </c>
      <c r="J593" s="90">
        <v>0</v>
      </c>
      <c r="K593" s="73">
        <v>0</v>
      </c>
      <c r="L593" s="73">
        <v>0</v>
      </c>
      <c r="M593" s="91">
        <v>0</v>
      </c>
      <c r="N593" s="79" t="e">
        <f t="shared" si="219"/>
        <v>#DIV/0!</v>
      </c>
      <c r="O593" s="80" t="e">
        <f t="shared" si="192"/>
        <v>#DIV/0!</v>
      </c>
      <c r="P593" s="79" t="e">
        <f t="shared" si="193"/>
        <v>#DIV/0!</v>
      </c>
      <c r="Q593" s="81" t="e">
        <f t="shared" si="194"/>
        <v>#DIV/0!</v>
      </c>
      <c r="R593" s="92">
        <f t="shared" si="218"/>
        <v>0</v>
      </c>
      <c r="S593" s="83" t="e">
        <f t="shared" si="195"/>
        <v>#DIV/0!</v>
      </c>
      <c r="T593" s="135"/>
      <c r="U593" s="135"/>
      <c r="V593" s="135"/>
      <c r="W593" s="135"/>
      <c r="X593" s="136"/>
      <c r="Y593" s="50"/>
      <c r="Z593" s="50"/>
    </row>
    <row r="594" spans="1:26" ht="12.75" hidden="1" outlineLevel="1" x14ac:dyDescent="0.2">
      <c r="A594" s="50"/>
      <c r="B594" s="137"/>
      <c r="C594" s="70" t="s">
        <v>43</v>
      </c>
      <c r="D594" s="105">
        <v>290.85000000000002</v>
      </c>
      <c r="E594" s="73">
        <v>3</v>
      </c>
      <c r="F594" s="73">
        <v>4</v>
      </c>
      <c r="G594" s="74">
        <f t="shared" si="189"/>
        <v>0.75</v>
      </c>
      <c r="H594" s="75">
        <f t="shared" si="190"/>
        <v>96.95</v>
      </c>
      <c r="I594" s="76">
        <f t="shared" si="191"/>
        <v>129.26666666666668</v>
      </c>
      <c r="J594" s="105">
        <v>46.25</v>
      </c>
      <c r="K594" s="73">
        <v>10206</v>
      </c>
      <c r="L594" s="73">
        <v>1</v>
      </c>
      <c r="M594" s="106">
        <v>210.95</v>
      </c>
      <c r="N594" s="79">
        <f t="shared" si="219"/>
        <v>0.21924626688788815</v>
      </c>
      <c r="O594" s="80">
        <f t="shared" si="192"/>
        <v>4.5610810810810811</v>
      </c>
      <c r="P594" s="79">
        <f t="shared" si="193"/>
        <v>0.15901667526216262</v>
      </c>
      <c r="Q594" s="81">
        <f t="shared" si="194"/>
        <v>0.72528794911466377</v>
      </c>
      <c r="R594" s="107">
        <f t="shared" si="218"/>
        <v>79.900000000000034</v>
      </c>
      <c r="S594" s="83">
        <f t="shared" si="195"/>
        <v>46.25</v>
      </c>
      <c r="T594" s="135"/>
      <c r="U594" s="135"/>
      <c r="V594" s="135"/>
      <c r="W594" s="135"/>
      <c r="X594" s="136"/>
      <c r="Y594" s="50"/>
      <c r="Z594" s="50"/>
    </row>
    <row r="595" spans="1:26" ht="12.75" hidden="1" outlineLevel="1" x14ac:dyDescent="0.2">
      <c r="A595" s="50"/>
      <c r="B595" s="137"/>
      <c r="C595" s="70" t="s">
        <v>44</v>
      </c>
      <c r="D595" s="108">
        <v>0</v>
      </c>
      <c r="E595" s="73">
        <v>0</v>
      </c>
      <c r="F595" s="73">
        <v>1</v>
      </c>
      <c r="G595" s="74">
        <f t="shared" si="189"/>
        <v>0</v>
      </c>
      <c r="H595" s="75" t="e">
        <f t="shared" si="190"/>
        <v>#DIV/0!</v>
      </c>
      <c r="I595" s="76" t="e">
        <f t="shared" si="191"/>
        <v>#DIV/0!</v>
      </c>
      <c r="J595" s="108">
        <v>115.46</v>
      </c>
      <c r="K595" s="73">
        <v>39634</v>
      </c>
      <c r="L595" s="73">
        <v>1</v>
      </c>
      <c r="M595" s="109">
        <v>44.95</v>
      </c>
      <c r="N595" s="79">
        <f t="shared" si="219"/>
        <v>2.5686318131256951</v>
      </c>
      <c r="O595" s="80">
        <f t="shared" si="192"/>
        <v>0.38931231595357702</v>
      </c>
      <c r="P595" s="79" t="e">
        <f t="shared" si="193"/>
        <v>#DIV/0!</v>
      </c>
      <c r="Q595" s="81" t="e">
        <f t="shared" si="194"/>
        <v>#DIV/0!</v>
      </c>
      <c r="R595" s="110">
        <f t="shared" si="218"/>
        <v>-44.95</v>
      </c>
      <c r="S595" s="83">
        <f t="shared" si="195"/>
        <v>115.46</v>
      </c>
      <c r="T595" s="135"/>
      <c r="U595" s="135"/>
      <c r="V595" s="135"/>
      <c r="W595" s="135"/>
      <c r="X595" s="136"/>
      <c r="Y595" s="50"/>
      <c r="Z595" s="50"/>
    </row>
    <row r="596" spans="1:26" ht="12.75" hidden="1" outlineLevel="1" x14ac:dyDescent="0.2">
      <c r="A596" s="139"/>
      <c r="B596" s="137"/>
      <c r="C596" s="112" t="s">
        <v>45</v>
      </c>
      <c r="D596" s="71">
        <v>59.9</v>
      </c>
      <c r="E596" s="73">
        <v>2</v>
      </c>
      <c r="F596" s="73">
        <v>1</v>
      </c>
      <c r="G596" s="74">
        <f t="shared" si="189"/>
        <v>2</v>
      </c>
      <c r="H596" s="75">
        <f t="shared" si="190"/>
        <v>29.95</v>
      </c>
      <c r="I596" s="76">
        <f t="shared" si="191"/>
        <v>14.975</v>
      </c>
      <c r="J596" s="71">
        <v>0</v>
      </c>
      <c r="K596" s="73">
        <v>0</v>
      </c>
      <c r="L596" s="73">
        <v>0</v>
      </c>
      <c r="M596" s="78">
        <v>0</v>
      </c>
      <c r="N596" s="79" t="e">
        <f t="shared" si="219"/>
        <v>#DIV/0!</v>
      </c>
      <c r="O596" s="80" t="e">
        <f t="shared" si="192"/>
        <v>#DIV/0!</v>
      </c>
      <c r="P596" s="79">
        <f t="shared" si="193"/>
        <v>0</v>
      </c>
      <c r="Q596" s="81">
        <f t="shared" si="194"/>
        <v>0</v>
      </c>
      <c r="R596" s="82">
        <f t="shared" si="218"/>
        <v>59.9</v>
      </c>
      <c r="S596" s="83" t="e">
        <f t="shared" si="195"/>
        <v>#DIV/0!</v>
      </c>
      <c r="T596" s="140"/>
      <c r="U596" s="140"/>
      <c r="V596" s="140"/>
      <c r="W596" s="141"/>
      <c r="X596" s="142"/>
      <c r="Y596" s="50"/>
      <c r="Z596" s="50"/>
    </row>
    <row r="597" spans="1:26" ht="12.75" hidden="1" outlineLevel="1" x14ac:dyDescent="0.2">
      <c r="A597" s="50"/>
      <c r="B597" s="137"/>
      <c r="C597" s="70" t="s">
        <v>46</v>
      </c>
      <c r="D597" s="116">
        <v>304.64999999999998</v>
      </c>
      <c r="E597" s="73">
        <v>7</v>
      </c>
      <c r="F597" s="73">
        <v>12</v>
      </c>
      <c r="G597" s="74">
        <f t="shared" si="189"/>
        <v>0.58333333333333337</v>
      </c>
      <c r="H597" s="75">
        <f t="shared" si="190"/>
        <v>43.521428571428565</v>
      </c>
      <c r="I597" s="76">
        <f t="shared" si="191"/>
        <v>74.608163265306104</v>
      </c>
      <c r="J597" s="116">
        <v>103.02</v>
      </c>
      <c r="K597" s="73">
        <v>18013</v>
      </c>
      <c r="L597" s="73">
        <v>4</v>
      </c>
      <c r="M597" s="117">
        <v>130.85</v>
      </c>
      <c r="N597" s="79">
        <f t="shared" si="219"/>
        <v>0.78731371799770733</v>
      </c>
      <c r="O597" s="80">
        <f t="shared" si="192"/>
        <v>1.2701417200543583</v>
      </c>
      <c r="P597" s="79">
        <f t="shared" si="193"/>
        <v>0.33815854258985723</v>
      </c>
      <c r="Q597" s="81">
        <f t="shared" si="194"/>
        <v>0.42950927293615626</v>
      </c>
      <c r="R597" s="82">
        <f t="shared" si="218"/>
        <v>173.79999999999998</v>
      </c>
      <c r="S597" s="83">
        <f t="shared" si="195"/>
        <v>25.754999999999999</v>
      </c>
      <c r="T597" s="135"/>
      <c r="U597" s="135"/>
      <c r="V597" s="135"/>
      <c r="W597" s="135"/>
      <c r="X597" s="136"/>
      <c r="Y597" s="50"/>
      <c r="Z597" s="50"/>
    </row>
    <row r="598" spans="1:26" ht="12.75" hidden="1" outlineLevel="1" x14ac:dyDescent="0.2">
      <c r="A598" s="50"/>
      <c r="B598" s="137"/>
      <c r="C598" s="70" t="s">
        <v>49</v>
      </c>
      <c r="D598" s="116">
        <v>0</v>
      </c>
      <c r="E598" s="73">
        <v>0</v>
      </c>
      <c r="F598" s="73">
        <v>0</v>
      </c>
      <c r="G598" s="74" t="e">
        <f t="shared" si="189"/>
        <v>#DIV/0!</v>
      </c>
      <c r="H598" s="75" t="e">
        <f t="shared" si="190"/>
        <v>#DIV/0!</v>
      </c>
      <c r="I598" s="76" t="e">
        <f t="shared" si="191"/>
        <v>#DIV/0!</v>
      </c>
      <c r="J598" s="116">
        <v>8.59</v>
      </c>
      <c r="K598" s="73">
        <v>7794</v>
      </c>
      <c r="L598" s="73">
        <v>0</v>
      </c>
      <c r="M598" s="117">
        <v>0</v>
      </c>
      <c r="N598" s="79" t="e">
        <f t="shared" si="219"/>
        <v>#DIV/0!</v>
      </c>
      <c r="O598" s="80">
        <f t="shared" si="192"/>
        <v>0</v>
      </c>
      <c r="P598" s="79" t="e">
        <f t="shared" si="193"/>
        <v>#DIV/0!</v>
      </c>
      <c r="Q598" s="81" t="e">
        <f t="shared" si="194"/>
        <v>#DIV/0!</v>
      </c>
      <c r="R598" s="82">
        <f t="shared" si="218"/>
        <v>0</v>
      </c>
      <c r="S598" s="83" t="e">
        <f t="shared" si="195"/>
        <v>#DIV/0!</v>
      </c>
      <c r="T598" s="135"/>
      <c r="U598" s="135"/>
      <c r="V598" s="135"/>
      <c r="W598" s="135"/>
      <c r="X598" s="136"/>
      <c r="Y598" s="50"/>
      <c r="Z598" s="50"/>
    </row>
    <row r="599" spans="1:26" hidden="1" outlineLevel="1" x14ac:dyDescent="0.25">
      <c r="A599" s="118" t="str">
        <f t="shared" ref="A599:A600" si="220">IFERROR(IF(B599&gt;0,MONTH(B599)&amp;"-"&amp;YEAR(B599),B599),)</f>
        <v>10-2025</v>
      </c>
      <c r="B599" s="69">
        <v>45934</v>
      </c>
      <c r="C599" s="198" t="s">
        <v>64</v>
      </c>
      <c r="D599" s="116">
        <v>0</v>
      </c>
      <c r="E599" s="73">
        <v>0</v>
      </c>
      <c r="F599" s="73">
        <v>0</v>
      </c>
      <c r="G599" s="74" t="e">
        <f t="shared" si="189"/>
        <v>#DIV/0!</v>
      </c>
      <c r="H599" s="75" t="e">
        <f t="shared" si="190"/>
        <v>#DIV/0!</v>
      </c>
      <c r="I599" s="76" t="e">
        <f t="shared" si="191"/>
        <v>#DIV/0!</v>
      </c>
      <c r="J599" s="87">
        <v>362.39</v>
      </c>
      <c r="K599" s="199">
        <v>81553</v>
      </c>
      <c r="L599" s="73">
        <v>0</v>
      </c>
      <c r="M599" s="88">
        <v>1086.01</v>
      </c>
      <c r="N599" s="79">
        <f t="shared" si="219"/>
        <v>0.33368937670923837</v>
      </c>
      <c r="O599" s="80">
        <f t="shared" si="192"/>
        <v>2.9967990286707691</v>
      </c>
      <c r="P599" s="79" t="e">
        <f t="shared" si="193"/>
        <v>#DIV/0!</v>
      </c>
      <c r="Q599" s="81" t="e">
        <f t="shared" si="194"/>
        <v>#DIV/0!</v>
      </c>
      <c r="R599" s="82">
        <f t="shared" si="218"/>
        <v>-1086.01</v>
      </c>
      <c r="S599" s="83" t="e">
        <f t="shared" si="195"/>
        <v>#DIV/0!</v>
      </c>
      <c r="T599" s="135"/>
      <c r="U599" s="135"/>
      <c r="V599" s="135"/>
      <c r="W599" s="135"/>
      <c r="X599" s="136"/>
      <c r="Y599" s="50"/>
      <c r="Z599" s="50"/>
    </row>
    <row r="600" spans="1:26" ht="12.75" collapsed="1" x14ac:dyDescent="0.2">
      <c r="A600" s="50">
        <f t="shared" si="220"/>
        <v>0</v>
      </c>
      <c r="B600" s="52" t="s">
        <v>98</v>
      </c>
      <c r="C600" s="145"/>
      <c r="D600" s="121">
        <f t="shared" ref="D600:F600" si="221">SUM(D584:D599)</f>
        <v>8907.61</v>
      </c>
      <c r="E600" s="123">
        <f t="shared" si="221"/>
        <v>101</v>
      </c>
      <c r="F600" s="123">
        <f t="shared" si="221"/>
        <v>110</v>
      </c>
      <c r="G600" s="124">
        <f t="shared" si="189"/>
        <v>0.91818181818181821</v>
      </c>
      <c r="H600" s="125">
        <f t="shared" si="190"/>
        <v>88.194158415841585</v>
      </c>
      <c r="I600" s="126">
        <f t="shared" si="191"/>
        <v>96.053043819233409</v>
      </c>
      <c r="J600" s="121">
        <f t="shared" ref="J600:M600" si="222">SUM(J584:J599)</f>
        <v>2385.1999999999998</v>
      </c>
      <c r="K600" s="123">
        <f t="shared" si="222"/>
        <v>544228</v>
      </c>
      <c r="L600" s="123">
        <f t="shared" si="222"/>
        <v>37</v>
      </c>
      <c r="M600" s="127">
        <f t="shared" si="222"/>
        <v>5521.81</v>
      </c>
      <c r="N600" s="128">
        <f t="shared" si="219"/>
        <v>0.43195981027960029</v>
      </c>
      <c r="O600" s="129">
        <f t="shared" si="192"/>
        <v>2.3150301861479123</v>
      </c>
      <c r="P600" s="128">
        <f t="shared" si="193"/>
        <v>0.26777104071687013</v>
      </c>
      <c r="Q600" s="130">
        <f t="shared" si="194"/>
        <v>0.61989804223579614</v>
      </c>
      <c r="R600" s="131">
        <f>SUM(R584:R599)</f>
        <v>3385.7999999999993</v>
      </c>
      <c r="S600" s="132">
        <f t="shared" si="195"/>
        <v>64.464864864864865</v>
      </c>
      <c r="T600" s="133">
        <f t="shared" ref="T600:U600" si="223">IFERROR((D600-D69)/D600,)</f>
        <v>0.14889403554937886</v>
      </c>
      <c r="U600" s="133">
        <f t="shared" si="223"/>
        <v>6.9306930693069313E-2</v>
      </c>
      <c r="V600" s="271" t="s">
        <v>139</v>
      </c>
      <c r="W600" s="271" t="s">
        <v>139</v>
      </c>
      <c r="X600" s="50"/>
      <c r="Y600" s="50"/>
      <c r="Z600" s="50"/>
    </row>
    <row r="601" spans="1:26" ht="12.75" hidden="1" outlineLevel="1" x14ac:dyDescent="0.2">
      <c r="A601" s="50"/>
      <c r="B601" s="69">
        <v>45935</v>
      </c>
      <c r="C601" s="70" t="s">
        <v>32</v>
      </c>
      <c r="D601" s="71">
        <v>16167.71</v>
      </c>
      <c r="E601" s="73">
        <v>57</v>
      </c>
      <c r="F601" s="73">
        <v>47</v>
      </c>
      <c r="G601" s="74">
        <f t="shared" si="189"/>
        <v>1.2127659574468086</v>
      </c>
      <c r="H601" s="75">
        <f t="shared" si="190"/>
        <v>283.64403508771926</v>
      </c>
      <c r="I601" s="76">
        <f t="shared" si="191"/>
        <v>233.88192366882112</v>
      </c>
      <c r="J601" s="77">
        <v>1721.58</v>
      </c>
      <c r="K601" s="73">
        <v>269717</v>
      </c>
      <c r="L601" s="73">
        <v>19</v>
      </c>
      <c r="M601" s="78">
        <v>3568.04</v>
      </c>
      <c r="N601" s="79">
        <f t="shared" si="219"/>
        <v>0.48250019618614137</v>
      </c>
      <c r="O601" s="80">
        <f t="shared" si="192"/>
        <v>2.0725380174026187</v>
      </c>
      <c r="P601" s="79">
        <f t="shared" si="193"/>
        <v>0.10648261256541589</v>
      </c>
      <c r="Q601" s="81">
        <f t="shared" si="194"/>
        <v>0.22068926273417819</v>
      </c>
      <c r="R601" s="82">
        <f t="shared" ref="R601:R616" si="224">D601-M601</f>
        <v>12599.669999999998</v>
      </c>
      <c r="S601" s="83">
        <f t="shared" si="195"/>
        <v>90.609473684210528</v>
      </c>
      <c r="T601" s="135"/>
      <c r="U601" s="135"/>
      <c r="V601" s="135"/>
      <c r="W601" s="135"/>
      <c r="X601" s="136"/>
      <c r="Y601" s="50"/>
      <c r="Z601" s="50"/>
    </row>
    <row r="602" spans="1:26" ht="12.75" hidden="1" outlineLevel="1" x14ac:dyDescent="0.2">
      <c r="A602" s="50"/>
      <c r="B602" s="137"/>
      <c r="C602" s="70" t="s">
        <v>33</v>
      </c>
      <c r="D602" s="87">
        <v>29945.599999999999</v>
      </c>
      <c r="E602" s="73">
        <v>137</v>
      </c>
      <c r="F602" s="73">
        <v>145</v>
      </c>
      <c r="G602" s="74">
        <f t="shared" si="189"/>
        <v>0.94482758620689655</v>
      </c>
      <c r="H602" s="75">
        <f t="shared" si="190"/>
        <v>218.58102189781022</v>
      </c>
      <c r="I602" s="76">
        <f t="shared" si="191"/>
        <v>231.344877191113</v>
      </c>
      <c r="J602" s="87">
        <v>764.67</v>
      </c>
      <c r="K602" s="73">
        <v>129744</v>
      </c>
      <c r="L602" s="73">
        <v>47</v>
      </c>
      <c r="M602" s="88">
        <v>7857.13</v>
      </c>
      <c r="N602" s="79">
        <f t="shared" si="219"/>
        <v>9.7321795617483733E-2</v>
      </c>
      <c r="O602" s="80">
        <f t="shared" si="192"/>
        <v>10.275190605097624</v>
      </c>
      <c r="P602" s="79">
        <f t="shared" si="193"/>
        <v>2.5535304017952554E-2</v>
      </c>
      <c r="Q602" s="81">
        <f t="shared" si="194"/>
        <v>0.26238011594357769</v>
      </c>
      <c r="R602" s="89">
        <f t="shared" si="224"/>
        <v>22088.469999999998</v>
      </c>
      <c r="S602" s="83">
        <f t="shared" si="195"/>
        <v>16.269574468085107</v>
      </c>
      <c r="T602" s="135"/>
      <c r="U602" s="135"/>
      <c r="V602" s="135"/>
      <c r="W602" s="135"/>
      <c r="X602" s="136"/>
      <c r="Y602" s="50"/>
      <c r="Z602" s="50"/>
    </row>
    <row r="603" spans="1:26" ht="12.75" hidden="1" outlineLevel="1" x14ac:dyDescent="0.2">
      <c r="A603" s="50"/>
      <c r="B603" s="137"/>
      <c r="C603" s="70" t="s">
        <v>34</v>
      </c>
      <c r="D603" s="90">
        <v>0</v>
      </c>
      <c r="E603" s="73">
        <v>0</v>
      </c>
      <c r="F603" s="73">
        <v>0</v>
      </c>
      <c r="G603" s="74" t="e">
        <f t="shared" si="189"/>
        <v>#DIV/0!</v>
      </c>
      <c r="H603" s="75" t="e">
        <f t="shared" si="190"/>
        <v>#DIV/0!</v>
      </c>
      <c r="I603" s="76" t="e">
        <f t="shared" si="191"/>
        <v>#DIV/0!</v>
      </c>
      <c r="J603" s="90">
        <v>11.43</v>
      </c>
      <c r="K603" s="73">
        <v>368</v>
      </c>
      <c r="L603" s="73">
        <v>0</v>
      </c>
      <c r="M603" s="91">
        <v>0</v>
      </c>
      <c r="N603" s="79" t="e">
        <f>(J603/M603)</f>
        <v>#DIV/0!</v>
      </c>
      <c r="O603" s="80">
        <f t="shared" si="192"/>
        <v>0</v>
      </c>
      <c r="P603" s="79" t="e">
        <f t="shared" si="193"/>
        <v>#DIV/0!</v>
      </c>
      <c r="Q603" s="81" t="e">
        <f t="shared" si="194"/>
        <v>#DIV/0!</v>
      </c>
      <c r="R603" s="92">
        <f t="shared" si="224"/>
        <v>0</v>
      </c>
      <c r="S603" s="83" t="e">
        <f t="shared" si="195"/>
        <v>#DIV/0!</v>
      </c>
      <c r="T603" s="135"/>
      <c r="U603" s="135"/>
      <c r="V603" s="135"/>
      <c r="W603" s="135"/>
      <c r="X603" s="136"/>
      <c r="Y603" s="50"/>
      <c r="Z603" s="50"/>
    </row>
    <row r="604" spans="1:26" ht="12.75" hidden="1" outlineLevel="1" x14ac:dyDescent="0.2">
      <c r="A604" s="50"/>
      <c r="B604" s="137"/>
      <c r="C604" s="70" t="s">
        <v>35</v>
      </c>
      <c r="D604" s="90">
        <v>910.09</v>
      </c>
      <c r="E604" s="73">
        <v>21</v>
      </c>
      <c r="F604" s="73">
        <v>17</v>
      </c>
      <c r="G604" s="74">
        <f t="shared" si="189"/>
        <v>1.2352941176470589</v>
      </c>
      <c r="H604" s="75">
        <f t="shared" si="190"/>
        <v>43.33761904761905</v>
      </c>
      <c r="I604" s="76">
        <f t="shared" si="191"/>
        <v>35.082834467120179</v>
      </c>
      <c r="J604" s="90">
        <v>259.63</v>
      </c>
      <c r="K604" s="73">
        <v>24233</v>
      </c>
      <c r="L604" s="73">
        <v>11</v>
      </c>
      <c r="M604" s="91">
        <v>470.63</v>
      </c>
      <c r="N604" s="79">
        <f t="shared" ref="N604:N619" si="225">J604/M604</f>
        <v>0.55166478974990973</v>
      </c>
      <c r="O604" s="80">
        <f t="shared" si="192"/>
        <v>1.8126949890228403</v>
      </c>
      <c r="P604" s="79">
        <f t="shared" si="193"/>
        <v>0.28527947785383861</v>
      </c>
      <c r="Q604" s="81">
        <f t="shared" si="194"/>
        <v>0.51712467997670553</v>
      </c>
      <c r="R604" s="92">
        <f t="shared" si="224"/>
        <v>439.46000000000004</v>
      </c>
      <c r="S604" s="83">
        <f t="shared" si="195"/>
        <v>23.602727272727272</v>
      </c>
      <c r="T604" s="135"/>
      <c r="U604" s="135"/>
      <c r="V604" s="135"/>
      <c r="W604" s="135"/>
      <c r="X604" s="136"/>
      <c r="Y604" s="50"/>
      <c r="Z604" s="50"/>
    </row>
    <row r="605" spans="1:26" ht="12.75" hidden="1" outlineLevel="1" x14ac:dyDescent="0.2">
      <c r="A605" s="50"/>
      <c r="B605" s="137"/>
      <c r="C605" s="70" t="s">
        <v>36</v>
      </c>
      <c r="D605" s="90">
        <v>0</v>
      </c>
      <c r="E605" s="73">
        <v>0</v>
      </c>
      <c r="F605" s="73">
        <v>0</v>
      </c>
      <c r="G605" s="74" t="e">
        <f t="shared" si="189"/>
        <v>#DIV/0!</v>
      </c>
      <c r="H605" s="75" t="e">
        <f t="shared" si="190"/>
        <v>#DIV/0!</v>
      </c>
      <c r="I605" s="76" t="e">
        <f t="shared" si="191"/>
        <v>#DIV/0!</v>
      </c>
      <c r="J605" s="90">
        <v>68.62</v>
      </c>
      <c r="K605" s="73">
        <v>16933</v>
      </c>
      <c r="L605" s="73">
        <v>4</v>
      </c>
      <c r="M605" s="91">
        <v>155.88</v>
      </c>
      <c r="N605" s="79">
        <f t="shared" si="225"/>
        <v>0.44021041827046448</v>
      </c>
      <c r="O605" s="80">
        <f t="shared" si="192"/>
        <v>2.2716409210142814</v>
      </c>
      <c r="P605" s="79" t="e">
        <f t="shared" si="193"/>
        <v>#DIV/0!</v>
      </c>
      <c r="Q605" s="81" t="e">
        <f t="shared" si="194"/>
        <v>#DIV/0!</v>
      </c>
      <c r="R605" s="92">
        <f t="shared" si="224"/>
        <v>-155.88</v>
      </c>
      <c r="S605" s="83">
        <f t="shared" si="195"/>
        <v>17.155000000000001</v>
      </c>
      <c r="T605" s="135"/>
      <c r="U605" s="135"/>
      <c r="V605" s="135"/>
      <c r="W605" s="135"/>
      <c r="X605" s="136"/>
      <c r="Y605" s="50"/>
      <c r="Z605" s="50"/>
    </row>
    <row r="606" spans="1:26" ht="12.75" hidden="1" outlineLevel="1" x14ac:dyDescent="0.2">
      <c r="A606" s="50"/>
      <c r="B606" s="69" t="s">
        <v>37</v>
      </c>
      <c r="C606" s="70" t="s">
        <v>38</v>
      </c>
      <c r="D606" s="93">
        <v>446.08</v>
      </c>
      <c r="E606" s="73">
        <v>10</v>
      </c>
      <c r="F606" s="73">
        <v>10</v>
      </c>
      <c r="G606" s="74">
        <f t="shared" si="189"/>
        <v>1</v>
      </c>
      <c r="H606" s="75">
        <f t="shared" si="190"/>
        <v>44.607999999999997</v>
      </c>
      <c r="I606" s="76">
        <f t="shared" si="191"/>
        <v>44.607999999999997</v>
      </c>
      <c r="J606" s="93">
        <v>93.55</v>
      </c>
      <c r="K606" s="73">
        <v>17224</v>
      </c>
      <c r="L606" s="73">
        <v>2</v>
      </c>
      <c r="M606" s="94">
        <v>59.9</v>
      </c>
      <c r="N606" s="79">
        <f t="shared" si="225"/>
        <v>1.5617696160267112</v>
      </c>
      <c r="O606" s="80">
        <f t="shared" si="192"/>
        <v>0.64029930518439337</v>
      </c>
      <c r="P606" s="79">
        <f t="shared" si="193"/>
        <v>0.20971574605451937</v>
      </c>
      <c r="Q606" s="81">
        <f t="shared" si="194"/>
        <v>0.13428084648493543</v>
      </c>
      <c r="R606" s="95">
        <f t="shared" si="224"/>
        <v>386.18</v>
      </c>
      <c r="S606" s="83">
        <f t="shared" si="195"/>
        <v>46.774999999999999</v>
      </c>
      <c r="T606" s="135"/>
      <c r="U606" s="135"/>
      <c r="V606" s="135"/>
      <c r="W606" s="135"/>
      <c r="X606" s="136"/>
      <c r="Y606" s="50"/>
      <c r="Z606" s="50"/>
    </row>
    <row r="607" spans="1:26" ht="12.75" hidden="1" outlineLevel="1" x14ac:dyDescent="0.2">
      <c r="A607" s="50"/>
      <c r="B607" s="137"/>
      <c r="C607" s="70" t="s">
        <v>39</v>
      </c>
      <c r="D607" s="96">
        <v>0</v>
      </c>
      <c r="E607" s="73">
        <v>0</v>
      </c>
      <c r="F607" s="73">
        <v>0</v>
      </c>
      <c r="G607" s="74" t="e">
        <f t="shared" si="189"/>
        <v>#DIV/0!</v>
      </c>
      <c r="H607" s="75" t="e">
        <f t="shared" si="190"/>
        <v>#DIV/0!</v>
      </c>
      <c r="I607" s="76" t="e">
        <f t="shared" si="191"/>
        <v>#DIV/0!</v>
      </c>
      <c r="J607" s="96">
        <v>0</v>
      </c>
      <c r="K607" s="73">
        <v>0</v>
      </c>
      <c r="L607" s="73">
        <v>0</v>
      </c>
      <c r="M607" s="97">
        <v>0</v>
      </c>
      <c r="N607" s="79" t="e">
        <f t="shared" si="225"/>
        <v>#DIV/0!</v>
      </c>
      <c r="O607" s="80" t="e">
        <f t="shared" si="192"/>
        <v>#DIV/0!</v>
      </c>
      <c r="P607" s="79" t="e">
        <f t="shared" si="193"/>
        <v>#DIV/0!</v>
      </c>
      <c r="Q607" s="81" t="e">
        <f t="shared" si="194"/>
        <v>#DIV/0!</v>
      </c>
      <c r="R607" s="98">
        <f t="shared" si="224"/>
        <v>0</v>
      </c>
      <c r="S607" s="83" t="e">
        <f t="shared" si="195"/>
        <v>#DIV/0!</v>
      </c>
      <c r="T607" s="135"/>
      <c r="U607" s="135"/>
      <c r="V607" s="135"/>
      <c r="W607" s="135"/>
      <c r="X607" s="136"/>
      <c r="Y607" s="50"/>
      <c r="Z607" s="50"/>
    </row>
    <row r="608" spans="1:26" ht="12.75" hidden="1" outlineLevel="1" x14ac:dyDescent="0.2">
      <c r="A608" s="50"/>
      <c r="B608" s="137"/>
      <c r="C608" s="70" t="s">
        <v>40</v>
      </c>
      <c r="D608" s="99">
        <v>0</v>
      </c>
      <c r="E608" s="73">
        <v>0</v>
      </c>
      <c r="F608" s="73">
        <v>0</v>
      </c>
      <c r="G608" s="74" t="e">
        <f t="shared" si="189"/>
        <v>#DIV/0!</v>
      </c>
      <c r="H608" s="75" t="e">
        <f t="shared" si="190"/>
        <v>#DIV/0!</v>
      </c>
      <c r="I608" s="76" t="e">
        <f t="shared" si="191"/>
        <v>#DIV/0!</v>
      </c>
      <c r="J608" s="99">
        <v>0</v>
      </c>
      <c r="K608" s="73">
        <v>0</v>
      </c>
      <c r="L608" s="73">
        <v>0</v>
      </c>
      <c r="M608" s="100">
        <v>0</v>
      </c>
      <c r="N608" s="79" t="e">
        <f t="shared" si="225"/>
        <v>#DIV/0!</v>
      </c>
      <c r="O608" s="80" t="e">
        <f t="shared" si="192"/>
        <v>#DIV/0!</v>
      </c>
      <c r="P608" s="79" t="e">
        <f t="shared" si="193"/>
        <v>#DIV/0!</v>
      </c>
      <c r="Q608" s="81" t="e">
        <f t="shared" si="194"/>
        <v>#DIV/0!</v>
      </c>
      <c r="R608" s="101">
        <f t="shared" si="224"/>
        <v>0</v>
      </c>
      <c r="S608" s="83" t="e">
        <f t="shared" si="195"/>
        <v>#DIV/0!</v>
      </c>
      <c r="T608" s="135"/>
      <c r="U608" s="135"/>
      <c r="V608" s="135"/>
      <c r="W608" s="135"/>
      <c r="X608" s="136"/>
      <c r="Y608" s="50"/>
      <c r="Z608" s="50"/>
    </row>
    <row r="609" spans="1:26" ht="12.75" hidden="1" outlineLevel="1" x14ac:dyDescent="0.2">
      <c r="A609" s="50"/>
      <c r="B609" s="137"/>
      <c r="C609" s="70" t="s">
        <v>41</v>
      </c>
      <c r="D609" s="102">
        <v>3081.69</v>
      </c>
      <c r="E609" s="73">
        <v>44</v>
      </c>
      <c r="F609" s="73">
        <v>42</v>
      </c>
      <c r="G609" s="74">
        <f t="shared" si="189"/>
        <v>1.0476190476190477</v>
      </c>
      <c r="H609" s="75">
        <f t="shared" si="190"/>
        <v>70.038409090909099</v>
      </c>
      <c r="I609" s="76">
        <f t="shared" si="191"/>
        <v>66.854845041322321</v>
      </c>
      <c r="J609" s="102">
        <v>140.16999999999999</v>
      </c>
      <c r="K609" s="73">
        <v>24719</v>
      </c>
      <c r="L609" s="73">
        <v>16</v>
      </c>
      <c r="M609" s="103">
        <v>1011.21</v>
      </c>
      <c r="N609" s="79">
        <f t="shared" si="225"/>
        <v>0.13861611336913202</v>
      </c>
      <c r="O609" s="80">
        <f t="shared" si="192"/>
        <v>7.214168509666834</v>
      </c>
      <c r="P609" s="79">
        <f t="shared" si="193"/>
        <v>4.5484782700401398E-2</v>
      </c>
      <c r="Q609" s="81">
        <f t="shared" si="194"/>
        <v>0.32813488702627452</v>
      </c>
      <c r="R609" s="104">
        <f t="shared" si="224"/>
        <v>2070.48</v>
      </c>
      <c r="S609" s="83">
        <f t="shared" si="195"/>
        <v>8.7606249999999992</v>
      </c>
      <c r="T609" s="135"/>
      <c r="U609" s="135"/>
      <c r="V609" s="135"/>
      <c r="W609" s="135"/>
      <c r="X609" s="136"/>
      <c r="Y609" s="50"/>
      <c r="Z609" s="50"/>
    </row>
    <row r="610" spans="1:26" ht="12.75" hidden="1" outlineLevel="1" x14ac:dyDescent="0.2">
      <c r="A610" s="50"/>
      <c r="B610" s="137"/>
      <c r="C610" s="70" t="s">
        <v>42</v>
      </c>
      <c r="D610" s="90">
        <v>0</v>
      </c>
      <c r="E610" s="73">
        <v>0</v>
      </c>
      <c r="F610" s="73">
        <v>0</v>
      </c>
      <c r="G610" s="74" t="e">
        <f t="shared" si="189"/>
        <v>#DIV/0!</v>
      </c>
      <c r="H610" s="75" t="e">
        <f t="shared" si="190"/>
        <v>#DIV/0!</v>
      </c>
      <c r="I610" s="76" t="e">
        <f t="shared" si="191"/>
        <v>#DIV/0!</v>
      </c>
      <c r="J610" s="90">
        <v>7.78</v>
      </c>
      <c r="K610" s="73">
        <v>4585</v>
      </c>
      <c r="L610" s="73">
        <v>0</v>
      </c>
      <c r="M610" s="91">
        <v>0</v>
      </c>
      <c r="N610" s="79" t="e">
        <f t="shared" si="225"/>
        <v>#DIV/0!</v>
      </c>
      <c r="O610" s="80">
        <f t="shared" si="192"/>
        <v>0</v>
      </c>
      <c r="P610" s="79" t="e">
        <f t="shared" si="193"/>
        <v>#DIV/0!</v>
      </c>
      <c r="Q610" s="81" t="e">
        <f t="shared" si="194"/>
        <v>#DIV/0!</v>
      </c>
      <c r="R610" s="92">
        <f t="shared" si="224"/>
        <v>0</v>
      </c>
      <c r="S610" s="83" t="e">
        <f t="shared" si="195"/>
        <v>#DIV/0!</v>
      </c>
      <c r="T610" s="135"/>
      <c r="U610" s="135"/>
      <c r="V610" s="135"/>
      <c r="W610" s="135"/>
      <c r="X610" s="136"/>
      <c r="Y610" s="50"/>
      <c r="Z610" s="50"/>
    </row>
    <row r="611" spans="1:26" ht="12.75" hidden="1" outlineLevel="1" x14ac:dyDescent="0.2">
      <c r="A611" s="50"/>
      <c r="B611" s="137"/>
      <c r="C611" s="70" t="s">
        <v>43</v>
      </c>
      <c r="D611" s="105">
        <v>1147.67</v>
      </c>
      <c r="E611" s="73">
        <v>8</v>
      </c>
      <c r="F611" s="73">
        <v>8</v>
      </c>
      <c r="G611" s="74">
        <f t="shared" si="189"/>
        <v>1</v>
      </c>
      <c r="H611" s="75">
        <f t="shared" si="190"/>
        <v>143.45875000000001</v>
      </c>
      <c r="I611" s="76">
        <f t="shared" si="191"/>
        <v>143.45875000000001</v>
      </c>
      <c r="J611" s="105">
        <v>62.81</v>
      </c>
      <c r="K611" s="73">
        <v>13306</v>
      </c>
      <c r="L611" s="73">
        <v>1</v>
      </c>
      <c r="M611" s="106">
        <v>168.76</v>
      </c>
      <c r="N611" s="79">
        <f t="shared" si="225"/>
        <v>0.37218535197914199</v>
      </c>
      <c r="O611" s="80">
        <f t="shared" si="192"/>
        <v>2.6868333067982801</v>
      </c>
      <c r="P611" s="79">
        <f t="shared" si="193"/>
        <v>5.4728275549591782E-2</v>
      </c>
      <c r="Q611" s="81">
        <f t="shared" si="194"/>
        <v>0.14704575357027716</v>
      </c>
      <c r="R611" s="107">
        <f t="shared" si="224"/>
        <v>978.91000000000008</v>
      </c>
      <c r="S611" s="83">
        <f t="shared" si="195"/>
        <v>62.81</v>
      </c>
      <c r="T611" s="135"/>
      <c r="U611" s="135"/>
      <c r="V611" s="135"/>
      <c r="W611" s="135"/>
      <c r="X611" s="136"/>
      <c r="Y611" s="50"/>
      <c r="Z611" s="50"/>
    </row>
    <row r="612" spans="1:26" ht="12.75" hidden="1" outlineLevel="1" x14ac:dyDescent="0.2">
      <c r="A612" s="50"/>
      <c r="B612" s="137"/>
      <c r="C612" s="70" t="s">
        <v>44</v>
      </c>
      <c r="D612" s="108">
        <v>332.64</v>
      </c>
      <c r="E612" s="73">
        <v>12</v>
      </c>
      <c r="F612" s="73">
        <v>12</v>
      </c>
      <c r="G612" s="74">
        <f t="shared" si="189"/>
        <v>1</v>
      </c>
      <c r="H612" s="75">
        <f t="shared" si="190"/>
        <v>27.72</v>
      </c>
      <c r="I612" s="76">
        <f t="shared" si="191"/>
        <v>27.72</v>
      </c>
      <c r="J612" s="108">
        <v>120.16</v>
      </c>
      <c r="K612" s="73">
        <v>49339</v>
      </c>
      <c r="L612" s="73">
        <v>8</v>
      </c>
      <c r="M612" s="109">
        <v>224.76</v>
      </c>
      <c r="N612" s="79">
        <f t="shared" si="225"/>
        <v>0.53461470012457735</v>
      </c>
      <c r="O612" s="80">
        <f t="shared" si="192"/>
        <v>1.8705059920106524</v>
      </c>
      <c r="P612" s="79">
        <f t="shared" si="193"/>
        <v>0.36123136123136124</v>
      </c>
      <c r="Q612" s="81">
        <f t="shared" si="194"/>
        <v>0.67568542568542567</v>
      </c>
      <c r="R612" s="110">
        <f t="shared" si="224"/>
        <v>107.88</v>
      </c>
      <c r="S612" s="83">
        <f t="shared" si="195"/>
        <v>15.02</v>
      </c>
      <c r="T612" s="135"/>
      <c r="U612" s="135"/>
      <c r="V612" s="135"/>
      <c r="W612" s="135"/>
      <c r="X612" s="136"/>
      <c r="Y612" s="50"/>
      <c r="Z612" s="50"/>
    </row>
    <row r="613" spans="1:26" ht="12.75" hidden="1" outlineLevel="1" x14ac:dyDescent="0.2">
      <c r="A613" s="139"/>
      <c r="B613" s="137"/>
      <c r="C613" s="112" t="s">
        <v>45</v>
      </c>
      <c r="D613" s="71">
        <v>89.85</v>
      </c>
      <c r="E613" s="73">
        <v>3</v>
      </c>
      <c r="F613" s="73">
        <v>2</v>
      </c>
      <c r="G613" s="74">
        <f t="shared" si="189"/>
        <v>1.5</v>
      </c>
      <c r="H613" s="75">
        <f t="shared" si="190"/>
        <v>29.95</v>
      </c>
      <c r="I613" s="76">
        <f t="shared" si="191"/>
        <v>19.966666666666665</v>
      </c>
      <c r="J613" s="71">
        <v>0</v>
      </c>
      <c r="K613" s="73">
        <v>0</v>
      </c>
      <c r="L613" s="73">
        <v>0</v>
      </c>
      <c r="M613" s="78">
        <v>0</v>
      </c>
      <c r="N613" s="79" t="e">
        <f t="shared" si="225"/>
        <v>#DIV/0!</v>
      </c>
      <c r="O613" s="80" t="e">
        <f t="shared" si="192"/>
        <v>#DIV/0!</v>
      </c>
      <c r="P613" s="79">
        <f t="shared" si="193"/>
        <v>0</v>
      </c>
      <c r="Q613" s="81">
        <f t="shared" si="194"/>
        <v>0</v>
      </c>
      <c r="R613" s="82">
        <f t="shared" si="224"/>
        <v>89.85</v>
      </c>
      <c r="S613" s="83" t="e">
        <f t="shared" si="195"/>
        <v>#DIV/0!</v>
      </c>
      <c r="T613" s="140"/>
      <c r="U613" s="140"/>
      <c r="V613" s="140"/>
      <c r="W613" s="141"/>
      <c r="X613" s="142"/>
      <c r="Y613" s="50"/>
      <c r="Z613" s="50"/>
    </row>
    <row r="614" spans="1:26" ht="12.75" hidden="1" outlineLevel="1" x14ac:dyDescent="0.2">
      <c r="A614" s="50"/>
      <c r="B614" s="137"/>
      <c r="C614" s="70" t="s">
        <v>46</v>
      </c>
      <c r="D614" s="116">
        <v>313.58</v>
      </c>
      <c r="E614" s="73">
        <v>10</v>
      </c>
      <c r="F614" s="73">
        <v>11</v>
      </c>
      <c r="G614" s="74">
        <f t="shared" si="189"/>
        <v>0.90909090909090906</v>
      </c>
      <c r="H614" s="75">
        <f t="shared" si="190"/>
        <v>31.357999999999997</v>
      </c>
      <c r="I614" s="76">
        <f t="shared" si="191"/>
        <v>34.4938</v>
      </c>
      <c r="J614" s="116">
        <v>13.8</v>
      </c>
      <c r="K614" s="73">
        <v>3675</v>
      </c>
      <c r="L614" s="73">
        <v>1</v>
      </c>
      <c r="M614" s="117">
        <v>30.07</v>
      </c>
      <c r="N614" s="79">
        <f t="shared" si="225"/>
        <v>0.45892916528101102</v>
      </c>
      <c r="O614" s="80">
        <f t="shared" si="192"/>
        <v>2.1789855072463769</v>
      </c>
      <c r="P614" s="79">
        <f t="shared" si="193"/>
        <v>4.4007908667644625E-2</v>
      </c>
      <c r="Q614" s="81">
        <f t="shared" si="194"/>
        <v>9.5892595191019836E-2</v>
      </c>
      <c r="R614" s="82">
        <f t="shared" si="224"/>
        <v>283.51</v>
      </c>
      <c r="S614" s="83">
        <f t="shared" si="195"/>
        <v>13.8</v>
      </c>
      <c r="T614" s="135"/>
      <c r="U614" s="135"/>
      <c r="V614" s="135"/>
      <c r="W614" s="135"/>
      <c r="X614" s="136"/>
      <c r="Y614" s="50"/>
      <c r="Z614" s="50"/>
    </row>
    <row r="615" spans="1:26" ht="12.75" hidden="1" outlineLevel="1" x14ac:dyDescent="0.2">
      <c r="A615" s="50"/>
      <c r="B615" s="137"/>
      <c r="C615" s="70" t="s">
        <v>49</v>
      </c>
      <c r="D615" s="116">
        <v>0</v>
      </c>
      <c r="E615" s="73">
        <v>0</v>
      </c>
      <c r="F615" s="73">
        <v>0</v>
      </c>
      <c r="G615" s="74" t="e">
        <f t="shared" si="189"/>
        <v>#DIV/0!</v>
      </c>
      <c r="H615" s="75" t="e">
        <f t="shared" si="190"/>
        <v>#DIV/0!</v>
      </c>
      <c r="I615" s="76" t="e">
        <f t="shared" si="191"/>
        <v>#DIV/0!</v>
      </c>
      <c r="J615" s="116">
        <v>7.38</v>
      </c>
      <c r="K615" s="73">
        <v>7442</v>
      </c>
      <c r="L615" s="73">
        <v>0</v>
      </c>
      <c r="M615" s="117">
        <v>0</v>
      </c>
      <c r="N615" s="79" t="e">
        <f t="shared" si="225"/>
        <v>#DIV/0!</v>
      </c>
      <c r="O615" s="80">
        <f t="shared" si="192"/>
        <v>0</v>
      </c>
      <c r="P615" s="79" t="e">
        <f t="shared" si="193"/>
        <v>#DIV/0!</v>
      </c>
      <c r="Q615" s="81" t="e">
        <f t="shared" si="194"/>
        <v>#DIV/0!</v>
      </c>
      <c r="R615" s="82">
        <f t="shared" si="224"/>
        <v>0</v>
      </c>
      <c r="S615" s="83" t="e">
        <f t="shared" si="195"/>
        <v>#DIV/0!</v>
      </c>
      <c r="T615" s="135"/>
      <c r="U615" s="135"/>
      <c r="V615" s="135"/>
      <c r="W615" s="135"/>
      <c r="X615" s="136"/>
      <c r="Y615" s="50"/>
      <c r="Z615" s="50"/>
    </row>
    <row r="616" spans="1:26" hidden="1" outlineLevel="1" x14ac:dyDescent="0.25">
      <c r="A616" s="118" t="str">
        <f t="shared" ref="A616:A617" si="226">IFERROR(IF(B616&gt;0,MONTH(B616)&amp;"-"&amp;YEAR(B616),B616),)</f>
        <v>10-2025</v>
      </c>
      <c r="B616" s="69">
        <v>45941</v>
      </c>
      <c r="C616" s="198" t="s">
        <v>64</v>
      </c>
      <c r="D616" s="116">
        <v>0</v>
      </c>
      <c r="E616" s="73">
        <v>0</v>
      </c>
      <c r="F616" s="73">
        <v>0</v>
      </c>
      <c r="G616" s="74" t="e">
        <f t="shared" si="189"/>
        <v>#DIV/0!</v>
      </c>
      <c r="H616" s="75" t="e">
        <f t="shared" si="190"/>
        <v>#DIV/0!</v>
      </c>
      <c r="I616" s="76" t="e">
        <f t="shared" si="191"/>
        <v>#DIV/0!</v>
      </c>
      <c r="J616" s="87">
        <v>843.94</v>
      </c>
      <c r="K616" s="199">
        <v>139622</v>
      </c>
      <c r="L616" s="73">
        <v>0</v>
      </c>
      <c r="M616" s="88">
        <v>4754.28</v>
      </c>
      <c r="N616" s="79">
        <f t="shared" si="225"/>
        <v>0.17751163162455727</v>
      </c>
      <c r="O616" s="80">
        <f t="shared" si="192"/>
        <v>5.6334336564210723</v>
      </c>
      <c r="P616" s="79" t="e">
        <f t="shared" si="193"/>
        <v>#DIV/0!</v>
      </c>
      <c r="Q616" s="81" t="e">
        <f t="shared" si="194"/>
        <v>#DIV/0!</v>
      </c>
      <c r="R616" s="82">
        <f t="shared" si="224"/>
        <v>-4754.28</v>
      </c>
      <c r="S616" s="83" t="e">
        <f t="shared" si="195"/>
        <v>#DIV/0!</v>
      </c>
      <c r="T616" s="135"/>
      <c r="U616" s="135"/>
      <c r="V616" s="135"/>
      <c r="W616" s="135"/>
      <c r="X616" s="136"/>
      <c r="Y616" s="50"/>
      <c r="Z616" s="50"/>
    </row>
    <row r="617" spans="1:26" ht="12.75" collapsed="1" x14ac:dyDescent="0.2">
      <c r="A617" s="50">
        <f t="shared" si="226"/>
        <v>0</v>
      </c>
      <c r="B617" s="52" t="s">
        <v>99</v>
      </c>
      <c r="C617" s="145"/>
      <c r="D617" s="121">
        <f t="shared" ref="D617:F617" si="227">SUM(D601:D616)</f>
        <v>52434.909999999996</v>
      </c>
      <c r="E617" s="123">
        <f t="shared" si="227"/>
        <v>302</v>
      </c>
      <c r="F617" s="123">
        <f t="shared" si="227"/>
        <v>294</v>
      </c>
      <c r="G617" s="124">
        <f t="shared" si="189"/>
        <v>1.0272108843537415</v>
      </c>
      <c r="H617" s="125">
        <f t="shared" si="190"/>
        <v>173.62552980132449</v>
      </c>
      <c r="I617" s="126">
        <f t="shared" si="191"/>
        <v>169.02617801850795</v>
      </c>
      <c r="J617" s="121">
        <f t="shared" ref="J617:M617" si="228">SUM(J601:J616)</f>
        <v>4115.5200000000004</v>
      </c>
      <c r="K617" s="123">
        <f t="shared" si="228"/>
        <v>700907</v>
      </c>
      <c r="L617" s="123">
        <f t="shared" si="228"/>
        <v>109</v>
      </c>
      <c r="M617" s="127">
        <f t="shared" si="228"/>
        <v>18300.659999999996</v>
      </c>
      <c r="N617" s="128">
        <f t="shared" si="225"/>
        <v>0.22488369271927905</v>
      </c>
      <c r="O617" s="129">
        <f t="shared" si="192"/>
        <v>4.4467430604152076</v>
      </c>
      <c r="P617" s="128">
        <f t="shared" si="193"/>
        <v>7.8488167520455371E-2</v>
      </c>
      <c r="Q617" s="130">
        <f t="shared" si="194"/>
        <v>0.34901671424629122</v>
      </c>
      <c r="R617" s="131">
        <f>SUM(R601:R616)</f>
        <v>34134.250000000007</v>
      </c>
      <c r="S617" s="132">
        <f t="shared" si="195"/>
        <v>37.757064220183487</v>
      </c>
      <c r="T617" s="133">
        <f t="shared" ref="T617:U617" si="229">IFERROR((D617-D69)/D617,)</f>
        <v>0.85541464646358689</v>
      </c>
      <c r="U617" s="133">
        <f t="shared" si="229"/>
        <v>0.6887417218543046</v>
      </c>
      <c r="V617" s="271" t="s">
        <v>139</v>
      </c>
      <c r="W617" s="271" t="s">
        <v>139</v>
      </c>
      <c r="X617" s="50"/>
      <c r="Y617" s="50"/>
      <c r="Z617" s="50"/>
    </row>
    <row r="618" spans="1:26" ht="12.75" hidden="1" outlineLevel="1" x14ac:dyDescent="0.2">
      <c r="A618" s="50"/>
      <c r="B618" s="69">
        <v>45942</v>
      </c>
      <c r="C618" s="70" t="s">
        <v>32</v>
      </c>
      <c r="D618" s="71">
        <v>5646.49</v>
      </c>
      <c r="E618" s="73">
        <v>36</v>
      </c>
      <c r="F618" s="73">
        <v>35</v>
      </c>
      <c r="G618" s="74">
        <f t="shared" si="189"/>
        <v>1.0285714285714285</v>
      </c>
      <c r="H618" s="75">
        <f t="shared" si="190"/>
        <v>156.84694444444443</v>
      </c>
      <c r="I618" s="76">
        <f t="shared" si="191"/>
        <v>152.49008487654322</v>
      </c>
      <c r="J618" s="77">
        <v>477.18</v>
      </c>
      <c r="K618" s="73">
        <v>112905</v>
      </c>
      <c r="L618" s="73">
        <v>15</v>
      </c>
      <c r="M618" s="78">
        <v>1591.8</v>
      </c>
      <c r="N618" s="79">
        <f t="shared" si="225"/>
        <v>0.29977384093479081</v>
      </c>
      <c r="O618" s="80">
        <f t="shared" si="192"/>
        <v>3.3358481076323399</v>
      </c>
      <c r="P618" s="79">
        <f t="shared" si="193"/>
        <v>8.4509137534999626E-2</v>
      </c>
      <c r="Q618" s="81">
        <f t="shared" si="194"/>
        <v>0.28190964652376965</v>
      </c>
      <c r="R618" s="82">
        <f t="shared" ref="R618:R633" si="230">D618-M618</f>
        <v>4054.6899999999996</v>
      </c>
      <c r="S618" s="83">
        <f t="shared" si="195"/>
        <v>31.812000000000001</v>
      </c>
      <c r="T618" s="135"/>
      <c r="U618" s="135"/>
      <c r="V618" s="135"/>
      <c r="W618" s="135"/>
      <c r="X618" s="136"/>
      <c r="Y618" s="50"/>
      <c r="Z618" s="50"/>
    </row>
    <row r="619" spans="1:26" ht="12.75" hidden="1" outlineLevel="1" x14ac:dyDescent="0.2">
      <c r="A619" s="50"/>
      <c r="B619" s="137"/>
      <c r="C619" s="70" t="s">
        <v>33</v>
      </c>
      <c r="D619" s="87">
        <v>8886.6</v>
      </c>
      <c r="E619" s="73">
        <v>81</v>
      </c>
      <c r="F619" s="73">
        <v>90</v>
      </c>
      <c r="G619" s="74">
        <f t="shared" si="189"/>
        <v>0.9</v>
      </c>
      <c r="H619" s="75">
        <f t="shared" si="190"/>
        <v>109.71111111111111</v>
      </c>
      <c r="I619" s="76">
        <f t="shared" si="191"/>
        <v>121.90123456790123</v>
      </c>
      <c r="J619" s="87">
        <v>400.49</v>
      </c>
      <c r="K619" s="73">
        <v>108260</v>
      </c>
      <c r="L619" s="73">
        <v>13</v>
      </c>
      <c r="M619" s="88">
        <v>2455.1799999999998</v>
      </c>
      <c r="N619" s="79">
        <f t="shared" si="225"/>
        <v>0.16312042294251339</v>
      </c>
      <c r="O619" s="80">
        <f t="shared" si="192"/>
        <v>6.130440210741841</v>
      </c>
      <c r="P619" s="79">
        <f t="shared" si="193"/>
        <v>4.5066729682893346E-2</v>
      </c>
      <c r="Q619" s="81">
        <f t="shared" si="194"/>
        <v>0.27627889181464221</v>
      </c>
      <c r="R619" s="89">
        <f t="shared" si="230"/>
        <v>6431.42</v>
      </c>
      <c r="S619" s="83">
        <f t="shared" si="195"/>
        <v>30.806923076923077</v>
      </c>
      <c r="T619" s="135"/>
      <c r="U619" s="135"/>
      <c r="V619" s="135"/>
      <c r="W619" s="135"/>
      <c r="X619" s="136"/>
      <c r="Y619" s="50"/>
      <c r="Z619" s="50"/>
    </row>
    <row r="620" spans="1:26" ht="12.75" hidden="1" outlineLevel="1" x14ac:dyDescent="0.2">
      <c r="A620" s="50"/>
      <c r="B620" s="137"/>
      <c r="C620" s="70" t="s">
        <v>34</v>
      </c>
      <c r="D620" s="90">
        <v>279.8</v>
      </c>
      <c r="E620" s="73">
        <v>4</v>
      </c>
      <c r="F620" s="73">
        <v>3</v>
      </c>
      <c r="G620" s="74">
        <f t="shared" si="189"/>
        <v>1.3333333333333333</v>
      </c>
      <c r="H620" s="75">
        <f t="shared" si="190"/>
        <v>69.95</v>
      </c>
      <c r="I620" s="76">
        <f t="shared" si="191"/>
        <v>52.462500000000006</v>
      </c>
      <c r="J620" s="90">
        <v>16.8</v>
      </c>
      <c r="K620" s="73">
        <v>303</v>
      </c>
      <c r="L620" s="73">
        <v>0</v>
      </c>
      <c r="M620" s="91">
        <v>0</v>
      </c>
      <c r="N620" s="79" t="e">
        <f>(J620/M620)</f>
        <v>#DIV/0!</v>
      </c>
      <c r="O620" s="80">
        <f t="shared" si="192"/>
        <v>0</v>
      </c>
      <c r="P620" s="79">
        <f t="shared" si="193"/>
        <v>6.0042887776983557E-2</v>
      </c>
      <c r="Q620" s="81">
        <f t="shared" si="194"/>
        <v>0</v>
      </c>
      <c r="R620" s="92">
        <f t="shared" si="230"/>
        <v>279.8</v>
      </c>
      <c r="S620" s="83" t="e">
        <f t="shared" si="195"/>
        <v>#DIV/0!</v>
      </c>
      <c r="T620" s="135"/>
      <c r="U620" s="135"/>
      <c r="V620" s="135"/>
      <c r="W620" s="135"/>
      <c r="X620" s="136"/>
      <c r="Y620" s="50"/>
      <c r="Z620" s="50"/>
    </row>
    <row r="621" spans="1:26" ht="12.75" hidden="1" outlineLevel="1" x14ac:dyDescent="0.2">
      <c r="A621" s="50"/>
      <c r="B621" s="137"/>
      <c r="C621" s="70" t="s">
        <v>35</v>
      </c>
      <c r="D621" s="90">
        <v>794.22</v>
      </c>
      <c r="E621" s="73">
        <v>17</v>
      </c>
      <c r="F621" s="73">
        <v>15</v>
      </c>
      <c r="G621" s="74">
        <f t="shared" si="189"/>
        <v>1.1333333333333333</v>
      </c>
      <c r="H621" s="75">
        <f t="shared" si="190"/>
        <v>46.718823529411765</v>
      </c>
      <c r="I621" s="76">
        <f t="shared" si="191"/>
        <v>41.222491349480968</v>
      </c>
      <c r="J621" s="90">
        <v>241.09</v>
      </c>
      <c r="K621" s="73">
        <v>21587</v>
      </c>
      <c r="L621" s="73">
        <v>10</v>
      </c>
      <c r="M621" s="91">
        <v>515.58000000000004</v>
      </c>
      <c r="N621" s="79">
        <f t="shared" ref="N621:N636" si="231">J621/M621</f>
        <v>0.46760929438690402</v>
      </c>
      <c r="O621" s="80">
        <f t="shared" si="192"/>
        <v>2.138537475631507</v>
      </c>
      <c r="P621" s="79">
        <f t="shared" si="193"/>
        <v>0.30355568985923292</v>
      </c>
      <c r="Q621" s="81">
        <f t="shared" si="194"/>
        <v>0.64916521870514465</v>
      </c>
      <c r="R621" s="92">
        <f t="shared" si="230"/>
        <v>278.64</v>
      </c>
      <c r="S621" s="83">
        <f t="shared" si="195"/>
        <v>24.109000000000002</v>
      </c>
      <c r="T621" s="135"/>
      <c r="U621" s="135"/>
      <c r="V621" s="135"/>
      <c r="W621" s="135"/>
      <c r="X621" s="136"/>
      <c r="Y621" s="50"/>
      <c r="Z621" s="50"/>
    </row>
    <row r="622" spans="1:26" ht="12.75" hidden="1" outlineLevel="1" x14ac:dyDescent="0.2">
      <c r="A622" s="50"/>
      <c r="B622" s="137"/>
      <c r="C622" s="70" t="s">
        <v>36</v>
      </c>
      <c r="D622" s="90">
        <v>254.77</v>
      </c>
      <c r="E622" s="73">
        <v>5</v>
      </c>
      <c r="F622" s="73">
        <v>5</v>
      </c>
      <c r="G622" s="74">
        <f t="shared" si="189"/>
        <v>1</v>
      </c>
      <c r="H622" s="75">
        <f t="shared" si="190"/>
        <v>50.954000000000001</v>
      </c>
      <c r="I622" s="76">
        <f t="shared" si="191"/>
        <v>50.954000000000001</v>
      </c>
      <c r="J622" s="90">
        <v>56.57</v>
      </c>
      <c r="K622" s="73">
        <v>15496</v>
      </c>
      <c r="L622" s="73">
        <v>2</v>
      </c>
      <c r="M622" s="91">
        <v>116.88</v>
      </c>
      <c r="N622" s="79">
        <f t="shared" si="231"/>
        <v>0.48400068446269678</v>
      </c>
      <c r="O622" s="80">
        <f t="shared" si="192"/>
        <v>2.0661127806257733</v>
      </c>
      <c r="P622" s="79">
        <f t="shared" si="193"/>
        <v>0.22204341170467479</v>
      </c>
      <c r="Q622" s="81">
        <f t="shared" si="194"/>
        <v>0.45876673077677904</v>
      </c>
      <c r="R622" s="92">
        <f t="shared" si="230"/>
        <v>137.89000000000001</v>
      </c>
      <c r="S622" s="83">
        <f t="shared" si="195"/>
        <v>28.285</v>
      </c>
      <c r="T622" s="135"/>
      <c r="U622" s="135"/>
      <c r="V622" s="135"/>
      <c r="W622" s="135"/>
      <c r="X622" s="136"/>
      <c r="Y622" s="50"/>
      <c r="Z622" s="50"/>
    </row>
    <row r="623" spans="1:26" ht="12.75" hidden="1" outlineLevel="1" x14ac:dyDescent="0.2">
      <c r="A623" s="50"/>
      <c r="B623" s="69" t="s">
        <v>37</v>
      </c>
      <c r="C623" s="70" t="s">
        <v>38</v>
      </c>
      <c r="D623" s="93">
        <v>-45.1</v>
      </c>
      <c r="E623" s="73">
        <v>2</v>
      </c>
      <c r="F623" s="73">
        <v>3</v>
      </c>
      <c r="G623" s="74">
        <f t="shared" si="189"/>
        <v>0.66666666666666663</v>
      </c>
      <c r="H623" s="75">
        <f t="shared" si="190"/>
        <v>-22.55</v>
      </c>
      <c r="I623" s="76">
        <f t="shared" si="191"/>
        <v>-33.825000000000003</v>
      </c>
      <c r="J623" s="93">
        <v>33.9</v>
      </c>
      <c r="K623" s="73">
        <v>11504</v>
      </c>
      <c r="L623" s="73">
        <v>0</v>
      </c>
      <c r="M623" s="94">
        <v>0</v>
      </c>
      <c r="N623" s="79" t="e">
        <f t="shared" si="231"/>
        <v>#DIV/0!</v>
      </c>
      <c r="O623" s="80">
        <f t="shared" si="192"/>
        <v>0</v>
      </c>
      <c r="P623" s="79">
        <f t="shared" si="193"/>
        <v>-0.75166297117516623</v>
      </c>
      <c r="Q623" s="81">
        <f t="shared" si="194"/>
        <v>0</v>
      </c>
      <c r="R623" s="95">
        <f t="shared" si="230"/>
        <v>-45.1</v>
      </c>
      <c r="S623" s="83" t="e">
        <f t="shared" si="195"/>
        <v>#DIV/0!</v>
      </c>
      <c r="T623" s="135"/>
      <c r="U623" s="135"/>
      <c r="V623" s="135"/>
      <c r="W623" s="135"/>
      <c r="X623" s="136"/>
      <c r="Y623" s="50"/>
      <c r="Z623" s="50"/>
    </row>
    <row r="624" spans="1:26" ht="12.75" hidden="1" outlineLevel="1" x14ac:dyDescent="0.2">
      <c r="A624" s="50"/>
      <c r="B624" s="137"/>
      <c r="C624" s="70" t="s">
        <v>39</v>
      </c>
      <c r="D624" s="96">
        <v>0</v>
      </c>
      <c r="E624" s="73">
        <v>0</v>
      </c>
      <c r="F624" s="73">
        <v>0</v>
      </c>
      <c r="G624" s="74" t="e">
        <f t="shared" si="189"/>
        <v>#DIV/0!</v>
      </c>
      <c r="H624" s="75" t="e">
        <f t="shared" si="190"/>
        <v>#DIV/0!</v>
      </c>
      <c r="I624" s="76" t="e">
        <f t="shared" si="191"/>
        <v>#DIV/0!</v>
      </c>
      <c r="J624" s="96">
        <v>0</v>
      </c>
      <c r="K624" s="73">
        <v>0</v>
      </c>
      <c r="L624" s="73">
        <v>0</v>
      </c>
      <c r="M624" s="97">
        <v>0</v>
      </c>
      <c r="N624" s="79" t="e">
        <f t="shared" si="231"/>
        <v>#DIV/0!</v>
      </c>
      <c r="O624" s="80" t="e">
        <f t="shared" si="192"/>
        <v>#DIV/0!</v>
      </c>
      <c r="P624" s="79" t="e">
        <f t="shared" si="193"/>
        <v>#DIV/0!</v>
      </c>
      <c r="Q624" s="81" t="e">
        <f t="shared" si="194"/>
        <v>#DIV/0!</v>
      </c>
      <c r="R624" s="98">
        <f t="shared" si="230"/>
        <v>0</v>
      </c>
      <c r="S624" s="83" t="e">
        <f t="shared" si="195"/>
        <v>#DIV/0!</v>
      </c>
      <c r="T624" s="135"/>
      <c r="U624" s="135"/>
      <c r="V624" s="135"/>
      <c r="W624" s="135"/>
      <c r="X624" s="136"/>
      <c r="Y624" s="50"/>
      <c r="Z624" s="50"/>
    </row>
    <row r="625" spans="1:26" ht="12.75" hidden="1" outlineLevel="1" x14ac:dyDescent="0.2">
      <c r="A625" s="50"/>
      <c r="B625" s="137"/>
      <c r="C625" s="70" t="s">
        <v>40</v>
      </c>
      <c r="D625" s="99">
        <v>0</v>
      </c>
      <c r="E625" s="73">
        <v>0</v>
      </c>
      <c r="F625" s="73">
        <v>0</v>
      </c>
      <c r="G625" s="74" t="e">
        <f t="shared" si="189"/>
        <v>#DIV/0!</v>
      </c>
      <c r="H625" s="75" t="e">
        <f t="shared" si="190"/>
        <v>#DIV/0!</v>
      </c>
      <c r="I625" s="76" t="e">
        <f t="shared" si="191"/>
        <v>#DIV/0!</v>
      </c>
      <c r="J625" s="99">
        <v>0</v>
      </c>
      <c r="K625" s="73">
        <v>0</v>
      </c>
      <c r="L625" s="73">
        <v>0</v>
      </c>
      <c r="M625" s="100">
        <v>0</v>
      </c>
      <c r="N625" s="79" t="e">
        <f t="shared" si="231"/>
        <v>#DIV/0!</v>
      </c>
      <c r="O625" s="80" t="e">
        <f t="shared" si="192"/>
        <v>#DIV/0!</v>
      </c>
      <c r="P625" s="79" t="e">
        <f t="shared" si="193"/>
        <v>#DIV/0!</v>
      </c>
      <c r="Q625" s="81" t="e">
        <f t="shared" si="194"/>
        <v>#DIV/0!</v>
      </c>
      <c r="R625" s="101">
        <f t="shared" si="230"/>
        <v>0</v>
      </c>
      <c r="S625" s="83" t="e">
        <f t="shared" si="195"/>
        <v>#DIV/0!</v>
      </c>
      <c r="T625" s="135"/>
      <c r="U625" s="135"/>
      <c r="V625" s="135"/>
      <c r="W625" s="135"/>
      <c r="X625" s="136"/>
      <c r="Y625" s="50"/>
      <c r="Z625" s="50"/>
    </row>
    <row r="626" spans="1:26" ht="12.75" hidden="1" outlineLevel="1" x14ac:dyDescent="0.2">
      <c r="A626" s="50"/>
      <c r="B626" s="137"/>
      <c r="C626" s="70" t="s">
        <v>41</v>
      </c>
      <c r="D626" s="102">
        <v>1566.1</v>
      </c>
      <c r="E626" s="73">
        <v>23</v>
      </c>
      <c r="F626" s="73">
        <v>24</v>
      </c>
      <c r="G626" s="74">
        <f t="shared" si="189"/>
        <v>0.95833333333333337</v>
      </c>
      <c r="H626" s="75">
        <f t="shared" si="190"/>
        <v>68.091304347826082</v>
      </c>
      <c r="I626" s="76">
        <f t="shared" si="191"/>
        <v>71.051795841209824</v>
      </c>
      <c r="J626" s="102">
        <v>156.01</v>
      </c>
      <c r="K626" s="73">
        <v>26389</v>
      </c>
      <c r="L626" s="73">
        <v>8</v>
      </c>
      <c r="M626" s="103">
        <v>726.7</v>
      </c>
      <c r="N626" s="79">
        <f t="shared" si="231"/>
        <v>0.21468281271501305</v>
      </c>
      <c r="O626" s="80">
        <f t="shared" si="192"/>
        <v>4.6580347413627337</v>
      </c>
      <c r="P626" s="79">
        <f t="shared" si="193"/>
        <v>9.9616882702254009E-2</v>
      </c>
      <c r="Q626" s="81">
        <f t="shared" si="194"/>
        <v>0.46401890045335553</v>
      </c>
      <c r="R626" s="104">
        <f t="shared" si="230"/>
        <v>839.39999999999986</v>
      </c>
      <c r="S626" s="83">
        <f t="shared" si="195"/>
        <v>19.501249999999999</v>
      </c>
      <c r="T626" s="135"/>
      <c r="U626" s="135"/>
      <c r="V626" s="135"/>
      <c r="W626" s="135"/>
      <c r="X626" s="136"/>
      <c r="Y626" s="50"/>
      <c r="Z626" s="50"/>
    </row>
    <row r="627" spans="1:26" ht="12.75" hidden="1" outlineLevel="1" x14ac:dyDescent="0.2">
      <c r="A627" s="50"/>
      <c r="B627" s="137"/>
      <c r="C627" s="70" t="s">
        <v>42</v>
      </c>
      <c r="D627" s="90">
        <v>119.94</v>
      </c>
      <c r="E627" s="73">
        <v>6</v>
      </c>
      <c r="F627" s="73">
        <v>7</v>
      </c>
      <c r="G627" s="74">
        <f t="shared" si="189"/>
        <v>0.8571428571428571</v>
      </c>
      <c r="H627" s="75">
        <f t="shared" si="190"/>
        <v>19.989999999999998</v>
      </c>
      <c r="I627" s="76">
        <f t="shared" si="191"/>
        <v>23.321666666666665</v>
      </c>
      <c r="J627" s="90">
        <v>177.01</v>
      </c>
      <c r="K627" s="73">
        <v>68111</v>
      </c>
      <c r="L627" s="73">
        <v>3</v>
      </c>
      <c r="M627" s="91">
        <v>59.97</v>
      </c>
      <c r="N627" s="79">
        <f t="shared" si="231"/>
        <v>2.9516424879106218</v>
      </c>
      <c r="O627" s="80">
        <f t="shared" si="192"/>
        <v>0.33879441839444102</v>
      </c>
      <c r="P627" s="79">
        <f t="shared" si="193"/>
        <v>1.4758212439553109</v>
      </c>
      <c r="Q627" s="81">
        <f t="shared" si="194"/>
        <v>0.5</v>
      </c>
      <c r="R627" s="92">
        <f t="shared" si="230"/>
        <v>59.97</v>
      </c>
      <c r="S627" s="83">
        <f t="shared" si="195"/>
        <v>59.00333333333333</v>
      </c>
      <c r="T627" s="135"/>
      <c r="U627" s="135"/>
      <c r="V627" s="135"/>
      <c r="W627" s="135"/>
      <c r="X627" s="136"/>
      <c r="Y627" s="50"/>
      <c r="Z627" s="50"/>
    </row>
    <row r="628" spans="1:26" ht="12.75" hidden="1" outlineLevel="1" x14ac:dyDescent="0.2">
      <c r="A628" s="50"/>
      <c r="B628" s="137"/>
      <c r="C628" s="70" t="s">
        <v>43</v>
      </c>
      <c r="D628" s="105">
        <v>0</v>
      </c>
      <c r="E628" s="73">
        <v>0</v>
      </c>
      <c r="F628" s="73">
        <v>1</v>
      </c>
      <c r="G628" s="74">
        <f t="shared" si="189"/>
        <v>0</v>
      </c>
      <c r="H628" s="75" t="e">
        <f t="shared" si="190"/>
        <v>#DIV/0!</v>
      </c>
      <c r="I628" s="76" t="e">
        <f t="shared" si="191"/>
        <v>#DIV/0!</v>
      </c>
      <c r="J628" s="105">
        <v>77.98</v>
      </c>
      <c r="K628" s="73">
        <v>12887</v>
      </c>
      <c r="L628" s="73">
        <v>0</v>
      </c>
      <c r="M628" s="106">
        <v>0</v>
      </c>
      <c r="N628" s="79" t="e">
        <f t="shared" si="231"/>
        <v>#DIV/0!</v>
      </c>
      <c r="O628" s="80">
        <f t="shared" si="192"/>
        <v>0</v>
      </c>
      <c r="P628" s="79" t="e">
        <f t="shared" si="193"/>
        <v>#DIV/0!</v>
      </c>
      <c r="Q628" s="81" t="e">
        <f t="shared" si="194"/>
        <v>#DIV/0!</v>
      </c>
      <c r="R628" s="107">
        <f t="shared" si="230"/>
        <v>0</v>
      </c>
      <c r="S628" s="83" t="e">
        <f t="shared" si="195"/>
        <v>#DIV/0!</v>
      </c>
      <c r="T628" s="135"/>
      <c r="U628" s="135"/>
      <c r="V628" s="135"/>
      <c r="W628" s="135"/>
      <c r="X628" s="136"/>
      <c r="Y628" s="50"/>
      <c r="Z628" s="50"/>
    </row>
    <row r="629" spans="1:26" ht="12.75" hidden="1" outlineLevel="1" x14ac:dyDescent="0.2">
      <c r="A629" s="50"/>
      <c r="B629" s="137"/>
      <c r="C629" s="70" t="s">
        <v>44</v>
      </c>
      <c r="D629" s="108">
        <v>269.76</v>
      </c>
      <c r="E629" s="73">
        <v>6</v>
      </c>
      <c r="F629" s="73">
        <v>7</v>
      </c>
      <c r="G629" s="74">
        <f t="shared" si="189"/>
        <v>0.8571428571428571</v>
      </c>
      <c r="H629" s="75">
        <f t="shared" si="190"/>
        <v>44.96</v>
      </c>
      <c r="I629" s="76">
        <f t="shared" si="191"/>
        <v>52.45333333333334</v>
      </c>
      <c r="J629" s="108">
        <v>138.72999999999999</v>
      </c>
      <c r="K629" s="73">
        <v>50887</v>
      </c>
      <c r="L629" s="73">
        <v>4</v>
      </c>
      <c r="M629" s="109">
        <v>206.82</v>
      </c>
      <c r="N629" s="79">
        <f t="shared" si="231"/>
        <v>0.67077652064597226</v>
      </c>
      <c r="O629" s="80">
        <f t="shared" si="192"/>
        <v>1.4908094860520436</v>
      </c>
      <c r="P629" s="79">
        <f t="shared" si="193"/>
        <v>0.5142719454329775</v>
      </c>
      <c r="Q629" s="81">
        <f t="shared" si="194"/>
        <v>0.7666814946619217</v>
      </c>
      <c r="R629" s="110">
        <f t="shared" si="230"/>
        <v>62.94</v>
      </c>
      <c r="S629" s="83">
        <f t="shared" si="195"/>
        <v>34.682499999999997</v>
      </c>
      <c r="T629" s="135"/>
      <c r="U629" s="135"/>
      <c r="V629" s="135"/>
      <c r="W629" s="135"/>
      <c r="X629" s="136"/>
      <c r="Y629" s="50"/>
      <c r="Z629" s="50"/>
    </row>
    <row r="630" spans="1:26" ht="12.75" hidden="1" outlineLevel="1" x14ac:dyDescent="0.2">
      <c r="A630" s="139"/>
      <c r="B630" s="137"/>
      <c r="C630" s="112" t="s">
        <v>45</v>
      </c>
      <c r="D630" s="71">
        <v>54.9</v>
      </c>
      <c r="E630" s="73">
        <v>2</v>
      </c>
      <c r="F630" s="73">
        <v>2</v>
      </c>
      <c r="G630" s="74">
        <f t="shared" si="189"/>
        <v>1</v>
      </c>
      <c r="H630" s="75">
        <f t="shared" si="190"/>
        <v>27.45</v>
      </c>
      <c r="I630" s="76">
        <f t="shared" si="191"/>
        <v>27.45</v>
      </c>
      <c r="J630" s="71">
        <v>0</v>
      </c>
      <c r="K630" s="73">
        <v>0</v>
      </c>
      <c r="L630" s="73">
        <v>0</v>
      </c>
      <c r="M630" s="78">
        <v>0</v>
      </c>
      <c r="N630" s="79" t="e">
        <f t="shared" si="231"/>
        <v>#DIV/0!</v>
      </c>
      <c r="O630" s="80" t="e">
        <f t="shared" si="192"/>
        <v>#DIV/0!</v>
      </c>
      <c r="P630" s="79">
        <f t="shared" si="193"/>
        <v>0</v>
      </c>
      <c r="Q630" s="81">
        <f t="shared" si="194"/>
        <v>0</v>
      </c>
      <c r="R630" s="82">
        <f t="shared" si="230"/>
        <v>54.9</v>
      </c>
      <c r="S630" s="83" t="e">
        <f t="shared" si="195"/>
        <v>#DIV/0!</v>
      </c>
      <c r="T630" s="140"/>
      <c r="U630" s="140"/>
      <c r="V630" s="140"/>
      <c r="W630" s="141"/>
      <c r="X630" s="142"/>
      <c r="Y630" s="50"/>
      <c r="Z630" s="50"/>
    </row>
    <row r="631" spans="1:26" ht="12.75" hidden="1" outlineLevel="1" x14ac:dyDescent="0.2">
      <c r="A631" s="50"/>
      <c r="B631" s="137"/>
      <c r="C631" s="70" t="s">
        <v>46</v>
      </c>
      <c r="D631" s="116">
        <v>15.19</v>
      </c>
      <c r="E631" s="73">
        <v>1</v>
      </c>
      <c r="F631" s="73">
        <v>3</v>
      </c>
      <c r="G631" s="74">
        <f t="shared" si="189"/>
        <v>0.33333333333333331</v>
      </c>
      <c r="H631" s="75">
        <f t="shared" si="190"/>
        <v>15.19</v>
      </c>
      <c r="I631" s="76">
        <f t="shared" si="191"/>
        <v>45.57</v>
      </c>
      <c r="J631" s="116">
        <v>11.66</v>
      </c>
      <c r="K631" s="73">
        <v>3234</v>
      </c>
      <c r="L631" s="73">
        <v>0</v>
      </c>
      <c r="M631" s="117">
        <v>0</v>
      </c>
      <c r="N631" s="79" t="e">
        <f t="shared" si="231"/>
        <v>#DIV/0!</v>
      </c>
      <c r="O631" s="80">
        <f t="shared" si="192"/>
        <v>0</v>
      </c>
      <c r="P631" s="79">
        <f t="shared" si="193"/>
        <v>0.76761026991441739</v>
      </c>
      <c r="Q631" s="81">
        <f t="shared" si="194"/>
        <v>0</v>
      </c>
      <c r="R631" s="82">
        <f t="shared" si="230"/>
        <v>15.19</v>
      </c>
      <c r="S631" s="83" t="e">
        <f t="shared" si="195"/>
        <v>#DIV/0!</v>
      </c>
      <c r="T631" s="135"/>
      <c r="U631" s="135"/>
      <c r="V631" s="135"/>
      <c r="W631" s="135"/>
      <c r="X631" s="136"/>
      <c r="Y631" s="50"/>
      <c r="Z631" s="50"/>
    </row>
    <row r="632" spans="1:26" ht="12.75" hidden="1" outlineLevel="1" x14ac:dyDescent="0.2">
      <c r="A632" s="50"/>
      <c r="B632" s="137"/>
      <c r="C632" s="70" t="s">
        <v>49</v>
      </c>
      <c r="D632" s="116">
        <v>288</v>
      </c>
      <c r="E632" s="73">
        <v>3</v>
      </c>
      <c r="F632" s="73">
        <v>3</v>
      </c>
      <c r="G632" s="74">
        <f t="shared" si="189"/>
        <v>1</v>
      </c>
      <c r="H632" s="75">
        <f t="shared" si="190"/>
        <v>96</v>
      </c>
      <c r="I632" s="76">
        <f t="shared" si="191"/>
        <v>96</v>
      </c>
      <c r="J632" s="116">
        <v>6.45</v>
      </c>
      <c r="K632" s="73">
        <v>7110</v>
      </c>
      <c r="L632" s="73">
        <v>2</v>
      </c>
      <c r="M632" s="117">
        <v>192</v>
      </c>
      <c r="N632" s="79">
        <f t="shared" si="231"/>
        <v>3.3593749999999999E-2</v>
      </c>
      <c r="O632" s="80">
        <f t="shared" si="192"/>
        <v>29.767441860465116</v>
      </c>
      <c r="P632" s="79">
        <f t="shared" si="193"/>
        <v>2.2395833333333334E-2</v>
      </c>
      <c r="Q632" s="81">
        <f t="shared" si="194"/>
        <v>0.66666666666666663</v>
      </c>
      <c r="R632" s="82">
        <f t="shared" si="230"/>
        <v>96</v>
      </c>
      <c r="S632" s="83">
        <f t="shared" si="195"/>
        <v>3.2250000000000001</v>
      </c>
      <c r="T632" s="135"/>
      <c r="U632" s="135"/>
      <c r="V632" s="135"/>
      <c r="W632" s="135"/>
      <c r="X632" s="136"/>
      <c r="Y632" s="50"/>
      <c r="Z632" s="50"/>
    </row>
    <row r="633" spans="1:26" hidden="1" outlineLevel="1" x14ac:dyDescent="0.25">
      <c r="A633" s="118" t="str">
        <f t="shared" ref="A633:A634" si="232">IFERROR(IF(B633&gt;0,MONTH(B633)&amp;"-"&amp;YEAR(B633),B633),)</f>
        <v>10-2025</v>
      </c>
      <c r="B633" s="69">
        <v>45948</v>
      </c>
      <c r="C633" s="198" t="s">
        <v>64</v>
      </c>
      <c r="D633" s="116">
        <v>0</v>
      </c>
      <c r="E633" s="73">
        <v>0</v>
      </c>
      <c r="F633" s="73">
        <v>0</v>
      </c>
      <c r="G633" s="74" t="e">
        <f t="shared" si="189"/>
        <v>#DIV/0!</v>
      </c>
      <c r="H633" s="75" t="e">
        <f t="shared" si="190"/>
        <v>#DIV/0!</v>
      </c>
      <c r="I633" s="76" t="e">
        <f t="shared" si="191"/>
        <v>#DIV/0!</v>
      </c>
      <c r="J633" s="87">
        <v>795.17</v>
      </c>
      <c r="K633" s="199">
        <v>149429</v>
      </c>
      <c r="L633" s="73">
        <v>0</v>
      </c>
      <c r="M633" s="88">
        <v>2170.66</v>
      </c>
      <c r="N633" s="79">
        <f t="shared" si="231"/>
        <v>0.36632637078123703</v>
      </c>
      <c r="O633" s="80">
        <f t="shared" si="192"/>
        <v>2.7298062049624607</v>
      </c>
      <c r="P633" s="79" t="e">
        <f t="shared" si="193"/>
        <v>#DIV/0!</v>
      </c>
      <c r="Q633" s="81" t="e">
        <f t="shared" si="194"/>
        <v>#DIV/0!</v>
      </c>
      <c r="R633" s="82">
        <f t="shared" si="230"/>
        <v>-2170.66</v>
      </c>
      <c r="S633" s="83" t="e">
        <f t="shared" si="195"/>
        <v>#DIV/0!</v>
      </c>
      <c r="T633" s="135"/>
      <c r="U633" s="135"/>
      <c r="V633" s="135"/>
      <c r="W633" s="135"/>
      <c r="X633" s="136"/>
      <c r="Y633" s="50"/>
      <c r="Z633" s="50"/>
    </row>
    <row r="634" spans="1:26" ht="12.75" collapsed="1" x14ac:dyDescent="0.2">
      <c r="A634" s="50">
        <f t="shared" si="232"/>
        <v>0</v>
      </c>
      <c r="B634" s="52" t="s">
        <v>100</v>
      </c>
      <c r="C634" s="145"/>
      <c r="D634" s="121">
        <f t="shared" ref="D634:F634" si="233">SUM(D618:D633)</f>
        <v>18130.669999999995</v>
      </c>
      <c r="E634" s="123">
        <f t="shared" si="233"/>
        <v>186</v>
      </c>
      <c r="F634" s="123">
        <f t="shared" si="233"/>
        <v>198</v>
      </c>
      <c r="G634" s="124">
        <f t="shared" si="189"/>
        <v>0.93939393939393945</v>
      </c>
      <c r="H634" s="125">
        <f t="shared" si="190"/>
        <v>97.476720430107491</v>
      </c>
      <c r="I634" s="126">
        <f t="shared" si="191"/>
        <v>103.76554110301764</v>
      </c>
      <c r="J634" s="121">
        <f t="shared" ref="J634:M634" si="234">SUM(J618:J633)</f>
        <v>2589.04</v>
      </c>
      <c r="K634" s="123">
        <f t="shared" si="234"/>
        <v>588102</v>
      </c>
      <c r="L634" s="123">
        <f t="shared" si="234"/>
        <v>57</v>
      </c>
      <c r="M634" s="127">
        <f t="shared" si="234"/>
        <v>8035.5899999999992</v>
      </c>
      <c r="N634" s="128">
        <f t="shared" si="231"/>
        <v>0.32219662775228702</v>
      </c>
      <c r="O634" s="129">
        <f t="shared" si="192"/>
        <v>3.1036948057967431</v>
      </c>
      <c r="P634" s="128">
        <f t="shared" si="193"/>
        <v>0.14279891476707704</v>
      </c>
      <c r="Q634" s="130">
        <f t="shared" si="194"/>
        <v>0.44320425003598884</v>
      </c>
      <c r="R634" s="131">
        <f>SUM(R618:R633)</f>
        <v>10095.079999999998</v>
      </c>
      <c r="S634" s="132">
        <f t="shared" si="195"/>
        <v>45.42175438596491</v>
      </c>
      <c r="T634" s="133">
        <f t="shared" ref="T634:U634" si="235">IFERROR((D634-D69)/D634,)</f>
        <v>0.58185108437801802</v>
      </c>
      <c r="U634" s="133">
        <f t="shared" si="235"/>
        <v>0.4946236559139785</v>
      </c>
      <c r="V634" s="271" t="s">
        <v>139</v>
      </c>
      <c r="W634" s="271" t="s">
        <v>139</v>
      </c>
      <c r="X634" s="50"/>
      <c r="Y634" s="50"/>
      <c r="Z634" s="50"/>
    </row>
    <row r="635" spans="1:26" ht="12.75" hidden="1" outlineLevel="1" x14ac:dyDescent="0.2">
      <c r="A635" s="50"/>
      <c r="B635" s="69">
        <v>45949</v>
      </c>
      <c r="C635" s="70" t="s">
        <v>32</v>
      </c>
      <c r="D635" s="71">
        <v>5917.24</v>
      </c>
      <c r="E635" s="73">
        <v>20</v>
      </c>
      <c r="F635" s="73">
        <v>21</v>
      </c>
      <c r="G635" s="74">
        <f t="shared" si="189"/>
        <v>0.95238095238095233</v>
      </c>
      <c r="H635" s="75">
        <f t="shared" si="190"/>
        <v>295.86199999999997</v>
      </c>
      <c r="I635" s="76">
        <f t="shared" si="191"/>
        <v>310.6551</v>
      </c>
      <c r="J635" s="77">
        <v>418.13</v>
      </c>
      <c r="K635" s="73">
        <v>105111</v>
      </c>
      <c r="L635" s="73">
        <v>5</v>
      </c>
      <c r="M635" s="78">
        <v>1936</v>
      </c>
      <c r="N635" s="79">
        <f t="shared" si="231"/>
        <v>0.21597623966942148</v>
      </c>
      <c r="O635" s="80">
        <f t="shared" si="192"/>
        <v>4.630138952000574</v>
      </c>
      <c r="P635" s="79">
        <f t="shared" si="193"/>
        <v>7.0663011809559861E-2</v>
      </c>
      <c r="Q635" s="81">
        <f t="shared" si="194"/>
        <v>0.32717956344511967</v>
      </c>
      <c r="R635" s="82">
        <f t="shared" ref="R635:R650" si="236">D635-M635</f>
        <v>3981.24</v>
      </c>
      <c r="S635" s="83">
        <f t="shared" si="195"/>
        <v>83.626000000000005</v>
      </c>
      <c r="T635" s="135"/>
      <c r="U635" s="135"/>
      <c r="V635" s="135"/>
      <c r="W635" s="135"/>
      <c r="X635" s="136"/>
      <c r="Y635" s="50"/>
      <c r="Z635" s="50"/>
    </row>
    <row r="636" spans="1:26" ht="12.75" hidden="1" outlineLevel="1" x14ac:dyDescent="0.2">
      <c r="A636" s="50"/>
      <c r="B636" s="137"/>
      <c r="C636" s="70" t="s">
        <v>33</v>
      </c>
      <c r="D636" s="87">
        <v>2785.04</v>
      </c>
      <c r="E636" s="73">
        <v>39</v>
      </c>
      <c r="F636" s="73">
        <v>45</v>
      </c>
      <c r="G636" s="74">
        <f t="shared" si="189"/>
        <v>0.8666666666666667</v>
      </c>
      <c r="H636" s="75">
        <f t="shared" si="190"/>
        <v>71.411282051282043</v>
      </c>
      <c r="I636" s="76">
        <f t="shared" si="191"/>
        <v>82.397633136094669</v>
      </c>
      <c r="J636" s="87">
        <v>300.64</v>
      </c>
      <c r="K636" s="73">
        <v>106265</v>
      </c>
      <c r="L636" s="73">
        <v>7</v>
      </c>
      <c r="M636" s="88">
        <v>1006.9</v>
      </c>
      <c r="N636" s="79">
        <f t="shared" si="231"/>
        <v>0.29857979938424867</v>
      </c>
      <c r="O636" s="80">
        <f t="shared" si="192"/>
        <v>3.3491883980840873</v>
      </c>
      <c r="P636" s="79">
        <f t="shared" si="193"/>
        <v>0.10794818027748254</v>
      </c>
      <c r="Q636" s="81">
        <f t="shared" si="194"/>
        <v>0.36153879297963404</v>
      </c>
      <c r="R636" s="89">
        <f t="shared" si="236"/>
        <v>1778.1399999999999</v>
      </c>
      <c r="S636" s="83">
        <f t="shared" si="195"/>
        <v>42.948571428571427</v>
      </c>
      <c r="T636" s="135"/>
      <c r="U636" s="135"/>
      <c r="V636" s="135"/>
      <c r="W636" s="135"/>
      <c r="X636" s="136"/>
      <c r="Y636" s="50"/>
      <c r="Z636" s="50"/>
    </row>
    <row r="637" spans="1:26" ht="12.75" hidden="1" outlineLevel="1" x14ac:dyDescent="0.2">
      <c r="A637" s="50"/>
      <c r="B637" s="137"/>
      <c r="C637" s="70" t="s">
        <v>34</v>
      </c>
      <c r="D637" s="90">
        <v>69.95</v>
      </c>
      <c r="E637" s="73">
        <v>1</v>
      </c>
      <c r="F637" s="73">
        <v>1</v>
      </c>
      <c r="G637" s="74">
        <f t="shared" si="189"/>
        <v>1</v>
      </c>
      <c r="H637" s="75">
        <f t="shared" si="190"/>
        <v>69.95</v>
      </c>
      <c r="I637" s="76">
        <f t="shared" si="191"/>
        <v>69.95</v>
      </c>
      <c r="J637" s="90">
        <v>8.3800000000000008</v>
      </c>
      <c r="K637" s="73">
        <v>337</v>
      </c>
      <c r="L637" s="73">
        <v>0</v>
      </c>
      <c r="M637" s="91">
        <v>0</v>
      </c>
      <c r="N637" s="79" t="e">
        <f>(J637/M637)</f>
        <v>#DIV/0!</v>
      </c>
      <c r="O637" s="80">
        <f t="shared" si="192"/>
        <v>0</v>
      </c>
      <c r="P637" s="79">
        <f t="shared" si="193"/>
        <v>0.11979985704074339</v>
      </c>
      <c r="Q637" s="81">
        <f t="shared" si="194"/>
        <v>0</v>
      </c>
      <c r="R637" s="92">
        <f t="shared" si="236"/>
        <v>69.95</v>
      </c>
      <c r="S637" s="83" t="e">
        <f t="shared" si="195"/>
        <v>#DIV/0!</v>
      </c>
      <c r="T637" s="135"/>
      <c r="U637" s="135"/>
      <c r="V637" s="135"/>
      <c r="W637" s="135"/>
      <c r="X637" s="136"/>
      <c r="Y637" s="50"/>
      <c r="Z637" s="50"/>
    </row>
    <row r="638" spans="1:26" ht="12.75" hidden="1" outlineLevel="1" x14ac:dyDescent="0.2">
      <c r="A638" s="50"/>
      <c r="B638" s="137"/>
      <c r="C638" s="70" t="s">
        <v>35</v>
      </c>
      <c r="D638" s="90">
        <v>419.65</v>
      </c>
      <c r="E638" s="73">
        <v>7</v>
      </c>
      <c r="F638" s="73">
        <v>8</v>
      </c>
      <c r="G638" s="74">
        <f t="shared" si="189"/>
        <v>0.875</v>
      </c>
      <c r="H638" s="75">
        <f t="shared" si="190"/>
        <v>59.949999999999996</v>
      </c>
      <c r="I638" s="76">
        <f t="shared" si="191"/>
        <v>68.514285714285705</v>
      </c>
      <c r="J638" s="90">
        <v>248.54</v>
      </c>
      <c r="K638" s="73">
        <v>23456</v>
      </c>
      <c r="L638" s="73">
        <v>8</v>
      </c>
      <c r="M638" s="91">
        <v>479.6</v>
      </c>
      <c r="N638" s="79">
        <f t="shared" ref="N638:N653" si="237">J638/M638</f>
        <v>0.51822351959966639</v>
      </c>
      <c r="O638" s="80">
        <f t="shared" si="192"/>
        <v>1.9296692685282049</v>
      </c>
      <c r="P638" s="79">
        <f t="shared" si="193"/>
        <v>0.59225545097104726</v>
      </c>
      <c r="Q638" s="81">
        <f t="shared" si="194"/>
        <v>1.142857142857143</v>
      </c>
      <c r="R638" s="92">
        <f t="shared" si="236"/>
        <v>-59.950000000000045</v>
      </c>
      <c r="S638" s="83">
        <f t="shared" si="195"/>
        <v>31.067499999999999</v>
      </c>
      <c r="T638" s="135"/>
      <c r="U638" s="135"/>
      <c r="V638" s="135"/>
      <c r="W638" s="135"/>
      <c r="X638" s="136"/>
      <c r="Y638" s="50"/>
      <c r="Z638" s="50"/>
    </row>
    <row r="639" spans="1:26" ht="12.75" hidden="1" outlineLevel="1" x14ac:dyDescent="0.2">
      <c r="A639" s="50"/>
      <c r="B639" s="137"/>
      <c r="C639" s="70" t="s">
        <v>36</v>
      </c>
      <c r="D639" s="90">
        <v>169.85</v>
      </c>
      <c r="E639" s="73">
        <v>3</v>
      </c>
      <c r="F639" s="73">
        <v>4</v>
      </c>
      <c r="G639" s="74">
        <f t="shared" si="189"/>
        <v>0.75</v>
      </c>
      <c r="H639" s="75">
        <f t="shared" si="190"/>
        <v>56.616666666666667</v>
      </c>
      <c r="I639" s="76">
        <f t="shared" si="191"/>
        <v>75.488888888888894</v>
      </c>
      <c r="J639" s="90">
        <v>51.53</v>
      </c>
      <c r="K639" s="73">
        <v>17181</v>
      </c>
      <c r="L639" s="73">
        <v>0</v>
      </c>
      <c r="M639" s="91">
        <v>0</v>
      </c>
      <c r="N639" s="79" t="e">
        <f t="shared" si="237"/>
        <v>#DIV/0!</v>
      </c>
      <c r="O639" s="80">
        <f t="shared" si="192"/>
        <v>0</v>
      </c>
      <c r="P639" s="79">
        <f t="shared" si="193"/>
        <v>0.30338534000588757</v>
      </c>
      <c r="Q639" s="81">
        <f t="shared" si="194"/>
        <v>0</v>
      </c>
      <c r="R639" s="92">
        <f t="shared" si="236"/>
        <v>169.85</v>
      </c>
      <c r="S639" s="83" t="e">
        <f t="shared" si="195"/>
        <v>#DIV/0!</v>
      </c>
      <c r="T639" s="135"/>
      <c r="U639" s="135"/>
      <c r="V639" s="135"/>
      <c r="W639" s="135"/>
      <c r="X639" s="136"/>
      <c r="Y639" s="50"/>
      <c r="Z639" s="50"/>
    </row>
    <row r="640" spans="1:26" ht="12.75" hidden="1" outlineLevel="1" x14ac:dyDescent="0.2">
      <c r="A640" s="50"/>
      <c r="B640" s="69" t="s">
        <v>37</v>
      </c>
      <c r="C640" s="70" t="s">
        <v>38</v>
      </c>
      <c r="D640" s="93">
        <v>339.75</v>
      </c>
      <c r="E640" s="73">
        <v>5</v>
      </c>
      <c r="F640" s="73">
        <v>6</v>
      </c>
      <c r="G640" s="74">
        <f t="shared" si="189"/>
        <v>0.83333333333333337</v>
      </c>
      <c r="H640" s="75">
        <f t="shared" si="190"/>
        <v>67.95</v>
      </c>
      <c r="I640" s="76">
        <f t="shared" si="191"/>
        <v>81.540000000000006</v>
      </c>
      <c r="J640" s="93">
        <v>37.21</v>
      </c>
      <c r="K640" s="73">
        <v>12517</v>
      </c>
      <c r="L640" s="73">
        <v>3</v>
      </c>
      <c r="M640" s="94">
        <v>229.85</v>
      </c>
      <c r="N640" s="79">
        <f t="shared" si="237"/>
        <v>0.16188818794866217</v>
      </c>
      <c r="O640" s="80">
        <f t="shared" si="192"/>
        <v>6.1771029293200748</v>
      </c>
      <c r="P640" s="79">
        <f t="shared" si="193"/>
        <v>0.10952170713760118</v>
      </c>
      <c r="Q640" s="81">
        <f t="shared" si="194"/>
        <v>0.67652685798381162</v>
      </c>
      <c r="R640" s="95">
        <f t="shared" si="236"/>
        <v>109.9</v>
      </c>
      <c r="S640" s="83">
        <f t="shared" si="195"/>
        <v>12.403333333333334</v>
      </c>
      <c r="T640" s="135"/>
      <c r="U640" s="135"/>
      <c r="V640" s="135"/>
      <c r="W640" s="135"/>
      <c r="X640" s="136"/>
      <c r="Y640" s="50"/>
      <c r="Z640" s="50"/>
    </row>
    <row r="641" spans="1:26" ht="12.75" hidden="1" outlineLevel="1" x14ac:dyDescent="0.2">
      <c r="A641" s="50"/>
      <c r="B641" s="137"/>
      <c r="C641" s="70" t="s">
        <v>39</v>
      </c>
      <c r="D641" s="96">
        <v>0</v>
      </c>
      <c r="E641" s="73">
        <v>0</v>
      </c>
      <c r="F641" s="73">
        <v>0</v>
      </c>
      <c r="G641" s="74" t="e">
        <f t="shared" si="189"/>
        <v>#DIV/0!</v>
      </c>
      <c r="H641" s="75" t="e">
        <f t="shared" si="190"/>
        <v>#DIV/0!</v>
      </c>
      <c r="I641" s="76" t="e">
        <f t="shared" si="191"/>
        <v>#DIV/0!</v>
      </c>
      <c r="J641" s="96">
        <v>0</v>
      </c>
      <c r="K641" s="73">
        <v>0</v>
      </c>
      <c r="L641" s="73">
        <v>0</v>
      </c>
      <c r="M641" s="97">
        <v>0</v>
      </c>
      <c r="N641" s="79" t="e">
        <f t="shared" si="237"/>
        <v>#DIV/0!</v>
      </c>
      <c r="O641" s="80" t="e">
        <f t="shared" si="192"/>
        <v>#DIV/0!</v>
      </c>
      <c r="P641" s="79" t="e">
        <f t="shared" si="193"/>
        <v>#DIV/0!</v>
      </c>
      <c r="Q641" s="81" t="e">
        <f t="shared" si="194"/>
        <v>#DIV/0!</v>
      </c>
      <c r="R641" s="98">
        <f t="shared" si="236"/>
        <v>0</v>
      </c>
      <c r="S641" s="83" t="e">
        <f t="shared" si="195"/>
        <v>#DIV/0!</v>
      </c>
      <c r="T641" s="135"/>
      <c r="U641" s="135"/>
      <c r="V641" s="135"/>
      <c r="W641" s="135"/>
      <c r="X641" s="136"/>
      <c r="Y641" s="50"/>
      <c r="Z641" s="50"/>
    </row>
    <row r="642" spans="1:26" ht="12.75" hidden="1" outlineLevel="1" x14ac:dyDescent="0.2">
      <c r="A642" s="50"/>
      <c r="B642" s="137"/>
      <c r="C642" s="70" t="s">
        <v>40</v>
      </c>
      <c r="D642" s="99">
        <v>0</v>
      </c>
      <c r="E642" s="73">
        <v>0</v>
      </c>
      <c r="F642" s="73">
        <v>0</v>
      </c>
      <c r="G642" s="74" t="e">
        <f t="shared" si="189"/>
        <v>#DIV/0!</v>
      </c>
      <c r="H642" s="75" t="e">
        <f t="shared" si="190"/>
        <v>#DIV/0!</v>
      </c>
      <c r="I642" s="76" t="e">
        <f t="shared" si="191"/>
        <v>#DIV/0!</v>
      </c>
      <c r="J642" s="99">
        <v>0</v>
      </c>
      <c r="K642" s="73">
        <v>0</v>
      </c>
      <c r="L642" s="73">
        <v>0</v>
      </c>
      <c r="M642" s="100">
        <v>0</v>
      </c>
      <c r="N642" s="79" t="e">
        <f t="shared" si="237"/>
        <v>#DIV/0!</v>
      </c>
      <c r="O642" s="80" t="e">
        <f t="shared" si="192"/>
        <v>#DIV/0!</v>
      </c>
      <c r="P642" s="79" t="e">
        <f t="shared" si="193"/>
        <v>#DIV/0!</v>
      </c>
      <c r="Q642" s="81" t="e">
        <f t="shared" si="194"/>
        <v>#DIV/0!</v>
      </c>
      <c r="R642" s="101">
        <f t="shared" si="236"/>
        <v>0</v>
      </c>
      <c r="S642" s="83" t="e">
        <f t="shared" si="195"/>
        <v>#DIV/0!</v>
      </c>
      <c r="T642" s="135"/>
      <c r="U642" s="135"/>
      <c r="V642" s="135"/>
      <c r="W642" s="135"/>
      <c r="X642" s="136"/>
      <c r="Y642" s="50"/>
      <c r="Z642" s="50"/>
    </row>
    <row r="643" spans="1:26" ht="12.75" hidden="1" outlineLevel="1" x14ac:dyDescent="0.2">
      <c r="A643" s="50"/>
      <c r="B643" s="137"/>
      <c r="C643" s="70" t="s">
        <v>41</v>
      </c>
      <c r="D643" s="102">
        <v>1737.94</v>
      </c>
      <c r="E643" s="73">
        <v>24</v>
      </c>
      <c r="F643" s="73">
        <v>24</v>
      </c>
      <c r="G643" s="74">
        <f t="shared" si="189"/>
        <v>1</v>
      </c>
      <c r="H643" s="75">
        <f t="shared" si="190"/>
        <v>72.414166666666674</v>
      </c>
      <c r="I643" s="76">
        <f t="shared" si="191"/>
        <v>72.414166666666674</v>
      </c>
      <c r="J643" s="102">
        <v>192.57</v>
      </c>
      <c r="K643" s="73">
        <v>29771</v>
      </c>
      <c r="L643" s="73">
        <v>9</v>
      </c>
      <c r="M643" s="103">
        <v>718.93</v>
      </c>
      <c r="N643" s="79">
        <f t="shared" si="237"/>
        <v>0.2678563977021407</v>
      </c>
      <c r="O643" s="80">
        <f t="shared" si="192"/>
        <v>3.7333437191670562</v>
      </c>
      <c r="P643" s="79">
        <f t="shared" si="193"/>
        <v>0.11080359506081912</v>
      </c>
      <c r="Q643" s="81">
        <f t="shared" si="194"/>
        <v>0.41366790568143891</v>
      </c>
      <c r="R643" s="104">
        <f t="shared" si="236"/>
        <v>1019.0100000000001</v>
      </c>
      <c r="S643" s="83">
        <f t="shared" si="195"/>
        <v>21.396666666666665</v>
      </c>
      <c r="T643" s="135"/>
      <c r="U643" s="135"/>
      <c r="V643" s="135"/>
      <c r="W643" s="135"/>
      <c r="X643" s="136"/>
      <c r="Y643" s="50"/>
      <c r="Z643" s="50"/>
    </row>
    <row r="644" spans="1:26" ht="12.75" hidden="1" outlineLevel="1" x14ac:dyDescent="0.2">
      <c r="A644" s="50"/>
      <c r="B644" s="137"/>
      <c r="C644" s="70" t="s">
        <v>42</v>
      </c>
      <c r="D644" s="90">
        <v>19.989999999999998</v>
      </c>
      <c r="E644" s="73">
        <v>1</v>
      </c>
      <c r="F644" s="73">
        <v>2</v>
      </c>
      <c r="G644" s="74">
        <f t="shared" si="189"/>
        <v>0.5</v>
      </c>
      <c r="H644" s="75">
        <f t="shared" si="190"/>
        <v>19.989999999999998</v>
      </c>
      <c r="I644" s="76">
        <f t="shared" si="191"/>
        <v>39.979999999999997</v>
      </c>
      <c r="J644" s="90">
        <v>114.32</v>
      </c>
      <c r="K644" s="73">
        <v>46531</v>
      </c>
      <c r="L644" s="73">
        <v>2</v>
      </c>
      <c r="M644" s="91">
        <v>39.979999999999997</v>
      </c>
      <c r="N644" s="79">
        <f t="shared" si="237"/>
        <v>2.8594297148574288</v>
      </c>
      <c r="O644" s="80">
        <f t="shared" si="192"/>
        <v>0.34972008397480753</v>
      </c>
      <c r="P644" s="79">
        <f t="shared" si="193"/>
        <v>5.7188594297148576</v>
      </c>
      <c r="Q644" s="81">
        <f t="shared" si="194"/>
        <v>2</v>
      </c>
      <c r="R644" s="92">
        <f t="shared" si="236"/>
        <v>-19.989999999999998</v>
      </c>
      <c r="S644" s="83">
        <f t="shared" si="195"/>
        <v>57.16</v>
      </c>
      <c r="T644" s="135"/>
      <c r="U644" s="135"/>
      <c r="V644" s="135"/>
      <c r="W644" s="135"/>
      <c r="X644" s="136"/>
      <c r="Y644" s="50"/>
      <c r="Z644" s="50"/>
    </row>
    <row r="645" spans="1:26" ht="12.75" hidden="1" outlineLevel="1" x14ac:dyDescent="0.2">
      <c r="A645" s="50"/>
      <c r="B645" s="137"/>
      <c r="C645" s="70" t="s">
        <v>43</v>
      </c>
      <c r="D645" s="105">
        <v>-131.96</v>
      </c>
      <c r="E645" s="73">
        <v>-1</v>
      </c>
      <c r="F645" s="73">
        <v>1</v>
      </c>
      <c r="G645" s="74">
        <f t="shared" si="189"/>
        <v>-1</v>
      </c>
      <c r="H645" s="75">
        <f t="shared" si="190"/>
        <v>131.96</v>
      </c>
      <c r="I645" s="76">
        <f t="shared" si="191"/>
        <v>-131.96</v>
      </c>
      <c r="J645" s="105">
        <v>59.03</v>
      </c>
      <c r="K645" s="73">
        <v>11790</v>
      </c>
      <c r="L645" s="73">
        <v>1</v>
      </c>
      <c r="M645" s="106">
        <v>210.95</v>
      </c>
      <c r="N645" s="79">
        <f t="shared" si="237"/>
        <v>0.27982934344631433</v>
      </c>
      <c r="O645" s="80">
        <f t="shared" si="192"/>
        <v>3.5736066406911737</v>
      </c>
      <c r="P645" s="79">
        <f t="shared" si="193"/>
        <v>-0.44733252500757803</v>
      </c>
      <c r="Q645" s="81">
        <f t="shared" si="194"/>
        <v>-1.5985904819642314</v>
      </c>
      <c r="R645" s="107">
        <f t="shared" si="236"/>
        <v>-342.90999999999997</v>
      </c>
      <c r="S645" s="83">
        <f t="shared" si="195"/>
        <v>59.03</v>
      </c>
      <c r="T645" s="135"/>
      <c r="U645" s="135"/>
      <c r="V645" s="135"/>
      <c r="W645" s="135"/>
      <c r="X645" s="136"/>
      <c r="Y645" s="50"/>
      <c r="Z645" s="50"/>
    </row>
    <row r="646" spans="1:26" ht="12.75" hidden="1" outlineLevel="1" x14ac:dyDescent="0.2">
      <c r="A646" s="50"/>
      <c r="B646" s="137"/>
      <c r="C646" s="70" t="s">
        <v>44</v>
      </c>
      <c r="D646" s="108">
        <v>138.88999999999999</v>
      </c>
      <c r="E646" s="73">
        <v>1</v>
      </c>
      <c r="F646" s="73">
        <v>5</v>
      </c>
      <c r="G646" s="74">
        <f t="shared" si="189"/>
        <v>0.2</v>
      </c>
      <c r="H646" s="75">
        <f t="shared" si="190"/>
        <v>138.88999999999999</v>
      </c>
      <c r="I646" s="76">
        <f t="shared" si="191"/>
        <v>694.44999999999993</v>
      </c>
      <c r="J646" s="108">
        <v>137.30000000000001</v>
      </c>
      <c r="K646" s="73">
        <v>54033</v>
      </c>
      <c r="L646" s="73">
        <v>3</v>
      </c>
      <c r="M646" s="109">
        <v>179.85</v>
      </c>
      <c r="N646" s="79">
        <f t="shared" si="237"/>
        <v>0.76341395607450657</v>
      </c>
      <c r="O646" s="80">
        <f t="shared" si="192"/>
        <v>1.3099053168244719</v>
      </c>
      <c r="P646" s="79">
        <f t="shared" si="193"/>
        <v>0.98855209158326751</v>
      </c>
      <c r="Q646" s="81">
        <f t="shared" si="194"/>
        <v>1.2949096407228744</v>
      </c>
      <c r="R646" s="110">
        <f t="shared" si="236"/>
        <v>-40.960000000000008</v>
      </c>
      <c r="S646" s="83">
        <f t="shared" si="195"/>
        <v>45.766666666666673</v>
      </c>
      <c r="T646" s="135"/>
      <c r="U646" s="135"/>
      <c r="V646" s="135"/>
      <c r="W646" s="135"/>
      <c r="X646" s="136"/>
      <c r="Y646" s="50"/>
      <c r="Z646" s="50"/>
    </row>
    <row r="647" spans="1:26" ht="12.75" hidden="1" outlineLevel="1" x14ac:dyDescent="0.2">
      <c r="A647" s="139"/>
      <c r="B647" s="137"/>
      <c r="C647" s="112" t="s">
        <v>45</v>
      </c>
      <c r="D647" s="71">
        <v>0</v>
      </c>
      <c r="E647" s="73">
        <v>0</v>
      </c>
      <c r="F647" s="73">
        <v>0</v>
      </c>
      <c r="G647" s="74" t="e">
        <f t="shared" si="189"/>
        <v>#DIV/0!</v>
      </c>
      <c r="H647" s="75" t="e">
        <f t="shared" si="190"/>
        <v>#DIV/0!</v>
      </c>
      <c r="I647" s="76" t="e">
        <f t="shared" si="191"/>
        <v>#DIV/0!</v>
      </c>
      <c r="J647" s="71">
        <v>0</v>
      </c>
      <c r="K647" s="73">
        <v>0</v>
      </c>
      <c r="L647" s="73">
        <v>0</v>
      </c>
      <c r="M647" s="78">
        <v>0</v>
      </c>
      <c r="N647" s="79" t="e">
        <f t="shared" si="237"/>
        <v>#DIV/0!</v>
      </c>
      <c r="O647" s="80" t="e">
        <f t="shared" si="192"/>
        <v>#DIV/0!</v>
      </c>
      <c r="P647" s="79" t="e">
        <f t="shared" si="193"/>
        <v>#DIV/0!</v>
      </c>
      <c r="Q647" s="81" t="e">
        <f t="shared" si="194"/>
        <v>#DIV/0!</v>
      </c>
      <c r="R647" s="82">
        <f t="shared" si="236"/>
        <v>0</v>
      </c>
      <c r="S647" s="83" t="e">
        <f t="shared" si="195"/>
        <v>#DIV/0!</v>
      </c>
      <c r="T647" s="140"/>
      <c r="U647" s="140"/>
      <c r="V647" s="140"/>
      <c r="W647" s="141"/>
      <c r="X647" s="142"/>
      <c r="Y647" s="50"/>
      <c r="Z647" s="50"/>
    </row>
    <row r="648" spans="1:26" ht="12.75" hidden="1" outlineLevel="1" x14ac:dyDescent="0.2">
      <c r="A648" s="50"/>
      <c r="B648" s="137"/>
      <c r="C648" s="70" t="s">
        <v>46</v>
      </c>
      <c r="D648" s="116">
        <v>130.85</v>
      </c>
      <c r="E648" s="73">
        <v>3</v>
      </c>
      <c r="F648" s="73">
        <v>2</v>
      </c>
      <c r="G648" s="74">
        <f t="shared" si="189"/>
        <v>1.5</v>
      </c>
      <c r="H648" s="75">
        <f t="shared" si="190"/>
        <v>43.616666666666667</v>
      </c>
      <c r="I648" s="76">
        <f t="shared" si="191"/>
        <v>29.077777777777779</v>
      </c>
      <c r="J648" s="116">
        <v>70.459999999999994</v>
      </c>
      <c r="K648" s="73">
        <v>15556</v>
      </c>
      <c r="L648" s="73">
        <v>0</v>
      </c>
      <c r="M648" s="117">
        <v>0</v>
      </c>
      <c r="N648" s="79" t="e">
        <f t="shared" si="237"/>
        <v>#DIV/0!</v>
      </c>
      <c r="O648" s="80">
        <f t="shared" si="192"/>
        <v>0</v>
      </c>
      <c r="P648" s="79">
        <f t="shared" si="193"/>
        <v>0.538479174627436</v>
      </c>
      <c r="Q648" s="81">
        <f t="shared" si="194"/>
        <v>0</v>
      </c>
      <c r="R648" s="82">
        <f t="shared" si="236"/>
        <v>130.85</v>
      </c>
      <c r="S648" s="83" t="e">
        <f t="shared" si="195"/>
        <v>#DIV/0!</v>
      </c>
      <c r="T648" s="135"/>
      <c r="U648" s="135"/>
      <c r="V648" s="135"/>
      <c r="W648" s="135"/>
      <c r="X648" s="136"/>
      <c r="Y648" s="50"/>
      <c r="Z648" s="50"/>
    </row>
    <row r="649" spans="1:26" ht="12.75" hidden="1" outlineLevel="1" x14ac:dyDescent="0.2">
      <c r="A649" s="50"/>
      <c r="B649" s="137"/>
      <c r="C649" s="70" t="s">
        <v>49</v>
      </c>
      <c r="D649" s="116">
        <v>-96</v>
      </c>
      <c r="E649" s="73">
        <v>-1</v>
      </c>
      <c r="F649" s="73">
        <v>0</v>
      </c>
      <c r="G649" s="74" t="e">
        <f t="shared" si="189"/>
        <v>#DIV/0!</v>
      </c>
      <c r="H649" s="75">
        <f t="shared" si="190"/>
        <v>96</v>
      </c>
      <c r="I649" s="76" t="e">
        <f t="shared" si="191"/>
        <v>#DIV/0!</v>
      </c>
      <c r="J649" s="116">
        <v>7.3</v>
      </c>
      <c r="K649" s="73">
        <v>7520</v>
      </c>
      <c r="L649" s="73">
        <v>0</v>
      </c>
      <c r="M649" s="117">
        <v>0</v>
      </c>
      <c r="N649" s="79" t="e">
        <f t="shared" si="237"/>
        <v>#DIV/0!</v>
      </c>
      <c r="O649" s="80">
        <f t="shared" si="192"/>
        <v>0</v>
      </c>
      <c r="P649" s="79">
        <f t="shared" si="193"/>
        <v>-7.604166666666666E-2</v>
      </c>
      <c r="Q649" s="81">
        <f t="shared" si="194"/>
        <v>0</v>
      </c>
      <c r="R649" s="82">
        <f t="shared" si="236"/>
        <v>-96</v>
      </c>
      <c r="S649" s="83" t="e">
        <f t="shared" si="195"/>
        <v>#DIV/0!</v>
      </c>
      <c r="T649" s="135"/>
      <c r="U649" s="135"/>
      <c r="V649" s="135"/>
      <c r="W649" s="135"/>
      <c r="X649" s="136"/>
      <c r="Y649" s="50"/>
      <c r="Z649" s="50"/>
    </row>
    <row r="650" spans="1:26" hidden="1" outlineLevel="1" x14ac:dyDescent="0.25">
      <c r="A650" s="118" t="str">
        <f t="shared" ref="A650:A651" si="238">IFERROR(IF(B650&gt;0,MONTH(B650)&amp;"-"&amp;YEAR(B650),B650),)</f>
        <v>10-2025</v>
      </c>
      <c r="B650" s="69">
        <v>45955</v>
      </c>
      <c r="C650" s="198" t="s">
        <v>64</v>
      </c>
      <c r="D650" s="116">
        <v>0</v>
      </c>
      <c r="E650" s="73">
        <v>0</v>
      </c>
      <c r="F650" s="73">
        <v>0</v>
      </c>
      <c r="G650" s="74" t="e">
        <f t="shared" si="189"/>
        <v>#DIV/0!</v>
      </c>
      <c r="H650" s="75" t="e">
        <f t="shared" si="190"/>
        <v>#DIV/0!</v>
      </c>
      <c r="I650" s="76" t="e">
        <f t="shared" si="191"/>
        <v>#DIV/0!</v>
      </c>
      <c r="J650" s="87">
        <v>1178.2499999999998</v>
      </c>
      <c r="K650" s="199">
        <v>135993</v>
      </c>
      <c r="L650" s="73">
        <v>0</v>
      </c>
      <c r="M650" s="88">
        <v>1433.14</v>
      </c>
      <c r="N650" s="79">
        <f t="shared" si="237"/>
        <v>0.82214577780258713</v>
      </c>
      <c r="O650" s="80">
        <f t="shared" si="192"/>
        <v>1.2163293019308299</v>
      </c>
      <c r="P650" s="79" t="e">
        <f t="shared" si="193"/>
        <v>#DIV/0!</v>
      </c>
      <c r="Q650" s="81" t="e">
        <f t="shared" si="194"/>
        <v>#DIV/0!</v>
      </c>
      <c r="R650" s="82">
        <f t="shared" si="236"/>
        <v>-1433.14</v>
      </c>
      <c r="S650" s="83" t="e">
        <f t="shared" si="195"/>
        <v>#DIV/0!</v>
      </c>
      <c r="T650" s="135"/>
      <c r="U650" s="135"/>
      <c r="V650" s="135"/>
      <c r="W650" s="135"/>
      <c r="X650" s="136"/>
      <c r="Y650" s="50"/>
      <c r="Z650" s="50"/>
    </row>
    <row r="651" spans="1:26" ht="12.75" collapsed="1" x14ac:dyDescent="0.2">
      <c r="A651" s="50">
        <f t="shared" si="238"/>
        <v>0</v>
      </c>
      <c r="B651" s="52" t="s">
        <v>101</v>
      </c>
      <c r="C651" s="145"/>
      <c r="D651" s="121">
        <f t="shared" ref="D651:F651" si="239">SUM(D635:D650)</f>
        <v>11501.19</v>
      </c>
      <c r="E651" s="123">
        <f t="shared" si="239"/>
        <v>102</v>
      </c>
      <c r="F651" s="123">
        <f t="shared" si="239"/>
        <v>119</v>
      </c>
      <c r="G651" s="124">
        <f t="shared" si="189"/>
        <v>0.8571428571428571</v>
      </c>
      <c r="H651" s="125">
        <f t="shared" si="190"/>
        <v>112.75676470588236</v>
      </c>
      <c r="I651" s="126">
        <f t="shared" si="191"/>
        <v>131.54955882352942</v>
      </c>
      <c r="J651" s="121">
        <f t="shared" ref="J651:M651" si="240">SUM(J635:J650)</f>
        <v>2823.66</v>
      </c>
      <c r="K651" s="123">
        <f t="shared" si="240"/>
        <v>566061</v>
      </c>
      <c r="L651" s="123">
        <f t="shared" si="240"/>
        <v>38</v>
      </c>
      <c r="M651" s="127">
        <f t="shared" si="240"/>
        <v>6235.2</v>
      </c>
      <c r="N651" s="128">
        <f t="shared" si="237"/>
        <v>0.45285796766743647</v>
      </c>
      <c r="O651" s="129">
        <f t="shared" si="192"/>
        <v>2.2081978708484735</v>
      </c>
      <c r="P651" s="128">
        <f t="shared" si="193"/>
        <v>0.24551024720050704</v>
      </c>
      <c r="Q651" s="130">
        <f t="shared" si="194"/>
        <v>0.54213520513964208</v>
      </c>
      <c r="R651" s="131">
        <f>SUM(R635:R650)</f>
        <v>5265.99</v>
      </c>
      <c r="S651" s="132">
        <f t="shared" si="195"/>
        <v>74.306842105263158</v>
      </c>
      <c r="T651" s="133">
        <f t="shared" ref="T651:U651" si="241">IFERROR((D651-D69)/D651,)</f>
        <v>0.34082299309897518</v>
      </c>
      <c r="U651" s="133">
        <f t="shared" si="241"/>
        <v>7.8431372549019607E-2</v>
      </c>
      <c r="V651" s="271" t="s">
        <v>139</v>
      </c>
      <c r="W651" s="271" t="s">
        <v>139</v>
      </c>
      <c r="X651" s="50"/>
      <c r="Y651" s="50"/>
      <c r="Z651" s="50"/>
    </row>
    <row r="652" spans="1:26" ht="12.75" hidden="1" outlineLevel="1" x14ac:dyDescent="0.2">
      <c r="A652" s="50"/>
      <c r="B652" s="69">
        <v>45956</v>
      </c>
      <c r="C652" s="70" t="s">
        <v>32</v>
      </c>
      <c r="D652" s="71">
        <v>3108.77</v>
      </c>
      <c r="E652" s="73">
        <v>27</v>
      </c>
      <c r="F652" s="73">
        <v>30</v>
      </c>
      <c r="G652" s="74">
        <f t="shared" si="189"/>
        <v>0.9</v>
      </c>
      <c r="H652" s="75">
        <f t="shared" si="190"/>
        <v>115.13962962962962</v>
      </c>
      <c r="I652" s="76">
        <f t="shared" si="191"/>
        <v>127.93292181069958</v>
      </c>
      <c r="J652" s="77">
        <v>534.11</v>
      </c>
      <c r="K652" s="73">
        <v>103940</v>
      </c>
      <c r="L652" s="73">
        <v>6</v>
      </c>
      <c r="M652" s="78">
        <v>307.75</v>
      </c>
      <c r="N652" s="79">
        <f t="shared" si="237"/>
        <v>1.7355320877335501</v>
      </c>
      <c r="O652" s="80">
        <f t="shared" si="192"/>
        <v>0.5761921701522158</v>
      </c>
      <c r="P652" s="79">
        <f t="shared" si="193"/>
        <v>0.17180749942903464</v>
      </c>
      <c r="Q652" s="81">
        <f t="shared" si="194"/>
        <v>9.899413594444105E-2</v>
      </c>
      <c r="R652" s="82">
        <f t="shared" ref="R652:R667" si="242">D652-M652</f>
        <v>2801.02</v>
      </c>
      <c r="S652" s="83">
        <f t="shared" si="195"/>
        <v>89.018333333333331</v>
      </c>
      <c r="T652" s="135"/>
      <c r="U652" s="135"/>
      <c r="V652" s="135"/>
      <c r="W652" s="135"/>
      <c r="X652" s="136"/>
      <c r="Y652" s="50"/>
      <c r="Z652" s="50"/>
    </row>
    <row r="653" spans="1:26" ht="12.75" hidden="1" outlineLevel="1" x14ac:dyDescent="0.2">
      <c r="A653" s="50"/>
      <c r="B653" s="137"/>
      <c r="C653" s="70" t="s">
        <v>33</v>
      </c>
      <c r="D653" s="87">
        <v>2365.9499999999998</v>
      </c>
      <c r="E653" s="73">
        <v>42</v>
      </c>
      <c r="F653" s="73">
        <v>40</v>
      </c>
      <c r="G653" s="74">
        <f t="shared" si="189"/>
        <v>1.05</v>
      </c>
      <c r="H653" s="75">
        <f t="shared" si="190"/>
        <v>56.332142857142856</v>
      </c>
      <c r="I653" s="76">
        <f t="shared" si="191"/>
        <v>53.649659863945573</v>
      </c>
      <c r="J653" s="87">
        <v>227.98</v>
      </c>
      <c r="K653" s="73">
        <v>79981</v>
      </c>
      <c r="L653" s="73">
        <v>6</v>
      </c>
      <c r="M653" s="88">
        <v>1004.9</v>
      </c>
      <c r="N653" s="79">
        <f t="shared" si="237"/>
        <v>0.22686834510896606</v>
      </c>
      <c r="O653" s="80">
        <f t="shared" si="192"/>
        <v>4.4078427932274762</v>
      </c>
      <c r="P653" s="79">
        <f t="shared" si="193"/>
        <v>9.6358756524863171E-2</v>
      </c>
      <c r="Q653" s="81">
        <f t="shared" si="194"/>
        <v>0.42473425051247915</v>
      </c>
      <c r="R653" s="89">
        <f t="shared" si="242"/>
        <v>1361.0499999999997</v>
      </c>
      <c r="S653" s="83">
        <f t="shared" si="195"/>
        <v>37.996666666666663</v>
      </c>
      <c r="T653" s="135"/>
      <c r="U653" s="135"/>
      <c r="V653" s="135"/>
      <c r="W653" s="135"/>
      <c r="X653" s="136"/>
      <c r="Y653" s="50"/>
      <c r="Z653" s="50"/>
    </row>
    <row r="654" spans="1:26" ht="12.75" hidden="1" outlineLevel="1" x14ac:dyDescent="0.2">
      <c r="A654" s="50"/>
      <c r="B654" s="137"/>
      <c r="C654" s="70" t="s">
        <v>34</v>
      </c>
      <c r="D654" s="90">
        <v>699.5</v>
      </c>
      <c r="E654" s="73">
        <v>10</v>
      </c>
      <c r="F654" s="73">
        <v>5</v>
      </c>
      <c r="G654" s="74">
        <f t="shared" si="189"/>
        <v>2</v>
      </c>
      <c r="H654" s="75">
        <f t="shared" si="190"/>
        <v>69.95</v>
      </c>
      <c r="I654" s="76">
        <f t="shared" si="191"/>
        <v>34.975000000000001</v>
      </c>
      <c r="J654" s="90">
        <v>0</v>
      </c>
      <c r="K654" s="73">
        <v>342</v>
      </c>
      <c r="L654" s="73">
        <v>0</v>
      </c>
      <c r="M654" s="91">
        <v>0</v>
      </c>
      <c r="N654" s="79" t="e">
        <f>(J654/M654)</f>
        <v>#DIV/0!</v>
      </c>
      <c r="O654" s="80" t="e">
        <f t="shared" si="192"/>
        <v>#DIV/0!</v>
      </c>
      <c r="P654" s="79">
        <f t="shared" si="193"/>
        <v>0</v>
      </c>
      <c r="Q654" s="81">
        <f t="shared" si="194"/>
        <v>0</v>
      </c>
      <c r="R654" s="92">
        <f t="shared" si="242"/>
        <v>699.5</v>
      </c>
      <c r="S654" s="83" t="e">
        <f t="shared" si="195"/>
        <v>#DIV/0!</v>
      </c>
      <c r="T654" s="135"/>
      <c r="U654" s="135"/>
      <c r="V654" s="135"/>
      <c r="W654" s="135"/>
      <c r="X654" s="136"/>
      <c r="Y654" s="50"/>
      <c r="Z654" s="50"/>
    </row>
    <row r="655" spans="1:26" ht="12.75" hidden="1" outlineLevel="1" x14ac:dyDescent="0.2">
      <c r="A655" s="50"/>
      <c r="B655" s="137"/>
      <c r="C655" s="70" t="s">
        <v>35</v>
      </c>
      <c r="D655" s="90">
        <v>560.53</v>
      </c>
      <c r="E655" s="73">
        <v>9</v>
      </c>
      <c r="F655" s="73">
        <v>10</v>
      </c>
      <c r="G655" s="74">
        <f t="shared" si="189"/>
        <v>0.9</v>
      </c>
      <c r="H655" s="75">
        <f t="shared" si="190"/>
        <v>62.281111111111109</v>
      </c>
      <c r="I655" s="76">
        <f t="shared" si="191"/>
        <v>69.201234567901224</v>
      </c>
      <c r="J655" s="90">
        <v>268.76</v>
      </c>
      <c r="K655" s="73">
        <v>25315</v>
      </c>
      <c r="L655" s="73">
        <v>8</v>
      </c>
      <c r="M655" s="91">
        <v>479.6</v>
      </c>
      <c r="N655" s="79">
        <f t="shared" ref="N655:N670" si="243">J655/M655</f>
        <v>0.56038365304420346</v>
      </c>
      <c r="O655" s="80">
        <f t="shared" si="192"/>
        <v>1.7844917398422386</v>
      </c>
      <c r="P655" s="79">
        <f t="shared" si="193"/>
        <v>0.47947478279485489</v>
      </c>
      <c r="Q655" s="81">
        <f t="shared" si="194"/>
        <v>0.85561878936006996</v>
      </c>
      <c r="R655" s="92">
        <f t="shared" si="242"/>
        <v>80.92999999999995</v>
      </c>
      <c r="S655" s="83">
        <f t="shared" si="195"/>
        <v>33.594999999999999</v>
      </c>
      <c r="T655" s="135"/>
      <c r="U655" s="135"/>
      <c r="V655" s="135"/>
      <c r="W655" s="135"/>
      <c r="X655" s="136"/>
      <c r="Y655" s="50"/>
      <c r="Z655" s="50"/>
    </row>
    <row r="656" spans="1:26" ht="12.75" hidden="1" outlineLevel="1" x14ac:dyDescent="0.2">
      <c r="A656" s="50"/>
      <c r="B656" s="137"/>
      <c r="C656" s="70" t="s">
        <v>36</v>
      </c>
      <c r="D656" s="90">
        <v>319.75</v>
      </c>
      <c r="E656" s="73">
        <v>5</v>
      </c>
      <c r="F656" s="73">
        <v>5</v>
      </c>
      <c r="G656" s="74">
        <f t="shared" si="189"/>
        <v>1</v>
      </c>
      <c r="H656" s="75">
        <f t="shared" si="190"/>
        <v>63.95</v>
      </c>
      <c r="I656" s="76">
        <f t="shared" si="191"/>
        <v>63.95</v>
      </c>
      <c r="J656" s="90">
        <v>64.739999999999995</v>
      </c>
      <c r="K656" s="73">
        <v>23556</v>
      </c>
      <c r="L656" s="73">
        <v>2</v>
      </c>
      <c r="M656" s="91">
        <v>129.9</v>
      </c>
      <c r="N656" s="79">
        <f t="shared" si="243"/>
        <v>0.49838337182448028</v>
      </c>
      <c r="O656" s="80">
        <f t="shared" si="192"/>
        <v>2.0064874884151993</v>
      </c>
      <c r="P656" s="79">
        <f t="shared" si="193"/>
        <v>0.20247068021892101</v>
      </c>
      <c r="Q656" s="81">
        <f t="shared" si="194"/>
        <v>0.40625488663017983</v>
      </c>
      <c r="R656" s="92">
        <f t="shared" si="242"/>
        <v>189.85</v>
      </c>
      <c r="S656" s="83">
        <f t="shared" si="195"/>
        <v>32.369999999999997</v>
      </c>
      <c r="T656" s="135"/>
      <c r="U656" s="135"/>
      <c r="V656" s="135"/>
      <c r="W656" s="135"/>
      <c r="X656" s="136"/>
      <c r="Y656" s="50"/>
      <c r="Z656" s="50"/>
    </row>
    <row r="657" spans="1:26" ht="12.75" hidden="1" outlineLevel="1" x14ac:dyDescent="0.2">
      <c r="A657" s="50"/>
      <c r="B657" s="69" t="s">
        <v>37</v>
      </c>
      <c r="C657" s="70" t="s">
        <v>38</v>
      </c>
      <c r="D657" s="93">
        <v>419.69</v>
      </c>
      <c r="E657" s="73">
        <v>7</v>
      </c>
      <c r="F657" s="73">
        <v>7</v>
      </c>
      <c r="G657" s="74">
        <f t="shared" si="189"/>
        <v>1</v>
      </c>
      <c r="H657" s="75">
        <f t="shared" si="190"/>
        <v>59.955714285714286</v>
      </c>
      <c r="I657" s="76">
        <f t="shared" si="191"/>
        <v>59.955714285714286</v>
      </c>
      <c r="J657" s="93">
        <v>32.93</v>
      </c>
      <c r="K657" s="73">
        <v>16166</v>
      </c>
      <c r="L657" s="73">
        <v>0</v>
      </c>
      <c r="M657" s="94">
        <v>0</v>
      </c>
      <c r="N657" s="79" t="e">
        <f t="shared" si="243"/>
        <v>#DIV/0!</v>
      </c>
      <c r="O657" s="80">
        <f t="shared" si="192"/>
        <v>0</v>
      </c>
      <c r="P657" s="79">
        <f t="shared" si="193"/>
        <v>7.846267483142319E-2</v>
      </c>
      <c r="Q657" s="81">
        <f t="shared" si="194"/>
        <v>0</v>
      </c>
      <c r="R657" s="95">
        <f t="shared" si="242"/>
        <v>419.69</v>
      </c>
      <c r="S657" s="83" t="e">
        <f t="shared" si="195"/>
        <v>#DIV/0!</v>
      </c>
      <c r="T657" s="135"/>
      <c r="U657" s="135"/>
      <c r="V657" s="135"/>
      <c r="W657" s="135"/>
      <c r="X657" s="136"/>
      <c r="Y657" s="50"/>
      <c r="Z657" s="50"/>
    </row>
    <row r="658" spans="1:26" ht="12.75" hidden="1" outlineLevel="1" x14ac:dyDescent="0.2">
      <c r="A658" s="50"/>
      <c r="B658" s="137"/>
      <c r="C658" s="70" t="s">
        <v>39</v>
      </c>
      <c r="D658" s="96">
        <v>0</v>
      </c>
      <c r="E658" s="73">
        <v>0</v>
      </c>
      <c r="F658" s="73">
        <v>0</v>
      </c>
      <c r="G658" s="74" t="e">
        <f t="shared" si="189"/>
        <v>#DIV/0!</v>
      </c>
      <c r="H658" s="75" t="e">
        <f t="shared" si="190"/>
        <v>#DIV/0!</v>
      </c>
      <c r="I658" s="76" t="e">
        <f t="shared" si="191"/>
        <v>#DIV/0!</v>
      </c>
      <c r="J658" s="96">
        <v>0</v>
      </c>
      <c r="K658" s="73">
        <v>0</v>
      </c>
      <c r="L658" s="73">
        <v>0</v>
      </c>
      <c r="M658" s="97">
        <v>0</v>
      </c>
      <c r="N658" s="79" t="e">
        <f t="shared" si="243"/>
        <v>#DIV/0!</v>
      </c>
      <c r="O658" s="80" t="e">
        <f t="shared" si="192"/>
        <v>#DIV/0!</v>
      </c>
      <c r="P658" s="79" t="e">
        <f t="shared" si="193"/>
        <v>#DIV/0!</v>
      </c>
      <c r="Q658" s="81" t="e">
        <f t="shared" si="194"/>
        <v>#DIV/0!</v>
      </c>
      <c r="R658" s="98">
        <f t="shared" si="242"/>
        <v>0</v>
      </c>
      <c r="S658" s="83" t="e">
        <f t="shared" si="195"/>
        <v>#DIV/0!</v>
      </c>
      <c r="T658" s="135"/>
      <c r="U658" s="135"/>
      <c r="V658" s="135"/>
      <c r="W658" s="135"/>
      <c r="X658" s="136"/>
      <c r="Y658" s="50"/>
      <c r="Z658" s="50"/>
    </row>
    <row r="659" spans="1:26" ht="12.75" hidden="1" outlineLevel="1" x14ac:dyDescent="0.2">
      <c r="A659" s="50"/>
      <c r="B659" s="137"/>
      <c r="C659" s="70" t="s">
        <v>40</v>
      </c>
      <c r="D659" s="99">
        <v>0</v>
      </c>
      <c r="E659" s="73">
        <v>0</v>
      </c>
      <c r="F659" s="73">
        <v>0</v>
      </c>
      <c r="G659" s="74" t="e">
        <f t="shared" si="189"/>
        <v>#DIV/0!</v>
      </c>
      <c r="H659" s="75" t="e">
        <f t="shared" si="190"/>
        <v>#DIV/0!</v>
      </c>
      <c r="I659" s="76" t="e">
        <f t="shared" si="191"/>
        <v>#DIV/0!</v>
      </c>
      <c r="J659" s="99">
        <v>0</v>
      </c>
      <c r="K659" s="73">
        <v>0</v>
      </c>
      <c r="L659" s="73">
        <v>0</v>
      </c>
      <c r="M659" s="100">
        <v>0</v>
      </c>
      <c r="N659" s="79" t="e">
        <f t="shared" si="243"/>
        <v>#DIV/0!</v>
      </c>
      <c r="O659" s="80" t="e">
        <f t="shared" si="192"/>
        <v>#DIV/0!</v>
      </c>
      <c r="P659" s="79" t="e">
        <f t="shared" si="193"/>
        <v>#DIV/0!</v>
      </c>
      <c r="Q659" s="81" t="e">
        <f t="shared" si="194"/>
        <v>#DIV/0!</v>
      </c>
      <c r="R659" s="101">
        <f t="shared" si="242"/>
        <v>0</v>
      </c>
      <c r="S659" s="83" t="e">
        <f t="shared" si="195"/>
        <v>#DIV/0!</v>
      </c>
      <c r="T659" s="135"/>
      <c r="U659" s="135"/>
      <c r="V659" s="135"/>
      <c r="W659" s="135"/>
      <c r="X659" s="136"/>
      <c r="Y659" s="50"/>
      <c r="Z659" s="50"/>
    </row>
    <row r="660" spans="1:26" ht="12.75" hidden="1" outlineLevel="1" x14ac:dyDescent="0.2">
      <c r="A660" s="50"/>
      <c r="B660" s="137"/>
      <c r="C660" s="70" t="s">
        <v>41</v>
      </c>
      <c r="D660" s="102">
        <v>1198.82</v>
      </c>
      <c r="E660" s="73">
        <v>19</v>
      </c>
      <c r="F660" s="73">
        <v>17</v>
      </c>
      <c r="G660" s="74">
        <f t="shared" si="189"/>
        <v>1.1176470588235294</v>
      </c>
      <c r="H660" s="75">
        <f t="shared" si="190"/>
        <v>63.095789473684206</v>
      </c>
      <c r="I660" s="76">
        <f t="shared" si="191"/>
        <v>56.454127423822712</v>
      </c>
      <c r="J660" s="102">
        <v>106.18</v>
      </c>
      <c r="K660" s="73">
        <v>29280</v>
      </c>
      <c r="L660" s="73">
        <v>5</v>
      </c>
      <c r="M660" s="103">
        <v>380.96</v>
      </c>
      <c r="N660" s="79">
        <f t="shared" si="243"/>
        <v>0.27871692566148681</v>
      </c>
      <c r="O660" s="80">
        <f t="shared" si="192"/>
        <v>3.5878696553023164</v>
      </c>
      <c r="P660" s="79">
        <f t="shared" si="193"/>
        <v>8.8570427587127354E-2</v>
      </c>
      <c r="Q660" s="81">
        <f t="shared" si="194"/>
        <v>0.31777914949700536</v>
      </c>
      <c r="R660" s="104">
        <f t="shared" si="242"/>
        <v>817.8599999999999</v>
      </c>
      <c r="S660" s="83">
        <f t="shared" si="195"/>
        <v>21.236000000000001</v>
      </c>
      <c r="T660" s="135"/>
      <c r="U660" s="135"/>
      <c r="V660" s="135"/>
      <c r="W660" s="135"/>
      <c r="X660" s="136"/>
      <c r="Y660" s="50"/>
      <c r="Z660" s="50"/>
    </row>
    <row r="661" spans="1:26" ht="12.75" hidden="1" outlineLevel="1" x14ac:dyDescent="0.2">
      <c r="A661" s="50"/>
      <c r="B661" s="137"/>
      <c r="C661" s="70" t="s">
        <v>42</v>
      </c>
      <c r="D661" s="90">
        <v>49.93</v>
      </c>
      <c r="E661" s="73">
        <v>3</v>
      </c>
      <c r="F661" s="73">
        <v>3</v>
      </c>
      <c r="G661" s="74">
        <f t="shared" si="189"/>
        <v>1</v>
      </c>
      <c r="H661" s="75">
        <f t="shared" si="190"/>
        <v>16.643333333333334</v>
      </c>
      <c r="I661" s="76">
        <f t="shared" si="191"/>
        <v>16.643333333333334</v>
      </c>
      <c r="J661" s="90">
        <v>97.59</v>
      </c>
      <c r="K661" s="73">
        <v>48478</v>
      </c>
      <c r="L661" s="73">
        <v>3</v>
      </c>
      <c r="M661" s="91">
        <v>59.97</v>
      </c>
      <c r="N661" s="79">
        <f t="shared" si="243"/>
        <v>1.6273136568284143</v>
      </c>
      <c r="O661" s="80">
        <f t="shared" si="192"/>
        <v>0.61450968336919765</v>
      </c>
      <c r="P661" s="79">
        <f t="shared" si="193"/>
        <v>1.9545363508912479</v>
      </c>
      <c r="Q661" s="81">
        <f t="shared" si="194"/>
        <v>1.2010815141197677</v>
      </c>
      <c r="R661" s="92">
        <f t="shared" si="242"/>
        <v>-10.039999999999999</v>
      </c>
      <c r="S661" s="83">
        <f t="shared" si="195"/>
        <v>32.53</v>
      </c>
      <c r="T661" s="135"/>
      <c r="U661" s="135"/>
      <c r="V661" s="135"/>
      <c r="W661" s="135"/>
      <c r="X661" s="136"/>
      <c r="Y661" s="50"/>
      <c r="Z661" s="50"/>
    </row>
    <row r="662" spans="1:26" ht="12.75" hidden="1" outlineLevel="1" x14ac:dyDescent="0.2">
      <c r="A662" s="50"/>
      <c r="B662" s="137"/>
      <c r="C662" s="70" t="s">
        <v>43</v>
      </c>
      <c r="D662" s="105">
        <v>158.9</v>
      </c>
      <c r="E662" s="73">
        <v>2</v>
      </c>
      <c r="F662" s="73">
        <v>3</v>
      </c>
      <c r="G662" s="74">
        <f t="shared" si="189"/>
        <v>0.66666666666666663</v>
      </c>
      <c r="H662" s="75">
        <f t="shared" si="190"/>
        <v>79.45</v>
      </c>
      <c r="I662" s="76">
        <f t="shared" si="191"/>
        <v>119.17500000000001</v>
      </c>
      <c r="J662" s="105">
        <v>38.130000000000003</v>
      </c>
      <c r="K662" s="73">
        <v>12772</v>
      </c>
      <c r="L662" s="73">
        <v>0</v>
      </c>
      <c r="M662" s="106">
        <v>0</v>
      </c>
      <c r="N662" s="79" t="e">
        <f t="shared" si="243"/>
        <v>#DIV/0!</v>
      </c>
      <c r="O662" s="80">
        <f t="shared" si="192"/>
        <v>0</v>
      </c>
      <c r="P662" s="79">
        <f t="shared" si="193"/>
        <v>0.23996224040276903</v>
      </c>
      <c r="Q662" s="81">
        <f t="shared" si="194"/>
        <v>0</v>
      </c>
      <c r="R662" s="107">
        <f t="shared" si="242"/>
        <v>158.9</v>
      </c>
      <c r="S662" s="83" t="e">
        <f t="shared" si="195"/>
        <v>#DIV/0!</v>
      </c>
      <c r="T662" s="135"/>
      <c r="U662" s="135"/>
      <c r="V662" s="135"/>
      <c r="W662" s="135"/>
      <c r="X662" s="136"/>
      <c r="Y662" s="50"/>
      <c r="Z662" s="50"/>
    </row>
    <row r="663" spans="1:26" ht="12.75" hidden="1" outlineLevel="1" x14ac:dyDescent="0.2">
      <c r="A663" s="50"/>
      <c r="B663" s="137"/>
      <c r="C663" s="70" t="s">
        <v>44</v>
      </c>
      <c r="D663" s="108">
        <v>152.88</v>
      </c>
      <c r="E663" s="73">
        <v>2</v>
      </c>
      <c r="F663" s="73">
        <v>4</v>
      </c>
      <c r="G663" s="74">
        <f t="shared" si="189"/>
        <v>0.5</v>
      </c>
      <c r="H663" s="75">
        <f t="shared" si="190"/>
        <v>76.44</v>
      </c>
      <c r="I663" s="76">
        <f t="shared" si="191"/>
        <v>152.88</v>
      </c>
      <c r="J663" s="108">
        <v>136.81</v>
      </c>
      <c r="K663" s="73">
        <v>49376</v>
      </c>
      <c r="L663" s="73">
        <v>3</v>
      </c>
      <c r="M663" s="109">
        <v>179.85</v>
      </c>
      <c r="N663" s="79">
        <f t="shared" si="243"/>
        <v>0.76068946344175703</v>
      </c>
      <c r="O663" s="80">
        <f t="shared" si="192"/>
        <v>1.3145968861925297</v>
      </c>
      <c r="P663" s="79">
        <f t="shared" si="193"/>
        <v>0.89488487702773423</v>
      </c>
      <c r="Q663" s="81">
        <f t="shared" si="194"/>
        <v>1.1764128728414442</v>
      </c>
      <c r="R663" s="110">
        <f t="shared" si="242"/>
        <v>-26.97</v>
      </c>
      <c r="S663" s="83">
        <f t="shared" si="195"/>
        <v>45.603333333333332</v>
      </c>
      <c r="T663" s="135"/>
      <c r="U663" s="135"/>
      <c r="V663" s="135"/>
      <c r="W663" s="135"/>
      <c r="X663" s="136"/>
      <c r="Y663" s="50"/>
      <c r="Z663" s="50"/>
    </row>
    <row r="664" spans="1:26" ht="12.75" hidden="1" outlineLevel="1" x14ac:dyDescent="0.2">
      <c r="A664" s="139"/>
      <c r="B664" s="137"/>
      <c r="C664" s="112" t="s">
        <v>45</v>
      </c>
      <c r="D664" s="71">
        <v>0</v>
      </c>
      <c r="E664" s="73">
        <v>0</v>
      </c>
      <c r="F664" s="73">
        <v>0</v>
      </c>
      <c r="G664" s="74" t="e">
        <f t="shared" si="189"/>
        <v>#DIV/0!</v>
      </c>
      <c r="H664" s="75" t="e">
        <f t="shared" si="190"/>
        <v>#DIV/0!</v>
      </c>
      <c r="I664" s="76" t="e">
        <f t="shared" si="191"/>
        <v>#DIV/0!</v>
      </c>
      <c r="J664" s="71">
        <v>0</v>
      </c>
      <c r="K664" s="73">
        <v>0</v>
      </c>
      <c r="L664" s="73">
        <v>0</v>
      </c>
      <c r="M664" s="78">
        <v>0</v>
      </c>
      <c r="N664" s="79" t="e">
        <f t="shared" si="243"/>
        <v>#DIV/0!</v>
      </c>
      <c r="O664" s="80" t="e">
        <f t="shared" si="192"/>
        <v>#DIV/0!</v>
      </c>
      <c r="P664" s="79" t="e">
        <f t="shared" si="193"/>
        <v>#DIV/0!</v>
      </c>
      <c r="Q664" s="81" t="e">
        <f t="shared" si="194"/>
        <v>#DIV/0!</v>
      </c>
      <c r="R664" s="82">
        <f t="shared" si="242"/>
        <v>0</v>
      </c>
      <c r="S664" s="83" t="e">
        <f t="shared" si="195"/>
        <v>#DIV/0!</v>
      </c>
      <c r="T664" s="140"/>
      <c r="U664" s="140"/>
      <c r="V664" s="140"/>
      <c r="W664" s="141"/>
      <c r="X664" s="142"/>
      <c r="Y664" s="50"/>
      <c r="Z664" s="50"/>
    </row>
    <row r="665" spans="1:26" ht="12.75" hidden="1" outlineLevel="1" x14ac:dyDescent="0.2">
      <c r="A665" s="50"/>
      <c r="B665" s="137"/>
      <c r="C665" s="70" t="s">
        <v>46</v>
      </c>
      <c r="D665" s="116">
        <v>392.55</v>
      </c>
      <c r="E665" s="73">
        <v>9</v>
      </c>
      <c r="F665" s="73">
        <v>12</v>
      </c>
      <c r="G665" s="74">
        <f t="shared" si="189"/>
        <v>0.75</v>
      </c>
      <c r="H665" s="75">
        <f t="shared" si="190"/>
        <v>43.616666666666667</v>
      </c>
      <c r="I665" s="76">
        <f t="shared" si="191"/>
        <v>58.155555555555559</v>
      </c>
      <c r="J665" s="116">
        <v>182.16</v>
      </c>
      <c r="K665" s="73">
        <v>38980</v>
      </c>
      <c r="L665" s="73">
        <v>4</v>
      </c>
      <c r="M665" s="117">
        <v>173.8</v>
      </c>
      <c r="N665" s="79">
        <f t="shared" si="243"/>
        <v>1.0481012658227846</v>
      </c>
      <c r="O665" s="80">
        <f t="shared" si="192"/>
        <v>0.95410628019323684</v>
      </c>
      <c r="P665" s="79">
        <f t="shared" si="193"/>
        <v>0.46404279709591134</v>
      </c>
      <c r="Q665" s="81">
        <f t="shared" si="194"/>
        <v>0.44274614698764492</v>
      </c>
      <c r="R665" s="82">
        <f t="shared" si="242"/>
        <v>218.75</v>
      </c>
      <c r="S665" s="83">
        <f t="shared" si="195"/>
        <v>45.54</v>
      </c>
      <c r="T665" s="135"/>
      <c r="U665" s="135"/>
      <c r="V665" s="135"/>
      <c r="W665" s="135"/>
      <c r="X665" s="136"/>
      <c r="Y665" s="50"/>
      <c r="Z665" s="50"/>
    </row>
    <row r="666" spans="1:26" ht="12.75" hidden="1" outlineLevel="1" x14ac:dyDescent="0.2">
      <c r="A666" s="50"/>
      <c r="B666" s="137"/>
      <c r="C666" s="70" t="s">
        <v>49</v>
      </c>
      <c r="D666" s="116">
        <v>-96</v>
      </c>
      <c r="E666" s="73">
        <v>-1</v>
      </c>
      <c r="F666" s="73">
        <v>0</v>
      </c>
      <c r="G666" s="74" t="e">
        <f t="shared" si="189"/>
        <v>#DIV/0!</v>
      </c>
      <c r="H666" s="75">
        <f t="shared" si="190"/>
        <v>96</v>
      </c>
      <c r="I666" s="76" t="e">
        <f t="shared" si="191"/>
        <v>#DIV/0!</v>
      </c>
      <c r="J666" s="116">
        <v>5.88</v>
      </c>
      <c r="K666" s="73">
        <v>8831</v>
      </c>
      <c r="L666" s="73">
        <v>0</v>
      </c>
      <c r="M666" s="117">
        <v>0</v>
      </c>
      <c r="N666" s="79" t="e">
        <f t="shared" si="243"/>
        <v>#DIV/0!</v>
      </c>
      <c r="O666" s="80">
        <f t="shared" si="192"/>
        <v>0</v>
      </c>
      <c r="P666" s="79">
        <f t="shared" si="193"/>
        <v>-6.1249999999999999E-2</v>
      </c>
      <c r="Q666" s="81">
        <f t="shared" si="194"/>
        <v>0</v>
      </c>
      <c r="R666" s="82">
        <f t="shared" si="242"/>
        <v>-96</v>
      </c>
      <c r="S666" s="83" t="e">
        <f t="shared" si="195"/>
        <v>#DIV/0!</v>
      </c>
      <c r="T666" s="135"/>
      <c r="U666" s="135"/>
      <c r="V666" s="135"/>
      <c r="W666" s="135"/>
      <c r="X666" s="136"/>
      <c r="Y666" s="50"/>
      <c r="Z666" s="50"/>
    </row>
    <row r="667" spans="1:26" hidden="1" outlineLevel="1" x14ac:dyDescent="0.25">
      <c r="A667" s="118" t="str">
        <f t="shared" ref="A667:A668" si="244">IFERROR(IF(B667&gt;0,MONTH(B667)&amp;"-"&amp;YEAR(B667),B667),)</f>
        <v>11-2025</v>
      </c>
      <c r="B667" s="69">
        <v>45962</v>
      </c>
      <c r="C667" s="198" t="s">
        <v>64</v>
      </c>
      <c r="D667" s="116">
        <v>0</v>
      </c>
      <c r="E667" s="73">
        <v>0</v>
      </c>
      <c r="F667" s="73">
        <v>0</v>
      </c>
      <c r="G667" s="74" t="e">
        <f t="shared" si="189"/>
        <v>#DIV/0!</v>
      </c>
      <c r="H667" s="75" t="e">
        <f t="shared" si="190"/>
        <v>#DIV/0!</v>
      </c>
      <c r="I667" s="76" t="e">
        <f t="shared" si="191"/>
        <v>#DIV/0!</v>
      </c>
      <c r="J667" s="87">
        <v>1152.57</v>
      </c>
      <c r="K667" s="199">
        <v>78641</v>
      </c>
      <c r="L667" s="73">
        <v>0</v>
      </c>
      <c r="M667" s="88">
        <v>5217.9299999999994</v>
      </c>
      <c r="N667" s="79">
        <f t="shared" si="243"/>
        <v>0.22088644347471126</v>
      </c>
      <c r="O667" s="80">
        <f t="shared" si="192"/>
        <v>4.5272130976860403</v>
      </c>
      <c r="P667" s="79" t="e">
        <f t="shared" si="193"/>
        <v>#DIV/0!</v>
      </c>
      <c r="Q667" s="81" t="e">
        <f t="shared" si="194"/>
        <v>#DIV/0!</v>
      </c>
      <c r="R667" s="82">
        <f t="shared" si="242"/>
        <v>-5217.9299999999994</v>
      </c>
      <c r="S667" s="83" t="e">
        <f t="shared" si="195"/>
        <v>#DIV/0!</v>
      </c>
      <c r="T667" s="135"/>
      <c r="U667" s="135"/>
      <c r="V667" s="135"/>
      <c r="W667" s="135"/>
      <c r="X667" s="136"/>
      <c r="Y667" s="50"/>
      <c r="Z667" s="50"/>
    </row>
    <row r="668" spans="1:26" ht="12.75" collapsed="1" x14ac:dyDescent="0.2">
      <c r="A668" s="50">
        <f t="shared" si="244"/>
        <v>0</v>
      </c>
      <c r="B668" s="52" t="s">
        <v>102</v>
      </c>
      <c r="C668" s="145"/>
      <c r="D668" s="121">
        <f t="shared" ref="D668:F668" si="245">SUM(D652:D667)</f>
        <v>9331.2699999999968</v>
      </c>
      <c r="E668" s="123">
        <f t="shared" si="245"/>
        <v>134</v>
      </c>
      <c r="F668" s="123">
        <f t="shared" si="245"/>
        <v>136</v>
      </c>
      <c r="G668" s="124">
        <f t="shared" si="189"/>
        <v>0.98529411764705888</v>
      </c>
      <c r="H668" s="125">
        <f t="shared" si="190"/>
        <v>69.636343283582065</v>
      </c>
      <c r="I668" s="126">
        <f t="shared" si="191"/>
        <v>70.675691690799709</v>
      </c>
      <c r="J668" s="121">
        <f t="shared" ref="J668:M668" si="246">SUM(J652:J667)</f>
        <v>2847.84</v>
      </c>
      <c r="K668" s="123">
        <f t="shared" si="246"/>
        <v>515658</v>
      </c>
      <c r="L668" s="123">
        <f t="shared" si="246"/>
        <v>37</v>
      </c>
      <c r="M668" s="127">
        <f t="shared" si="246"/>
        <v>7934.66</v>
      </c>
      <c r="N668" s="128">
        <f t="shared" si="243"/>
        <v>0.35891140893245588</v>
      </c>
      <c r="O668" s="129">
        <f t="shared" si="192"/>
        <v>2.7862028765660991</v>
      </c>
      <c r="P668" s="128">
        <f t="shared" si="193"/>
        <v>0.30519318377884264</v>
      </c>
      <c r="Q668" s="130">
        <f t="shared" si="194"/>
        <v>0.85033012655297757</v>
      </c>
      <c r="R668" s="131">
        <f>SUM(R652:R667)</f>
        <v>1396.6099999999997</v>
      </c>
      <c r="S668" s="132">
        <f t="shared" si="195"/>
        <v>76.968648648648653</v>
      </c>
      <c r="T668" s="133">
        <f t="shared" ref="T668:U668" si="247">IFERROR((D668-D69)/D668,)</f>
        <v>0.18753610173106119</v>
      </c>
      <c r="U668" s="133">
        <f t="shared" si="247"/>
        <v>0.29850746268656714</v>
      </c>
      <c r="V668" s="271" t="s">
        <v>139</v>
      </c>
      <c r="W668" s="271" t="s">
        <v>139</v>
      </c>
      <c r="X668" s="50"/>
      <c r="Y668" s="50"/>
      <c r="Z668" s="50"/>
    </row>
    <row r="669" spans="1:26" ht="12.75" hidden="1" outlineLevel="1" x14ac:dyDescent="0.2">
      <c r="A669" s="50"/>
      <c r="B669" s="69">
        <v>45963</v>
      </c>
      <c r="C669" s="70" t="s">
        <v>32</v>
      </c>
      <c r="D669" s="71">
        <v>2096.9499999999998</v>
      </c>
      <c r="E669" s="73">
        <v>22</v>
      </c>
      <c r="F669" s="73">
        <v>24</v>
      </c>
      <c r="G669" s="74">
        <f t="shared" si="189"/>
        <v>0.91666666666666663</v>
      </c>
      <c r="H669" s="75">
        <f t="shared" si="190"/>
        <v>95.315909090909088</v>
      </c>
      <c r="I669" s="76">
        <f t="shared" si="191"/>
        <v>103.98099173553719</v>
      </c>
      <c r="J669" s="77">
        <v>738.02</v>
      </c>
      <c r="K669" s="73">
        <v>132624</v>
      </c>
      <c r="L669" s="73">
        <v>2</v>
      </c>
      <c r="M669" s="78">
        <v>204.9</v>
      </c>
      <c r="N669" s="79">
        <f t="shared" si="243"/>
        <v>3.6018545632015617</v>
      </c>
      <c r="O669" s="80">
        <f t="shared" si="192"/>
        <v>0.27763475244573321</v>
      </c>
      <c r="P669" s="79">
        <f t="shared" si="193"/>
        <v>0.35194925963899953</v>
      </c>
      <c r="Q669" s="81">
        <f t="shared" si="194"/>
        <v>9.7713345573332708E-2</v>
      </c>
      <c r="R669" s="82">
        <f t="shared" ref="R669:R685" si="248">D669-M669</f>
        <v>1892.0499999999997</v>
      </c>
      <c r="S669" s="83">
        <f t="shared" si="195"/>
        <v>369.01</v>
      </c>
      <c r="T669" s="135"/>
      <c r="U669" s="135"/>
      <c r="V669" s="135"/>
      <c r="W669" s="135"/>
      <c r="X669" s="136"/>
      <c r="Y669" s="50"/>
      <c r="Z669" s="50"/>
    </row>
    <row r="670" spans="1:26" ht="12.75" hidden="1" outlineLevel="1" x14ac:dyDescent="0.2">
      <c r="A670" s="50"/>
      <c r="B670" s="137"/>
      <c r="C670" s="70" t="s">
        <v>33</v>
      </c>
      <c r="D670" s="87">
        <v>4358.8500000000004</v>
      </c>
      <c r="E670" s="73">
        <v>52</v>
      </c>
      <c r="F670" s="73">
        <v>52</v>
      </c>
      <c r="G670" s="74">
        <f t="shared" si="189"/>
        <v>1</v>
      </c>
      <c r="H670" s="75">
        <f t="shared" si="190"/>
        <v>83.824038461538464</v>
      </c>
      <c r="I670" s="76">
        <f t="shared" si="191"/>
        <v>83.824038461538464</v>
      </c>
      <c r="J670" s="87">
        <v>290.51</v>
      </c>
      <c r="K670" s="73">
        <v>95880</v>
      </c>
      <c r="L670" s="73">
        <v>12</v>
      </c>
      <c r="M670" s="88">
        <v>904.65</v>
      </c>
      <c r="N670" s="79">
        <f t="shared" si="243"/>
        <v>0.32112971867573092</v>
      </c>
      <c r="O670" s="80">
        <f t="shared" si="192"/>
        <v>3.1140064025334757</v>
      </c>
      <c r="P670" s="79">
        <f t="shared" si="193"/>
        <v>6.6648313201876627E-2</v>
      </c>
      <c r="Q670" s="81">
        <f t="shared" si="194"/>
        <v>0.20754327402870021</v>
      </c>
      <c r="R670" s="89">
        <f t="shared" si="248"/>
        <v>3454.2000000000003</v>
      </c>
      <c r="S670" s="83">
        <f t="shared" si="195"/>
        <v>24.209166666666665</v>
      </c>
      <c r="T670" s="135"/>
      <c r="U670" s="135"/>
      <c r="V670" s="135"/>
      <c r="W670" s="135"/>
      <c r="X670" s="136"/>
      <c r="Y670" s="50"/>
      <c r="Z670" s="50"/>
    </row>
    <row r="671" spans="1:26" ht="12.75" hidden="1" outlineLevel="1" x14ac:dyDescent="0.2">
      <c r="A671" s="50"/>
      <c r="B671" s="137"/>
      <c r="C671" s="70" t="s">
        <v>34</v>
      </c>
      <c r="D671" s="90">
        <v>209.85</v>
      </c>
      <c r="E671" s="73">
        <v>3</v>
      </c>
      <c r="F671" s="73">
        <v>1</v>
      </c>
      <c r="G671" s="74">
        <f t="shared" si="189"/>
        <v>3</v>
      </c>
      <c r="H671" s="75">
        <f t="shared" si="190"/>
        <v>69.95</v>
      </c>
      <c r="I671" s="76">
        <f t="shared" si="191"/>
        <v>23.316666666666666</v>
      </c>
      <c r="J671" s="90">
        <v>0</v>
      </c>
      <c r="K671" s="73">
        <v>320</v>
      </c>
      <c r="L671" s="73">
        <v>0</v>
      </c>
      <c r="M671" s="91">
        <v>0</v>
      </c>
      <c r="N671" s="79" t="e">
        <f>(J671/M671)</f>
        <v>#DIV/0!</v>
      </c>
      <c r="O671" s="80" t="e">
        <f t="shared" si="192"/>
        <v>#DIV/0!</v>
      </c>
      <c r="P671" s="79">
        <f t="shared" si="193"/>
        <v>0</v>
      </c>
      <c r="Q671" s="81">
        <f t="shared" si="194"/>
        <v>0</v>
      </c>
      <c r="R671" s="92">
        <f t="shared" si="248"/>
        <v>209.85</v>
      </c>
      <c r="S671" s="83" t="e">
        <f t="shared" si="195"/>
        <v>#DIV/0!</v>
      </c>
      <c r="T671" s="135"/>
      <c r="U671" s="135"/>
      <c r="V671" s="135"/>
      <c r="W671" s="135"/>
      <c r="X671" s="136"/>
      <c r="Y671" s="50"/>
      <c r="Z671" s="50"/>
    </row>
    <row r="672" spans="1:26" ht="12.75" hidden="1" outlineLevel="1" x14ac:dyDescent="0.2">
      <c r="A672" s="50"/>
      <c r="B672" s="137"/>
      <c r="C672" s="70" t="s">
        <v>35</v>
      </c>
      <c r="D672" s="90">
        <v>422.65</v>
      </c>
      <c r="E672" s="73">
        <v>7</v>
      </c>
      <c r="F672" s="73">
        <v>7</v>
      </c>
      <c r="G672" s="74">
        <f t="shared" si="189"/>
        <v>1</v>
      </c>
      <c r="H672" s="75">
        <f t="shared" si="190"/>
        <v>60.378571428571426</v>
      </c>
      <c r="I672" s="76">
        <f t="shared" si="191"/>
        <v>60.378571428571426</v>
      </c>
      <c r="J672" s="90">
        <v>199.67</v>
      </c>
      <c r="K672" s="73">
        <v>26446</v>
      </c>
      <c r="L672" s="73">
        <v>3</v>
      </c>
      <c r="M672" s="91">
        <v>179.85</v>
      </c>
      <c r="N672" s="79">
        <f t="shared" ref="N672:N688" si="249">J672/M672</f>
        <v>1.1102029469001946</v>
      </c>
      <c r="O672" s="80">
        <f t="shared" si="192"/>
        <v>0.90073621475434473</v>
      </c>
      <c r="P672" s="79">
        <f t="shared" si="193"/>
        <v>0.47242399148231395</v>
      </c>
      <c r="Q672" s="81">
        <f t="shared" si="194"/>
        <v>0.42552939784691829</v>
      </c>
      <c r="R672" s="92">
        <f t="shared" si="248"/>
        <v>242.79999999999998</v>
      </c>
      <c r="S672" s="83">
        <f t="shared" si="195"/>
        <v>66.556666666666658</v>
      </c>
      <c r="T672" s="135"/>
      <c r="U672" s="135"/>
      <c r="V672" s="135"/>
      <c r="W672" s="135"/>
      <c r="X672" s="136"/>
      <c r="Y672" s="50"/>
      <c r="Z672" s="50"/>
    </row>
    <row r="673" spans="1:26" ht="12.75" hidden="1" outlineLevel="1" x14ac:dyDescent="0.2">
      <c r="A673" s="50"/>
      <c r="B673" s="137"/>
      <c r="C673" s="70" t="s">
        <v>36</v>
      </c>
      <c r="D673" s="90">
        <v>404.66</v>
      </c>
      <c r="E673" s="73">
        <v>6</v>
      </c>
      <c r="F673" s="73">
        <v>6</v>
      </c>
      <c r="G673" s="74">
        <f t="shared" si="189"/>
        <v>1</v>
      </c>
      <c r="H673" s="75">
        <f t="shared" si="190"/>
        <v>67.443333333333342</v>
      </c>
      <c r="I673" s="76">
        <f t="shared" si="191"/>
        <v>67.443333333333342</v>
      </c>
      <c r="J673" s="90">
        <v>79.900000000000006</v>
      </c>
      <c r="K673" s="73">
        <v>29248</v>
      </c>
      <c r="L673" s="73">
        <v>3</v>
      </c>
      <c r="M673" s="91">
        <v>129.9</v>
      </c>
      <c r="N673" s="79">
        <f t="shared" si="249"/>
        <v>0.61508852963818328</v>
      </c>
      <c r="O673" s="80">
        <f t="shared" si="192"/>
        <v>1.6257822277847309</v>
      </c>
      <c r="P673" s="79">
        <f t="shared" si="193"/>
        <v>0.19744971086838334</v>
      </c>
      <c r="Q673" s="81">
        <f t="shared" si="194"/>
        <v>0.32101023081105123</v>
      </c>
      <c r="R673" s="92">
        <f t="shared" si="248"/>
        <v>274.76</v>
      </c>
      <c r="S673" s="83">
        <f t="shared" si="195"/>
        <v>26.633333333333336</v>
      </c>
      <c r="T673" s="135"/>
      <c r="U673" s="135"/>
      <c r="V673" s="135"/>
      <c r="W673" s="135"/>
      <c r="X673" s="136"/>
      <c r="Y673" s="50"/>
      <c r="Z673" s="50"/>
    </row>
    <row r="674" spans="1:26" ht="12.75" hidden="1" outlineLevel="1" x14ac:dyDescent="0.2">
      <c r="A674" s="50"/>
      <c r="B674" s="69" t="s">
        <v>37</v>
      </c>
      <c r="C674" s="70" t="s">
        <v>38</v>
      </c>
      <c r="D674" s="93">
        <v>234.8</v>
      </c>
      <c r="E674" s="73">
        <v>4</v>
      </c>
      <c r="F674" s="73">
        <v>5</v>
      </c>
      <c r="G674" s="74">
        <f t="shared" si="189"/>
        <v>0.8</v>
      </c>
      <c r="H674" s="75">
        <f t="shared" si="190"/>
        <v>58.7</v>
      </c>
      <c r="I674" s="76">
        <f t="shared" si="191"/>
        <v>73.375</v>
      </c>
      <c r="J674" s="93">
        <v>38.450000000000003</v>
      </c>
      <c r="K674" s="73">
        <v>10545</v>
      </c>
      <c r="L674" s="73">
        <v>2</v>
      </c>
      <c r="M674" s="94">
        <v>69.900000000000006</v>
      </c>
      <c r="N674" s="79">
        <f t="shared" si="249"/>
        <v>0.55007153075822601</v>
      </c>
      <c r="O674" s="80">
        <f t="shared" si="192"/>
        <v>1.8179453836150845</v>
      </c>
      <c r="P674" s="79">
        <f t="shared" si="193"/>
        <v>0.16375638841567292</v>
      </c>
      <c r="Q674" s="81">
        <f t="shared" si="194"/>
        <v>0.29770017035775131</v>
      </c>
      <c r="R674" s="95">
        <f t="shared" si="248"/>
        <v>164.9</v>
      </c>
      <c r="S674" s="83">
        <f t="shared" si="195"/>
        <v>19.225000000000001</v>
      </c>
      <c r="T674" s="135"/>
      <c r="U674" s="135"/>
      <c r="V674" s="135"/>
      <c r="W674" s="135"/>
      <c r="X674" s="136"/>
      <c r="Y674" s="50"/>
      <c r="Z674" s="50"/>
    </row>
    <row r="675" spans="1:26" ht="12.75" hidden="1" outlineLevel="1" x14ac:dyDescent="0.2">
      <c r="A675" s="50"/>
      <c r="B675" s="137"/>
      <c r="C675" s="70" t="s">
        <v>39</v>
      </c>
      <c r="D675" s="96">
        <v>0</v>
      </c>
      <c r="E675" s="73">
        <v>0</v>
      </c>
      <c r="F675" s="73">
        <v>0</v>
      </c>
      <c r="G675" s="74" t="e">
        <f t="shared" si="189"/>
        <v>#DIV/0!</v>
      </c>
      <c r="H675" s="75" t="e">
        <f t="shared" si="190"/>
        <v>#DIV/0!</v>
      </c>
      <c r="I675" s="76" t="e">
        <f t="shared" si="191"/>
        <v>#DIV/0!</v>
      </c>
      <c r="J675" s="96">
        <v>0</v>
      </c>
      <c r="K675" s="73">
        <v>0</v>
      </c>
      <c r="L675" s="73">
        <v>0</v>
      </c>
      <c r="M675" s="97">
        <v>0</v>
      </c>
      <c r="N675" s="79" t="e">
        <f t="shared" si="249"/>
        <v>#DIV/0!</v>
      </c>
      <c r="O675" s="80" t="e">
        <f t="shared" si="192"/>
        <v>#DIV/0!</v>
      </c>
      <c r="P675" s="79" t="e">
        <f t="shared" si="193"/>
        <v>#DIV/0!</v>
      </c>
      <c r="Q675" s="81" t="e">
        <f t="shared" si="194"/>
        <v>#DIV/0!</v>
      </c>
      <c r="R675" s="98">
        <f t="shared" si="248"/>
        <v>0</v>
      </c>
      <c r="S675" s="83" t="e">
        <f t="shared" si="195"/>
        <v>#DIV/0!</v>
      </c>
      <c r="T675" s="135"/>
      <c r="U675" s="135"/>
      <c r="V675" s="135"/>
      <c r="W675" s="135"/>
      <c r="X675" s="136"/>
      <c r="Y675" s="50"/>
      <c r="Z675" s="50"/>
    </row>
    <row r="676" spans="1:26" ht="12.75" hidden="1" outlineLevel="1" x14ac:dyDescent="0.2">
      <c r="A676" s="50"/>
      <c r="B676" s="137"/>
      <c r="C676" s="70" t="s">
        <v>40</v>
      </c>
      <c r="D676" s="99">
        <v>0</v>
      </c>
      <c r="E676" s="73">
        <v>0</v>
      </c>
      <c r="F676" s="73">
        <v>0</v>
      </c>
      <c r="G676" s="74" t="e">
        <f t="shared" si="189"/>
        <v>#DIV/0!</v>
      </c>
      <c r="H676" s="75" t="e">
        <f t="shared" si="190"/>
        <v>#DIV/0!</v>
      </c>
      <c r="I676" s="76" t="e">
        <f t="shared" si="191"/>
        <v>#DIV/0!</v>
      </c>
      <c r="J676" s="99">
        <v>0</v>
      </c>
      <c r="K676" s="73">
        <v>0</v>
      </c>
      <c r="L676" s="73">
        <v>0</v>
      </c>
      <c r="M676" s="100">
        <v>0</v>
      </c>
      <c r="N676" s="79" t="e">
        <f t="shared" si="249"/>
        <v>#DIV/0!</v>
      </c>
      <c r="O676" s="80" t="e">
        <f t="shared" si="192"/>
        <v>#DIV/0!</v>
      </c>
      <c r="P676" s="79" t="e">
        <f t="shared" si="193"/>
        <v>#DIV/0!</v>
      </c>
      <c r="Q676" s="81" t="e">
        <f t="shared" si="194"/>
        <v>#DIV/0!</v>
      </c>
      <c r="R676" s="101">
        <f t="shared" si="248"/>
        <v>0</v>
      </c>
      <c r="S676" s="83" t="e">
        <f t="shared" si="195"/>
        <v>#DIV/0!</v>
      </c>
      <c r="T676" s="135"/>
      <c r="U676" s="135"/>
      <c r="V676" s="135"/>
      <c r="W676" s="135"/>
      <c r="X676" s="136"/>
      <c r="Y676" s="50"/>
      <c r="Z676" s="50"/>
    </row>
    <row r="677" spans="1:26" ht="12.75" hidden="1" outlineLevel="1" x14ac:dyDescent="0.2">
      <c r="A677" s="50"/>
      <c r="B677" s="137"/>
      <c r="C677" s="70" t="s">
        <v>41</v>
      </c>
      <c r="D677" s="102">
        <v>2015.52</v>
      </c>
      <c r="E677" s="73">
        <v>24</v>
      </c>
      <c r="F677" s="73">
        <v>24</v>
      </c>
      <c r="G677" s="74">
        <f t="shared" si="189"/>
        <v>1</v>
      </c>
      <c r="H677" s="75">
        <f t="shared" si="190"/>
        <v>83.98</v>
      </c>
      <c r="I677" s="76">
        <f t="shared" si="191"/>
        <v>83.98</v>
      </c>
      <c r="J677" s="102">
        <v>148.69</v>
      </c>
      <c r="K677" s="73">
        <v>24989</v>
      </c>
      <c r="L677" s="73">
        <v>8</v>
      </c>
      <c r="M677" s="103">
        <v>651.94000000000005</v>
      </c>
      <c r="N677" s="79">
        <f t="shared" si="249"/>
        <v>0.2280731355646225</v>
      </c>
      <c r="O677" s="80">
        <f t="shared" si="192"/>
        <v>4.3845584773690236</v>
      </c>
      <c r="P677" s="79">
        <f t="shared" si="193"/>
        <v>7.3772525204413755E-2</v>
      </c>
      <c r="Q677" s="81">
        <f t="shared" si="194"/>
        <v>0.32345995078193224</v>
      </c>
      <c r="R677" s="104">
        <f t="shared" si="248"/>
        <v>1363.58</v>
      </c>
      <c r="S677" s="83">
        <f t="shared" si="195"/>
        <v>18.58625</v>
      </c>
      <c r="T677" s="135"/>
      <c r="U677" s="135"/>
      <c r="V677" s="135"/>
      <c r="W677" s="135"/>
      <c r="X677" s="136"/>
      <c r="Y677" s="50"/>
      <c r="Z677" s="50"/>
    </row>
    <row r="678" spans="1:26" ht="12.75" hidden="1" outlineLevel="1" x14ac:dyDescent="0.2">
      <c r="A678" s="50"/>
      <c r="B678" s="137"/>
      <c r="C678" s="70" t="s">
        <v>42</v>
      </c>
      <c r="D678" s="90">
        <v>79.959999999999994</v>
      </c>
      <c r="E678" s="73">
        <v>4</v>
      </c>
      <c r="F678" s="73">
        <v>4</v>
      </c>
      <c r="G678" s="74">
        <f t="shared" si="189"/>
        <v>1</v>
      </c>
      <c r="H678" s="75">
        <f t="shared" si="190"/>
        <v>19.989999999999998</v>
      </c>
      <c r="I678" s="76">
        <f t="shared" si="191"/>
        <v>19.989999999999998</v>
      </c>
      <c r="J678" s="90">
        <v>132.47</v>
      </c>
      <c r="K678" s="73">
        <v>64051</v>
      </c>
      <c r="L678" s="73">
        <v>0</v>
      </c>
      <c r="M678" s="91">
        <v>0</v>
      </c>
      <c r="N678" s="79" t="e">
        <f t="shared" si="249"/>
        <v>#DIV/0!</v>
      </c>
      <c r="O678" s="80">
        <f t="shared" si="192"/>
        <v>0</v>
      </c>
      <c r="P678" s="79">
        <f t="shared" si="193"/>
        <v>1.656703351675838</v>
      </c>
      <c r="Q678" s="81">
        <f t="shared" si="194"/>
        <v>0</v>
      </c>
      <c r="R678" s="92">
        <f t="shared" si="248"/>
        <v>79.959999999999994</v>
      </c>
      <c r="S678" s="83" t="e">
        <f t="shared" si="195"/>
        <v>#DIV/0!</v>
      </c>
      <c r="T678" s="135"/>
      <c r="U678" s="135"/>
      <c r="V678" s="135"/>
      <c r="W678" s="135"/>
      <c r="X678" s="136"/>
      <c r="Y678" s="50"/>
      <c r="Z678" s="50"/>
    </row>
    <row r="679" spans="1:26" ht="12.75" hidden="1" outlineLevel="1" x14ac:dyDescent="0.2">
      <c r="A679" s="50"/>
      <c r="B679" s="137"/>
      <c r="C679" s="70" t="s">
        <v>43</v>
      </c>
      <c r="D679" s="105">
        <v>455.8</v>
      </c>
      <c r="E679" s="73">
        <v>4</v>
      </c>
      <c r="F679" s="73">
        <v>5</v>
      </c>
      <c r="G679" s="74">
        <f t="shared" si="189"/>
        <v>0.8</v>
      </c>
      <c r="H679" s="75">
        <f t="shared" si="190"/>
        <v>113.95</v>
      </c>
      <c r="I679" s="76">
        <f t="shared" si="191"/>
        <v>142.4375</v>
      </c>
      <c r="J679" s="105">
        <v>53.13</v>
      </c>
      <c r="K679" s="73">
        <v>15807</v>
      </c>
      <c r="L679" s="73">
        <v>3</v>
      </c>
      <c r="M679" s="106">
        <v>421.9</v>
      </c>
      <c r="N679" s="79">
        <f t="shared" si="249"/>
        <v>0.12593031524057835</v>
      </c>
      <c r="O679" s="80">
        <f t="shared" si="192"/>
        <v>7.9408996800301139</v>
      </c>
      <c r="P679" s="79">
        <f t="shared" si="193"/>
        <v>0.11656428258007899</v>
      </c>
      <c r="Q679" s="81">
        <f t="shared" si="194"/>
        <v>0.92562527424308905</v>
      </c>
      <c r="R679" s="107">
        <f t="shared" si="248"/>
        <v>33.900000000000034</v>
      </c>
      <c r="S679" s="83">
        <f t="shared" si="195"/>
        <v>17.71</v>
      </c>
      <c r="T679" s="135"/>
      <c r="U679" s="135"/>
      <c r="V679" s="135"/>
      <c r="W679" s="135"/>
      <c r="X679" s="136"/>
      <c r="Y679" s="50"/>
      <c r="Z679" s="50"/>
    </row>
    <row r="680" spans="1:26" ht="12.75" hidden="1" outlineLevel="1" x14ac:dyDescent="0.2">
      <c r="A680" s="50"/>
      <c r="B680" s="137"/>
      <c r="C680" s="70" t="s">
        <v>44</v>
      </c>
      <c r="D680" s="108">
        <v>299.75</v>
      </c>
      <c r="E680" s="73">
        <v>5</v>
      </c>
      <c r="F680" s="73">
        <v>5</v>
      </c>
      <c r="G680" s="74">
        <f t="shared" si="189"/>
        <v>1</v>
      </c>
      <c r="H680" s="75">
        <f t="shared" si="190"/>
        <v>59.95</v>
      </c>
      <c r="I680" s="76">
        <f t="shared" si="191"/>
        <v>59.95</v>
      </c>
      <c r="J680" s="108">
        <v>91.62</v>
      </c>
      <c r="K680" s="73">
        <v>50703</v>
      </c>
      <c r="L680" s="73">
        <v>2</v>
      </c>
      <c r="M680" s="109">
        <v>119.9</v>
      </c>
      <c r="N680" s="79">
        <f t="shared" si="249"/>
        <v>0.76413678065054214</v>
      </c>
      <c r="O680" s="80">
        <f t="shared" si="192"/>
        <v>1.3086662300807683</v>
      </c>
      <c r="P680" s="79">
        <f t="shared" si="193"/>
        <v>0.30565471226021684</v>
      </c>
      <c r="Q680" s="81">
        <f t="shared" si="194"/>
        <v>0.4</v>
      </c>
      <c r="R680" s="110">
        <f t="shared" si="248"/>
        <v>179.85</v>
      </c>
      <c r="S680" s="83">
        <f t="shared" si="195"/>
        <v>45.81</v>
      </c>
      <c r="T680" s="135"/>
      <c r="U680" s="135"/>
      <c r="V680" s="135"/>
      <c r="W680" s="135"/>
      <c r="X680" s="136"/>
      <c r="Y680" s="50"/>
      <c r="Z680" s="50"/>
    </row>
    <row r="681" spans="1:26" ht="12.75" hidden="1" outlineLevel="1" x14ac:dyDescent="0.2">
      <c r="A681" s="139"/>
      <c r="B681" s="137"/>
      <c r="C681" s="112" t="s">
        <v>45</v>
      </c>
      <c r="D681" s="71">
        <v>0</v>
      </c>
      <c r="E681" s="73">
        <v>0</v>
      </c>
      <c r="F681" s="73">
        <v>0</v>
      </c>
      <c r="G681" s="74" t="e">
        <f t="shared" si="189"/>
        <v>#DIV/0!</v>
      </c>
      <c r="H681" s="75" t="e">
        <f t="shared" si="190"/>
        <v>#DIV/0!</v>
      </c>
      <c r="I681" s="76" t="e">
        <f t="shared" si="191"/>
        <v>#DIV/0!</v>
      </c>
      <c r="J681" s="71">
        <v>0</v>
      </c>
      <c r="K681" s="73">
        <v>0</v>
      </c>
      <c r="L681" s="73">
        <v>0</v>
      </c>
      <c r="M681" s="78">
        <v>0</v>
      </c>
      <c r="N681" s="79" t="e">
        <f t="shared" si="249"/>
        <v>#DIV/0!</v>
      </c>
      <c r="O681" s="80" t="e">
        <f t="shared" si="192"/>
        <v>#DIV/0!</v>
      </c>
      <c r="P681" s="79" t="e">
        <f t="shared" si="193"/>
        <v>#DIV/0!</v>
      </c>
      <c r="Q681" s="81" t="e">
        <f t="shared" si="194"/>
        <v>#DIV/0!</v>
      </c>
      <c r="R681" s="82">
        <f t="shared" si="248"/>
        <v>0</v>
      </c>
      <c r="S681" s="83" t="e">
        <f t="shared" si="195"/>
        <v>#DIV/0!</v>
      </c>
      <c r="T681" s="140"/>
      <c r="U681" s="140"/>
      <c r="V681" s="140"/>
      <c r="W681" s="141"/>
      <c r="X681" s="142"/>
      <c r="Y681" s="50"/>
      <c r="Z681" s="50"/>
    </row>
    <row r="682" spans="1:26" ht="12.75" hidden="1" outlineLevel="1" x14ac:dyDescent="0.2">
      <c r="A682" s="50"/>
      <c r="B682" s="137"/>
      <c r="C682" s="70" t="s">
        <v>46</v>
      </c>
      <c r="D682" s="116">
        <v>392.55</v>
      </c>
      <c r="E682" s="73">
        <v>9</v>
      </c>
      <c r="F682" s="73">
        <v>10</v>
      </c>
      <c r="G682" s="74">
        <f t="shared" si="189"/>
        <v>0.9</v>
      </c>
      <c r="H682" s="75">
        <f t="shared" si="190"/>
        <v>43.616666666666667</v>
      </c>
      <c r="I682" s="76">
        <f t="shared" si="191"/>
        <v>48.462962962962962</v>
      </c>
      <c r="J682" s="116">
        <v>150.37</v>
      </c>
      <c r="K682" s="73">
        <v>47879</v>
      </c>
      <c r="L682" s="73">
        <v>2</v>
      </c>
      <c r="M682" s="117">
        <v>85.9</v>
      </c>
      <c r="N682" s="79">
        <f t="shared" si="249"/>
        <v>1.7505238649592549</v>
      </c>
      <c r="O682" s="80">
        <f t="shared" si="192"/>
        <v>0.57125756467380462</v>
      </c>
      <c r="P682" s="79">
        <f t="shared" si="193"/>
        <v>0.38305948286842439</v>
      </c>
      <c r="Q682" s="81">
        <f t="shared" si="194"/>
        <v>0.21882562730862312</v>
      </c>
      <c r="R682" s="82">
        <f t="shared" si="248"/>
        <v>306.64999999999998</v>
      </c>
      <c r="S682" s="83">
        <f t="shared" si="195"/>
        <v>75.185000000000002</v>
      </c>
      <c r="T682" s="135"/>
      <c r="U682" s="135"/>
      <c r="V682" s="135"/>
      <c r="W682" s="135"/>
      <c r="X682" s="136"/>
      <c r="Y682" s="50"/>
      <c r="Z682" s="50"/>
    </row>
    <row r="683" spans="1:26" ht="12.75" hidden="1" outlineLevel="1" x14ac:dyDescent="0.2">
      <c r="A683" s="50"/>
      <c r="B683" s="137"/>
      <c r="C683" s="70" t="s">
        <v>47</v>
      </c>
      <c r="D683" s="274">
        <v>0</v>
      </c>
      <c r="E683" s="73">
        <v>0</v>
      </c>
      <c r="F683" s="73">
        <v>0</v>
      </c>
      <c r="G683" s="74" t="e">
        <f t="shared" si="189"/>
        <v>#DIV/0!</v>
      </c>
      <c r="H683" s="75" t="e">
        <f t="shared" si="190"/>
        <v>#DIV/0!</v>
      </c>
      <c r="I683" s="76" t="e">
        <f t="shared" si="191"/>
        <v>#DIV/0!</v>
      </c>
      <c r="J683" s="274">
        <v>0</v>
      </c>
      <c r="K683" s="73">
        <v>0</v>
      </c>
      <c r="L683" s="73">
        <v>0</v>
      </c>
      <c r="M683" s="275">
        <v>0</v>
      </c>
      <c r="N683" s="79" t="e">
        <f t="shared" si="249"/>
        <v>#DIV/0!</v>
      </c>
      <c r="O683" s="80" t="e">
        <f t="shared" si="192"/>
        <v>#DIV/0!</v>
      </c>
      <c r="P683" s="79" t="e">
        <f t="shared" si="193"/>
        <v>#DIV/0!</v>
      </c>
      <c r="Q683" s="81" t="e">
        <f t="shared" si="194"/>
        <v>#DIV/0!</v>
      </c>
      <c r="R683" s="82">
        <f t="shared" si="248"/>
        <v>0</v>
      </c>
      <c r="S683" s="83" t="e">
        <f t="shared" si="195"/>
        <v>#DIV/0!</v>
      </c>
      <c r="T683" s="135"/>
      <c r="U683" s="135"/>
      <c r="V683" s="135"/>
      <c r="W683" s="135"/>
      <c r="X683" s="136"/>
      <c r="Y683" s="50"/>
      <c r="Z683" s="50"/>
    </row>
    <row r="684" spans="1:26" ht="12.75" hidden="1" outlineLevel="1" x14ac:dyDescent="0.2">
      <c r="A684" s="50"/>
      <c r="B684" s="137"/>
      <c r="C684" s="70" t="s">
        <v>49</v>
      </c>
      <c r="D684" s="116">
        <v>96</v>
      </c>
      <c r="E684" s="73">
        <v>1</v>
      </c>
      <c r="F684" s="73">
        <v>1</v>
      </c>
      <c r="G684" s="74">
        <f t="shared" si="189"/>
        <v>1</v>
      </c>
      <c r="H684" s="75">
        <f t="shared" si="190"/>
        <v>96</v>
      </c>
      <c r="I684" s="76">
        <f t="shared" si="191"/>
        <v>96</v>
      </c>
      <c r="J684" s="116">
        <v>11.35</v>
      </c>
      <c r="K684" s="73">
        <v>11665</v>
      </c>
      <c r="L684" s="73">
        <v>0</v>
      </c>
      <c r="M684" s="117">
        <v>0</v>
      </c>
      <c r="N684" s="79" t="e">
        <f t="shared" si="249"/>
        <v>#DIV/0!</v>
      </c>
      <c r="O684" s="80">
        <f t="shared" si="192"/>
        <v>0</v>
      </c>
      <c r="P684" s="79">
        <f t="shared" si="193"/>
        <v>0.11822916666666666</v>
      </c>
      <c r="Q684" s="81">
        <f t="shared" si="194"/>
        <v>0</v>
      </c>
      <c r="R684" s="82">
        <f t="shared" si="248"/>
        <v>96</v>
      </c>
      <c r="S684" s="83" t="e">
        <f t="shared" si="195"/>
        <v>#DIV/0!</v>
      </c>
      <c r="T684" s="135"/>
      <c r="U684" s="135"/>
      <c r="V684" s="135"/>
      <c r="W684" s="135"/>
      <c r="X684" s="136"/>
      <c r="Y684" s="50"/>
      <c r="Z684" s="50"/>
    </row>
    <row r="685" spans="1:26" hidden="1" outlineLevel="1" x14ac:dyDescent="0.25">
      <c r="A685" s="118" t="str">
        <f t="shared" ref="A685:A686" si="250">IFERROR(IF(B685&gt;0,MONTH(B685)&amp;"-"&amp;YEAR(B685),B685),)</f>
        <v>11-2025</v>
      </c>
      <c r="B685" s="69">
        <v>45969</v>
      </c>
      <c r="C685" s="198" t="s">
        <v>64</v>
      </c>
      <c r="D685" s="116">
        <v>0</v>
      </c>
      <c r="E685" s="73">
        <v>0</v>
      </c>
      <c r="F685" s="73">
        <v>0</v>
      </c>
      <c r="G685" s="74" t="e">
        <f t="shared" si="189"/>
        <v>#DIV/0!</v>
      </c>
      <c r="H685" s="75" t="e">
        <f t="shared" si="190"/>
        <v>#DIV/0!</v>
      </c>
      <c r="I685" s="76" t="e">
        <f t="shared" si="191"/>
        <v>#DIV/0!</v>
      </c>
      <c r="J685" s="87">
        <v>2426.37</v>
      </c>
      <c r="K685" s="199">
        <v>136438</v>
      </c>
      <c r="L685" s="73">
        <v>0</v>
      </c>
      <c r="M685" s="88">
        <v>3353.1499999999996</v>
      </c>
      <c r="N685" s="79">
        <f t="shared" si="249"/>
        <v>0.723609143641054</v>
      </c>
      <c r="O685" s="80">
        <f t="shared" si="192"/>
        <v>1.381961531011346</v>
      </c>
      <c r="P685" s="79" t="e">
        <f t="shared" si="193"/>
        <v>#DIV/0!</v>
      </c>
      <c r="Q685" s="81" t="e">
        <f t="shared" si="194"/>
        <v>#DIV/0!</v>
      </c>
      <c r="R685" s="82">
        <f t="shared" si="248"/>
        <v>-3353.1499999999996</v>
      </c>
      <c r="S685" s="83" t="e">
        <f t="shared" si="195"/>
        <v>#DIV/0!</v>
      </c>
      <c r="T685" s="135"/>
      <c r="U685" s="135"/>
      <c r="V685" s="135"/>
      <c r="W685" s="135"/>
      <c r="X685" s="136"/>
      <c r="Y685" s="50"/>
      <c r="Z685" s="50"/>
    </row>
    <row r="686" spans="1:26" ht="12.75" collapsed="1" x14ac:dyDescent="0.2">
      <c r="A686" s="50">
        <f t="shared" si="250"/>
        <v>0</v>
      </c>
      <c r="B686" s="52" t="s">
        <v>103</v>
      </c>
      <c r="C686" s="145"/>
      <c r="D686" s="121">
        <f t="shared" ref="D686:F686" si="251">SUM(D669:D685)</f>
        <v>11067.339999999998</v>
      </c>
      <c r="E686" s="123">
        <f t="shared" si="251"/>
        <v>141</v>
      </c>
      <c r="F686" s="123">
        <f t="shared" si="251"/>
        <v>144</v>
      </c>
      <c r="G686" s="124">
        <f t="shared" si="189"/>
        <v>0.97916666666666663</v>
      </c>
      <c r="H686" s="125">
        <f t="shared" si="190"/>
        <v>78.491773049645374</v>
      </c>
      <c r="I686" s="126">
        <f t="shared" si="191"/>
        <v>80.161810774105916</v>
      </c>
      <c r="J686" s="121">
        <f t="shared" ref="J686:M686" si="252">SUM(J669:J685)</f>
        <v>4360.55</v>
      </c>
      <c r="K686" s="123">
        <f t="shared" si="252"/>
        <v>646595</v>
      </c>
      <c r="L686" s="123">
        <f t="shared" si="252"/>
        <v>37</v>
      </c>
      <c r="M686" s="127">
        <f t="shared" si="252"/>
        <v>6121.99</v>
      </c>
      <c r="N686" s="128">
        <f t="shared" si="249"/>
        <v>0.71227656366638958</v>
      </c>
      <c r="O686" s="129">
        <f t="shared" si="192"/>
        <v>1.4039490431252937</v>
      </c>
      <c r="P686" s="128">
        <f t="shared" si="193"/>
        <v>0.394001630021306</v>
      </c>
      <c r="Q686" s="130">
        <f t="shared" si="194"/>
        <v>0.55315821145821853</v>
      </c>
      <c r="R686" s="131">
        <f>SUM(R669:R685)</f>
        <v>4945.3500000000004</v>
      </c>
      <c r="S686" s="132">
        <f t="shared" si="195"/>
        <v>117.85270270270271</v>
      </c>
      <c r="T686" s="133">
        <f t="shared" ref="T686:U686" si="253">IFERROR((D686-D69)/D686,)</f>
        <v>0.31498264262234654</v>
      </c>
      <c r="U686" s="133">
        <f t="shared" si="253"/>
        <v>0.33333333333333331</v>
      </c>
      <c r="V686" s="271" t="s">
        <v>139</v>
      </c>
      <c r="W686" s="271" t="s">
        <v>139</v>
      </c>
      <c r="X686" s="50"/>
      <c r="Y686" s="50"/>
      <c r="Z686" s="50"/>
    </row>
    <row r="687" spans="1:26" ht="12.75" hidden="1" outlineLevel="1" x14ac:dyDescent="0.2">
      <c r="A687" s="68"/>
      <c r="B687" s="69">
        <v>45970</v>
      </c>
      <c r="C687" s="70" t="s">
        <v>32</v>
      </c>
      <c r="D687" s="71">
        <v>3141.65</v>
      </c>
      <c r="E687" s="73">
        <v>18</v>
      </c>
      <c r="F687" s="73">
        <v>18</v>
      </c>
      <c r="G687" s="74">
        <f t="shared" si="189"/>
        <v>1</v>
      </c>
      <c r="H687" s="75">
        <f t="shared" si="190"/>
        <v>174.53611111111113</v>
      </c>
      <c r="I687" s="76">
        <f t="shared" si="191"/>
        <v>174.53611111111113</v>
      </c>
      <c r="J687" s="77">
        <v>746.22</v>
      </c>
      <c r="K687" s="73">
        <v>350718</v>
      </c>
      <c r="L687" s="73">
        <v>7</v>
      </c>
      <c r="M687" s="78">
        <v>1434.8</v>
      </c>
      <c r="N687" s="79">
        <f t="shared" si="249"/>
        <v>0.52008642319487042</v>
      </c>
      <c r="O687" s="80">
        <f t="shared" si="192"/>
        <v>1.9227573637801183</v>
      </c>
      <c r="P687" s="79">
        <f t="shared" si="193"/>
        <v>0.23752486750592841</v>
      </c>
      <c r="Q687" s="81">
        <f t="shared" si="194"/>
        <v>0.4567026880779208</v>
      </c>
      <c r="R687" s="82">
        <f t="shared" ref="R687:R704" si="254">D687-M687</f>
        <v>1706.8500000000001</v>
      </c>
      <c r="S687" s="83">
        <f t="shared" si="195"/>
        <v>106.60285714285715</v>
      </c>
      <c r="T687" s="84"/>
      <c r="U687" s="84"/>
      <c r="V687" s="84"/>
      <c r="W687" s="84"/>
      <c r="X687" s="85"/>
      <c r="Y687" s="68"/>
      <c r="Z687" s="68"/>
    </row>
    <row r="688" spans="1:26" ht="12.75" hidden="1" outlineLevel="1" x14ac:dyDescent="0.2">
      <c r="A688" s="68"/>
      <c r="B688" s="86"/>
      <c r="C688" s="70" t="s">
        <v>33</v>
      </c>
      <c r="D688" s="87">
        <v>3001.98</v>
      </c>
      <c r="E688" s="73">
        <v>35</v>
      </c>
      <c r="F688" s="73">
        <v>38</v>
      </c>
      <c r="G688" s="74">
        <f t="shared" si="189"/>
        <v>0.92105263157894735</v>
      </c>
      <c r="H688" s="75">
        <f t="shared" si="190"/>
        <v>85.770857142857139</v>
      </c>
      <c r="I688" s="76">
        <f t="shared" si="191"/>
        <v>93.122644897959177</v>
      </c>
      <c r="J688" s="87">
        <v>351.82</v>
      </c>
      <c r="K688" s="73">
        <v>413951</v>
      </c>
      <c r="L688" s="73">
        <v>8</v>
      </c>
      <c r="M688" s="88">
        <v>241.75</v>
      </c>
      <c r="N688" s="79">
        <f t="shared" si="249"/>
        <v>1.4553050672182006</v>
      </c>
      <c r="O688" s="80">
        <f t="shared" si="192"/>
        <v>0.68714115172531409</v>
      </c>
      <c r="P688" s="79">
        <f t="shared" si="193"/>
        <v>0.11719598398390395</v>
      </c>
      <c r="Q688" s="81">
        <f t="shared" si="194"/>
        <v>8.0530183412281228E-2</v>
      </c>
      <c r="R688" s="89">
        <f t="shared" si="254"/>
        <v>2760.23</v>
      </c>
      <c r="S688" s="83">
        <f t="shared" si="195"/>
        <v>43.977499999999999</v>
      </c>
      <c r="T688" s="84"/>
      <c r="U688" s="84"/>
      <c r="V688" s="84"/>
      <c r="W688" s="84"/>
      <c r="X688" s="85"/>
      <c r="Y688" s="68"/>
      <c r="Z688" s="68"/>
    </row>
    <row r="689" spans="1:26" ht="12.75" hidden="1" outlineLevel="1" x14ac:dyDescent="0.2">
      <c r="A689" s="68"/>
      <c r="B689" s="86"/>
      <c r="C689" s="70" t="s">
        <v>34</v>
      </c>
      <c r="D689" s="90">
        <v>0</v>
      </c>
      <c r="E689" s="73">
        <v>0</v>
      </c>
      <c r="F689" s="73">
        <v>0</v>
      </c>
      <c r="G689" s="74" t="e">
        <f t="shared" si="189"/>
        <v>#DIV/0!</v>
      </c>
      <c r="H689" s="75" t="e">
        <f t="shared" si="190"/>
        <v>#DIV/0!</v>
      </c>
      <c r="I689" s="76" t="e">
        <f t="shared" si="191"/>
        <v>#DIV/0!</v>
      </c>
      <c r="J689" s="90">
        <v>25.2</v>
      </c>
      <c r="K689" s="73">
        <v>348</v>
      </c>
      <c r="L689" s="73">
        <v>0</v>
      </c>
      <c r="M689" s="91">
        <v>0</v>
      </c>
      <c r="N689" s="79" t="e">
        <f>(J689/M689)</f>
        <v>#DIV/0!</v>
      </c>
      <c r="O689" s="80">
        <f t="shared" si="192"/>
        <v>0</v>
      </c>
      <c r="P689" s="79" t="e">
        <f t="shared" si="193"/>
        <v>#DIV/0!</v>
      </c>
      <c r="Q689" s="81" t="e">
        <f t="shared" si="194"/>
        <v>#DIV/0!</v>
      </c>
      <c r="R689" s="92">
        <f t="shared" si="254"/>
        <v>0</v>
      </c>
      <c r="S689" s="83" t="e">
        <f t="shared" si="195"/>
        <v>#DIV/0!</v>
      </c>
      <c r="T689" s="84"/>
      <c r="U689" s="84"/>
      <c r="V689" s="84"/>
      <c r="W689" s="84"/>
      <c r="X689" s="85"/>
      <c r="Y689" s="68"/>
      <c r="Z689" s="68"/>
    </row>
    <row r="690" spans="1:26" ht="12.75" hidden="1" outlineLevel="1" x14ac:dyDescent="0.2">
      <c r="A690" s="68"/>
      <c r="B690" s="86"/>
      <c r="C690" s="70" t="s">
        <v>35</v>
      </c>
      <c r="D690" s="90">
        <v>470.61</v>
      </c>
      <c r="E690" s="73">
        <v>8</v>
      </c>
      <c r="F690" s="73">
        <v>8</v>
      </c>
      <c r="G690" s="74">
        <f t="shared" si="189"/>
        <v>1</v>
      </c>
      <c r="H690" s="75">
        <f t="shared" si="190"/>
        <v>58.826250000000002</v>
      </c>
      <c r="I690" s="76">
        <f t="shared" si="191"/>
        <v>58.826250000000002</v>
      </c>
      <c r="J690" s="90">
        <v>279.77</v>
      </c>
      <c r="K690" s="73">
        <v>22624</v>
      </c>
      <c r="L690" s="73">
        <v>5</v>
      </c>
      <c r="M690" s="91">
        <v>299.75</v>
      </c>
      <c r="N690" s="79">
        <f t="shared" ref="N690:N707" si="255">J690/M690</f>
        <v>0.93334445371142616</v>
      </c>
      <c r="O690" s="80">
        <f t="shared" si="192"/>
        <v>1.0714158058405119</v>
      </c>
      <c r="P690" s="79">
        <f t="shared" si="193"/>
        <v>0.59448375512632534</v>
      </c>
      <c r="Q690" s="81">
        <f t="shared" si="194"/>
        <v>0.63693929155776541</v>
      </c>
      <c r="R690" s="92">
        <f t="shared" si="254"/>
        <v>170.86</v>
      </c>
      <c r="S690" s="83">
        <f t="shared" si="195"/>
        <v>55.953999999999994</v>
      </c>
      <c r="T690" s="84"/>
      <c r="U690" s="84"/>
      <c r="V690" s="84"/>
      <c r="W690" s="84"/>
      <c r="X690" s="85"/>
      <c r="Y690" s="68"/>
      <c r="Z690" s="68"/>
    </row>
    <row r="691" spans="1:26" ht="12.75" hidden="1" outlineLevel="1" x14ac:dyDescent="0.2">
      <c r="A691" s="68"/>
      <c r="B691" s="86"/>
      <c r="C691" s="70" t="s">
        <v>36</v>
      </c>
      <c r="D691" s="90">
        <v>1040.18</v>
      </c>
      <c r="E691" s="73">
        <v>16</v>
      </c>
      <c r="F691" s="73">
        <v>14</v>
      </c>
      <c r="G691" s="74">
        <f t="shared" si="189"/>
        <v>1.1428571428571428</v>
      </c>
      <c r="H691" s="75">
        <f t="shared" si="190"/>
        <v>65.011250000000004</v>
      </c>
      <c r="I691" s="76">
        <f t="shared" si="191"/>
        <v>56.884843750000009</v>
      </c>
      <c r="J691" s="90">
        <v>79.61</v>
      </c>
      <c r="K691" s="73">
        <v>29121</v>
      </c>
      <c r="L691" s="73">
        <v>6</v>
      </c>
      <c r="M691" s="91">
        <v>389.7</v>
      </c>
      <c r="N691" s="79">
        <f t="shared" si="255"/>
        <v>0.20428534770336157</v>
      </c>
      <c r="O691" s="80">
        <f t="shared" si="192"/>
        <v>4.8951136791860321</v>
      </c>
      <c r="P691" s="79">
        <f t="shared" si="193"/>
        <v>7.6534830510104013E-2</v>
      </c>
      <c r="Q691" s="81">
        <f t="shared" si="194"/>
        <v>0.37464669576419463</v>
      </c>
      <c r="R691" s="92">
        <f t="shared" si="254"/>
        <v>650.48</v>
      </c>
      <c r="S691" s="83">
        <f t="shared" si="195"/>
        <v>13.268333333333333</v>
      </c>
      <c r="T691" s="84"/>
      <c r="U691" s="84"/>
      <c r="V691" s="84"/>
      <c r="W691" s="84"/>
      <c r="X691" s="85"/>
      <c r="Y691" s="68"/>
      <c r="Z691" s="68"/>
    </row>
    <row r="692" spans="1:26" ht="12.75" hidden="1" outlineLevel="1" x14ac:dyDescent="0.2">
      <c r="A692" s="68"/>
      <c r="B692" s="69" t="s">
        <v>37</v>
      </c>
      <c r="C692" s="70" t="s">
        <v>38</v>
      </c>
      <c r="D692" s="93">
        <v>59.9</v>
      </c>
      <c r="E692" s="73">
        <v>2</v>
      </c>
      <c r="F692" s="73">
        <v>2</v>
      </c>
      <c r="G692" s="74">
        <f t="shared" si="189"/>
        <v>1</v>
      </c>
      <c r="H692" s="75">
        <f t="shared" si="190"/>
        <v>29.95</v>
      </c>
      <c r="I692" s="76">
        <f t="shared" si="191"/>
        <v>29.95</v>
      </c>
      <c r="J692" s="93">
        <v>35.479999999999997</v>
      </c>
      <c r="K692" s="73">
        <v>7796</v>
      </c>
      <c r="L692" s="73">
        <v>2</v>
      </c>
      <c r="M692" s="94">
        <v>59.9</v>
      </c>
      <c r="N692" s="79">
        <f t="shared" si="255"/>
        <v>0.59232053422370612</v>
      </c>
      <c r="O692" s="80">
        <f t="shared" si="192"/>
        <v>1.6882750845546788</v>
      </c>
      <c r="P692" s="79">
        <f t="shared" si="193"/>
        <v>0.59232053422370612</v>
      </c>
      <c r="Q692" s="81">
        <f t="shared" si="194"/>
        <v>1</v>
      </c>
      <c r="R692" s="95">
        <f t="shared" si="254"/>
        <v>0</v>
      </c>
      <c r="S692" s="83">
        <f t="shared" si="195"/>
        <v>17.739999999999998</v>
      </c>
      <c r="T692" s="84"/>
      <c r="U692" s="84"/>
      <c r="V692" s="84"/>
      <c r="W692" s="84"/>
      <c r="X692" s="85"/>
      <c r="Y692" s="68"/>
      <c r="Z692" s="68"/>
    </row>
    <row r="693" spans="1:26" ht="12.75" hidden="1" outlineLevel="1" x14ac:dyDescent="0.2">
      <c r="A693" s="68"/>
      <c r="B693" s="86"/>
      <c r="C693" s="70" t="s">
        <v>39</v>
      </c>
      <c r="D693" s="96">
        <v>0</v>
      </c>
      <c r="E693" s="73">
        <v>0</v>
      </c>
      <c r="F693" s="73">
        <v>0</v>
      </c>
      <c r="G693" s="74" t="e">
        <f t="shared" si="189"/>
        <v>#DIV/0!</v>
      </c>
      <c r="H693" s="75" t="e">
        <f t="shared" si="190"/>
        <v>#DIV/0!</v>
      </c>
      <c r="I693" s="76" t="e">
        <f t="shared" si="191"/>
        <v>#DIV/0!</v>
      </c>
      <c r="J693" s="96">
        <v>0</v>
      </c>
      <c r="K693" s="73">
        <v>0</v>
      </c>
      <c r="L693" s="73">
        <v>0</v>
      </c>
      <c r="M693" s="97">
        <v>0</v>
      </c>
      <c r="N693" s="79" t="e">
        <f t="shared" si="255"/>
        <v>#DIV/0!</v>
      </c>
      <c r="O693" s="80" t="e">
        <f t="shared" si="192"/>
        <v>#DIV/0!</v>
      </c>
      <c r="P693" s="79" t="e">
        <f t="shared" si="193"/>
        <v>#DIV/0!</v>
      </c>
      <c r="Q693" s="81" t="e">
        <f t="shared" si="194"/>
        <v>#DIV/0!</v>
      </c>
      <c r="R693" s="98">
        <f t="shared" si="254"/>
        <v>0</v>
      </c>
      <c r="S693" s="83" t="e">
        <f t="shared" si="195"/>
        <v>#DIV/0!</v>
      </c>
      <c r="T693" s="84"/>
      <c r="U693" s="84"/>
      <c r="V693" s="84"/>
      <c r="W693" s="84"/>
      <c r="X693" s="85"/>
      <c r="Y693" s="68"/>
      <c r="Z693" s="68"/>
    </row>
    <row r="694" spans="1:26" ht="12.75" hidden="1" outlineLevel="1" x14ac:dyDescent="0.2">
      <c r="A694" s="68"/>
      <c r="B694" s="86"/>
      <c r="C694" s="70" t="s">
        <v>40</v>
      </c>
      <c r="D694" s="99">
        <v>0</v>
      </c>
      <c r="E694" s="73">
        <v>0</v>
      </c>
      <c r="F694" s="73">
        <v>0</v>
      </c>
      <c r="G694" s="74" t="e">
        <f t="shared" si="189"/>
        <v>#DIV/0!</v>
      </c>
      <c r="H694" s="75" t="e">
        <f t="shared" si="190"/>
        <v>#DIV/0!</v>
      </c>
      <c r="I694" s="76" t="e">
        <f t="shared" si="191"/>
        <v>#DIV/0!</v>
      </c>
      <c r="J694" s="99">
        <v>0</v>
      </c>
      <c r="K694" s="73">
        <v>0</v>
      </c>
      <c r="L694" s="73">
        <v>0</v>
      </c>
      <c r="M694" s="100">
        <v>0</v>
      </c>
      <c r="N694" s="79" t="e">
        <f t="shared" si="255"/>
        <v>#DIV/0!</v>
      </c>
      <c r="O694" s="80" t="e">
        <f t="shared" si="192"/>
        <v>#DIV/0!</v>
      </c>
      <c r="P694" s="79" t="e">
        <f t="shared" si="193"/>
        <v>#DIV/0!</v>
      </c>
      <c r="Q694" s="81" t="e">
        <f t="shared" si="194"/>
        <v>#DIV/0!</v>
      </c>
      <c r="R694" s="101">
        <f t="shared" si="254"/>
        <v>0</v>
      </c>
      <c r="S694" s="83" t="e">
        <f t="shared" si="195"/>
        <v>#DIV/0!</v>
      </c>
      <c r="T694" s="84"/>
      <c r="U694" s="84"/>
      <c r="V694" s="84"/>
      <c r="W694" s="84"/>
      <c r="X694" s="85"/>
      <c r="Y694" s="68"/>
      <c r="Z694" s="68"/>
    </row>
    <row r="695" spans="1:26" ht="12.75" hidden="1" outlineLevel="1" x14ac:dyDescent="0.2">
      <c r="A695" s="68"/>
      <c r="B695" s="86"/>
      <c r="C695" s="70" t="s">
        <v>41</v>
      </c>
      <c r="D695" s="102">
        <v>1889.93</v>
      </c>
      <c r="E695" s="73">
        <v>21</v>
      </c>
      <c r="F695" s="73">
        <v>21</v>
      </c>
      <c r="G695" s="74">
        <f t="shared" si="189"/>
        <v>1</v>
      </c>
      <c r="H695" s="75">
        <f t="shared" si="190"/>
        <v>89.99666666666667</v>
      </c>
      <c r="I695" s="76">
        <f t="shared" si="191"/>
        <v>89.99666666666667</v>
      </c>
      <c r="J695" s="102">
        <v>285.33999999999997</v>
      </c>
      <c r="K695" s="73">
        <v>34665</v>
      </c>
      <c r="L695" s="73">
        <v>7</v>
      </c>
      <c r="M695" s="103">
        <v>1191.77</v>
      </c>
      <c r="N695" s="79">
        <f t="shared" si="255"/>
        <v>0.23942539248344896</v>
      </c>
      <c r="O695" s="80">
        <f t="shared" si="192"/>
        <v>4.1766664330272656</v>
      </c>
      <c r="P695" s="79">
        <f t="shared" si="193"/>
        <v>0.1509791367934262</v>
      </c>
      <c r="Q695" s="81">
        <f t="shared" si="194"/>
        <v>0.63058949273253506</v>
      </c>
      <c r="R695" s="104">
        <f t="shared" si="254"/>
        <v>698.16000000000008</v>
      </c>
      <c r="S695" s="83">
        <f t="shared" si="195"/>
        <v>40.762857142857136</v>
      </c>
      <c r="T695" s="84"/>
      <c r="U695" s="84"/>
      <c r="V695" s="84"/>
      <c r="W695" s="84"/>
      <c r="X695" s="85"/>
      <c r="Y695" s="68"/>
      <c r="Z695" s="68"/>
    </row>
    <row r="696" spans="1:26" ht="12.75" hidden="1" outlineLevel="1" x14ac:dyDescent="0.2">
      <c r="A696" s="68"/>
      <c r="B696" s="86"/>
      <c r="C696" s="70" t="s">
        <v>42</v>
      </c>
      <c r="D696" s="90">
        <v>139.93</v>
      </c>
      <c r="E696" s="73">
        <v>7</v>
      </c>
      <c r="F696" s="73">
        <v>6</v>
      </c>
      <c r="G696" s="74">
        <f t="shared" si="189"/>
        <v>1.1666666666666667</v>
      </c>
      <c r="H696" s="75">
        <f t="shared" si="190"/>
        <v>19.990000000000002</v>
      </c>
      <c r="I696" s="76">
        <f t="shared" si="191"/>
        <v>17.134285714285713</v>
      </c>
      <c r="J696" s="90">
        <v>140.47999999999999</v>
      </c>
      <c r="K696" s="73">
        <v>53690</v>
      </c>
      <c r="L696" s="73">
        <v>7</v>
      </c>
      <c r="M696" s="91">
        <v>139.93</v>
      </c>
      <c r="N696" s="79">
        <f t="shared" si="255"/>
        <v>1.0039305366969198</v>
      </c>
      <c r="O696" s="80">
        <f t="shared" si="192"/>
        <v>0.99608485193621876</v>
      </c>
      <c r="P696" s="79">
        <f t="shared" si="193"/>
        <v>1.0039305366969198</v>
      </c>
      <c r="Q696" s="81">
        <f t="shared" si="194"/>
        <v>1</v>
      </c>
      <c r="R696" s="92">
        <f t="shared" si="254"/>
        <v>0</v>
      </c>
      <c r="S696" s="83">
        <f t="shared" si="195"/>
        <v>20.068571428571428</v>
      </c>
      <c r="T696" s="84"/>
      <c r="U696" s="84"/>
      <c r="V696" s="84"/>
      <c r="W696" s="84"/>
      <c r="X696" s="85"/>
      <c r="Y696" s="68"/>
      <c r="Z696" s="68"/>
    </row>
    <row r="697" spans="1:26" ht="12.75" hidden="1" outlineLevel="1" x14ac:dyDescent="0.2">
      <c r="A697" s="68"/>
      <c r="B697" s="86"/>
      <c r="C697" s="70" t="s">
        <v>43</v>
      </c>
      <c r="D697" s="105">
        <v>290.85000000000002</v>
      </c>
      <c r="E697" s="73">
        <v>3</v>
      </c>
      <c r="F697" s="73">
        <v>3</v>
      </c>
      <c r="G697" s="74">
        <f t="shared" si="189"/>
        <v>1</v>
      </c>
      <c r="H697" s="75">
        <f t="shared" si="190"/>
        <v>96.95</v>
      </c>
      <c r="I697" s="76">
        <f t="shared" si="191"/>
        <v>96.95</v>
      </c>
      <c r="J697" s="105">
        <v>67.599999999999994</v>
      </c>
      <c r="K697" s="73">
        <v>16222</v>
      </c>
      <c r="L697" s="73">
        <v>1</v>
      </c>
      <c r="M697" s="106">
        <v>210.95</v>
      </c>
      <c r="N697" s="79">
        <f t="shared" si="255"/>
        <v>0.32045508414316187</v>
      </c>
      <c r="O697" s="80">
        <f t="shared" si="192"/>
        <v>3.120562130177515</v>
      </c>
      <c r="P697" s="79">
        <f t="shared" si="193"/>
        <v>0.23242221076156092</v>
      </c>
      <c r="Q697" s="81">
        <f t="shared" si="194"/>
        <v>0.72528794911466377</v>
      </c>
      <c r="R697" s="107">
        <f t="shared" si="254"/>
        <v>79.900000000000034</v>
      </c>
      <c r="S697" s="83">
        <f t="shared" si="195"/>
        <v>67.599999999999994</v>
      </c>
      <c r="T697" s="84"/>
      <c r="U697" s="84"/>
      <c r="V697" s="84"/>
      <c r="W697" s="84"/>
      <c r="X697" s="85"/>
      <c r="Y697" s="68"/>
      <c r="Z697" s="68"/>
    </row>
    <row r="698" spans="1:26" ht="12.75" hidden="1" outlineLevel="1" x14ac:dyDescent="0.2">
      <c r="A698" s="68"/>
      <c r="B698" s="86"/>
      <c r="C698" s="70" t="s">
        <v>44</v>
      </c>
      <c r="D698" s="108">
        <v>23.98</v>
      </c>
      <c r="E698" s="73">
        <v>0</v>
      </c>
      <c r="F698" s="73">
        <v>3</v>
      </c>
      <c r="G698" s="74">
        <f t="shared" si="189"/>
        <v>0</v>
      </c>
      <c r="H698" s="75" t="e">
        <f t="shared" si="190"/>
        <v>#DIV/0!</v>
      </c>
      <c r="I698" s="76" t="e">
        <f t="shared" si="191"/>
        <v>#DIV/0!</v>
      </c>
      <c r="J698" s="108">
        <v>130.4</v>
      </c>
      <c r="K698" s="73">
        <v>53659</v>
      </c>
      <c r="L698" s="73">
        <v>2</v>
      </c>
      <c r="M698" s="109">
        <v>119.9</v>
      </c>
      <c r="N698" s="79">
        <f t="shared" si="255"/>
        <v>1.0875729774812344</v>
      </c>
      <c r="O698" s="80">
        <f t="shared" si="192"/>
        <v>0.91947852760736193</v>
      </c>
      <c r="P698" s="79">
        <f t="shared" si="193"/>
        <v>5.4378648874061719</v>
      </c>
      <c r="Q698" s="81">
        <f t="shared" si="194"/>
        <v>5</v>
      </c>
      <c r="R698" s="110">
        <f t="shared" si="254"/>
        <v>-95.92</v>
      </c>
      <c r="S698" s="83">
        <f t="shared" si="195"/>
        <v>65.2</v>
      </c>
      <c r="T698" s="84"/>
      <c r="U698" s="84"/>
      <c r="V698" s="84"/>
      <c r="W698" s="84"/>
      <c r="X698" s="85"/>
      <c r="Y698" s="68"/>
      <c r="Z698" s="68"/>
    </row>
    <row r="699" spans="1:26" ht="12.75" hidden="1" outlineLevel="1" x14ac:dyDescent="0.2">
      <c r="A699" s="111"/>
      <c r="B699" s="86"/>
      <c r="C699" s="112" t="s">
        <v>45</v>
      </c>
      <c r="D699" s="71">
        <v>0</v>
      </c>
      <c r="E699" s="73">
        <v>0</v>
      </c>
      <c r="F699" s="73">
        <v>0</v>
      </c>
      <c r="G699" s="74" t="e">
        <f t="shared" si="189"/>
        <v>#DIV/0!</v>
      </c>
      <c r="H699" s="75" t="e">
        <f t="shared" si="190"/>
        <v>#DIV/0!</v>
      </c>
      <c r="I699" s="76" t="e">
        <f t="shared" si="191"/>
        <v>#DIV/0!</v>
      </c>
      <c r="J699" s="71">
        <v>0</v>
      </c>
      <c r="K699" s="73">
        <v>0</v>
      </c>
      <c r="L699" s="73">
        <v>0</v>
      </c>
      <c r="M699" s="78">
        <v>0</v>
      </c>
      <c r="N699" s="79" t="e">
        <f t="shared" si="255"/>
        <v>#DIV/0!</v>
      </c>
      <c r="O699" s="80" t="e">
        <f t="shared" si="192"/>
        <v>#DIV/0!</v>
      </c>
      <c r="P699" s="79" t="e">
        <f t="shared" si="193"/>
        <v>#DIV/0!</v>
      </c>
      <c r="Q699" s="81" t="e">
        <f t="shared" si="194"/>
        <v>#DIV/0!</v>
      </c>
      <c r="R699" s="82">
        <f t="shared" si="254"/>
        <v>0</v>
      </c>
      <c r="S699" s="83" t="e">
        <f t="shared" si="195"/>
        <v>#DIV/0!</v>
      </c>
      <c r="T699" s="113"/>
      <c r="U699" s="113"/>
      <c r="V699" s="113"/>
      <c r="W699" s="114"/>
      <c r="X699" s="115"/>
      <c r="Y699" s="68"/>
      <c r="Z699" s="68"/>
    </row>
    <row r="700" spans="1:26" ht="12.75" hidden="1" outlineLevel="1" x14ac:dyDescent="0.2">
      <c r="A700" s="68"/>
      <c r="B700" s="86"/>
      <c r="C700" s="70" t="s">
        <v>46</v>
      </c>
      <c r="D700" s="116">
        <v>826.05</v>
      </c>
      <c r="E700" s="73">
        <v>19</v>
      </c>
      <c r="F700" s="73">
        <v>18</v>
      </c>
      <c r="G700" s="74">
        <f t="shared" si="189"/>
        <v>1.0555555555555556</v>
      </c>
      <c r="H700" s="75">
        <f t="shared" si="190"/>
        <v>43.476315789473681</v>
      </c>
      <c r="I700" s="76">
        <f t="shared" si="191"/>
        <v>41.188088642659274</v>
      </c>
      <c r="J700" s="116">
        <v>192.18</v>
      </c>
      <c r="K700" s="73">
        <v>50971</v>
      </c>
      <c r="L700" s="73">
        <v>8</v>
      </c>
      <c r="M700" s="117">
        <v>306.64999999999998</v>
      </c>
      <c r="N700" s="79">
        <f t="shared" si="255"/>
        <v>0.6267079732594163</v>
      </c>
      <c r="O700" s="80">
        <f t="shared" si="192"/>
        <v>1.595639504631075</v>
      </c>
      <c r="P700" s="79">
        <f t="shared" si="193"/>
        <v>0.23264935536589798</v>
      </c>
      <c r="Q700" s="81">
        <f t="shared" si="194"/>
        <v>0.37122450214878033</v>
      </c>
      <c r="R700" s="82">
        <f t="shared" si="254"/>
        <v>519.4</v>
      </c>
      <c r="S700" s="83">
        <f t="shared" si="195"/>
        <v>24.022500000000001</v>
      </c>
      <c r="T700" s="84"/>
      <c r="U700" s="84"/>
      <c r="V700" s="84"/>
      <c r="W700" s="84"/>
      <c r="X700" s="85"/>
      <c r="Y700" s="68"/>
      <c r="Z700" s="68"/>
    </row>
    <row r="701" spans="1:26" ht="12.75" hidden="1" outlineLevel="1" x14ac:dyDescent="0.2">
      <c r="A701" s="68"/>
      <c r="B701" s="86"/>
      <c r="C701" s="70" t="s">
        <v>47</v>
      </c>
      <c r="D701" s="274">
        <v>0</v>
      </c>
      <c r="E701" s="73">
        <v>0</v>
      </c>
      <c r="F701" s="73">
        <v>0</v>
      </c>
      <c r="G701" s="74" t="e">
        <f t="shared" si="189"/>
        <v>#DIV/0!</v>
      </c>
      <c r="H701" s="75" t="e">
        <f t="shared" si="190"/>
        <v>#DIV/0!</v>
      </c>
      <c r="I701" s="76" t="e">
        <f t="shared" si="191"/>
        <v>#DIV/0!</v>
      </c>
      <c r="J701" s="274">
        <v>0</v>
      </c>
      <c r="K701" s="73">
        <v>0</v>
      </c>
      <c r="L701" s="73">
        <v>0</v>
      </c>
      <c r="M701" s="275">
        <v>0</v>
      </c>
      <c r="N701" s="79" t="e">
        <f t="shared" si="255"/>
        <v>#DIV/0!</v>
      </c>
      <c r="O701" s="80" t="e">
        <f t="shared" si="192"/>
        <v>#DIV/0!</v>
      </c>
      <c r="P701" s="79" t="e">
        <f t="shared" si="193"/>
        <v>#DIV/0!</v>
      </c>
      <c r="Q701" s="81" t="e">
        <f t="shared" si="194"/>
        <v>#DIV/0!</v>
      </c>
      <c r="R701" s="82">
        <f t="shared" si="254"/>
        <v>0</v>
      </c>
      <c r="S701" s="83" t="e">
        <f t="shared" si="195"/>
        <v>#DIV/0!</v>
      </c>
      <c r="T701" s="84"/>
      <c r="U701" s="84"/>
      <c r="V701" s="84"/>
      <c r="W701" s="84"/>
      <c r="X701" s="85"/>
      <c r="Y701" s="68"/>
      <c r="Z701" s="68"/>
    </row>
    <row r="702" spans="1:26" ht="12.75" hidden="1" outlineLevel="1" x14ac:dyDescent="0.2">
      <c r="A702" s="68"/>
      <c r="B702" s="86"/>
      <c r="C702" s="70" t="s">
        <v>48</v>
      </c>
      <c r="D702" s="102">
        <v>6198.51</v>
      </c>
      <c r="E702" s="73">
        <v>29</v>
      </c>
      <c r="F702" s="73">
        <v>30</v>
      </c>
      <c r="G702" s="74">
        <f t="shared" si="189"/>
        <v>0.96666666666666667</v>
      </c>
      <c r="H702" s="75">
        <f t="shared" si="190"/>
        <v>213.74172413793104</v>
      </c>
      <c r="I702" s="76">
        <f t="shared" si="191"/>
        <v>221.11212841854936</v>
      </c>
      <c r="J702" s="102">
        <v>399.4</v>
      </c>
      <c r="K702" s="73">
        <v>30857</v>
      </c>
      <c r="L702" s="73">
        <v>19</v>
      </c>
      <c r="M702" s="103">
        <v>3959.15</v>
      </c>
      <c r="N702" s="79">
        <f t="shared" si="255"/>
        <v>0.10088023944533549</v>
      </c>
      <c r="O702" s="80">
        <f t="shared" si="192"/>
        <v>9.9127441161742613</v>
      </c>
      <c r="P702" s="79">
        <f t="shared" si="193"/>
        <v>6.4434839985738498E-2</v>
      </c>
      <c r="Q702" s="81">
        <f t="shared" si="194"/>
        <v>0.6387260809452594</v>
      </c>
      <c r="R702" s="82">
        <f t="shared" si="254"/>
        <v>2239.36</v>
      </c>
      <c r="S702" s="83">
        <f t="shared" si="195"/>
        <v>21.021052631578947</v>
      </c>
      <c r="T702" s="84"/>
      <c r="U702" s="84"/>
      <c r="V702" s="84"/>
      <c r="W702" s="84"/>
      <c r="X702" s="85"/>
      <c r="Y702" s="68"/>
      <c r="Z702" s="68"/>
    </row>
    <row r="703" spans="1:26" ht="12.75" hidden="1" outlineLevel="1" x14ac:dyDescent="0.2">
      <c r="A703" s="68"/>
      <c r="B703" s="86"/>
      <c r="C703" s="70" t="s">
        <v>49</v>
      </c>
      <c r="D703" s="116">
        <v>192</v>
      </c>
      <c r="E703" s="73">
        <v>2</v>
      </c>
      <c r="F703" s="73">
        <v>1</v>
      </c>
      <c r="G703" s="74">
        <f t="shared" si="189"/>
        <v>2</v>
      </c>
      <c r="H703" s="75">
        <f t="shared" si="190"/>
        <v>96</v>
      </c>
      <c r="I703" s="76">
        <f t="shared" si="191"/>
        <v>48</v>
      </c>
      <c r="J703" s="116">
        <v>3.33</v>
      </c>
      <c r="K703" s="73">
        <v>11176</v>
      </c>
      <c r="L703" s="73">
        <v>0</v>
      </c>
      <c r="M703" s="117">
        <v>0</v>
      </c>
      <c r="N703" s="79" t="e">
        <f t="shared" si="255"/>
        <v>#DIV/0!</v>
      </c>
      <c r="O703" s="80">
        <f t="shared" si="192"/>
        <v>0</v>
      </c>
      <c r="P703" s="79">
        <f t="shared" si="193"/>
        <v>1.7343750000000002E-2</v>
      </c>
      <c r="Q703" s="81">
        <f t="shared" si="194"/>
        <v>0</v>
      </c>
      <c r="R703" s="82">
        <f t="shared" si="254"/>
        <v>192</v>
      </c>
      <c r="S703" s="83" t="e">
        <f t="shared" si="195"/>
        <v>#DIV/0!</v>
      </c>
      <c r="T703" s="84"/>
      <c r="U703" s="84"/>
      <c r="V703" s="84"/>
      <c r="W703" s="84"/>
      <c r="X703" s="85"/>
      <c r="Y703" s="68"/>
      <c r="Z703" s="68"/>
    </row>
    <row r="704" spans="1:26" hidden="1" outlineLevel="1" x14ac:dyDescent="0.25">
      <c r="A704" s="118" t="str">
        <f t="shared" ref="A704:A705" si="256">IFERROR(IF(B704&gt;0,MONTH(B704)&amp;"-"&amp;YEAR(B704),B704),)</f>
        <v>11-2025</v>
      </c>
      <c r="B704" s="69">
        <v>45976</v>
      </c>
      <c r="C704" s="198" t="s">
        <v>64</v>
      </c>
      <c r="D704" s="116">
        <v>0</v>
      </c>
      <c r="E704" s="73">
        <v>0</v>
      </c>
      <c r="F704" s="73">
        <v>0</v>
      </c>
      <c r="G704" s="74" t="e">
        <f t="shared" si="189"/>
        <v>#DIV/0!</v>
      </c>
      <c r="H704" s="75" t="e">
        <f t="shared" si="190"/>
        <v>#DIV/0!</v>
      </c>
      <c r="I704" s="76" t="e">
        <f t="shared" si="191"/>
        <v>#DIV/0!</v>
      </c>
      <c r="J704" s="87">
        <v>1232.6500000000001</v>
      </c>
      <c r="K704" s="199">
        <v>112847</v>
      </c>
      <c r="L704" s="73">
        <v>0</v>
      </c>
      <c r="M704" s="88">
        <v>2798.8599999999997</v>
      </c>
      <c r="N704" s="79">
        <f t="shared" si="255"/>
        <v>0.44041145323453129</v>
      </c>
      <c r="O704" s="80">
        <f t="shared" si="192"/>
        <v>2.2706039832880376</v>
      </c>
      <c r="P704" s="79" t="e">
        <f t="shared" si="193"/>
        <v>#DIV/0!</v>
      </c>
      <c r="Q704" s="81" t="e">
        <f t="shared" si="194"/>
        <v>#DIV/0!</v>
      </c>
      <c r="R704" s="82">
        <f t="shared" si="254"/>
        <v>-2798.8599999999997</v>
      </c>
      <c r="S704" s="83" t="e">
        <f t="shared" si="195"/>
        <v>#DIV/0!</v>
      </c>
      <c r="T704" s="84"/>
      <c r="U704" s="84"/>
      <c r="V704" s="84"/>
      <c r="W704" s="84"/>
      <c r="X704" s="85"/>
      <c r="Y704" s="68"/>
      <c r="Z704" s="68"/>
    </row>
    <row r="705" spans="1:26" ht="12.75" collapsed="1" x14ac:dyDescent="0.2">
      <c r="A705" s="68">
        <f t="shared" si="256"/>
        <v>0</v>
      </c>
      <c r="B705" s="52" t="s">
        <v>104</v>
      </c>
      <c r="C705" s="120"/>
      <c r="D705" s="121">
        <f t="shared" ref="D705:F705" si="257">SUM(D687:D704)</f>
        <v>17275.57</v>
      </c>
      <c r="E705" s="123">
        <f t="shared" si="257"/>
        <v>160</v>
      </c>
      <c r="F705" s="123">
        <f t="shared" si="257"/>
        <v>162</v>
      </c>
      <c r="G705" s="124">
        <f t="shared" si="189"/>
        <v>0.98765432098765427</v>
      </c>
      <c r="H705" s="125">
        <f t="shared" si="190"/>
        <v>107.9723125</v>
      </c>
      <c r="I705" s="126">
        <f t="shared" si="191"/>
        <v>109.32196640625001</v>
      </c>
      <c r="J705" s="121">
        <f t="shared" ref="J705:M705" si="258">SUM(J687:J704)</f>
        <v>3969.4799999999996</v>
      </c>
      <c r="K705" s="123">
        <f t="shared" si="258"/>
        <v>1188645</v>
      </c>
      <c r="L705" s="123">
        <f t="shared" si="258"/>
        <v>72</v>
      </c>
      <c r="M705" s="127">
        <f t="shared" si="258"/>
        <v>11153.11</v>
      </c>
      <c r="N705" s="128">
        <f t="shared" si="255"/>
        <v>0.35590790371474856</v>
      </c>
      <c r="O705" s="129">
        <f t="shared" si="192"/>
        <v>2.8097156302588755</v>
      </c>
      <c r="P705" s="128">
        <f t="shared" si="193"/>
        <v>0.22977418400666372</v>
      </c>
      <c r="Q705" s="130">
        <f t="shared" si="194"/>
        <v>0.645600116233502</v>
      </c>
      <c r="R705" s="131">
        <f>SUM(R687:R704)</f>
        <v>6122.46</v>
      </c>
      <c r="S705" s="132">
        <f t="shared" si="195"/>
        <v>55.131666666666661</v>
      </c>
      <c r="T705" s="133">
        <f t="shared" ref="T705:U705" si="259">IFERROR((D705-D69)/D705,)</f>
        <v>0.56115369854656039</v>
      </c>
      <c r="U705" s="133">
        <f t="shared" si="259"/>
        <v>0.41249999999999998</v>
      </c>
      <c r="V705" s="134" t="s">
        <v>139</v>
      </c>
      <c r="W705" s="134" t="s">
        <v>139</v>
      </c>
      <c r="X705" s="68"/>
      <c r="Y705" s="68"/>
      <c r="Z705" s="68"/>
    </row>
    <row r="706" spans="1:26" ht="12.75" hidden="1" outlineLevel="1" x14ac:dyDescent="0.2">
      <c r="A706" s="68"/>
      <c r="B706" s="69">
        <v>45977</v>
      </c>
      <c r="C706" s="70" t="s">
        <v>32</v>
      </c>
      <c r="D706" s="71">
        <v>4625.63</v>
      </c>
      <c r="E706" s="73">
        <v>19</v>
      </c>
      <c r="F706" s="73">
        <v>20</v>
      </c>
      <c r="G706" s="74">
        <f t="shared" si="189"/>
        <v>0.95</v>
      </c>
      <c r="H706" s="75">
        <f t="shared" si="190"/>
        <v>243.45421052631579</v>
      </c>
      <c r="I706" s="76">
        <f t="shared" si="191"/>
        <v>256.26759002770086</v>
      </c>
      <c r="J706" s="77">
        <v>2049.4499999999998</v>
      </c>
      <c r="K706" s="73">
        <v>619809</v>
      </c>
      <c r="L706" s="73">
        <v>6</v>
      </c>
      <c r="M706" s="78">
        <v>1094.99</v>
      </c>
      <c r="N706" s="79">
        <f t="shared" si="255"/>
        <v>1.871660928410305</v>
      </c>
      <c r="O706" s="80">
        <f t="shared" si="192"/>
        <v>0.53428480811925161</v>
      </c>
      <c r="P706" s="79">
        <f t="shared" si="193"/>
        <v>0.44306397182654034</v>
      </c>
      <c r="Q706" s="81">
        <f t="shared" si="194"/>
        <v>0.23672234917189658</v>
      </c>
      <c r="R706" s="82">
        <f t="shared" ref="R706:R723" si="260">D706-M706</f>
        <v>3530.6400000000003</v>
      </c>
      <c r="S706" s="83">
        <f t="shared" si="195"/>
        <v>341.57499999999999</v>
      </c>
      <c r="T706" s="84"/>
      <c r="U706" s="84"/>
      <c r="V706" s="84"/>
      <c r="W706" s="84"/>
      <c r="X706" s="85"/>
      <c r="Y706" s="68"/>
      <c r="Z706" s="68"/>
    </row>
    <row r="707" spans="1:26" ht="12.75" hidden="1" outlineLevel="1" x14ac:dyDescent="0.2">
      <c r="A707" s="68"/>
      <c r="B707" s="86"/>
      <c r="C707" s="70" t="s">
        <v>33</v>
      </c>
      <c r="D707" s="87">
        <v>7897.2</v>
      </c>
      <c r="E707" s="73">
        <v>42</v>
      </c>
      <c r="F707" s="73">
        <v>46</v>
      </c>
      <c r="G707" s="74">
        <f t="shared" si="189"/>
        <v>0.91304347826086951</v>
      </c>
      <c r="H707" s="75">
        <f t="shared" si="190"/>
        <v>188.02857142857141</v>
      </c>
      <c r="I707" s="76">
        <f t="shared" si="191"/>
        <v>205.93605442176869</v>
      </c>
      <c r="J707" s="87">
        <v>678.76</v>
      </c>
      <c r="K707" s="73">
        <v>829031</v>
      </c>
      <c r="L707" s="73">
        <v>9</v>
      </c>
      <c r="M707" s="88">
        <v>1450.7</v>
      </c>
      <c r="N707" s="79">
        <f t="shared" si="255"/>
        <v>0.46788446956641622</v>
      </c>
      <c r="O707" s="80">
        <f t="shared" si="192"/>
        <v>2.1372797454181156</v>
      </c>
      <c r="P707" s="79">
        <f t="shared" si="193"/>
        <v>8.5949450438129973E-2</v>
      </c>
      <c r="Q707" s="81">
        <f t="shared" si="194"/>
        <v>0.18369801955123335</v>
      </c>
      <c r="R707" s="89">
        <f t="shared" si="260"/>
        <v>6446.5</v>
      </c>
      <c r="S707" s="83">
        <f t="shared" si="195"/>
        <v>75.417777777777772</v>
      </c>
      <c r="T707" s="84"/>
      <c r="U707" s="84"/>
      <c r="V707" s="84"/>
      <c r="W707" s="84"/>
      <c r="X707" s="85"/>
      <c r="Y707" s="68"/>
      <c r="Z707" s="68"/>
    </row>
    <row r="708" spans="1:26" ht="12.75" hidden="1" outlineLevel="1" x14ac:dyDescent="0.2">
      <c r="A708" s="68"/>
      <c r="B708" s="86"/>
      <c r="C708" s="70" t="s">
        <v>34</v>
      </c>
      <c r="D708" s="90">
        <v>349.75</v>
      </c>
      <c r="E708" s="73">
        <v>5</v>
      </c>
      <c r="F708" s="73">
        <v>2</v>
      </c>
      <c r="G708" s="74">
        <f t="shared" si="189"/>
        <v>2.5</v>
      </c>
      <c r="H708" s="75">
        <f t="shared" si="190"/>
        <v>69.95</v>
      </c>
      <c r="I708" s="76">
        <f t="shared" si="191"/>
        <v>27.98</v>
      </c>
      <c r="J708" s="90">
        <v>0</v>
      </c>
      <c r="K708" s="73">
        <v>332</v>
      </c>
      <c r="L708" s="73">
        <v>0</v>
      </c>
      <c r="M708" s="91">
        <v>0</v>
      </c>
      <c r="N708" s="79" t="e">
        <f>(J708/M708)</f>
        <v>#DIV/0!</v>
      </c>
      <c r="O708" s="80" t="e">
        <f t="shared" si="192"/>
        <v>#DIV/0!</v>
      </c>
      <c r="P708" s="79">
        <f t="shared" si="193"/>
        <v>0</v>
      </c>
      <c r="Q708" s="81">
        <f t="shared" si="194"/>
        <v>0</v>
      </c>
      <c r="R708" s="92">
        <f t="shared" si="260"/>
        <v>349.75</v>
      </c>
      <c r="S708" s="83" t="e">
        <f t="shared" si="195"/>
        <v>#DIV/0!</v>
      </c>
      <c r="T708" s="84"/>
      <c r="U708" s="84"/>
      <c r="V708" s="84"/>
      <c r="W708" s="84"/>
      <c r="X708" s="85"/>
      <c r="Y708" s="68"/>
      <c r="Z708" s="68"/>
    </row>
    <row r="709" spans="1:26" ht="12.75" hidden="1" outlineLevel="1" x14ac:dyDescent="0.2">
      <c r="A709" s="68"/>
      <c r="B709" s="86"/>
      <c r="C709" s="70" t="s">
        <v>35</v>
      </c>
      <c r="D709" s="90">
        <v>188.85</v>
      </c>
      <c r="E709" s="73">
        <v>5</v>
      </c>
      <c r="F709" s="73">
        <v>3</v>
      </c>
      <c r="G709" s="74">
        <f t="shared" si="189"/>
        <v>1.6666666666666667</v>
      </c>
      <c r="H709" s="75">
        <f t="shared" si="190"/>
        <v>37.769999999999996</v>
      </c>
      <c r="I709" s="76">
        <f t="shared" si="191"/>
        <v>22.661999999999995</v>
      </c>
      <c r="J709" s="90">
        <v>281.60000000000002</v>
      </c>
      <c r="K709" s="73">
        <v>21883</v>
      </c>
      <c r="L709" s="73">
        <v>7</v>
      </c>
      <c r="M709" s="91">
        <v>270.37</v>
      </c>
      <c r="N709" s="79">
        <f t="shared" ref="N709:N726" si="261">J709/M709</f>
        <v>1.0415356733365388</v>
      </c>
      <c r="O709" s="80">
        <f t="shared" si="192"/>
        <v>0.9601207386363636</v>
      </c>
      <c r="P709" s="79">
        <f t="shared" si="193"/>
        <v>1.49113052687318</v>
      </c>
      <c r="Q709" s="81">
        <f t="shared" si="194"/>
        <v>1.4316653428647075</v>
      </c>
      <c r="R709" s="92">
        <f t="shared" si="260"/>
        <v>-81.52000000000001</v>
      </c>
      <c r="S709" s="83">
        <f t="shared" si="195"/>
        <v>40.228571428571435</v>
      </c>
      <c r="T709" s="84"/>
      <c r="U709" s="84"/>
      <c r="V709" s="84"/>
      <c r="W709" s="84"/>
      <c r="X709" s="85"/>
      <c r="Y709" s="68"/>
      <c r="Z709" s="68"/>
    </row>
    <row r="710" spans="1:26" ht="12.75" hidden="1" outlineLevel="1" x14ac:dyDescent="0.2">
      <c r="A710" s="68"/>
      <c r="B710" s="86"/>
      <c r="C710" s="70" t="s">
        <v>36</v>
      </c>
      <c r="D710" s="90">
        <v>781.37</v>
      </c>
      <c r="E710" s="73">
        <v>13</v>
      </c>
      <c r="F710" s="73">
        <v>10</v>
      </c>
      <c r="G710" s="74">
        <f t="shared" si="189"/>
        <v>1.3</v>
      </c>
      <c r="H710" s="75">
        <f t="shared" si="190"/>
        <v>60.105384615384615</v>
      </c>
      <c r="I710" s="76">
        <f t="shared" si="191"/>
        <v>46.234911242603552</v>
      </c>
      <c r="J710" s="90">
        <v>47.88</v>
      </c>
      <c r="K710" s="73">
        <v>17236</v>
      </c>
      <c r="L710" s="73">
        <v>6</v>
      </c>
      <c r="M710" s="91">
        <v>361.72</v>
      </c>
      <c r="N710" s="79">
        <f t="shared" si="261"/>
        <v>0.13236757713148292</v>
      </c>
      <c r="O710" s="80">
        <f t="shared" si="192"/>
        <v>7.5547201336675025</v>
      </c>
      <c r="P710" s="79">
        <f t="shared" si="193"/>
        <v>6.1276987854665524E-2</v>
      </c>
      <c r="Q710" s="81">
        <f t="shared" si="194"/>
        <v>0.46293049387614066</v>
      </c>
      <c r="R710" s="92">
        <f t="shared" si="260"/>
        <v>419.65</v>
      </c>
      <c r="S710" s="83">
        <f t="shared" si="195"/>
        <v>7.98</v>
      </c>
      <c r="T710" s="84"/>
      <c r="U710" s="84"/>
      <c r="V710" s="84"/>
      <c r="W710" s="84"/>
      <c r="X710" s="85"/>
      <c r="Y710" s="68"/>
      <c r="Z710" s="68"/>
    </row>
    <row r="711" spans="1:26" ht="12.75" hidden="1" outlineLevel="1" x14ac:dyDescent="0.2">
      <c r="A711" s="68"/>
      <c r="B711" s="69" t="s">
        <v>37</v>
      </c>
      <c r="C711" s="70" t="s">
        <v>38</v>
      </c>
      <c r="D711" s="93">
        <v>194.7</v>
      </c>
      <c r="E711" s="73">
        <v>6</v>
      </c>
      <c r="F711" s="73">
        <v>5</v>
      </c>
      <c r="G711" s="74">
        <f t="shared" si="189"/>
        <v>1.2</v>
      </c>
      <c r="H711" s="75">
        <f t="shared" si="190"/>
        <v>32.449999999999996</v>
      </c>
      <c r="I711" s="76">
        <f t="shared" si="191"/>
        <v>27.041666666666664</v>
      </c>
      <c r="J711" s="93">
        <v>37.6</v>
      </c>
      <c r="K711" s="73">
        <v>8316</v>
      </c>
      <c r="L711" s="73">
        <v>2</v>
      </c>
      <c r="M711" s="94">
        <v>59.9</v>
      </c>
      <c r="N711" s="79">
        <f t="shared" si="261"/>
        <v>0.62771285475792993</v>
      </c>
      <c r="O711" s="80">
        <f t="shared" si="192"/>
        <v>1.5930851063829787</v>
      </c>
      <c r="P711" s="79">
        <f t="shared" si="193"/>
        <v>0.19311761684643042</v>
      </c>
      <c r="Q711" s="81">
        <f t="shared" si="194"/>
        <v>0.30765279917822291</v>
      </c>
      <c r="R711" s="95">
        <f t="shared" si="260"/>
        <v>134.79999999999998</v>
      </c>
      <c r="S711" s="83">
        <f t="shared" si="195"/>
        <v>18.8</v>
      </c>
      <c r="T711" s="84"/>
      <c r="U711" s="84"/>
      <c r="V711" s="84"/>
      <c r="W711" s="84"/>
      <c r="X711" s="85"/>
      <c r="Y711" s="68"/>
      <c r="Z711" s="68"/>
    </row>
    <row r="712" spans="1:26" ht="12.75" hidden="1" outlineLevel="1" x14ac:dyDescent="0.2">
      <c r="A712" s="68"/>
      <c r="B712" s="86"/>
      <c r="C712" s="70" t="s">
        <v>39</v>
      </c>
      <c r="D712" s="96">
        <v>0</v>
      </c>
      <c r="E712" s="73">
        <v>0</v>
      </c>
      <c r="F712" s="73">
        <v>0</v>
      </c>
      <c r="G712" s="74" t="e">
        <f t="shared" si="189"/>
        <v>#DIV/0!</v>
      </c>
      <c r="H712" s="75" t="e">
        <f t="shared" si="190"/>
        <v>#DIV/0!</v>
      </c>
      <c r="I712" s="76" t="e">
        <f t="shared" si="191"/>
        <v>#DIV/0!</v>
      </c>
      <c r="J712" s="96">
        <v>0</v>
      </c>
      <c r="K712" s="73">
        <v>0</v>
      </c>
      <c r="L712" s="73">
        <v>0</v>
      </c>
      <c r="M712" s="97">
        <v>0</v>
      </c>
      <c r="N712" s="79" t="e">
        <f t="shared" si="261"/>
        <v>#DIV/0!</v>
      </c>
      <c r="O712" s="80" t="e">
        <f t="shared" si="192"/>
        <v>#DIV/0!</v>
      </c>
      <c r="P712" s="79" t="e">
        <f t="shared" si="193"/>
        <v>#DIV/0!</v>
      </c>
      <c r="Q712" s="81" t="e">
        <f t="shared" si="194"/>
        <v>#DIV/0!</v>
      </c>
      <c r="R712" s="98">
        <f t="shared" si="260"/>
        <v>0</v>
      </c>
      <c r="S712" s="83" t="e">
        <f t="shared" si="195"/>
        <v>#DIV/0!</v>
      </c>
      <c r="T712" s="84"/>
      <c r="U712" s="84"/>
      <c r="V712" s="84"/>
      <c r="W712" s="84"/>
      <c r="X712" s="85"/>
      <c r="Y712" s="68"/>
      <c r="Z712" s="68"/>
    </row>
    <row r="713" spans="1:26" ht="12.75" hidden="1" outlineLevel="1" x14ac:dyDescent="0.2">
      <c r="A713" s="68"/>
      <c r="B713" s="86"/>
      <c r="C713" s="70" t="s">
        <v>40</v>
      </c>
      <c r="D713" s="99">
        <v>0</v>
      </c>
      <c r="E713" s="73">
        <v>0</v>
      </c>
      <c r="F713" s="73">
        <v>0</v>
      </c>
      <c r="G713" s="74" t="e">
        <f t="shared" si="189"/>
        <v>#DIV/0!</v>
      </c>
      <c r="H713" s="75" t="e">
        <f t="shared" si="190"/>
        <v>#DIV/0!</v>
      </c>
      <c r="I713" s="76" t="e">
        <f t="shared" si="191"/>
        <v>#DIV/0!</v>
      </c>
      <c r="J713" s="99">
        <v>0</v>
      </c>
      <c r="K713" s="73">
        <v>0</v>
      </c>
      <c r="L713" s="73">
        <v>0</v>
      </c>
      <c r="M713" s="100">
        <v>0</v>
      </c>
      <c r="N713" s="79" t="e">
        <f t="shared" si="261"/>
        <v>#DIV/0!</v>
      </c>
      <c r="O713" s="80" t="e">
        <f t="shared" si="192"/>
        <v>#DIV/0!</v>
      </c>
      <c r="P713" s="79" t="e">
        <f t="shared" si="193"/>
        <v>#DIV/0!</v>
      </c>
      <c r="Q713" s="81" t="e">
        <f t="shared" si="194"/>
        <v>#DIV/0!</v>
      </c>
      <c r="R713" s="101">
        <f t="shared" si="260"/>
        <v>0</v>
      </c>
      <c r="S713" s="83" t="e">
        <f t="shared" si="195"/>
        <v>#DIV/0!</v>
      </c>
      <c r="T713" s="84"/>
      <c r="U713" s="84"/>
      <c r="V713" s="84"/>
      <c r="W713" s="84"/>
      <c r="X713" s="85"/>
      <c r="Y713" s="68"/>
      <c r="Z713" s="68"/>
    </row>
    <row r="714" spans="1:26" ht="12.75" hidden="1" outlineLevel="1" x14ac:dyDescent="0.2">
      <c r="A714" s="68"/>
      <c r="B714" s="86"/>
      <c r="C714" s="70" t="s">
        <v>41</v>
      </c>
      <c r="D714" s="102">
        <v>1526.71</v>
      </c>
      <c r="E714" s="73">
        <v>27</v>
      </c>
      <c r="F714" s="73">
        <v>22</v>
      </c>
      <c r="G714" s="74">
        <f t="shared" si="189"/>
        <v>1.2272727272727273</v>
      </c>
      <c r="H714" s="75">
        <f t="shared" si="190"/>
        <v>56.544814814814814</v>
      </c>
      <c r="I714" s="76">
        <f t="shared" si="191"/>
        <v>46.073552812071327</v>
      </c>
      <c r="J714" s="102">
        <v>456.03</v>
      </c>
      <c r="K714" s="73">
        <v>40650</v>
      </c>
      <c r="L714" s="73">
        <v>6</v>
      </c>
      <c r="M714" s="103">
        <v>466.38</v>
      </c>
      <c r="N714" s="79">
        <f t="shared" si="261"/>
        <v>0.97780779621767655</v>
      </c>
      <c r="O714" s="80">
        <f t="shared" si="192"/>
        <v>1.0226958752713637</v>
      </c>
      <c r="P714" s="79">
        <f t="shared" si="193"/>
        <v>0.29870112857058639</v>
      </c>
      <c r="Q714" s="81">
        <f t="shared" si="194"/>
        <v>0.30548041212804</v>
      </c>
      <c r="R714" s="104">
        <f t="shared" si="260"/>
        <v>1060.33</v>
      </c>
      <c r="S714" s="83">
        <f t="shared" si="195"/>
        <v>76.004999999999995</v>
      </c>
      <c r="T714" s="84"/>
      <c r="U714" s="84"/>
      <c r="V714" s="84"/>
      <c r="W714" s="84"/>
      <c r="X714" s="85"/>
      <c r="Y714" s="68"/>
      <c r="Z714" s="68"/>
    </row>
    <row r="715" spans="1:26" ht="12.75" hidden="1" outlineLevel="1" x14ac:dyDescent="0.2">
      <c r="A715" s="68"/>
      <c r="B715" s="86"/>
      <c r="C715" s="70" t="s">
        <v>42</v>
      </c>
      <c r="D715" s="90">
        <v>79.959999999999994</v>
      </c>
      <c r="E715" s="73">
        <v>4</v>
      </c>
      <c r="F715" s="73">
        <v>5</v>
      </c>
      <c r="G715" s="74">
        <f t="shared" si="189"/>
        <v>0.8</v>
      </c>
      <c r="H715" s="75">
        <f t="shared" si="190"/>
        <v>19.989999999999998</v>
      </c>
      <c r="I715" s="76">
        <f t="shared" si="191"/>
        <v>24.987499999999997</v>
      </c>
      <c r="J715" s="90">
        <v>139.62</v>
      </c>
      <c r="K715" s="73">
        <v>49701</v>
      </c>
      <c r="L715" s="73">
        <v>8</v>
      </c>
      <c r="M715" s="91">
        <v>159.91999999999999</v>
      </c>
      <c r="N715" s="79">
        <f t="shared" si="261"/>
        <v>0.87306153076538284</v>
      </c>
      <c r="O715" s="80">
        <f t="shared" si="192"/>
        <v>1.1453946426013464</v>
      </c>
      <c r="P715" s="79">
        <f t="shared" si="193"/>
        <v>1.7461230615307657</v>
      </c>
      <c r="Q715" s="81">
        <f t="shared" si="194"/>
        <v>2</v>
      </c>
      <c r="R715" s="92">
        <f t="shared" si="260"/>
        <v>-79.959999999999994</v>
      </c>
      <c r="S715" s="83">
        <f t="shared" si="195"/>
        <v>17.452500000000001</v>
      </c>
      <c r="T715" s="84"/>
      <c r="U715" s="84"/>
      <c r="V715" s="84"/>
      <c r="W715" s="84"/>
      <c r="X715" s="85"/>
      <c r="Y715" s="68"/>
      <c r="Z715" s="68"/>
    </row>
    <row r="716" spans="1:26" ht="12.75" hidden="1" outlineLevel="1" x14ac:dyDescent="0.2">
      <c r="A716" s="68"/>
      <c r="B716" s="86"/>
      <c r="C716" s="70" t="s">
        <v>43</v>
      </c>
      <c r="D716" s="105">
        <v>767.81</v>
      </c>
      <c r="E716" s="73">
        <v>6</v>
      </c>
      <c r="F716" s="73">
        <v>7</v>
      </c>
      <c r="G716" s="74">
        <f t="shared" si="189"/>
        <v>0.8571428571428571</v>
      </c>
      <c r="H716" s="75">
        <f t="shared" si="190"/>
        <v>127.96833333333332</v>
      </c>
      <c r="I716" s="76">
        <f t="shared" si="191"/>
        <v>149.29638888888888</v>
      </c>
      <c r="J716" s="105">
        <v>94.38</v>
      </c>
      <c r="K716" s="73">
        <v>10987</v>
      </c>
      <c r="L716" s="73">
        <v>2</v>
      </c>
      <c r="M716" s="106">
        <v>146.22</v>
      </c>
      <c r="N716" s="79">
        <f t="shared" si="261"/>
        <v>0.64546573656134587</v>
      </c>
      <c r="O716" s="80">
        <f t="shared" si="192"/>
        <v>1.5492689129052766</v>
      </c>
      <c r="P716" s="79">
        <f t="shared" si="193"/>
        <v>0.12292103515192561</v>
      </c>
      <c r="Q716" s="81">
        <f t="shared" si="194"/>
        <v>0.19043773850301507</v>
      </c>
      <c r="R716" s="107">
        <f t="shared" si="260"/>
        <v>621.58999999999992</v>
      </c>
      <c r="S716" s="83">
        <f t="shared" si="195"/>
        <v>47.19</v>
      </c>
      <c r="T716" s="84"/>
      <c r="U716" s="84"/>
      <c r="V716" s="84"/>
      <c r="W716" s="84"/>
      <c r="X716" s="85"/>
      <c r="Y716" s="68"/>
      <c r="Z716" s="68"/>
    </row>
    <row r="717" spans="1:26" ht="12.75" hidden="1" outlineLevel="1" x14ac:dyDescent="0.2">
      <c r="A717" s="68"/>
      <c r="B717" s="86"/>
      <c r="C717" s="70" t="s">
        <v>44</v>
      </c>
      <c r="D717" s="108">
        <v>215.95</v>
      </c>
      <c r="E717" s="73">
        <v>5</v>
      </c>
      <c r="F717" s="73">
        <v>4</v>
      </c>
      <c r="G717" s="74">
        <f t="shared" si="189"/>
        <v>1.25</v>
      </c>
      <c r="H717" s="75">
        <f t="shared" si="190"/>
        <v>43.19</v>
      </c>
      <c r="I717" s="76">
        <f t="shared" si="191"/>
        <v>34.552</v>
      </c>
      <c r="J717" s="108">
        <v>132.9</v>
      </c>
      <c r="K717" s="73">
        <v>54020</v>
      </c>
      <c r="L717" s="73">
        <v>0</v>
      </c>
      <c r="M717" s="109">
        <v>0</v>
      </c>
      <c r="N717" s="79" t="e">
        <f t="shared" si="261"/>
        <v>#DIV/0!</v>
      </c>
      <c r="O717" s="80">
        <f t="shared" si="192"/>
        <v>0</v>
      </c>
      <c r="P717" s="79">
        <f t="shared" si="193"/>
        <v>0.61542023616577912</v>
      </c>
      <c r="Q717" s="81">
        <f t="shared" si="194"/>
        <v>0</v>
      </c>
      <c r="R717" s="110">
        <f t="shared" si="260"/>
        <v>215.95</v>
      </c>
      <c r="S717" s="83" t="e">
        <f t="shared" si="195"/>
        <v>#DIV/0!</v>
      </c>
      <c r="T717" s="84"/>
      <c r="U717" s="84"/>
      <c r="V717" s="84"/>
      <c r="W717" s="84"/>
      <c r="X717" s="85"/>
      <c r="Y717" s="68"/>
      <c r="Z717" s="68"/>
    </row>
    <row r="718" spans="1:26" ht="12.75" hidden="1" outlineLevel="1" x14ac:dyDescent="0.2">
      <c r="A718" s="111"/>
      <c r="B718" s="86"/>
      <c r="C718" s="112" t="s">
        <v>45</v>
      </c>
      <c r="D718" s="71">
        <v>24.95</v>
      </c>
      <c r="E718" s="73">
        <v>1</v>
      </c>
      <c r="F718" s="73">
        <v>1</v>
      </c>
      <c r="G718" s="74">
        <f t="shared" si="189"/>
        <v>1</v>
      </c>
      <c r="H718" s="75">
        <f t="shared" si="190"/>
        <v>24.95</v>
      </c>
      <c r="I718" s="76">
        <f t="shared" si="191"/>
        <v>24.95</v>
      </c>
      <c r="J718" s="71">
        <v>0</v>
      </c>
      <c r="K718" s="73">
        <v>0</v>
      </c>
      <c r="L718" s="73">
        <v>0</v>
      </c>
      <c r="M718" s="78">
        <v>0</v>
      </c>
      <c r="N718" s="79" t="e">
        <f t="shared" si="261"/>
        <v>#DIV/0!</v>
      </c>
      <c r="O718" s="80" t="e">
        <f t="shared" si="192"/>
        <v>#DIV/0!</v>
      </c>
      <c r="P718" s="79">
        <f t="shared" si="193"/>
        <v>0</v>
      </c>
      <c r="Q718" s="81">
        <f t="shared" si="194"/>
        <v>0</v>
      </c>
      <c r="R718" s="82">
        <f t="shared" si="260"/>
        <v>24.95</v>
      </c>
      <c r="S718" s="83" t="e">
        <f t="shared" si="195"/>
        <v>#DIV/0!</v>
      </c>
      <c r="T718" s="113"/>
      <c r="U718" s="113"/>
      <c r="V718" s="113"/>
      <c r="W718" s="114"/>
      <c r="X718" s="115"/>
      <c r="Y718" s="68"/>
      <c r="Z718" s="68"/>
    </row>
    <row r="719" spans="1:26" ht="12.75" hidden="1" outlineLevel="1" x14ac:dyDescent="0.2">
      <c r="A719" s="68"/>
      <c r="B719" s="86"/>
      <c r="C719" s="70" t="s">
        <v>46</v>
      </c>
      <c r="D719" s="116">
        <v>977.12</v>
      </c>
      <c r="E719" s="73">
        <v>27</v>
      </c>
      <c r="F719" s="73">
        <v>27</v>
      </c>
      <c r="G719" s="74">
        <f t="shared" si="189"/>
        <v>1</v>
      </c>
      <c r="H719" s="75">
        <f t="shared" si="190"/>
        <v>36.189629629629628</v>
      </c>
      <c r="I719" s="76">
        <f t="shared" si="191"/>
        <v>36.189629629629628</v>
      </c>
      <c r="J719" s="116">
        <v>186.93</v>
      </c>
      <c r="K719" s="73">
        <v>46308</v>
      </c>
      <c r="L719" s="73">
        <v>12</v>
      </c>
      <c r="M719" s="117">
        <v>206.95</v>
      </c>
      <c r="N719" s="79">
        <f t="shared" si="261"/>
        <v>0.90326165740517039</v>
      </c>
      <c r="O719" s="80">
        <f t="shared" si="192"/>
        <v>1.1070989140319905</v>
      </c>
      <c r="P719" s="79">
        <f t="shared" si="193"/>
        <v>0.19130710659898478</v>
      </c>
      <c r="Q719" s="81">
        <f t="shared" si="194"/>
        <v>0.21179588996233828</v>
      </c>
      <c r="R719" s="82">
        <f t="shared" si="260"/>
        <v>770.17000000000007</v>
      </c>
      <c r="S719" s="83">
        <f t="shared" si="195"/>
        <v>15.577500000000001</v>
      </c>
      <c r="T719" s="84"/>
      <c r="U719" s="84"/>
      <c r="V719" s="84"/>
      <c r="W719" s="84"/>
      <c r="X719" s="85"/>
      <c r="Y719" s="68"/>
      <c r="Z719" s="68"/>
    </row>
    <row r="720" spans="1:26" ht="12.75" hidden="1" outlineLevel="1" x14ac:dyDescent="0.2">
      <c r="A720" s="68"/>
      <c r="B720" s="86"/>
      <c r="C720" s="70" t="s">
        <v>47</v>
      </c>
      <c r="D720" s="87">
        <v>0</v>
      </c>
      <c r="E720" s="73">
        <v>0</v>
      </c>
      <c r="F720" s="73">
        <v>0</v>
      </c>
      <c r="G720" s="74" t="e">
        <f t="shared" si="189"/>
        <v>#DIV/0!</v>
      </c>
      <c r="H720" s="75" t="e">
        <f t="shared" si="190"/>
        <v>#DIV/0!</v>
      </c>
      <c r="I720" s="76" t="e">
        <f t="shared" si="191"/>
        <v>#DIV/0!</v>
      </c>
      <c r="J720" s="87">
        <v>0</v>
      </c>
      <c r="K720" s="73">
        <v>0</v>
      </c>
      <c r="L720" s="73">
        <v>0</v>
      </c>
      <c r="M720" s="88">
        <v>0</v>
      </c>
      <c r="N720" s="79" t="e">
        <f t="shared" si="261"/>
        <v>#DIV/0!</v>
      </c>
      <c r="O720" s="80" t="e">
        <f t="shared" si="192"/>
        <v>#DIV/0!</v>
      </c>
      <c r="P720" s="79" t="e">
        <f t="shared" si="193"/>
        <v>#DIV/0!</v>
      </c>
      <c r="Q720" s="81" t="e">
        <f t="shared" si="194"/>
        <v>#DIV/0!</v>
      </c>
      <c r="R720" s="82">
        <f t="shared" si="260"/>
        <v>0</v>
      </c>
      <c r="S720" s="83" t="e">
        <f t="shared" si="195"/>
        <v>#DIV/0!</v>
      </c>
      <c r="T720" s="84"/>
      <c r="U720" s="84"/>
      <c r="V720" s="84"/>
      <c r="W720" s="84"/>
      <c r="X720" s="85"/>
      <c r="Y720" s="68"/>
      <c r="Z720" s="68"/>
    </row>
    <row r="721" spans="1:26" ht="12.75" hidden="1" outlineLevel="1" x14ac:dyDescent="0.2">
      <c r="A721" s="68"/>
      <c r="B721" s="86"/>
      <c r="C721" s="70" t="s">
        <v>48</v>
      </c>
      <c r="D721" s="102">
        <v>4339.1099999999997</v>
      </c>
      <c r="E721" s="73">
        <v>17</v>
      </c>
      <c r="F721" s="73">
        <v>18</v>
      </c>
      <c r="G721" s="74">
        <f t="shared" si="189"/>
        <v>0.94444444444444442</v>
      </c>
      <c r="H721" s="75">
        <f t="shared" si="190"/>
        <v>255.24176470588233</v>
      </c>
      <c r="I721" s="76">
        <f t="shared" si="191"/>
        <v>270.25598615916954</v>
      </c>
      <c r="J721" s="102">
        <v>464.98</v>
      </c>
      <c r="K721" s="73">
        <v>29954</v>
      </c>
      <c r="L721" s="73">
        <v>5</v>
      </c>
      <c r="M721" s="103">
        <v>1299.75</v>
      </c>
      <c r="N721" s="79">
        <f t="shared" si="261"/>
        <v>0.35774572033083285</v>
      </c>
      <c r="O721" s="80">
        <f t="shared" si="192"/>
        <v>2.7952815174846228</v>
      </c>
      <c r="P721" s="79">
        <f t="shared" si="193"/>
        <v>0.10716022410125579</v>
      </c>
      <c r="Q721" s="81">
        <f t="shared" si="194"/>
        <v>0.29954299383975058</v>
      </c>
      <c r="R721" s="82">
        <f t="shared" si="260"/>
        <v>3039.3599999999997</v>
      </c>
      <c r="S721" s="83">
        <f t="shared" si="195"/>
        <v>92.996000000000009</v>
      </c>
      <c r="T721" s="84"/>
      <c r="U721" s="84"/>
      <c r="V721" s="84"/>
      <c r="W721" s="84"/>
      <c r="X721" s="85"/>
      <c r="Y721" s="68"/>
      <c r="Z721" s="68"/>
    </row>
    <row r="722" spans="1:26" ht="12.75" hidden="1" outlineLevel="1" x14ac:dyDescent="0.2">
      <c r="A722" s="68"/>
      <c r="B722" s="86"/>
      <c r="C722" s="70" t="s">
        <v>49</v>
      </c>
      <c r="D722" s="116">
        <v>192</v>
      </c>
      <c r="E722" s="73">
        <v>2</v>
      </c>
      <c r="F722" s="73">
        <v>2</v>
      </c>
      <c r="G722" s="74">
        <f t="shared" si="189"/>
        <v>1</v>
      </c>
      <c r="H722" s="75">
        <f t="shared" si="190"/>
        <v>96</v>
      </c>
      <c r="I722" s="76">
        <f t="shared" si="191"/>
        <v>96</v>
      </c>
      <c r="J722" s="116">
        <v>10.34</v>
      </c>
      <c r="K722" s="73">
        <v>9702</v>
      </c>
      <c r="L722" s="73">
        <v>0</v>
      </c>
      <c r="M722" s="117">
        <v>0</v>
      </c>
      <c r="N722" s="79" t="e">
        <f t="shared" si="261"/>
        <v>#DIV/0!</v>
      </c>
      <c r="O722" s="80">
        <f t="shared" si="192"/>
        <v>0</v>
      </c>
      <c r="P722" s="79">
        <f t="shared" si="193"/>
        <v>5.3854166666666668E-2</v>
      </c>
      <c r="Q722" s="81">
        <f t="shared" si="194"/>
        <v>0</v>
      </c>
      <c r="R722" s="82">
        <f t="shared" si="260"/>
        <v>192</v>
      </c>
      <c r="S722" s="83" t="e">
        <f t="shared" si="195"/>
        <v>#DIV/0!</v>
      </c>
      <c r="T722" s="84"/>
      <c r="U722" s="84"/>
      <c r="V722" s="84"/>
      <c r="W722" s="84"/>
      <c r="X722" s="85"/>
      <c r="Y722" s="68"/>
      <c r="Z722" s="68"/>
    </row>
    <row r="723" spans="1:26" hidden="1" outlineLevel="1" x14ac:dyDescent="0.25">
      <c r="A723" s="118" t="str">
        <f t="shared" ref="A723:A724" si="262">IFERROR(IF(B723&gt;0,MONTH(B723)&amp;"-"&amp;YEAR(B723),B723),)</f>
        <v>11-2025</v>
      </c>
      <c r="B723" s="69">
        <v>45983</v>
      </c>
      <c r="C723" s="198" t="s">
        <v>64</v>
      </c>
      <c r="D723" s="116">
        <v>0</v>
      </c>
      <c r="E723" s="73">
        <v>0</v>
      </c>
      <c r="F723" s="73">
        <v>0</v>
      </c>
      <c r="G723" s="74" t="e">
        <f t="shared" si="189"/>
        <v>#DIV/0!</v>
      </c>
      <c r="H723" s="75" t="e">
        <f t="shared" si="190"/>
        <v>#DIV/0!</v>
      </c>
      <c r="I723" s="76" t="e">
        <f t="shared" si="191"/>
        <v>#DIV/0!</v>
      </c>
      <c r="J723" s="87">
        <v>2112</v>
      </c>
      <c r="K723" s="199">
        <v>184924</v>
      </c>
      <c r="L723" s="73">
        <v>0</v>
      </c>
      <c r="M723" s="88">
        <v>9216</v>
      </c>
      <c r="N723" s="79">
        <f t="shared" si="261"/>
        <v>0.22916666666666666</v>
      </c>
      <c r="O723" s="80">
        <f t="shared" si="192"/>
        <v>4.3636363636363633</v>
      </c>
      <c r="P723" s="79" t="e">
        <f t="shared" si="193"/>
        <v>#DIV/0!</v>
      </c>
      <c r="Q723" s="81" t="e">
        <f t="shared" si="194"/>
        <v>#DIV/0!</v>
      </c>
      <c r="R723" s="82">
        <f t="shared" si="260"/>
        <v>-9216</v>
      </c>
      <c r="S723" s="83" t="e">
        <f t="shared" si="195"/>
        <v>#DIV/0!</v>
      </c>
      <c r="T723" s="84"/>
      <c r="U723" s="84"/>
      <c r="V723" s="84"/>
      <c r="W723" s="84"/>
      <c r="X723" s="85"/>
      <c r="Y723" s="68"/>
      <c r="Z723" s="68"/>
    </row>
    <row r="724" spans="1:26" ht="12.75" collapsed="1" x14ac:dyDescent="0.2">
      <c r="A724" s="68">
        <f t="shared" si="262"/>
        <v>0</v>
      </c>
      <c r="B724" s="52" t="s">
        <v>105</v>
      </c>
      <c r="C724" s="120"/>
      <c r="D724" s="121">
        <f t="shared" ref="D724:F724" si="263">SUM(D706:D723)</f>
        <v>22161.110000000004</v>
      </c>
      <c r="E724" s="123">
        <f t="shared" si="263"/>
        <v>179</v>
      </c>
      <c r="F724" s="123">
        <f t="shared" si="263"/>
        <v>172</v>
      </c>
      <c r="G724" s="124">
        <f t="shared" si="189"/>
        <v>1.0406976744186047</v>
      </c>
      <c r="H724" s="125">
        <f t="shared" si="190"/>
        <v>123.80508379888271</v>
      </c>
      <c r="I724" s="126">
        <f t="shared" si="191"/>
        <v>118.96354420898226</v>
      </c>
      <c r="J724" s="121">
        <f t="shared" ref="J724:M724" si="264">SUM(J706:J723)</f>
        <v>6692.4699999999993</v>
      </c>
      <c r="K724" s="123">
        <f t="shared" si="264"/>
        <v>1922853</v>
      </c>
      <c r="L724" s="123">
        <f t="shared" si="264"/>
        <v>63</v>
      </c>
      <c r="M724" s="127">
        <f t="shared" si="264"/>
        <v>14732.9</v>
      </c>
      <c r="N724" s="128">
        <f t="shared" si="261"/>
        <v>0.45425340564315236</v>
      </c>
      <c r="O724" s="129">
        <f t="shared" si="192"/>
        <v>2.2014144254662331</v>
      </c>
      <c r="P724" s="128">
        <f t="shared" si="193"/>
        <v>0.30199164211539936</v>
      </c>
      <c r="Q724" s="130">
        <f t="shared" si="194"/>
        <v>0.6648087573230762</v>
      </c>
      <c r="R724" s="131">
        <f>SUM(R706:R723)</f>
        <v>7428.2099999999991</v>
      </c>
      <c r="S724" s="132">
        <f t="shared" si="195"/>
        <v>106.22968253968253</v>
      </c>
      <c r="T724" s="133">
        <f t="shared" ref="T724:U724" si="265">IFERROR((D724-D69)/D724,)</f>
        <v>0.657899807365245</v>
      </c>
      <c r="U724" s="133">
        <f t="shared" si="265"/>
        <v>0.47486033519553073</v>
      </c>
      <c r="V724" s="134" t="s">
        <v>139</v>
      </c>
      <c r="W724" s="134" t="s">
        <v>139</v>
      </c>
      <c r="X724" s="68"/>
      <c r="Y724" s="68"/>
      <c r="Z724" s="68"/>
    </row>
    <row r="725" spans="1:26" ht="12.75" hidden="1" outlineLevel="1" x14ac:dyDescent="0.2">
      <c r="A725" s="68"/>
      <c r="B725" s="69">
        <v>45984</v>
      </c>
      <c r="C725" s="70" t="s">
        <v>32</v>
      </c>
      <c r="D725" s="71">
        <v>16063.07</v>
      </c>
      <c r="E725" s="73">
        <v>57</v>
      </c>
      <c r="F725" s="73">
        <v>61</v>
      </c>
      <c r="G725" s="74">
        <f t="shared" si="189"/>
        <v>0.93442622950819676</v>
      </c>
      <c r="H725" s="75">
        <f t="shared" si="190"/>
        <v>281.80824561403506</v>
      </c>
      <c r="I725" s="76">
        <f t="shared" si="191"/>
        <v>301.58426285010768</v>
      </c>
      <c r="J725" s="77">
        <v>3476.06</v>
      </c>
      <c r="K725" s="73">
        <v>789555</v>
      </c>
      <c r="L725" s="73">
        <v>25</v>
      </c>
      <c r="M725" s="78">
        <v>5744.61</v>
      </c>
      <c r="N725" s="79">
        <f t="shared" si="261"/>
        <v>0.6050993888183881</v>
      </c>
      <c r="O725" s="80">
        <f t="shared" si="192"/>
        <v>1.6526210709826643</v>
      </c>
      <c r="P725" s="79">
        <f t="shared" si="193"/>
        <v>0.21640072539060093</v>
      </c>
      <c r="Q725" s="81">
        <f t="shared" si="194"/>
        <v>0.3576283985564403</v>
      </c>
      <c r="R725" s="82">
        <f t="shared" ref="R725:R742" si="266">D725-M725</f>
        <v>10318.459999999999</v>
      </c>
      <c r="S725" s="83">
        <f t="shared" si="195"/>
        <v>139.04239999999999</v>
      </c>
      <c r="T725" s="84"/>
      <c r="U725" s="84"/>
      <c r="V725" s="84"/>
      <c r="W725" s="84"/>
      <c r="X725" s="85"/>
      <c r="Y725" s="68"/>
      <c r="Z725" s="68"/>
    </row>
    <row r="726" spans="1:26" ht="12.75" hidden="1" outlineLevel="1" x14ac:dyDescent="0.2">
      <c r="A726" s="68"/>
      <c r="B726" s="86"/>
      <c r="C726" s="70" t="s">
        <v>33</v>
      </c>
      <c r="D726" s="87">
        <v>54500.36</v>
      </c>
      <c r="E726" s="73">
        <v>199</v>
      </c>
      <c r="F726" s="73">
        <v>200</v>
      </c>
      <c r="G726" s="74">
        <f t="shared" si="189"/>
        <v>0.995</v>
      </c>
      <c r="H726" s="75">
        <f t="shared" si="190"/>
        <v>273.87115577889449</v>
      </c>
      <c r="I726" s="76">
        <f t="shared" si="191"/>
        <v>275.24739274260753</v>
      </c>
      <c r="J726" s="87">
        <v>1711.79</v>
      </c>
      <c r="K726" s="73">
        <v>2002846</v>
      </c>
      <c r="L726" s="73">
        <v>63</v>
      </c>
      <c r="M726" s="88">
        <v>8752.7800000000007</v>
      </c>
      <c r="N726" s="79">
        <f t="shared" si="261"/>
        <v>0.1955710071542984</v>
      </c>
      <c r="O726" s="80">
        <f t="shared" si="192"/>
        <v>5.1132323474257948</v>
      </c>
      <c r="P726" s="79">
        <f t="shared" si="193"/>
        <v>3.1408783354825547E-2</v>
      </c>
      <c r="Q726" s="81">
        <f t="shared" si="194"/>
        <v>0.16060040704318285</v>
      </c>
      <c r="R726" s="89">
        <f t="shared" si="266"/>
        <v>45747.58</v>
      </c>
      <c r="S726" s="83">
        <f t="shared" si="195"/>
        <v>27.17126984126984</v>
      </c>
      <c r="T726" s="84"/>
      <c r="U726" s="84"/>
      <c r="V726" s="84"/>
      <c r="W726" s="84"/>
      <c r="X726" s="85"/>
      <c r="Y726" s="68"/>
      <c r="Z726" s="68"/>
    </row>
    <row r="727" spans="1:26" ht="12.75" hidden="1" outlineLevel="1" x14ac:dyDescent="0.2">
      <c r="A727" s="68"/>
      <c r="B727" s="86"/>
      <c r="C727" s="70" t="s">
        <v>34</v>
      </c>
      <c r="D727" s="90">
        <v>0</v>
      </c>
      <c r="E727" s="73">
        <v>0</v>
      </c>
      <c r="F727" s="73">
        <v>0</v>
      </c>
      <c r="G727" s="74" t="e">
        <f t="shared" si="189"/>
        <v>#DIV/0!</v>
      </c>
      <c r="H727" s="75" t="e">
        <f t="shared" si="190"/>
        <v>#DIV/0!</v>
      </c>
      <c r="I727" s="76" t="e">
        <f t="shared" si="191"/>
        <v>#DIV/0!</v>
      </c>
      <c r="J727" s="90">
        <v>0</v>
      </c>
      <c r="K727" s="73">
        <v>229</v>
      </c>
      <c r="L727" s="73">
        <v>0</v>
      </c>
      <c r="M727" s="91">
        <v>0</v>
      </c>
      <c r="N727" s="79" t="e">
        <f>(J727/M727)</f>
        <v>#DIV/0!</v>
      </c>
      <c r="O727" s="80" t="e">
        <f t="shared" si="192"/>
        <v>#DIV/0!</v>
      </c>
      <c r="P727" s="79" t="e">
        <f t="shared" si="193"/>
        <v>#DIV/0!</v>
      </c>
      <c r="Q727" s="81" t="e">
        <f t="shared" si="194"/>
        <v>#DIV/0!</v>
      </c>
      <c r="R727" s="92">
        <f t="shared" si="266"/>
        <v>0</v>
      </c>
      <c r="S727" s="83" t="e">
        <f t="shared" si="195"/>
        <v>#DIV/0!</v>
      </c>
      <c r="T727" s="84"/>
      <c r="U727" s="84"/>
      <c r="V727" s="84"/>
      <c r="W727" s="84"/>
      <c r="X727" s="85"/>
      <c r="Y727" s="68"/>
      <c r="Z727" s="68"/>
    </row>
    <row r="728" spans="1:26" ht="12.75" hidden="1" outlineLevel="1" x14ac:dyDescent="0.2">
      <c r="A728" s="68"/>
      <c r="B728" s="86"/>
      <c r="C728" s="70" t="s">
        <v>35</v>
      </c>
      <c r="D728" s="90">
        <v>1404.04</v>
      </c>
      <c r="E728" s="73">
        <v>38</v>
      </c>
      <c r="F728" s="73">
        <v>29</v>
      </c>
      <c r="G728" s="74">
        <f t="shared" si="189"/>
        <v>1.3103448275862069</v>
      </c>
      <c r="H728" s="75">
        <f t="shared" si="190"/>
        <v>36.948421052631581</v>
      </c>
      <c r="I728" s="76">
        <f t="shared" si="191"/>
        <v>28.197479224376732</v>
      </c>
      <c r="J728" s="90">
        <v>258.76</v>
      </c>
      <c r="K728" s="73">
        <v>17785</v>
      </c>
      <c r="L728" s="73">
        <v>17</v>
      </c>
      <c r="M728" s="91">
        <v>635.47</v>
      </c>
      <c r="N728" s="79">
        <f t="shared" ref="N728:N745" si="267">J728/M728</f>
        <v>0.40719467480762267</v>
      </c>
      <c r="O728" s="80">
        <f t="shared" si="192"/>
        <v>2.4558277940949145</v>
      </c>
      <c r="P728" s="79">
        <f t="shared" si="193"/>
        <v>0.18429674368251617</v>
      </c>
      <c r="Q728" s="81">
        <f t="shared" si="194"/>
        <v>0.45260106549670953</v>
      </c>
      <c r="R728" s="92">
        <f t="shared" si="266"/>
        <v>768.56999999999994</v>
      </c>
      <c r="S728" s="83">
        <f t="shared" si="195"/>
        <v>15.221176470588235</v>
      </c>
      <c r="T728" s="84"/>
      <c r="U728" s="84"/>
      <c r="V728" s="84"/>
      <c r="W728" s="84"/>
      <c r="X728" s="85"/>
      <c r="Y728" s="68"/>
      <c r="Z728" s="68"/>
    </row>
    <row r="729" spans="1:26" ht="12.75" hidden="1" outlineLevel="1" x14ac:dyDescent="0.2">
      <c r="A729" s="68"/>
      <c r="B729" s="86"/>
      <c r="C729" s="70" t="s">
        <v>36</v>
      </c>
      <c r="D729" s="90">
        <v>551.55999999999995</v>
      </c>
      <c r="E729" s="73">
        <v>14</v>
      </c>
      <c r="F729" s="73">
        <v>11</v>
      </c>
      <c r="G729" s="74">
        <f t="shared" si="189"/>
        <v>1.2727272727272727</v>
      </c>
      <c r="H729" s="75">
        <f t="shared" si="190"/>
        <v>39.397142857142853</v>
      </c>
      <c r="I729" s="76">
        <f t="shared" si="191"/>
        <v>30.954897959183672</v>
      </c>
      <c r="J729" s="90">
        <v>41.14</v>
      </c>
      <c r="K729" s="73">
        <v>11966</v>
      </c>
      <c r="L729" s="73">
        <v>3</v>
      </c>
      <c r="M729" s="91">
        <v>119.91</v>
      </c>
      <c r="N729" s="79">
        <f t="shared" si="267"/>
        <v>0.3430906513218247</v>
      </c>
      <c r="O729" s="80">
        <f t="shared" si="192"/>
        <v>2.9146815751093826</v>
      </c>
      <c r="P729" s="79">
        <f t="shared" si="193"/>
        <v>7.4588440060918137E-2</v>
      </c>
      <c r="Q729" s="81">
        <f t="shared" si="194"/>
        <v>0.21740155196170863</v>
      </c>
      <c r="R729" s="92">
        <f t="shared" si="266"/>
        <v>431.65</v>
      </c>
      <c r="S729" s="83">
        <f t="shared" si="195"/>
        <v>13.713333333333333</v>
      </c>
      <c r="T729" s="84"/>
      <c r="U729" s="84"/>
      <c r="V729" s="84"/>
      <c r="W729" s="84"/>
      <c r="X729" s="85"/>
      <c r="Y729" s="68"/>
      <c r="Z729" s="68"/>
    </row>
    <row r="730" spans="1:26" ht="12.75" hidden="1" outlineLevel="1" x14ac:dyDescent="0.2">
      <c r="A730" s="68"/>
      <c r="B730" s="69" t="s">
        <v>37</v>
      </c>
      <c r="C730" s="70" t="s">
        <v>38</v>
      </c>
      <c r="D730" s="93">
        <v>654.41</v>
      </c>
      <c r="E730" s="73">
        <v>16</v>
      </c>
      <c r="F730" s="73">
        <v>17</v>
      </c>
      <c r="G730" s="74">
        <f t="shared" si="189"/>
        <v>0.94117647058823528</v>
      </c>
      <c r="H730" s="75">
        <f t="shared" si="190"/>
        <v>40.900624999999998</v>
      </c>
      <c r="I730" s="76">
        <f t="shared" si="191"/>
        <v>43.456914062499997</v>
      </c>
      <c r="J730" s="93">
        <v>49.76</v>
      </c>
      <c r="K730" s="73">
        <v>12426</v>
      </c>
      <c r="L730" s="73">
        <v>4</v>
      </c>
      <c r="M730" s="94">
        <v>89.92</v>
      </c>
      <c r="N730" s="79">
        <f t="shared" si="267"/>
        <v>0.55338078291814941</v>
      </c>
      <c r="O730" s="80">
        <f t="shared" si="192"/>
        <v>1.807073954983923</v>
      </c>
      <c r="P730" s="79">
        <f t="shared" si="193"/>
        <v>7.6037957855167246E-2</v>
      </c>
      <c r="Q730" s="81">
        <f t="shared" si="194"/>
        <v>0.13740621323023794</v>
      </c>
      <c r="R730" s="95">
        <f t="shared" si="266"/>
        <v>564.49</v>
      </c>
      <c r="S730" s="83">
        <f t="shared" si="195"/>
        <v>12.44</v>
      </c>
      <c r="T730" s="84"/>
      <c r="U730" s="84"/>
      <c r="V730" s="84"/>
      <c r="W730" s="84"/>
      <c r="X730" s="85"/>
      <c r="Y730" s="68"/>
      <c r="Z730" s="68"/>
    </row>
    <row r="731" spans="1:26" ht="12.75" hidden="1" outlineLevel="1" x14ac:dyDescent="0.2">
      <c r="A731" s="68"/>
      <c r="B731" s="86"/>
      <c r="C731" s="70" t="s">
        <v>39</v>
      </c>
      <c r="D731" s="96">
        <v>0</v>
      </c>
      <c r="E731" s="73">
        <v>0</v>
      </c>
      <c r="F731" s="73">
        <v>0</v>
      </c>
      <c r="G731" s="74" t="e">
        <f t="shared" si="189"/>
        <v>#DIV/0!</v>
      </c>
      <c r="H731" s="75" t="e">
        <f t="shared" si="190"/>
        <v>#DIV/0!</v>
      </c>
      <c r="I731" s="76" t="e">
        <f t="shared" si="191"/>
        <v>#DIV/0!</v>
      </c>
      <c r="J731" s="96">
        <v>0</v>
      </c>
      <c r="K731" s="73">
        <v>0</v>
      </c>
      <c r="L731" s="73">
        <v>0</v>
      </c>
      <c r="M731" s="97">
        <v>0</v>
      </c>
      <c r="N731" s="79" t="e">
        <f t="shared" si="267"/>
        <v>#DIV/0!</v>
      </c>
      <c r="O731" s="80" t="e">
        <f t="shared" si="192"/>
        <v>#DIV/0!</v>
      </c>
      <c r="P731" s="79" t="e">
        <f t="shared" si="193"/>
        <v>#DIV/0!</v>
      </c>
      <c r="Q731" s="81" t="e">
        <f t="shared" si="194"/>
        <v>#DIV/0!</v>
      </c>
      <c r="R731" s="98">
        <f t="shared" si="266"/>
        <v>0</v>
      </c>
      <c r="S731" s="83" t="e">
        <f t="shared" si="195"/>
        <v>#DIV/0!</v>
      </c>
      <c r="T731" s="84"/>
      <c r="U731" s="84"/>
      <c r="V731" s="84"/>
      <c r="W731" s="84"/>
      <c r="X731" s="85"/>
      <c r="Y731" s="68"/>
      <c r="Z731" s="68"/>
    </row>
    <row r="732" spans="1:26" ht="12.75" hidden="1" outlineLevel="1" x14ac:dyDescent="0.2">
      <c r="A732" s="68"/>
      <c r="B732" s="86"/>
      <c r="C732" s="70" t="s">
        <v>40</v>
      </c>
      <c r="D732" s="99">
        <v>0</v>
      </c>
      <c r="E732" s="73">
        <v>0</v>
      </c>
      <c r="F732" s="73">
        <v>0</v>
      </c>
      <c r="G732" s="74" t="e">
        <f t="shared" si="189"/>
        <v>#DIV/0!</v>
      </c>
      <c r="H732" s="75" t="e">
        <f t="shared" si="190"/>
        <v>#DIV/0!</v>
      </c>
      <c r="I732" s="76" t="e">
        <f t="shared" si="191"/>
        <v>#DIV/0!</v>
      </c>
      <c r="J732" s="99">
        <v>0</v>
      </c>
      <c r="K732" s="73">
        <v>0</v>
      </c>
      <c r="L732" s="73">
        <v>0</v>
      </c>
      <c r="M732" s="100">
        <v>0</v>
      </c>
      <c r="N732" s="79" t="e">
        <f t="shared" si="267"/>
        <v>#DIV/0!</v>
      </c>
      <c r="O732" s="80" t="e">
        <f t="shared" si="192"/>
        <v>#DIV/0!</v>
      </c>
      <c r="P732" s="79" t="e">
        <f t="shared" si="193"/>
        <v>#DIV/0!</v>
      </c>
      <c r="Q732" s="81" t="e">
        <f t="shared" si="194"/>
        <v>#DIV/0!</v>
      </c>
      <c r="R732" s="101">
        <f t="shared" si="266"/>
        <v>0</v>
      </c>
      <c r="S732" s="83" t="e">
        <f t="shared" si="195"/>
        <v>#DIV/0!</v>
      </c>
      <c r="T732" s="84"/>
      <c r="U732" s="84"/>
      <c r="V732" s="84"/>
      <c r="W732" s="84"/>
      <c r="X732" s="85"/>
      <c r="Y732" s="68"/>
      <c r="Z732" s="68"/>
    </row>
    <row r="733" spans="1:26" ht="12.75" hidden="1" outlineLevel="1" x14ac:dyDescent="0.2">
      <c r="A733" s="68"/>
      <c r="B733" s="86"/>
      <c r="C733" s="70" t="s">
        <v>41</v>
      </c>
      <c r="D733" s="102">
        <v>3504.03</v>
      </c>
      <c r="E733" s="73">
        <v>79</v>
      </c>
      <c r="F733" s="73">
        <v>58</v>
      </c>
      <c r="G733" s="74">
        <f t="shared" si="189"/>
        <v>1.3620689655172413</v>
      </c>
      <c r="H733" s="75">
        <f t="shared" si="190"/>
        <v>44.354810126582279</v>
      </c>
      <c r="I733" s="76">
        <f t="shared" si="191"/>
        <v>32.564290979009776</v>
      </c>
      <c r="J733" s="102">
        <v>586.67999999999995</v>
      </c>
      <c r="K733" s="73">
        <v>37948</v>
      </c>
      <c r="L733" s="73">
        <v>25</v>
      </c>
      <c r="M733" s="103">
        <v>1499.48</v>
      </c>
      <c r="N733" s="79">
        <f t="shared" si="267"/>
        <v>0.39125563528689944</v>
      </c>
      <c r="O733" s="80">
        <f t="shared" si="192"/>
        <v>2.5558737301424972</v>
      </c>
      <c r="P733" s="79">
        <f t="shared" si="193"/>
        <v>0.16743007337265944</v>
      </c>
      <c r="Q733" s="81">
        <f t="shared" si="194"/>
        <v>0.4279301261690111</v>
      </c>
      <c r="R733" s="104">
        <f t="shared" si="266"/>
        <v>2004.5500000000002</v>
      </c>
      <c r="S733" s="83">
        <f t="shared" si="195"/>
        <v>23.467199999999998</v>
      </c>
      <c r="T733" s="84"/>
      <c r="U733" s="84"/>
      <c r="V733" s="84"/>
      <c r="W733" s="84"/>
      <c r="X733" s="85"/>
      <c r="Y733" s="68"/>
      <c r="Z733" s="68"/>
    </row>
    <row r="734" spans="1:26" ht="12.75" hidden="1" outlineLevel="1" x14ac:dyDescent="0.2">
      <c r="A734" s="68"/>
      <c r="B734" s="86"/>
      <c r="C734" s="70" t="s">
        <v>42</v>
      </c>
      <c r="D734" s="90">
        <v>69.92</v>
      </c>
      <c r="E734" s="73">
        <v>4</v>
      </c>
      <c r="F734" s="73">
        <v>4</v>
      </c>
      <c r="G734" s="74">
        <f t="shared" si="189"/>
        <v>1</v>
      </c>
      <c r="H734" s="75">
        <f t="shared" si="190"/>
        <v>17.48</v>
      </c>
      <c r="I734" s="76">
        <f t="shared" si="191"/>
        <v>17.48</v>
      </c>
      <c r="J734" s="90">
        <v>107.2</v>
      </c>
      <c r="K734" s="73">
        <v>37986</v>
      </c>
      <c r="L734" s="73">
        <v>3</v>
      </c>
      <c r="M734" s="91">
        <v>59.97</v>
      </c>
      <c r="N734" s="79">
        <f t="shared" si="267"/>
        <v>1.7875604468901118</v>
      </c>
      <c r="O734" s="80">
        <f t="shared" si="192"/>
        <v>0.5594216417910447</v>
      </c>
      <c r="P734" s="79">
        <f t="shared" si="193"/>
        <v>1.5331807780320366</v>
      </c>
      <c r="Q734" s="81">
        <f t="shared" si="194"/>
        <v>0.85769450800915326</v>
      </c>
      <c r="R734" s="92">
        <f t="shared" si="266"/>
        <v>9.9500000000000028</v>
      </c>
      <c r="S734" s="83">
        <f t="shared" si="195"/>
        <v>35.733333333333334</v>
      </c>
      <c r="T734" s="84"/>
      <c r="U734" s="84"/>
      <c r="V734" s="84"/>
      <c r="W734" s="84"/>
      <c r="X734" s="85"/>
      <c r="Y734" s="68"/>
      <c r="Z734" s="68"/>
    </row>
    <row r="735" spans="1:26" ht="12.75" hidden="1" outlineLevel="1" x14ac:dyDescent="0.2">
      <c r="A735" s="68"/>
      <c r="B735" s="86"/>
      <c r="C735" s="70" t="s">
        <v>43</v>
      </c>
      <c r="D735" s="105">
        <v>4789.59</v>
      </c>
      <c r="E735" s="73">
        <v>43</v>
      </c>
      <c r="F735" s="73">
        <v>42</v>
      </c>
      <c r="G735" s="74">
        <f t="shared" si="189"/>
        <v>1.0238095238095237</v>
      </c>
      <c r="H735" s="75">
        <f t="shared" si="190"/>
        <v>111.38581395348838</v>
      </c>
      <c r="I735" s="76">
        <f t="shared" si="191"/>
        <v>108.79544618712819</v>
      </c>
      <c r="J735" s="105">
        <v>77.52</v>
      </c>
      <c r="K735" s="73">
        <v>15141</v>
      </c>
      <c r="L735" s="73">
        <v>3</v>
      </c>
      <c r="M735" s="106">
        <v>146.22</v>
      </c>
      <c r="N735" s="79">
        <f t="shared" si="267"/>
        <v>0.53016003282724655</v>
      </c>
      <c r="O735" s="80">
        <f t="shared" si="192"/>
        <v>1.8862229102167183</v>
      </c>
      <c r="P735" s="79">
        <f t="shared" si="193"/>
        <v>1.6185101438745277E-2</v>
      </c>
      <c r="Q735" s="81">
        <f t="shared" si="194"/>
        <v>3.0528709137942912E-2</v>
      </c>
      <c r="R735" s="107">
        <f t="shared" si="266"/>
        <v>4643.37</v>
      </c>
      <c r="S735" s="83">
        <f t="shared" si="195"/>
        <v>25.84</v>
      </c>
      <c r="T735" s="84"/>
      <c r="U735" s="84"/>
      <c r="V735" s="84"/>
      <c r="W735" s="84"/>
      <c r="X735" s="85"/>
      <c r="Y735" s="68"/>
      <c r="Z735" s="68"/>
    </row>
    <row r="736" spans="1:26" ht="12.75" hidden="1" outlineLevel="1" x14ac:dyDescent="0.2">
      <c r="A736" s="68"/>
      <c r="B736" s="86"/>
      <c r="C736" s="70" t="s">
        <v>44</v>
      </c>
      <c r="D736" s="108">
        <v>317.77</v>
      </c>
      <c r="E736" s="73">
        <v>9</v>
      </c>
      <c r="F736" s="73">
        <v>8</v>
      </c>
      <c r="G736" s="74">
        <f t="shared" si="189"/>
        <v>1.125</v>
      </c>
      <c r="H736" s="75">
        <f t="shared" si="190"/>
        <v>35.307777777777773</v>
      </c>
      <c r="I736" s="76">
        <f t="shared" si="191"/>
        <v>31.384691358024686</v>
      </c>
      <c r="J736" s="108">
        <v>92.06</v>
      </c>
      <c r="K736" s="73">
        <v>31307</v>
      </c>
      <c r="L736" s="73">
        <v>3</v>
      </c>
      <c r="M736" s="109">
        <v>128.91999999999999</v>
      </c>
      <c r="N736" s="79">
        <f t="shared" si="267"/>
        <v>0.7140862550418865</v>
      </c>
      <c r="O736" s="80">
        <f t="shared" si="192"/>
        <v>1.4003910493156635</v>
      </c>
      <c r="P736" s="79">
        <f t="shared" si="193"/>
        <v>0.28970639141517451</v>
      </c>
      <c r="Q736" s="81">
        <f t="shared" si="194"/>
        <v>0.40570223746735057</v>
      </c>
      <c r="R736" s="110">
        <f t="shared" si="266"/>
        <v>188.85</v>
      </c>
      <c r="S736" s="83">
        <f t="shared" si="195"/>
        <v>30.686666666666667</v>
      </c>
      <c r="T736" s="84"/>
      <c r="U736" s="84"/>
      <c r="V736" s="84"/>
      <c r="W736" s="84"/>
      <c r="X736" s="85"/>
      <c r="Y736" s="68"/>
      <c r="Z736" s="68"/>
    </row>
    <row r="737" spans="1:26" ht="12.75" hidden="1" outlineLevel="1" x14ac:dyDescent="0.2">
      <c r="A737" s="111"/>
      <c r="B737" s="86"/>
      <c r="C737" s="112" t="s">
        <v>45</v>
      </c>
      <c r="D737" s="71">
        <v>0</v>
      </c>
      <c r="E737" s="73">
        <v>0</v>
      </c>
      <c r="F737" s="73">
        <v>0</v>
      </c>
      <c r="G737" s="74" t="e">
        <f t="shared" si="189"/>
        <v>#DIV/0!</v>
      </c>
      <c r="H737" s="75" t="e">
        <f t="shared" si="190"/>
        <v>#DIV/0!</v>
      </c>
      <c r="I737" s="76" t="e">
        <f t="shared" si="191"/>
        <v>#DIV/0!</v>
      </c>
      <c r="J737" s="71">
        <v>0</v>
      </c>
      <c r="K737" s="73">
        <v>0</v>
      </c>
      <c r="L737" s="73">
        <v>0</v>
      </c>
      <c r="M737" s="78">
        <v>0</v>
      </c>
      <c r="N737" s="79" t="e">
        <f t="shared" si="267"/>
        <v>#DIV/0!</v>
      </c>
      <c r="O737" s="80" t="e">
        <f t="shared" si="192"/>
        <v>#DIV/0!</v>
      </c>
      <c r="P737" s="79" t="e">
        <f t="shared" si="193"/>
        <v>#DIV/0!</v>
      </c>
      <c r="Q737" s="81" t="e">
        <f t="shared" si="194"/>
        <v>#DIV/0!</v>
      </c>
      <c r="R737" s="82">
        <f t="shared" si="266"/>
        <v>0</v>
      </c>
      <c r="S737" s="83" t="e">
        <f t="shared" si="195"/>
        <v>#DIV/0!</v>
      </c>
      <c r="T737" s="113"/>
      <c r="U737" s="113"/>
      <c r="V737" s="113"/>
      <c r="W737" s="114"/>
      <c r="X737" s="115"/>
      <c r="Y737" s="68"/>
      <c r="Z737" s="68"/>
    </row>
    <row r="738" spans="1:26" ht="12.75" hidden="1" outlineLevel="1" x14ac:dyDescent="0.2">
      <c r="A738" s="68"/>
      <c r="B738" s="86"/>
      <c r="C738" s="70" t="s">
        <v>46</v>
      </c>
      <c r="D738" s="116">
        <v>2299.1999999999998</v>
      </c>
      <c r="E738" s="73">
        <v>66</v>
      </c>
      <c r="F738" s="73">
        <v>63</v>
      </c>
      <c r="G738" s="74">
        <f t="shared" si="189"/>
        <v>1.0476190476190477</v>
      </c>
      <c r="H738" s="75">
        <f t="shared" si="190"/>
        <v>34.836363636363636</v>
      </c>
      <c r="I738" s="76">
        <f t="shared" si="191"/>
        <v>33.252892561983472</v>
      </c>
      <c r="J738" s="116">
        <v>177.1</v>
      </c>
      <c r="K738" s="73">
        <v>25398</v>
      </c>
      <c r="L738" s="73">
        <v>21</v>
      </c>
      <c r="M738" s="117">
        <v>579.74</v>
      </c>
      <c r="N738" s="79">
        <f t="shared" si="267"/>
        <v>0.30548176768896401</v>
      </c>
      <c r="O738" s="80">
        <f t="shared" si="192"/>
        <v>3.273517786561265</v>
      </c>
      <c r="P738" s="79">
        <f t="shared" si="193"/>
        <v>7.7026791927627E-2</v>
      </c>
      <c r="Q738" s="81">
        <f t="shared" si="194"/>
        <v>0.25214857341684066</v>
      </c>
      <c r="R738" s="82">
        <f t="shared" si="266"/>
        <v>1719.4599999999998</v>
      </c>
      <c r="S738" s="83">
        <f t="shared" si="195"/>
        <v>8.4333333333333336</v>
      </c>
      <c r="T738" s="84"/>
      <c r="U738" s="84"/>
      <c r="V738" s="84"/>
      <c r="W738" s="84"/>
      <c r="X738" s="85"/>
      <c r="Y738" s="68"/>
      <c r="Z738" s="68"/>
    </row>
    <row r="739" spans="1:26" ht="12.75" hidden="1" outlineLevel="1" x14ac:dyDescent="0.2">
      <c r="A739" s="68"/>
      <c r="B739" s="86"/>
      <c r="C739" s="70" t="s">
        <v>47</v>
      </c>
      <c r="D739" s="87">
        <v>149.75</v>
      </c>
      <c r="E739" s="73">
        <v>5</v>
      </c>
      <c r="F739" s="73">
        <v>2</v>
      </c>
      <c r="G739" s="74">
        <f t="shared" si="189"/>
        <v>2.5</v>
      </c>
      <c r="H739" s="75">
        <f t="shared" si="190"/>
        <v>29.95</v>
      </c>
      <c r="I739" s="76">
        <f t="shared" si="191"/>
        <v>11.98</v>
      </c>
      <c r="J739" s="87">
        <v>0</v>
      </c>
      <c r="K739" s="73">
        <v>0</v>
      </c>
      <c r="L739" s="73">
        <v>0</v>
      </c>
      <c r="M739" s="88">
        <v>0</v>
      </c>
      <c r="N739" s="79" t="e">
        <f t="shared" si="267"/>
        <v>#DIV/0!</v>
      </c>
      <c r="O739" s="80" t="e">
        <f t="shared" si="192"/>
        <v>#DIV/0!</v>
      </c>
      <c r="P739" s="79">
        <f t="shared" si="193"/>
        <v>0</v>
      </c>
      <c r="Q739" s="81">
        <f t="shared" si="194"/>
        <v>0</v>
      </c>
      <c r="R739" s="82">
        <f t="shared" si="266"/>
        <v>149.75</v>
      </c>
      <c r="S739" s="83" t="e">
        <f t="shared" si="195"/>
        <v>#DIV/0!</v>
      </c>
      <c r="T739" s="84"/>
      <c r="U739" s="84"/>
      <c r="V739" s="84"/>
      <c r="W739" s="84"/>
      <c r="X739" s="85"/>
      <c r="Y739" s="68"/>
      <c r="Z739" s="68"/>
    </row>
    <row r="740" spans="1:26" ht="12.75" hidden="1" outlineLevel="1" x14ac:dyDescent="0.2">
      <c r="A740" s="68"/>
      <c r="B740" s="86"/>
      <c r="C740" s="70" t="s">
        <v>48</v>
      </c>
      <c r="D740" s="102">
        <v>6311.75</v>
      </c>
      <c r="E740" s="73">
        <v>43</v>
      </c>
      <c r="F740" s="73">
        <v>43</v>
      </c>
      <c r="G740" s="74">
        <f t="shared" si="189"/>
        <v>1</v>
      </c>
      <c r="H740" s="75">
        <f t="shared" si="190"/>
        <v>146.78488372093022</v>
      </c>
      <c r="I740" s="76">
        <f t="shared" si="191"/>
        <v>146.78488372093022</v>
      </c>
      <c r="J740" s="102">
        <v>718.92</v>
      </c>
      <c r="K740" s="73">
        <v>39216</v>
      </c>
      <c r="L740" s="73">
        <v>15</v>
      </c>
      <c r="M740" s="103">
        <v>2033.55</v>
      </c>
      <c r="N740" s="79">
        <f t="shared" si="267"/>
        <v>0.35352954193405617</v>
      </c>
      <c r="O740" s="80">
        <f t="shared" si="192"/>
        <v>2.8286179268903355</v>
      </c>
      <c r="P740" s="79">
        <f t="shared" si="193"/>
        <v>0.11390184972471976</v>
      </c>
      <c r="Q740" s="81">
        <f t="shared" si="194"/>
        <v>0.32218481403731136</v>
      </c>
      <c r="R740" s="82">
        <f t="shared" si="266"/>
        <v>4278.2</v>
      </c>
      <c r="S740" s="83">
        <f t="shared" si="195"/>
        <v>47.927999999999997</v>
      </c>
      <c r="T740" s="84"/>
      <c r="U740" s="84"/>
      <c r="V740" s="84"/>
      <c r="W740" s="84"/>
      <c r="X740" s="85"/>
      <c r="Y740" s="68"/>
      <c r="Z740" s="68"/>
    </row>
    <row r="741" spans="1:26" ht="12.75" hidden="1" outlineLevel="1" x14ac:dyDescent="0.2">
      <c r="A741" s="68"/>
      <c r="B741" s="86"/>
      <c r="C741" s="70" t="s">
        <v>49</v>
      </c>
      <c r="D741" s="116">
        <v>81.75</v>
      </c>
      <c r="E741" s="73">
        <v>1</v>
      </c>
      <c r="F741" s="73">
        <v>1</v>
      </c>
      <c r="G741" s="74">
        <f t="shared" si="189"/>
        <v>1</v>
      </c>
      <c r="H741" s="75">
        <f t="shared" si="190"/>
        <v>81.75</v>
      </c>
      <c r="I741" s="76">
        <f t="shared" si="191"/>
        <v>81.75</v>
      </c>
      <c r="J741" s="116">
        <v>15.9</v>
      </c>
      <c r="K741" s="73">
        <v>9569</v>
      </c>
      <c r="L741" s="73">
        <v>0</v>
      </c>
      <c r="M741" s="117">
        <v>0</v>
      </c>
      <c r="N741" s="79" t="e">
        <f t="shared" si="267"/>
        <v>#DIV/0!</v>
      </c>
      <c r="O741" s="80">
        <f t="shared" si="192"/>
        <v>0</v>
      </c>
      <c r="P741" s="79">
        <f t="shared" si="193"/>
        <v>0.19449541284403671</v>
      </c>
      <c r="Q741" s="81">
        <f t="shared" si="194"/>
        <v>0</v>
      </c>
      <c r="R741" s="82">
        <f t="shared" si="266"/>
        <v>81.75</v>
      </c>
      <c r="S741" s="83" t="e">
        <f t="shared" si="195"/>
        <v>#DIV/0!</v>
      </c>
      <c r="T741" s="84"/>
      <c r="U741" s="84"/>
      <c r="V741" s="84"/>
      <c r="W741" s="84"/>
      <c r="X741" s="85"/>
      <c r="Y741" s="68"/>
      <c r="Z741" s="68"/>
    </row>
    <row r="742" spans="1:26" hidden="1" outlineLevel="1" x14ac:dyDescent="0.25">
      <c r="A742" s="118" t="str">
        <f t="shared" ref="A742:A743" si="268">IFERROR(IF(B742&gt;0,MONTH(B742)&amp;"-"&amp;YEAR(B742),B742),)</f>
        <v>11-2025</v>
      </c>
      <c r="B742" s="69">
        <v>45990</v>
      </c>
      <c r="C742" s="198" t="s">
        <v>64</v>
      </c>
      <c r="D742" s="116">
        <v>0</v>
      </c>
      <c r="E742" s="73">
        <v>0</v>
      </c>
      <c r="F742" s="73">
        <v>0</v>
      </c>
      <c r="G742" s="74" t="e">
        <f t="shared" si="189"/>
        <v>#DIV/0!</v>
      </c>
      <c r="H742" s="75" t="e">
        <f t="shared" si="190"/>
        <v>#DIV/0!</v>
      </c>
      <c r="I742" s="76" t="e">
        <f t="shared" si="191"/>
        <v>#DIV/0!</v>
      </c>
      <c r="J742" s="87">
        <v>4957.0099999999993</v>
      </c>
      <c r="K742" s="199">
        <v>315237</v>
      </c>
      <c r="L742" s="73">
        <v>0</v>
      </c>
      <c r="M742" s="88">
        <v>34658.959999999999</v>
      </c>
      <c r="N742" s="79">
        <f t="shared" si="267"/>
        <v>0.14302246807174823</v>
      </c>
      <c r="O742" s="80">
        <f t="shared" si="192"/>
        <v>6.9919084286697029</v>
      </c>
      <c r="P742" s="79" t="e">
        <f t="shared" si="193"/>
        <v>#DIV/0!</v>
      </c>
      <c r="Q742" s="81" t="e">
        <f t="shared" si="194"/>
        <v>#DIV/0!</v>
      </c>
      <c r="R742" s="82">
        <f t="shared" si="266"/>
        <v>-34658.959999999999</v>
      </c>
      <c r="S742" s="83" t="e">
        <f t="shared" si="195"/>
        <v>#DIV/0!</v>
      </c>
      <c r="T742" s="84"/>
      <c r="U742" s="84"/>
      <c r="V742" s="84"/>
      <c r="W742" s="84"/>
      <c r="X742" s="85"/>
      <c r="Y742" s="68"/>
      <c r="Z742" s="68"/>
    </row>
    <row r="743" spans="1:26" ht="12.75" collapsed="1" x14ac:dyDescent="0.2">
      <c r="A743" s="68">
        <f t="shared" si="268"/>
        <v>0</v>
      </c>
      <c r="B743" s="52" t="s">
        <v>106</v>
      </c>
      <c r="C743" s="120"/>
      <c r="D743" s="121">
        <f t="shared" ref="D743:F743" si="269">SUM(D725:D742)</f>
        <v>90697.199999999983</v>
      </c>
      <c r="E743" s="123">
        <f t="shared" si="269"/>
        <v>574</v>
      </c>
      <c r="F743" s="123">
        <f t="shared" si="269"/>
        <v>539</v>
      </c>
      <c r="G743" s="124">
        <f t="shared" si="189"/>
        <v>1.0649350649350648</v>
      </c>
      <c r="H743" s="125">
        <f t="shared" si="190"/>
        <v>158.00905923344945</v>
      </c>
      <c r="I743" s="126">
        <f t="shared" si="191"/>
        <v>148.37436049970253</v>
      </c>
      <c r="J743" s="121">
        <f t="shared" ref="J743:M743" si="270">SUM(J725:J742)</f>
        <v>12269.900000000001</v>
      </c>
      <c r="K743" s="123">
        <f t="shared" si="270"/>
        <v>3346609</v>
      </c>
      <c r="L743" s="123">
        <f t="shared" si="270"/>
        <v>182</v>
      </c>
      <c r="M743" s="127">
        <f t="shared" si="270"/>
        <v>54449.53</v>
      </c>
      <c r="N743" s="128">
        <f t="shared" si="267"/>
        <v>0.22534446119185972</v>
      </c>
      <c r="O743" s="129">
        <f t="shared" si="192"/>
        <v>4.4376506735996211</v>
      </c>
      <c r="P743" s="128">
        <f t="shared" si="193"/>
        <v>0.13528422046105065</v>
      </c>
      <c r="Q743" s="130">
        <f t="shared" si="194"/>
        <v>0.60034411205638116</v>
      </c>
      <c r="R743" s="131">
        <f>SUM(R725:R742)</f>
        <v>36247.670000000006</v>
      </c>
      <c r="S743" s="132">
        <f t="shared" si="195"/>
        <v>67.417032967032981</v>
      </c>
      <c r="T743" s="133">
        <f t="shared" ref="T743:U743" si="271">IFERROR((D743-D69)/D743,)</f>
        <v>0.9164106499428869</v>
      </c>
      <c r="U743" s="133">
        <f t="shared" si="271"/>
        <v>0.83623693379790942</v>
      </c>
      <c r="V743" s="134" t="s">
        <v>139</v>
      </c>
      <c r="W743" s="134" t="s">
        <v>139</v>
      </c>
      <c r="X743" s="68"/>
      <c r="Y743" s="68"/>
      <c r="Z743" s="68"/>
    </row>
    <row r="744" spans="1:26" ht="12.75" hidden="1" outlineLevel="1" x14ac:dyDescent="0.2">
      <c r="A744" s="68"/>
      <c r="B744" s="69">
        <v>45991</v>
      </c>
      <c r="C744" s="70" t="s">
        <v>32</v>
      </c>
      <c r="D744" s="71">
        <v>13062.62</v>
      </c>
      <c r="E744" s="73">
        <v>52</v>
      </c>
      <c r="F744" s="73">
        <v>48</v>
      </c>
      <c r="G744" s="74">
        <f t="shared" si="189"/>
        <v>1.0833333333333333</v>
      </c>
      <c r="H744" s="75">
        <f t="shared" si="190"/>
        <v>251.20423076923078</v>
      </c>
      <c r="I744" s="76">
        <f t="shared" si="191"/>
        <v>231.88082840236689</v>
      </c>
      <c r="J744" s="77">
        <v>3476.06</v>
      </c>
      <c r="K744" s="73">
        <v>789555</v>
      </c>
      <c r="L744" s="73">
        <v>25</v>
      </c>
      <c r="M744" s="78">
        <v>5744.61</v>
      </c>
      <c r="N744" s="79">
        <f t="shared" si="267"/>
        <v>0.6050993888183881</v>
      </c>
      <c r="O744" s="80">
        <f t="shared" si="192"/>
        <v>1.6526210709826643</v>
      </c>
      <c r="P744" s="79">
        <f t="shared" si="193"/>
        <v>0.26610741183621661</v>
      </c>
      <c r="Q744" s="81">
        <f t="shared" si="194"/>
        <v>0.43977471594519318</v>
      </c>
      <c r="R744" s="82">
        <f t="shared" ref="R744:R761" si="272">D744-M744</f>
        <v>7318.0100000000011</v>
      </c>
      <c r="S744" s="83">
        <f t="shared" si="195"/>
        <v>139.04239999999999</v>
      </c>
      <c r="T744" s="84"/>
      <c r="U744" s="84"/>
      <c r="V744" s="84"/>
      <c r="W744" s="84"/>
      <c r="X744" s="85"/>
      <c r="Y744" s="68"/>
      <c r="Z744" s="68"/>
    </row>
    <row r="745" spans="1:26" ht="12.75" hidden="1" outlineLevel="1" x14ac:dyDescent="0.2">
      <c r="A745" s="68"/>
      <c r="B745" s="86"/>
      <c r="C745" s="70" t="s">
        <v>33</v>
      </c>
      <c r="D745" s="87">
        <v>46091.89</v>
      </c>
      <c r="E745" s="73">
        <v>185</v>
      </c>
      <c r="F745" s="73">
        <v>189</v>
      </c>
      <c r="G745" s="74">
        <f t="shared" si="189"/>
        <v>0.97883597883597884</v>
      </c>
      <c r="H745" s="75">
        <f t="shared" si="190"/>
        <v>249.14535135135134</v>
      </c>
      <c r="I745" s="76">
        <f t="shared" si="191"/>
        <v>254.53227786705622</v>
      </c>
      <c r="J745" s="87">
        <v>1711.79</v>
      </c>
      <c r="K745" s="73">
        <v>2002846</v>
      </c>
      <c r="L745" s="73">
        <v>63</v>
      </c>
      <c r="M745" s="88">
        <v>8752.7800000000007</v>
      </c>
      <c r="N745" s="79">
        <f t="shared" si="267"/>
        <v>0.1955710071542984</v>
      </c>
      <c r="O745" s="80">
        <f t="shared" si="192"/>
        <v>5.1132323474257948</v>
      </c>
      <c r="P745" s="79">
        <f t="shared" si="193"/>
        <v>3.7138637621499139E-2</v>
      </c>
      <c r="Q745" s="81">
        <f t="shared" si="194"/>
        <v>0.18989848322557398</v>
      </c>
      <c r="R745" s="89">
        <f t="shared" si="272"/>
        <v>37339.11</v>
      </c>
      <c r="S745" s="83">
        <f t="shared" si="195"/>
        <v>27.17126984126984</v>
      </c>
      <c r="T745" s="84"/>
      <c r="U745" s="84"/>
      <c r="V745" s="84"/>
      <c r="W745" s="84"/>
      <c r="X745" s="85"/>
      <c r="Y745" s="68"/>
      <c r="Z745" s="68"/>
    </row>
    <row r="746" spans="1:26" ht="12.75" hidden="1" outlineLevel="1" x14ac:dyDescent="0.2">
      <c r="A746" s="68"/>
      <c r="B746" s="86"/>
      <c r="C746" s="70" t="s">
        <v>34</v>
      </c>
      <c r="D746" s="90">
        <v>69.95</v>
      </c>
      <c r="E746" s="73">
        <v>1</v>
      </c>
      <c r="F746" s="73">
        <v>1</v>
      </c>
      <c r="G746" s="74">
        <f t="shared" si="189"/>
        <v>1</v>
      </c>
      <c r="H746" s="75">
        <f t="shared" si="190"/>
        <v>69.95</v>
      </c>
      <c r="I746" s="76">
        <f t="shared" si="191"/>
        <v>69.95</v>
      </c>
      <c r="J746" s="90">
        <v>0</v>
      </c>
      <c r="K746" s="73">
        <v>229</v>
      </c>
      <c r="L746" s="73">
        <v>0</v>
      </c>
      <c r="M746" s="91">
        <v>0</v>
      </c>
      <c r="N746" s="79" t="e">
        <f>(J746/M746)</f>
        <v>#DIV/0!</v>
      </c>
      <c r="O746" s="80" t="e">
        <f t="shared" si="192"/>
        <v>#DIV/0!</v>
      </c>
      <c r="P746" s="79">
        <f t="shared" si="193"/>
        <v>0</v>
      </c>
      <c r="Q746" s="81">
        <f t="shared" si="194"/>
        <v>0</v>
      </c>
      <c r="R746" s="92">
        <f t="shared" si="272"/>
        <v>69.95</v>
      </c>
      <c r="S746" s="83" t="e">
        <f t="shared" si="195"/>
        <v>#DIV/0!</v>
      </c>
      <c r="T746" s="84"/>
      <c r="U746" s="84"/>
      <c r="V746" s="84"/>
      <c r="W746" s="84"/>
      <c r="X746" s="85"/>
      <c r="Y746" s="68"/>
      <c r="Z746" s="68"/>
    </row>
    <row r="747" spans="1:26" ht="12.75" hidden="1" outlineLevel="1" x14ac:dyDescent="0.2">
      <c r="A747" s="68"/>
      <c r="B747" s="86"/>
      <c r="C747" s="70" t="s">
        <v>35</v>
      </c>
      <c r="D747" s="90">
        <v>926.27</v>
      </c>
      <c r="E747" s="73">
        <v>19</v>
      </c>
      <c r="F747" s="73">
        <v>15</v>
      </c>
      <c r="G747" s="74">
        <f t="shared" si="189"/>
        <v>1.2666666666666666</v>
      </c>
      <c r="H747" s="75">
        <f t="shared" si="190"/>
        <v>48.751052631578943</v>
      </c>
      <c r="I747" s="76">
        <f t="shared" si="191"/>
        <v>38.487673130193905</v>
      </c>
      <c r="J747" s="90">
        <v>258.76</v>
      </c>
      <c r="K747" s="73">
        <v>17785</v>
      </c>
      <c r="L747" s="73">
        <v>17</v>
      </c>
      <c r="M747" s="91">
        <v>635.47</v>
      </c>
      <c r="N747" s="79">
        <f t="shared" ref="N747:N764" si="273">J747/M747</f>
        <v>0.40719467480762267</v>
      </c>
      <c r="O747" s="80">
        <f t="shared" si="192"/>
        <v>2.4558277940949145</v>
      </c>
      <c r="P747" s="79">
        <f t="shared" si="193"/>
        <v>0.27935699094216587</v>
      </c>
      <c r="Q747" s="81">
        <f t="shared" si="194"/>
        <v>0.68605266283049227</v>
      </c>
      <c r="R747" s="92">
        <f t="shared" si="272"/>
        <v>290.79999999999995</v>
      </c>
      <c r="S747" s="83">
        <f t="shared" si="195"/>
        <v>15.221176470588235</v>
      </c>
      <c r="T747" s="84"/>
      <c r="U747" s="84"/>
      <c r="V747" s="84"/>
      <c r="W747" s="84"/>
      <c r="X747" s="85"/>
      <c r="Y747" s="68"/>
      <c r="Z747" s="68"/>
    </row>
    <row r="748" spans="1:26" ht="12.75" hidden="1" outlineLevel="1" x14ac:dyDescent="0.2">
      <c r="A748" s="68"/>
      <c r="B748" s="86"/>
      <c r="C748" s="70" t="s">
        <v>36</v>
      </c>
      <c r="D748" s="90">
        <v>688.46</v>
      </c>
      <c r="E748" s="73">
        <v>14</v>
      </c>
      <c r="F748" s="73">
        <v>13</v>
      </c>
      <c r="G748" s="74">
        <f t="shared" si="189"/>
        <v>1.0769230769230769</v>
      </c>
      <c r="H748" s="75">
        <f t="shared" si="190"/>
        <v>49.175714285714285</v>
      </c>
      <c r="I748" s="76">
        <f t="shared" si="191"/>
        <v>45.663163265306125</v>
      </c>
      <c r="J748" s="90">
        <v>41.14</v>
      </c>
      <c r="K748" s="73">
        <v>11966</v>
      </c>
      <c r="L748" s="73">
        <v>3</v>
      </c>
      <c r="M748" s="91">
        <v>119.91</v>
      </c>
      <c r="N748" s="79">
        <f t="shared" si="273"/>
        <v>0.3430906513218247</v>
      </c>
      <c r="O748" s="80">
        <f t="shared" si="192"/>
        <v>2.9146815751093826</v>
      </c>
      <c r="P748" s="79">
        <f t="shared" si="193"/>
        <v>5.9756558115213666E-2</v>
      </c>
      <c r="Q748" s="81">
        <f t="shared" si="194"/>
        <v>0.17417133893036632</v>
      </c>
      <c r="R748" s="92">
        <f t="shared" si="272"/>
        <v>568.55000000000007</v>
      </c>
      <c r="S748" s="83">
        <f t="shared" si="195"/>
        <v>13.713333333333333</v>
      </c>
      <c r="T748" s="84"/>
      <c r="U748" s="84"/>
      <c r="V748" s="84"/>
      <c r="W748" s="84"/>
      <c r="X748" s="85"/>
      <c r="Y748" s="68"/>
      <c r="Z748" s="68"/>
    </row>
    <row r="749" spans="1:26" ht="12.75" hidden="1" outlineLevel="1" x14ac:dyDescent="0.2">
      <c r="A749" s="68"/>
      <c r="B749" s="69" t="s">
        <v>37</v>
      </c>
      <c r="C749" s="70" t="s">
        <v>38</v>
      </c>
      <c r="D749" s="93">
        <v>919.9</v>
      </c>
      <c r="E749" s="73">
        <v>21</v>
      </c>
      <c r="F749" s="73">
        <v>20</v>
      </c>
      <c r="G749" s="74">
        <f t="shared" si="189"/>
        <v>1.05</v>
      </c>
      <c r="H749" s="75">
        <f t="shared" si="190"/>
        <v>43.804761904761904</v>
      </c>
      <c r="I749" s="76">
        <f t="shared" si="191"/>
        <v>41.718820861678005</v>
      </c>
      <c r="J749" s="93">
        <v>49.76</v>
      </c>
      <c r="K749" s="73">
        <v>12426</v>
      </c>
      <c r="L749" s="73">
        <v>4</v>
      </c>
      <c r="M749" s="94">
        <v>89.92</v>
      </c>
      <c r="N749" s="79">
        <f t="shared" si="273"/>
        <v>0.55338078291814941</v>
      </c>
      <c r="O749" s="80">
        <f t="shared" si="192"/>
        <v>1.807073954983923</v>
      </c>
      <c r="P749" s="79">
        <f t="shared" si="193"/>
        <v>5.4092836177845417E-2</v>
      </c>
      <c r="Q749" s="81">
        <f t="shared" si="194"/>
        <v>9.7749755408196554E-2</v>
      </c>
      <c r="R749" s="95">
        <f t="shared" si="272"/>
        <v>829.98</v>
      </c>
      <c r="S749" s="83">
        <f t="shared" si="195"/>
        <v>12.44</v>
      </c>
      <c r="T749" s="84"/>
      <c r="U749" s="84"/>
      <c r="V749" s="84"/>
      <c r="W749" s="84"/>
      <c r="X749" s="85"/>
      <c r="Y749" s="68"/>
      <c r="Z749" s="68"/>
    </row>
    <row r="750" spans="1:26" ht="12.75" hidden="1" outlineLevel="1" x14ac:dyDescent="0.2">
      <c r="A750" s="68"/>
      <c r="B750" s="86"/>
      <c r="C750" s="70" t="s">
        <v>39</v>
      </c>
      <c r="D750" s="96">
        <v>0</v>
      </c>
      <c r="E750" s="73">
        <v>0</v>
      </c>
      <c r="F750" s="73">
        <v>0</v>
      </c>
      <c r="G750" s="74" t="e">
        <f t="shared" si="189"/>
        <v>#DIV/0!</v>
      </c>
      <c r="H750" s="75" t="e">
        <f t="shared" si="190"/>
        <v>#DIV/0!</v>
      </c>
      <c r="I750" s="76" t="e">
        <f t="shared" si="191"/>
        <v>#DIV/0!</v>
      </c>
      <c r="J750" s="96">
        <v>0</v>
      </c>
      <c r="K750" s="73">
        <v>0</v>
      </c>
      <c r="L750" s="73">
        <v>0</v>
      </c>
      <c r="M750" s="97">
        <v>0</v>
      </c>
      <c r="N750" s="79" t="e">
        <f t="shared" si="273"/>
        <v>#DIV/0!</v>
      </c>
      <c r="O750" s="80" t="e">
        <f t="shared" si="192"/>
        <v>#DIV/0!</v>
      </c>
      <c r="P750" s="79" t="e">
        <f t="shared" si="193"/>
        <v>#DIV/0!</v>
      </c>
      <c r="Q750" s="81" t="e">
        <f t="shared" si="194"/>
        <v>#DIV/0!</v>
      </c>
      <c r="R750" s="98">
        <f t="shared" si="272"/>
        <v>0</v>
      </c>
      <c r="S750" s="83" t="e">
        <f t="shared" si="195"/>
        <v>#DIV/0!</v>
      </c>
      <c r="T750" s="84"/>
      <c r="U750" s="84"/>
      <c r="V750" s="84"/>
      <c r="W750" s="84"/>
      <c r="X750" s="85"/>
      <c r="Y750" s="68"/>
      <c r="Z750" s="68"/>
    </row>
    <row r="751" spans="1:26" ht="12.75" hidden="1" outlineLevel="1" x14ac:dyDescent="0.2">
      <c r="A751" s="68"/>
      <c r="B751" s="86"/>
      <c r="C751" s="70" t="s">
        <v>40</v>
      </c>
      <c r="D751" s="99">
        <v>0</v>
      </c>
      <c r="E751" s="73">
        <v>0</v>
      </c>
      <c r="F751" s="73">
        <v>0</v>
      </c>
      <c r="G751" s="74" t="e">
        <f t="shared" si="189"/>
        <v>#DIV/0!</v>
      </c>
      <c r="H751" s="75" t="e">
        <f t="shared" si="190"/>
        <v>#DIV/0!</v>
      </c>
      <c r="I751" s="76" t="e">
        <f t="shared" si="191"/>
        <v>#DIV/0!</v>
      </c>
      <c r="J751" s="99">
        <v>0</v>
      </c>
      <c r="K751" s="73">
        <v>0</v>
      </c>
      <c r="L751" s="73">
        <v>0</v>
      </c>
      <c r="M751" s="100">
        <v>0</v>
      </c>
      <c r="N751" s="79" t="e">
        <f t="shared" si="273"/>
        <v>#DIV/0!</v>
      </c>
      <c r="O751" s="80" t="e">
        <f t="shared" si="192"/>
        <v>#DIV/0!</v>
      </c>
      <c r="P751" s="79" t="e">
        <f t="shared" si="193"/>
        <v>#DIV/0!</v>
      </c>
      <c r="Q751" s="81" t="e">
        <f t="shared" si="194"/>
        <v>#DIV/0!</v>
      </c>
      <c r="R751" s="101">
        <f t="shared" si="272"/>
        <v>0</v>
      </c>
      <c r="S751" s="83" t="e">
        <f t="shared" si="195"/>
        <v>#DIV/0!</v>
      </c>
      <c r="T751" s="84"/>
      <c r="U751" s="84"/>
      <c r="V751" s="84"/>
      <c r="W751" s="84"/>
      <c r="X751" s="85"/>
      <c r="Y751" s="68"/>
      <c r="Z751" s="68"/>
    </row>
    <row r="752" spans="1:26" ht="12.75" hidden="1" outlineLevel="1" x14ac:dyDescent="0.2">
      <c r="A752" s="68"/>
      <c r="B752" s="86"/>
      <c r="C752" s="70" t="s">
        <v>41</v>
      </c>
      <c r="D752" s="102">
        <v>2863.55</v>
      </c>
      <c r="E752" s="73">
        <v>59</v>
      </c>
      <c r="F752" s="73">
        <v>46</v>
      </c>
      <c r="G752" s="74">
        <f t="shared" si="189"/>
        <v>1.2826086956521738</v>
      </c>
      <c r="H752" s="75">
        <f t="shared" si="190"/>
        <v>48.534745762711864</v>
      </c>
      <c r="I752" s="76">
        <f t="shared" si="191"/>
        <v>37.840649238724509</v>
      </c>
      <c r="J752" s="102">
        <v>586.67999999999995</v>
      </c>
      <c r="K752" s="73">
        <v>37948</v>
      </c>
      <c r="L752" s="73">
        <v>25</v>
      </c>
      <c r="M752" s="103">
        <v>1499.48</v>
      </c>
      <c r="N752" s="79">
        <f t="shared" si="273"/>
        <v>0.39125563528689944</v>
      </c>
      <c r="O752" s="80">
        <f t="shared" si="192"/>
        <v>2.5558737301424972</v>
      </c>
      <c r="P752" s="79">
        <f t="shared" si="193"/>
        <v>0.20487855982958214</v>
      </c>
      <c r="Q752" s="81">
        <f t="shared" si="194"/>
        <v>0.52364372893785682</v>
      </c>
      <c r="R752" s="104">
        <f t="shared" si="272"/>
        <v>1364.0700000000002</v>
      </c>
      <c r="S752" s="83">
        <f t="shared" si="195"/>
        <v>23.467199999999998</v>
      </c>
      <c r="T752" s="84"/>
      <c r="U752" s="84"/>
      <c r="V752" s="84"/>
      <c r="W752" s="84"/>
      <c r="X752" s="85"/>
      <c r="Y752" s="68"/>
      <c r="Z752" s="68"/>
    </row>
    <row r="753" spans="1:26" ht="12.75" hidden="1" outlineLevel="1" x14ac:dyDescent="0.2">
      <c r="A753" s="68"/>
      <c r="B753" s="86"/>
      <c r="C753" s="70" t="s">
        <v>42</v>
      </c>
      <c r="D753" s="90">
        <v>259.77999999999997</v>
      </c>
      <c r="E753" s="73">
        <v>14</v>
      </c>
      <c r="F753" s="73">
        <v>8</v>
      </c>
      <c r="G753" s="74">
        <f t="shared" si="189"/>
        <v>1.75</v>
      </c>
      <c r="H753" s="75">
        <f t="shared" si="190"/>
        <v>18.555714285714284</v>
      </c>
      <c r="I753" s="76">
        <f t="shared" si="191"/>
        <v>10.603265306122449</v>
      </c>
      <c r="J753" s="90">
        <v>107.2</v>
      </c>
      <c r="K753" s="73">
        <v>37986</v>
      </c>
      <c r="L753" s="73">
        <v>3</v>
      </c>
      <c r="M753" s="91">
        <v>59.97</v>
      </c>
      <c r="N753" s="79">
        <f t="shared" si="273"/>
        <v>1.7875604468901118</v>
      </c>
      <c r="O753" s="80">
        <f t="shared" si="192"/>
        <v>0.5594216417910447</v>
      </c>
      <c r="P753" s="79">
        <f t="shared" si="193"/>
        <v>0.41265686349988456</v>
      </c>
      <c r="Q753" s="81">
        <f t="shared" si="194"/>
        <v>0.23084918007544847</v>
      </c>
      <c r="R753" s="92">
        <f t="shared" si="272"/>
        <v>199.80999999999997</v>
      </c>
      <c r="S753" s="83">
        <f t="shared" si="195"/>
        <v>35.733333333333334</v>
      </c>
      <c r="T753" s="84"/>
      <c r="U753" s="84"/>
      <c r="V753" s="84"/>
      <c r="W753" s="84"/>
      <c r="X753" s="85"/>
      <c r="Y753" s="68"/>
      <c r="Z753" s="68"/>
    </row>
    <row r="754" spans="1:26" ht="12.75" hidden="1" outlineLevel="1" x14ac:dyDescent="0.2">
      <c r="A754" s="68"/>
      <c r="B754" s="86"/>
      <c r="C754" s="70" t="s">
        <v>43</v>
      </c>
      <c r="D754" s="105">
        <v>3401.36</v>
      </c>
      <c r="E754" s="73">
        <v>28</v>
      </c>
      <c r="F754" s="73">
        <v>29</v>
      </c>
      <c r="G754" s="74">
        <f t="shared" si="189"/>
        <v>0.96551724137931039</v>
      </c>
      <c r="H754" s="75">
        <f t="shared" si="190"/>
        <v>121.47714285714287</v>
      </c>
      <c r="I754" s="76">
        <f t="shared" si="191"/>
        <v>125.81561224489796</v>
      </c>
      <c r="J754" s="105">
        <v>77.52</v>
      </c>
      <c r="K754" s="73">
        <v>15141</v>
      </c>
      <c r="L754" s="73">
        <v>3</v>
      </c>
      <c r="M754" s="106">
        <v>146.22</v>
      </c>
      <c r="N754" s="79">
        <f t="shared" si="273"/>
        <v>0.53016003282724655</v>
      </c>
      <c r="O754" s="80">
        <f t="shared" si="192"/>
        <v>1.8862229102167183</v>
      </c>
      <c r="P754" s="79">
        <f t="shared" si="193"/>
        <v>2.2790883646541381E-2</v>
      </c>
      <c r="Q754" s="81">
        <f t="shared" si="194"/>
        <v>4.2988686878189901E-2</v>
      </c>
      <c r="R754" s="107">
        <f t="shared" si="272"/>
        <v>3255.1400000000003</v>
      </c>
      <c r="S754" s="83">
        <f t="shared" si="195"/>
        <v>25.84</v>
      </c>
      <c r="T754" s="84"/>
      <c r="U754" s="84"/>
      <c r="V754" s="84"/>
      <c r="W754" s="84"/>
      <c r="X754" s="85"/>
      <c r="Y754" s="68"/>
      <c r="Z754" s="68"/>
    </row>
    <row r="755" spans="1:26" ht="12.75" hidden="1" outlineLevel="1" x14ac:dyDescent="0.2">
      <c r="A755" s="68"/>
      <c r="B755" s="86"/>
      <c r="C755" s="70" t="s">
        <v>44</v>
      </c>
      <c r="D755" s="108">
        <v>36.950000000000003</v>
      </c>
      <c r="E755" s="73">
        <v>2</v>
      </c>
      <c r="F755" s="73">
        <v>3</v>
      </c>
      <c r="G755" s="74">
        <f t="shared" si="189"/>
        <v>0.66666666666666663</v>
      </c>
      <c r="H755" s="75">
        <f t="shared" si="190"/>
        <v>18.475000000000001</v>
      </c>
      <c r="I755" s="76">
        <f t="shared" si="191"/>
        <v>27.712500000000002</v>
      </c>
      <c r="J755" s="108">
        <v>92.06</v>
      </c>
      <c r="K755" s="73">
        <v>31307</v>
      </c>
      <c r="L755" s="73">
        <v>3</v>
      </c>
      <c r="M755" s="109">
        <v>128.91999999999999</v>
      </c>
      <c r="N755" s="79">
        <f t="shared" si="273"/>
        <v>0.7140862550418865</v>
      </c>
      <c r="O755" s="80">
        <f t="shared" si="192"/>
        <v>1.4003910493156635</v>
      </c>
      <c r="P755" s="79">
        <f t="shared" si="193"/>
        <v>2.4914749661705007</v>
      </c>
      <c r="Q755" s="81">
        <f t="shared" si="194"/>
        <v>3.4890392422192145</v>
      </c>
      <c r="R755" s="110">
        <f t="shared" si="272"/>
        <v>-91.969999999999985</v>
      </c>
      <c r="S755" s="83">
        <f t="shared" si="195"/>
        <v>30.686666666666667</v>
      </c>
      <c r="T755" s="84"/>
      <c r="U755" s="84"/>
      <c r="V755" s="84"/>
      <c r="W755" s="84"/>
      <c r="X755" s="85"/>
      <c r="Y755" s="68"/>
      <c r="Z755" s="68"/>
    </row>
    <row r="756" spans="1:26" ht="12.75" hidden="1" outlineLevel="1" x14ac:dyDescent="0.2">
      <c r="A756" s="111"/>
      <c r="B756" s="86"/>
      <c r="C756" s="112" t="s">
        <v>45</v>
      </c>
      <c r="D756" s="71">
        <v>0</v>
      </c>
      <c r="E756" s="73">
        <v>0</v>
      </c>
      <c r="F756" s="73">
        <v>0</v>
      </c>
      <c r="G756" s="74" t="e">
        <f t="shared" si="189"/>
        <v>#DIV/0!</v>
      </c>
      <c r="H756" s="75" t="e">
        <f t="shared" si="190"/>
        <v>#DIV/0!</v>
      </c>
      <c r="I756" s="76" t="e">
        <f t="shared" si="191"/>
        <v>#DIV/0!</v>
      </c>
      <c r="J756" s="71">
        <v>0</v>
      </c>
      <c r="K756" s="73">
        <v>0</v>
      </c>
      <c r="L756" s="73">
        <v>0</v>
      </c>
      <c r="M756" s="78">
        <v>0</v>
      </c>
      <c r="N756" s="79" t="e">
        <f t="shared" si="273"/>
        <v>#DIV/0!</v>
      </c>
      <c r="O756" s="80" t="e">
        <f t="shared" si="192"/>
        <v>#DIV/0!</v>
      </c>
      <c r="P756" s="79" t="e">
        <f t="shared" si="193"/>
        <v>#DIV/0!</v>
      </c>
      <c r="Q756" s="81" t="e">
        <f t="shared" si="194"/>
        <v>#DIV/0!</v>
      </c>
      <c r="R756" s="82">
        <f t="shared" si="272"/>
        <v>0</v>
      </c>
      <c r="S756" s="83" t="e">
        <f t="shared" si="195"/>
        <v>#DIV/0!</v>
      </c>
      <c r="T756" s="113"/>
      <c r="U756" s="113"/>
      <c r="V756" s="113"/>
      <c r="W756" s="114"/>
      <c r="X756" s="115"/>
      <c r="Y756" s="68"/>
      <c r="Z756" s="68"/>
    </row>
    <row r="757" spans="1:26" ht="12.75" hidden="1" outlineLevel="1" x14ac:dyDescent="0.2">
      <c r="A757" s="68"/>
      <c r="B757" s="86"/>
      <c r="C757" s="70" t="s">
        <v>46</v>
      </c>
      <c r="D757" s="116">
        <v>1933.96</v>
      </c>
      <c r="E757" s="73">
        <v>51</v>
      </c>
      <c r="F757" s="73">
        <v>53</v>
      </c>
      <c r="G757" s="74">
        <f t="shared" si="189"/>
        <v>0.96226415094339623</v>
      </c>
      <c r="H757" s="75">
        <f t="shared" si="190"/>
        <v>37.920784313725491</v>
      </c>
      <c r="I757" s="76">
        <f t="shared" si="191"/>
        <v>39.4078738946559</v>
      </c>
      <c r="J757" s="116">
        <v>177.1</v>
      </c>
      <c r="K757" s="73">
        <v>25398</v>
      </c>
      <c r="L757" s="73">
        <v>21</v>
      </c>
      <c r="M757" s="117">
        <v>579.74</v>
      </c>
      <c r="N757" s="79">
        <f t="shared" si="273"/>
        <v>0.30548176768896401</v>
      </c>
      <c r="O757" s="80">
        <f t="shared" si="192"/>
        <v>3.273517786561265</v>
      </c>
      <c r="P757" s="79">
        <f t="shared" si="193"/>
        <v>9.1573765744896479E-2</v>
      </c>
      <c r="Q757" s="81">
        <f t="shared" si="194"/>
        <v>0.29976835094831328</v>
      </c>
      <c r="R757" s="82">
        <f t="shared" si="272"/>
        <v>1354.22</v>
      </c>
      <c r="S757" s="83">
        <f t="shared" si="195"/>
        <v>8.4333333333333336</v>
      </c>
      <c r="T757" s="84"/>
      <c r="U757" s="84"/>
      <c r="V757" s="84"/>
      <c r="W757" s="84"/>
      <c r="X757" s="85"/>
      <c r="Y757" s="68"/>
      <c r="Z757" s="68"/>
    </row>
    <row r="758" spans="1:26" ht="12.75" hidden="1" outlineLevel="1" x14ac:dyDescent="0.2">
      <c r="A758" s="68"/>
      <c r="B758" s="86"/>
      <c r="C758" s="70" t="s">
        <v>47</v>
      </c>
      <c r="D758" s="87">
        <v>0</v>
      </c>
      <c r="E758" s="73">
        <v>0</v>
      </c>
      <c r="F758" s="73">
        <v>0</v>
      </c>
      <c r="G758" s="74" t="e">
        <f t="shared" si="189"/>
        <v>#DIV/0!</v>
      </c>
      <c r="H758" s="75" t="e">
        <f t="shared" si="190"/>
        <v>#DIV/0!</v>
      </c>
      <c r="I758" s="76" t="e">
        <f t="shared" si="191"/>
        <v>#DIV/0!</v>
      </c>
      <c r="J758" s="87">
        <v>0</v>
      </c>
      <c r="K758" s="73">
        <v>0</v>
      </c>
      <c r="L758" s="73">
        <v>0</v>
      </c>
      <c r="M758" s="88">
        <v>0</v>
      </c>
      <c r="N758" s="79" t="e">
        <f t="shared" si="273"/>
        <v>#DIV/0!</v>
      </c>
      <c r="O758" s="80" t="e">
        <f t="shared" si="192"/>
        <v>#DIV/0!</v>
      </c>
      <c r="P758" s="79" t="e">
        <f t="shared" si="193"/>
        <v>#DIV/0!</v>
      </c>
      <c r="Q758" s="81" t="e">
        <f t="shared" si="194"/>
        <v>#DIV/0!</v>
      </c>
      <c r="R758" s="82">
        <f t="shared" si="272"/>
        <v>0</v>
      </c>
      <c r="S758" s="83" t="e">
        <f t="shared" si="195"/>
        <v>#DIV/0!</v>
      </c>
      <c r="T758" s="84"/>
      <c r="U758" s="84"/>
      <c r="V758" s="84"/>
      <c r="W758" s="84"/>
      <c r="X758" s="85"/>
      <c r="Y758" s="68"/>
      <c r="Z758" s="68"/>
    </row>
    <row r="759" spans="1:26" ht="12.75" hidden="1" outlineLevel="1" x14ac:dyDescent="0.2">
      <c r="A759" s="68"/>
      <c r="B759" s="86"/>
      <c r="C759" s="70" t="s">
        <v>48</v>
      </c>
      <c r="D759" s="102">
        <v>8398.25</v>
      </c>
      <c r="E759" s="73">
        <v>35</v>
      </c>
      <c r="F759" s="73">
        <v>34</v>
      </c>
      <c r="G759" s="74">
        <f t="shared" si="189"/>
        <v>1.0294117647058822</v>
      </c>
      <c r="H759" s="75">
        <f t="shared" si="190"/>
        <v>239.95</v>
      </c>
      <c r="I759" s="76">
        <f t="shared" si="191"/>
        <v>233.09428571428572</v>
      </c>
      <c r="J759" s="102">
        <v>718.92</v>
      </c>
      <c r="K759" s="73">
        <v>39216</v>
      </c>
      <c r="L759" s="73">
        <v>15</v>
      </c>
      <c r="M759" s="103">
        <v>2033.55</v>
      </c>
      <c r="N759" s="79">
        <f t="shared" si="273"/>
        <v>0.35352954193405617</v>
      </c>
      <c r="O759" s="80">
        <f t="shared" si="192"/>
        <v>2.8286179268903355</v>
      </c>
      <c r="P759" s="79">
        <f t="shared" si="193"/>
        <v>8.5603548358288928E-2</v>
      </c>
      <c r="Q759" s="81">
        <f t="shared" si="194"/>
        <v>0.2421397314916798</v>
      </c>
      <c r="R759" s="82">
        <f t="shared" si="272"/>
        <v>6364.7</v>
      </c>
      <c r="S759" s="83">
        <f t="shared" si="195"/>
        <v>47.927999999999997</v>
      </c>
      <c r="T759" s="84"/>
      <c r="U759" s="84"/>
      <c r="V759" s="84"/>
      <c r="W759" s="84"/>
      <c r="X759" s="85"/>
      <c r="Y759" s="68"/>
      <c r="Z759" s="68"/>
    </row>
    <row r="760" spans="1:26" ht="12.75" hidden="1" outlineLevel="1" x14ac:dyDescent="0.2">
      <c r="A760" s="68"/>
      <c r="B760" s="86"/>
      <c r="C760" s="70" t="s">
        <v>49</v>
      </c>
      <c r="D760" s="116">
        <v>27</v>
      </c>
      <c r="E760" s="73">
        <v>1</v>
      </c>
      <c r="F760" s="73">
        <v>2</v>
      </c>
      <c r="G760" s="74">
        <f t="shared" si="189"/>
        <v>0.5</v>
      </c>
      <c r="H760" s="75">
        <f t="shared" si="190"/>
        <v>27</v>
      </c>
      <c r="I760" s="76">
        <f t="shared" si="191"/>
        <v>54</v>
      </c>
      <c r="J760" s="116">
        <v>15.9</v>
      </c>
      <c r="K760" s="73">
        <v>9569</v>
      </c>
      <c r="L760" s="73">
        <v>0</v>
      </c>
      <c r="M760" s="117">
        <v>0</v>
      </c>
      <c r="N760" s="79" t="e">
        <f t="shared" si="273"/>
        <v>#DIV/0!</v>
      </c>
      <c r="O760" s="80">
        <f t="shared" si="192"/>
        <v>0</v>
      </c>
      <c r="P760" s="79">
        <f t="shared" si="193"/>
        <v>0.58888888888888891</v>
      </c>
      <c r="Q760" s="81">
        <f t="shared" si="194"/>
        <v>0</v>
      </c>
      <c r="R760" s="82">
        <f t="shared" si="272"/>
        <v>27</v>
      </c>
      <c r="S760" s="83" t="e">
        <f t="shared" si="195"/>
        <v>#DIV/0!</v>
      </c>
      <c r="T760" s="84"/>
      <c r="U760" s="84"/>
      <c r="V760" s="84"/>
      <c r="W760" s="84"/>
      <c r="X760" s="85"/>
      <c r="Y760" s="68"/>
      <c r="Z760" s="68"/>
    </row>
    <row r="761" spans="1:26" hidden="1" outlineLevel="1" x14ac:dyDescent="0.25">
      <c r="A761" s="118" t="str">
        <f t="shared" ref="A761:A762" si="274">IFERROR(IF(B761&gt;0,MONTH(B761)&amp;"-"&amp;YEAR(B761),B761),)</f>
        <v>12-2025</v>
      </c>
      <c r="B761" s="69">
        <v>45997</v>
      </c>
      <c r="C761" s="198" t="s">
        <v>64</v>
      </c>
      <c r="D761" s="116">
        <v>0</v>
      </c>
      <c r="E761" s="73">
        <v>0</v>
      </c>
      <c r="F761" s="73">
        <v>0</v>
      </c>
      <c r="G761" s="74" t="e">
        <f t="shared" si="189"/>
        <v>#DIV/0!</v>
      </c>
      <c r="H761" s="75" t="e">
        <f t="shared" si="190"/>
        <v>#DIV/0!</v>
      </c>
      <c r="I761" s="76" t="e">
        <f t="shared" si="191"/>
        <v>#DIV/0!</v>
      </c>
      <c r="J761" s="87">
        <v>6707.1100000000006</v>
      </c>
      <c r="K761" s="199">
        <v>399292</v>
      </c>
      <c r="L761" s="73">
        <v>0</v>
      </c>
      <c r="M761" s="88">
        <v>23111.599999999999</v>
      </c>
      <c r="N761" s="79">
        <f t="shared" si="273"/>
        <v>0.29020535142525833</v>
      </c>
      <c r="O761" s="80">
        <f t="shared" si="192"/>
        <v>3.4458358368954731</v>
      </c>
      <c r="P761" s="79" t="e">
        <f t="shared" si="193"/>
        <v>#DIV/0!</v>
      </c>
      <c r="Q761" s="81" t="e">
        <f t="shared" si="194"/>
        <v>#DIV/0!</v>
      </c>
      <c r="R761" s="82">
        <f t="shared" si="272"/>
        <v>-23111.599999999999</v>
      </c>
      <c r="S761" s="83" t="e">
        <f t="shared" si="195"/>
        <v>#DIV/0!</v>
      </c>
      <c r="T761" s="84"/>
      <c r="U761" s="84"/>
      <c r="V761" s="84"/>
      <c r="W761" s="84"/>
      <c r="X761" s="85"/>
      <c r="Y761" s="68"/>
      <c r="Z761" s="68"/>
    </row>
    <row r="762" spans="1:26" ht="12.75" collapsed="1" x14ac:dyDescent="0.2">
      <c r="A762" s="68">
        <f t="shared" si="274"/>
        <v>0</v>
      </c>
      <c r="B762" s="52" t="s">
        <v>107</v>
      </c>
      <c r="C762" s="120"/>
      <c r="D762" s="121">
        <f t="shared" ref="D762:F762" si="275">SUM(D744:D761)</f>
        <v>78679.94</v>
      </c>
      <c r="E762" s="123">
        <f t="shared" si="275"/>
        <v>482</v>
      </c>
      <c r="F762" s="123">
        <f t="shared" si="275"/>
        <v>461</v>
      </c>
      <c r="G762" s="124">
        <f t="shared" si="189"/>
        <v>1.0455531453362257</v>
      </c>
      <c r="H762" s="125">
        <f t="shared" si="190"/>
        <v>163.23639004149379</v>
      </c>
      <c r="I762" s="126">
        <f t="shared" si="191"/>
        <v>156.12443113927102</v>
      </c>
      <c r="J762" s="121">
        <f t="shared" ref="J762:M762" si="276">SUM(J744:J761)</f>
        <v>14020.000000000004</v>
      </c>
      <c r="K762" s="123">
        <f t="shared" si="276"/>
        <v>3430664</v>
      </c>
      <c r="L762" s="123">
        <f t="shared" si="276"/>
        <v>182</v>
      </c>
      <c r="M762" s="127">
        <f t="shared" si="276"/>
        <v>42902.17</v>
      </c>
      <c r="N762" s="128">
        <f t="shared" si="273"/>
        <v>0.32678999686962229</v>
      </c>
      <c r="O762" s="129">
        <f t="shared" si="192"/>
        <v>3.0600691868758907</v>
      </c>
      <c r="P762" s="128">
        <f t="shared" si="193"/>
        <v>0.17819027314967453</v>
      </c>
      <c r="Q762" s="130">
        <f t="shared" si="194"/>
        <v>0.54527456426631737</v>
      </c>
      <c r="R762" s="131">
        <f>SUM(R744:R761)</f>
        <v>35777.770000000004</v>
      </c>
      <c r="S762" s="132">
        <f t="shared" si="195"/>
        <v>77.032967032967051</v>
      </c>
      <c r="T762" s="133">
        <f t="shared" ref="T762:U762" si="277">IFERROR((D762-D69)/D762,)</f>
        <v>0.90364354624571408</v>
      </c>
      <c r="U762" s="133">
        <f t="shared" si="277"/>
        <v>0.80497925311203322</v>
      </c>
      <c r="V762" s="134" t="s">
        <v>139</v>
      </c>
      <c r="W762" s="134" t="s">
        <v>139</v>
      </c>
      <c r="X762" s="68"/>
      <c r="Y762" s="68"/>
      <c r="Z762" s="68"/>
    </row>
    <row r="763" spans="1:26" ht="12.75" hidden="1" outlineLevel="1" x14ac:dyDescent="0.2">
      <c r="A763" s="68"/>
      <c r="B763" s="69">
        <v>45998</v>
      </c>
      <c r="C763" s="70" t="s">
        <v>32</v>
      </c>
      <c r="D763" s="71">
        <v>2779.06</v>
      </c>
      <c r="E763" s="73">
        <v>18</v>
      </c>
      <c r="F763" s="73">
        <v>22</v>
      </c>
      <c r="G763" s="74">
        <f t="shared" si="189"/>
        <v>0.81818181818181823</v>
      </c>
      <c r="H763" s="75">
        <f t="shared" si="190"/>
        <v>154.39222222222222</v>
      </c>
      <c r="I763" s="76">
        <f t="shared" si="191"/>
        <v>188.70160493827157</v>
      </c>
      <c r="J763" s="77">
        <v>1515.86</v>
      </c>
      <c r="K763" s="73">
        <v>442990</v>
      </c>
      <c r="L763" s="73">
        <v>10</v>
      </c>
      <c r="M763" s="78">
        <v>2537</v>
      </c>
      <c r="N763" s="79">
        <f t="shared" si="273"/>
        <v>0.5975009854158454</v>
      </c>
      <c r="O763" s="80">
        <f t="shared" si="192"/>
        <v>1.6736374071484175</v>
      </c>
      <c r="P763" s="79">
        <f t="shared" si="193"/>
        <v>0.54545781667182425</v>
      </c>
      <c r="Q763" s="81">
        <f t="shared" si="194"/>
        <v>0.91289860600346884</v>
      </c>
      <c r="R763" s="82">
        <f t="shared" ref="R763:R780" si="278">D763-M763</f>
        <v>242.05999999999995</v>
      </c>
      <c r="S763" s="83">
        <f t="shared" si="195"/>
        <v>151.58599999999998</v>
      </c>
      <c r="T763" s="84"/>
      <c r="U763" s="84"/>
      <c r="V763" s="84"/>
      <c r="W763" s="84"/>
      <c r="X763" s="85"/>
      <c r="Y763" s="68"/>
      <c r="Z763" s="68"/>
    </row>
    <row r="764" spans="1:26" ht="12.75" hidden="1" outlineLevel="1" x14ac:dyDescent="0.2">
      <c r="A764" s="68"/>
      <c r="B764" s="86"/>
      <c r="C764" s="70" t="s">
        <v>33</v>
      </c>
      <c r="D764" s="87">
        <v>10333.4</v>
      </c>
      <c r="E764" s="73">
        <v>56</v>
      </c>
      <c r="F764" s="73">
        <v>63</v>
      </c>
      <c r="G764" s="74">
        <f t="shared" si="189"/>
        <v>0.88888888888888884</v>
      </c>
      <c r="H764" s="75">
        <f t="shared" si="190"/>
        <v>184.52500000000001</v>
      </c>
      <c r="I764" s="76">
        <f t="shared" si="191"/>
        <v>207.59062500000002</v>
      </c>
      <c r="J764" s="87">
        <v>903.95</v>
      </c>
      <c r="K764" s="73">
        <v>1948034</v>
      </c>
      <c r="L764" s="73">
        <v>19</v>
      </c>
      <c r="M764" s="88">
        <v>4442</v>
      </c>
      <c r="N764" s="79">
        <f t="shared" si="273"/>
        <v>0.2035006753714543</v>
      </c>
      <c r="O764" s="80">
        <f t="shared" si="192"/>
        <v>4.9139886055644668</v>
      </c>
      <c r="P764" s="79">
        <f t="shared" si="193"/>
        <v>8.7478467880852395E-2</v>
      </c>
      <c r="Q764" s="81">
        <f t="shared" si="194"/>
        <v>0.42986819439874585</v>
      </c>
      <c r="R764" s="89">
        <f t="shared" si="278"/>
        <v>5891.4</v>
      </c>
      <c r="S764" s="83">
        <f t="shared" si="195"/>
        <v>47.576315789473689</v>
      </c>
      <c r="T764" s="84"/>
      <c r="U764" s="84"/>
      <c r="V764" s="84"/>
      <c r="W764" s="84"/>
      <c r="X764" s="85"/>
      <c r="Y764" s="68"/>
      <c r="Z764" s="68"/>
    </row>
    <row r="765" spans="1:26" ht="12.75" hidden="1" outlineLevel="1" x14ac:dyDescent="0.2">
      <c r="A765" s="68"/>
      <c r="B765" s="86"/>
      <c r="C765" s="70" t="s">
        <v>34</v>
      </c>
      <c r="D765" s="90">
        <v>0</v>
      </c>
      <c r="E765" s="73">
        <v>0</v>
      </c>
      <c r="F765" s="73">
        <v>0</v>
      </c>
      <c r="G765" s="74" t="e">
        <f t="shared" si="189"/>
        <v>#DIV/0!</v>
      </c>
      <c r="H765" s="75" t="e">
        <f t="shared" si="190"/>
        <v>#DIV/0!</v>
      </c>
      <c r="I765" s="76" t="e">
        <f t="shared" si="191"/>
        <v>#DIV/0!</v>
      </c>
      <c r="J765" s="90">
        <v>15</v>
      </c>
      <c r="K765" s="73">
        <v>262</v>
      </c>
      <c r="L765" s="73">
        <v>0</v>
      </c>
      <c r="M765" s="91">
        <v>0</v>
      </c>
      <c r="N765" s="79" t="e">
        <f>(J765/M765)</f>
        <v>#DIV/0!</v>
      </c>
      <c r="O765" s="80">
        <f t="shared" si="192"/>
        <v>0</v>
      </c>
      <c r="P765" s="79" t="e">
        <f t="shared" si="193"/>
        <v>#DIV/0!</v>
      </c>
      <c r="Q765" s="81" t="e">
        <f t="shared" si="194"/>
        <v>#DIV/0!</v>
      </c>
      <c r="R765" s="92">
        <f t="shared" si="278"/>
        <v>0</v>
      </c>
      <c r="S765" s="83" t="e">
        <f t="shared" si="195"/>
        <v>#DIV/0!</v>
      </c>
      <c r="T765" s="84"/>
      <c r="U765" s="84"/>
      <c r="V765" s="84"/>
      <c r="W765" s="84"/>
      <c r="X765" s="85"/>
      <c r="Y765" s="68"/>
      <c r="Z765" s="68"/>
    </row>
    <row r="766" spans="1:26" ht="12.75" hidden="1" outlineLevel="1" x14ac:dyDescent="0.2">
      <c r="A766" s="68"/>
      <c r="B766" s="86"/>
      <c r="C766" s="70" t="s">
        <v>35</v>
      </c>
      <c r="D766" s="90">
        <v>368.7</v>
      </c>
      <c r="E766" s="73">
        <v>6</v>
      </c>
      <c r="F766" s="73">
        <v>7</v>
      </c>
      <c r="G766" s="74">
        <f t="shared" si="189"/>
        <v>0.8571428571428571</v>
      </c>
      <c r="H766" s="75">
        <f t="shared" si="190"/>
        <v>61.449999999999996</v>
      </c>
      <c r="I766" s="76">
        <f t="shared" si="191"/>
        <v>71.691666666666663</v>
      </c>
      <c r="J766" s="90">
        <v>70.569999999999993</v>
      </c>
      <c r="K766" s="73">
        <v>6350</v>
      </c>
      <c r="L766" s="73">
        <v>2</v>
      </c>
      <c r="M766" s="91">
        <v>119.9</v>
      </c>
      <c r="N766" s="79">
        <f t="shared" ref="N766:N783" si="279">J766/M766</f>
        <v>0.5885738115095912</v>
      </c>
      <c r="O766" s="80">
        <f t="shared" si="192"/>
        <v>1.6990222474139156</v>
      </c>
      <c r="P766" s="79">
        <f t="shared" si="193"/>
        <v>0.19140222403037699</v>
      </c>
      <c r="Q766" s="81">
        <f t="shared" si="194"/>
        <v>0.32519663683211286</v>
      </c>
      <c r="R766" s="92">
        <f t="shared" si="278"/>
        <v>248.79999999999998</v>
      </c>
      <c r="S766" s="83">
        <f t="shared" si="195"/>
        <v>35.284999999999997</v>
      </c>
      <c r="T766" s="84"/>
      <c r="U766" s="84"/>
      <c r="V766" s="84"/>
      <c r="W766" s="84"/>
      <c r="X766" s="85"/>
      <c r="Y766" s="68"/>
      <c r="Z766" s="68"/>
    </row>
    <row r="767" spans="1:26" ht="12.75" hidden="1" outlineLevel="1" x14ac:dyDescent="0.2">
      <c r="A767" s="68"/>
      <c r="B767" s="86"/>
      <c r="C767" s="70" t="s">
        <v>36</v>
      </c>
      <c r="D767" s="90">
        <v>429.65</v>
      </c>
      <c r="E767" s="73">
        <v>7</v>
      </c>
      <c r="F767" s="73">
        <v>7</v>
      </c>
      <c r="G767" s="74">
        <f t="shared" si="189"/>
        <v>1</v>
      </c>
      <c r="H767" s="75">
        <f t="shared" si="190"/>
        <v>61.378571428571426</v>
      </c>
      <c r="I767" s="76">
        <f t="shared" si="191"/>
        <v>61.378571428571426</v>
      </c>
      <c r="J767" s="90">
        <v>69.17</v>
      </c>
      <c r="K767" s="73">
        <v>14933</v>
      </c>
      <c r="L767" s="73">
        <v>3</v>
      </c>
      <c r="M767" s="91">
        <v>189.85</v>
      </c>
      <c r="N767" s="79">
        <f t="shared" si="279"/>
        <v>0.36434026863313146</v>
      </c>
      <c r="O767" s="80">
        <f t="shared" si="192"/>
        <v>2.744687003035998</v>
      </c>
      <c r="P767" s="79">
        <f t="shared" si="193"/>
        <v>0.16099150471313861</v>
      </c>
      <c r="Q767" s="81">
        <f t="shared" si="194"/>
        <v>0.44187129058536018</v>
      </c>
      <c r="R767" s="92">
        <f t="shared" si="278"/>
        <v>239.79999999999998</v>
      </c>
      <c r="S767" s="83">
        <f t="shared" si="195"/>
        <v>23.056666666666668</v>
      </c>
      <c r="T767" s="84"/>
      <c r="U767" s="84"/>
      <c r="V767" s="84"/>
      <c r="W767" s="84"/>
      <c r="X767" s="85"/>
      <c r="Y767" s="68"/>
      <c r="Z767" s="68"/>
    </row>
    <row r="768" spans="1:26" ht="12.75" hidden="1" outlineLevel="1" x14ac:dyDescent="0.2">
      <c r="A768" s="68"/>
      <c r="B768" s="69" t="s">
        <v>37</v>
      </c>
      <c r="C768" s="70" t="s">
        <v>38</v>
      </c>
      <c r="D768" s="93">
        <v>292.08999999999997</v>
      </c>
      <c r="E768" s="73">
        <v>8</v>
      </c>
      <c r="F768" s="73">
        <v>9</v>
      </c>
      <c r="G768" s="74">
        <f t="shared" si="189"/>
        <v>0.88888888888888884</v>
      </c>
      <c r="H768" s="75">
        <f t="shared" si="190"/>
        <v>36.511249999999997</v>
      </c>
      <c r="I768" s="76">
        <f t="shared" si="191"/>
        <v>41.075156249999999</v>
      </c>
      <c r="J768" s="93">
        <v>45.94</v>
      </c>
      <c r="K768" s="73">
        <v>8435</v>
      </c>
      <c r="L768" s="73">
        <v>1</v>
      </c>
      <c r="M768" s="94">
        <v>29.95</v>
      </c>
      <c r="N768" s="79">
        <f t="shared" si="279"/>
        <v>1.533889816360601</v>
      </c>
      <c r="O768" s="80">
        <f t="shared" si="192"/>
        <v>0.65193730953417506</v>
      </c>
      <c r="P768" s="79">
        <f t="shared" si="193"/>
        <v>0.15728029032147625</v>
      </c>
      <c r="Q768" s="81">
        <f t="shared" si="194"/>
        <v>0.10253688931493718</v>
      </c>
      <c r="R768" s="95">
        <f t="shared" si="278"/>
        <v>262.14</v>
      </c>
      <c r="S768" s="83">
        <f t="shared" si="195"/>
        <v>45.94</v>
      </c>
      <c r="T768" s="84"/>
      <c r="U768" s="84"/>
      <c r="V768" s="84"/>
      <c r="W768" s="84"/>
      <c r="X768" s="85"/>
      <c r="Y768" s="68"/>
      <c r="Z768" s="68"/>
    </row>
    <row r="769" spans="1:26" ht="12.75" hidden="1" outlineLevel="1" x14ac:dyDescent="0.2">
      <c r="A769" s="68"/>
      <c r="B769" s="86"/>
      <c r="C769" s="70" t="s">
        <v>39</v>
      </c>
      <c r="D769" s="96">
        <v>0</v>
      </c>
      <c r="E769" s="73">
        <v>0</v>
      </c>
      <c r="F769" s="73">
        <v>0</v>
      </c>
      <c r="G769" s="74" t="e">
        <f t="shared" si="189"/>
        <v>#DIV/0!</v>
      </c>
      <c r="H769" s="75" t="e">
        <f t="shared" si="190"/>
        <v>#DIV/0!</v>
      </c>
      <c r="I769" s="76" t="e">
        <f t="shared" si="191"/>
        <v>#DIV/0!</v>
      </c>
      <c r="J769" s="96">
        <v>0</v>
      </c>
      <c r="K769" s="73">
        <v>0</v>
      </c>
      <c r="L769" s="73">
        <v>0</v>
      </c>
      <c r="M769" s="97">
        <v>0</v>
      </c>
      <c r="N769" s="79" t="e">
        <f t="shared" si="279"/>
        <v>#DIV/0!</v>
      </c>
      <c r="O769" s="80" t="e">
        <f t="shared" si="192"/>
        <v>#DIV/0!</v>
      </c>
      <c r="P769" s="79" t="e">
        <f t="shared" si="193"/>
        <v>#DIV/0!</v>
      </c>
      <c r="Q769" s="81" t="e">
        <f t="shared" si="194"/>
        <v>#DIV/0!</v>
      </c>
      <c r="R769" s="98">
        <f t="shared" si="278"/>
        <v>0</v>
      </c>
      <c r="S769" s="83" t="e">
        <f t="shared" si="195"/>
        <v>#DIV/0!</v>
      </c>
      <c r="T769" s="84"/>
      <c r="U769" s="84"/>
      <c r="V769" s="84"/>
      <c r="W769" s="84"/>
      <c r="X769" s="85"/>
      <c r="Y769" s="68"/>
      <c r="Z769" s="68"/>
    </row>
    <row r="770" spans="1:26" ht="12.75" hidden="1" outlineLevel="1" x14ac:dyDescent="0.2">
      <c r="A770" s="68"/>
      <c r="B770" s="86"/>
      <c r="C770" s="70" t="s">
        <v>40</v>
      </c>
      <c r="D770" s="99">
        <v>0</v>
      </c>
      <c r="E770" s="73">
        <v>0</v>
      </c>
      <c r="F770" s="73">
        <v>0</v>
      </c>
      <c r="G770" s="74" t="e">
        <f t="shared" si="189"/>
        <v>#DIV/0!</v>
      </c>
      <c r="H770" s="75" t="e">
        <f t="shared" si="190"/>
        <v>#DIV/0!</v>
      </c>
      <c r="I770" s="76" t="e">
        <f t="shared" si="191"/>
        <v>#DIV/0!</v>
      </c>
      <c r="J770" s="99">
        <v>0</v>
      </c>
      <c r="K770" s="73">
        <v>0</v>
      </c>
      <c r="L770" s="73">
        <v>0</v>
      </c>
      <c r="M770" s="100">
        <v>0</v>
      </c>
      <c r="N770" s="79" t="e">
        <f t="shared" si="279"/>
        <v>#DIV/0!</v>
      </c>
      <c r="O770" s="80" t="e">
        <f t="shared" si="192"/>
        <v>#DIV/0!</v>
      </c>
      <c r="P770" s="79" t="e">
        <f t="shared" si="193"/>
        <v>#DIV/0!</v>
      </c>
      <c r="Q770" s="81" t="e">
        <f t="shared" si="194"/>
        <v>#DIV/0!</v>
      </c>
      <c r="R770" s="101">
        <f t="shared" si="278"/>
        <v>0</v>
      </c>
      <c r="S770" s="83" t="e">
        <f t="shared" si="195"/>
        <v>#DIV/0!</v>
      </c>
      <c r="T770" s="84"/>
      <c r="U770" s="84"/>
      <c r="V770" s="84"/>
      <c r="W770" s="84"/>
      <c r="X770" s="85"/>
      <c r="Y770" s="68"/>
      <c r="Z770" s="68"/>
    </row>
    <row r="771" spans="1:26" ht="12.75" hidden="1" outlineLevel="1" x14ac:dyDescent="0.2">
      <c r="A771" s="68"/>
      <c r="B771" s="86"/>
      <c r="C771" s="70" t="s">
        <v>41</v>
      </c>
      <c r="D771" s="102">
        <v>1725.85</v>
      </c>
      <c r="E771" s="73">
        <v>20</v>
      </c>
      <c r="F771" s="73">
        <v>18</v>
      </c>
      <c r="G771" s="74">
        <f t="shared" si="189"/>
        <v>1.1111111111111112</v>
      </c>
      <c r="H771" s="75">
        <f t="shared" si="190"/>
        <v>86.29249999999999</v>
      </c>
      <c r="I771" s="76">
        <f t="shared" si="191"/>
        <v>77.663249999999991</v>
      </c>
      <c r="J771" s="102">
        <v>265.5</v>
      </c>
      <c r="K771" s="73">
        <v>24715</v>
      </c>
      <c r="L771" s="73">
        <v>8</v>
      </c>
      <c r="M771" s="103">
        <v>632.95000000000005</v>
      </c>
      <c r="N771" s="79">
        <f t="shared" si="279"/>
        <v>0.41946441267082707</v>
      </c>
      <c r="O771" s="80">
        <f t="shared" si="192"/>
        <v>2.3839924670433148</v>
      </c>
      <c r="P771" s="79">
        <f t="shared" si="193"/>
        <v>0.1538372396210563</v>
      </c>
      <c r="Q771" s="81">
        <f t="shared" si="194"/>
        <v>0.36674682040733558</v>
      </c>
      <c r="R771" s="104">
        <f t="shared" si="278"/>
        <v>1092.8999999999999</v>
      </c>
      <c r="S771" s="83">
        <f t="shared" si="195"/>
        <v>33.1875</v>
      </c>
      <c r="T771" s="84"/>
      <c r="U771" s="84"/>
      <c r="V771" s="84"/>
      <c r="W771" s="84"/>
      <c r="X771" s="85"/>
      <c r="Y771" s="68"/>
      <c r="Z771" s="68"/>
    </row>
    <row r="772" spans="1:26" ht="12.75" hidden="1" outlineLevel="1" x14ac:dyDescent="0.2">
      <c r="A772" s="68"/>
      <c r="B772" s="86"/>
      <c r="C772" s="70" t="s">
        <v>42</v>
      </c>
      <c r="D772" s="90">
        <v>-19.989999999999998</v>
      </c>
      <c r="E772" s="73">
        <v>-1</v>
      </c>
      <c r="F772" s="73">
        <v>2</v>
      </c>
      <c r="G772" s="74">
        <f t="shared" si="189"/>
        <v>-0.5</v>
      </c>
      <c r="H772" s="75">
        <f t="shared" si="190"/>
        <v>19.989999999999998</v>
      </c>
      <c r="I772" s="76">
        <f t="shared" si="191"/>
        <v>-39.979999999999997</v>
      </c>
      <c r="J772" s="90">
        <v>99.45</v>
      </c>
      <c r="K772" s="73">
        <v>51883</v>
      </c>
      <c r="L772" s="73">
        <v>2</v>
      </c>
      <c r="M772" s="91">
        <v>39.979999999999997</v>
      </c>
      <c r="N772" s="79">
        <f t="shared" si="279"/>
        <v>2.4874937468734371</v>
      </c>
      <c r="O772" s="80">
        <f t="shared" si="192"/>
        <v>0.40201106083459021</v>
      </c>
      <c r="P772" s="79">
        <f t="shared" si="193"/>
        <v>-4.9749874937468741</v>
      </c>
      <c r="Q772" s="81">
        <f t="shared" si="194"/>
        <v>-2</v>
      </c>
      <c r="R772" s="92">
        <f t="shared" si="278"/>
        <v>-59.97</v>
      </c>
      <c r="S772" s="83">
        <f t="shared" si="195"/>
        <v>49.725000000000001</v>
      </c>
      <c r="T772" s="84"/>
      <c r="U772" s="84"/>
      <c r="V772" s="84"/>
      <c r="W772" s="84"/>
      <c r="X772" s="85"/>
      <c r="Y772" s="68"/>
      <c r="Z772" s="68"/>
    </row>
    <row r="773" spans="1:26" ht="12.75" hidden="1" outlineLevel="1" x14ac:dyDescent="0.2">
      <c r="A773" s="68"/>
      <c r="B773" s="86"/>
      <c r="C773" s="70" t="s">
        <v>43</v>
      </c>
      <c r="D773" s="105">
        <v>2338.9699999999998</v>
      </c>
      <c r="E773" s="73">
        <v>19</v>
      </c>
      <c r="F773" s="73">
        <v>20</v>
      </c>
      <c r="G773" s="74">
        <f t="shared" si="189"/>
        <v>0.95</v>
      </c>
      <c r="H773" s="75">
        <f t="shared" si="190"/>
        <v>123.10368421052631</v>
      </c>
      <c r="I773" s="76">
        <f t="shared" si="191"/>
        <v>129.58282548476456</v>
      </c>
      <c r="J773" s="105">
        <v>49.88</v>
      </c>
      <c r="K773" s="73">
        <v>12418</v>
      </c>
      <c r="L773" s="73">
        <v>1</v>
      </c>
      <c r="M773" s="106">
        <v>0</v>
      </c>
      <c r="N773" s="79" t="e">
        <f t="shared" si="279"/>
        <v>#DIV/0!</v>
      </c>
      <c r="O773" s="80">
        <f t="shared" si="192"/>
        <v>0</v>
      </c>
      <c r="P773" s="79">
        <f t="shared" si="193"/>
        <v>2.1325626237189876E-2</v>
      </c>
      <c r="Q773" s="81">
        <f t="shared" si="194"/>
        <v>0</v>
      </c>
      <c r="R773" s="107">
        <f t="shared" si="278"/>
        <v>2338.9699999999998</v>
      </c>
      <c r="S773" s="83">
        <f t="shared" si="195"/>
        <v>49.88</v>
      </c>
      <c r="T773" s="84"/>
      <c r="U773" s="84"/>
      <c r="V773" s="84"/>
      <c r="W773" s="84"/>
      <c r="X773" s="85"/>
      <c r="Y773" s="68"/>
      <c r="Z773" s="68"/>
    </row>
    <row r="774" spans="1:26" ht="12.75" hidden="1" outlineLevel="1" x14ac:dyDescent="0.2">
      <c r="A774" s="68"/>
      <c r="B774" s="86"/>
      <c r="C774" s="70" t="s">
        <v>44</v>
      </c>
      <c r="D774" s="108">
        <v>169.88</v>
      </c>
      <c r="E774" s="73">
        <v>2</v>
      </c>
      <c r="F774" s="73">
        <v>3</v>
      </c>
      <c r="G774" s="74">
        <f t="shared" si="189"/>
        <v>0.66666666666666663</v>
      </c>
      <c r="H774" s="75">
        <f t="shared" si="190"/>
        <v>84.94</v>
      </c>
      <c r="I774" s="76">
        <f t="shared" si="191"/>
        <v>127.41</v>
      </c>
      <c r="J774" s="108">
        <v>79.81</v>
      </c>
      <c r="K774" s="73">
        <v>46887</v>
      </c>
      <c r="L774" s="73">
        <v>0</v>
      </c>
      <c r="M774" s="109">
        <v>0</v>
      </c>
      <c r="N774" s="79" t="e">
        <f t="shared" si="279"/>
        <v>#DIV/0!</v>
      </c>
      <c r="O774" s="80">
        <f t="shared" si="192"/>
        <v>0</v>
      </c>
      <c r="P774" s="79">
        <f t="shared" si="193"/>
        <v>0.46980221332705441</v>
      </c>
      <c r="Q774" s="81">
        <f t="shared" si="194"/>
        <v>0</v>
      </c>
      <c r="R774" s="110">
        <f t="shared" si="278"/>
        <v>169.88</v>
      </c>
      <c r="S774" s="83" t="e">
        <f t="shared" si="195"/>
        <v>#DIV/0!</v>
      </c>
      <c r="T774" s="84"/>
      <c r="U774" s="84"/>
      <c r="V774" s="84"/>
      <c r="W774" s="84"/>
      <c r="X774" s="85"/>
      <c r="Y774" s="68"/>
      <c r="Z774" s="68"/>
    </row>
    <row r="775" spans="1:26" ht="12.75" hidden="1" outlineLevel="1" x14ac:dyDescent="0.2">
      <c r="A775" s="111"/>
      <c r="B775" s="86"/>
      <c r="C775" s="112" t="s">
        <v>45</v>
      </c>
      <c r="D775" s="71">
        <v>0</v>
      </c>
      <c r="E775" s="73">
        <v>0</v>
      </c>
      <c r="F775" s="73">
        <v>0</v>
      </c>
      <c r="G775" s="74" t="e">
        <f t="shared" si="189"/>
        <v>#DIV/0!</v>
      </c>
      <c r="H775" s="75" t="e">
        <f t="shared" si="190"/>
        <v>#DIV/0!</v>
      </c>
      <c r="I775" s="76" t="e">
        <f t="shared" si="191"/>
        <v>#DIV/0!</v>
      </c>
      <c r="J775" s="71">
        <v>0</v>
      </c>
      <c r="K775" s="73">
        <v>0</v>
      </c>
      <c r="L775" s="73">
        <v>0</v>
      </c>
      <c r="M775" s="78">
        <v>0</v>
      </c>
      <c r="N775" s="79" t="e">
        <f t="shared" si="279"/>
        <v>#DIV/0!</v>
      </c>
      <c r="O775" s="80" t="e">
        <f t="shared" si="192"/>
        <v>#DIV/0!</v>
      </c>
      <c r="P775" s="79" t="e">
        <f t="shared" si="193"/>
        <v>#DIV/0!</v>
      </c>
      <c r="Q775" s="81" t="e">
        <f t="shared" si="194"/>
        <v>#DIV/0!</v>
      </c>
      <c r="R775" s="82">
        <f t="shared" si="278"/>
        <v>0</v>
      </c>
      <c r="S775" s="83" t="e">
        <f t="shared" si="195"/>
        <v>#DIV/0!</v>
      </c>
      <c r="T775" s="113"/>
      <c r="U775" s="113"/>
      <c r="V775" s="113"/>
      <c r="W775" s="114"/>
      <c r="X775" s="115"/>
      <c r="Y775" s="68"/>
      <c r="Z775" s="68"/>
    </row>
    <row r="776" spans="1:26" ht="12.75" hidden="1" outlineLevel="1" x14ac:dyDescent="0.2">
      <c r="A776" s="68"/>
      <c r="B776" s="86"/>
      <c r="C776" s="70" t="s">
        <v>46</v>
      </c>
      <c r="D776" s="116">
        <v>1597.15</v>
      </c>
      <c r="E776" s="73">
        <v>37</v>
      </c>
      <c r="F776" s="73">
        <v>31</v>
      </c>
      <c r="G776" s="74">
        <f t="shared" si="189"/>
        <v>1.1935483870967742</v>
      </c>
      <c r="H776" s="75">
        <f t="shared" si="190"/>
        <v>43.16621621621622</v>
      </c>
      <c r="I776" s="76">
        <f t="shared" si="191"/>
        <v>36.16628926223521</v>
      </c>
      <c r="J776" s="116">
        <v>267.49</v>
      </c>
      <c r="K776" s="73">
        <v>56359</v>
      </c>
      <c r="L776" s="73">
        <v>9</v>
      </c>
      <c r="M776" s="117">
        <v>390.55</v>
      </c>
      <c r="N776" s="79">
        <f t="shared" si="279"/>
        <v>0.68490590193317114</v>
      </c>
      <c r="O776" s="80">
        <f t="shared" si="192"/>
        <v>1.4600545814796815</v>
      </c>
      <c r="P776" s="79">
        <f t="shared" si="193"/>
        <v>0.16747957298938734</v>
      </c>
      <c r="Q776" s="81">
        <f t="shared" si="194"/>
        <v>0.24452931784741569</v>
      </c>
      <c r="R776" s="82">
        <f t="shared" si="278"/>
        <v>1206.6000000000001</v>
      </c>
      <c r="S776" s="83">
        <f t="shared" si="195"/>
        <v>29.721111111111114</v>
      </c>
      <c r="T776" s="84"/>
      <c r="U776" s="84"/>
      <c r="V776" s="84"/>
      <c r="W776" s="84"/>
      <c r="X776" s="85"/>
      <c r="Y776" s="68"/>
      <c r="Z776" s="68"/>
    </row>
    <row r="777" spans="1:26" ht="12.75" hidden="1" outlineLevel="1" x14ac:dyDescent="0.2">
      <c r="A777" s="68"/>
      <c r="B777" s="86"/>
      <c r="C777" s="70" t="s">
        <v>47</v>
      </c>
      <c r="D777" s="87">
        <v>0</v>
      </c>
      <c r="E777" s="73">
        <v>0</v>
      </c>
      <c r="F777" s="73">
        <v>0</v>
      </c>
      <c r="G777" s="74" t="e">
        <f t="shared" si="189"/>
        <v>#DIV/0!</v>
      </c>
      <c r="H777" s="75" t="e">
        <f t="shared" si="190"/>
        <v>#DIV/0!</v>
      </c>
      <c r="I777" s="76" t="e">
        <f t="shared" si="191"/>
        <v>#DIV/0!</v>
      </c>
      <c r="J777" s="87">
        <v>0</v>
      </c>
      <c r="K777" s="73">
        <v>0</v>
      </c>
      <c r="L777" s="73">
        <v>0</v>
      </c>
      <c r="M777" s="88">
        <v>0</v>
      </c>
      <c r="N777" s="79" t="e">
        <f t="shared" si="279"/>
        <v>#DIV/0!</v>
      </c>
      <c r="O777" s="80" t="e">
        <f t="shared" si="192"/>
        <v>#DIV/0!</v>
      </c>
      <c r="P777" s="79" t="e">
        <f t="shared" si="193"/>
        <v>#DIV/0!</v>
      </c>
      <c r="Q777" s="81" t="e">
        <f t="shared" si="194"/>
        <v>#DIV/0!</v>
      </c>
      <c r="R777" s="82">
        <f t="shared" si="278"/>
        <v>0</v>
      </c>
      <c r="S777" s="83" t="e">
        <f t="shared" si="195"/>
        <v>#DIV/0!</v>
      </c>
      <c r="T777" s="84"/>
      <c r="U777" s="84"/>
      <c r="V777" s="84"/>
      <c r="W777" s="84"/>
      <c r="X777" s="85"/>
      <c r="Y777" s="68"/>
      <c r="Z777" s="68"/>
    </row>
    <row r="778" spans="1:26" ht="12.75" hidden="1" outlineLevel="1" x14ac:dyDescent="0.2">
      <c r="A778" s="68"/>
      <c r="B778" s="86"/>
      <c r="C778" s="70" t="s">
        <v>48</v>
      </c>
      <c r="D778" s="102">
        <v>4980.3999999999996</v>
      </c>
      <c r="E778" s="73">
        <v>21</v>
      </c>
      <c r="F778" s="73">
        <v>21</v>
      </c>
      <c r="G778" s="74">
        <f t="shared" ref="G778:G838" si="280">E778/F778</f>
        <v>1</v>
      </c>
      <c r="H778" s="75">
        <f t="shared" ref="H778:H838" si="281">D778/E778</f>
        <v>237.16190476190474</v>
      </c>
      <c r="I778" s="76">
        <f t="shared" ref="I778:I838" si="282">H778/G778</f>
        <v>237.16190476190474</v>
      </c>
      <c r="J778" s="102">
        <v>435.99</v>
      </c>
      <c r="K778" s="73">
        <v>30871</v>
      </c>
      <c r="L778" s="73">
        <v>13</v>
      </c>
      <c r="M778" s="103">
        <v>2459.4</v>
      </c>
      <c r="N778" s="79">
        <f t="shared" si="279"/>
        <v>0.17727494510856306</v>
      </c>
      <c r="O778" s="80">
        <f t="shared" ref="O778:O838" si="283">M778/J778</f>
        <v>5.6409550677767841</v>
      </c>
      <c r="P778" s="79">
        <f t="shared" ref="P778:P838" si="284">J778/D778</f>
        <v>8.7541161352501812E-2</v>
      </c>
      <c r="Q778" s="81">
        <f t="shared" ref="Q778:Q838" si="285">M778/D778</f>
        <v>0.49381575777046027</v>
      </c>
      <c r="R778" s="82">
        <f t="shared" si="278"/>
        <v>2520.9999999999995</v>
      </c>
      <c r="S778" s="83">
        <f t="shared" ref="S778:S838" si="286">J778/L778</f>
        <v>33.537692307692311</v>
      </c>
      <c r="T778" s="84"/>
      <c r="U778" s="84"/>
      <c r="V778" s="84"/>
      <c r="W778" s="84"/>
      <c r="X778" s="85"/>
      <c r="Y778" s="68"/>
      <c r="Z778" s="68"/>
    </row>
    <row r="779" spans="1:26" ht="12.75" hidden="1" outlineLevel="1" x14ac:dyDescent="0.2">
      <c r="A779" s="68"/>
      <c r="B779" s="86"/>
      <c r="C779" s="70" t="s">
        <v>49</v>
      </c>
      <c r="D779" s="116">
        <v>0</v>
      </c>
      <c r="E779" s="73">
        <v>0</v>
      </c>
      <c r="F779" s="73">
        <v>0</v>
      </c>
      <c r="G779" s="74" t="e">
        <f t="shared" si="280"/>
        <v>#DIV/0!</v>
      </c>
      <c r="H779" s="75" t="e">
        <f t="shared" si="281"/>
        <v>#DIV/0!</v>
      </c>
      <c r="I779" s="76" t="e">
        <f t="shared" si="282"/>
        <v>#DIV/0!</v>
      </c>
      <c r="J779" s="116">
        <v>5.88</v>
      </c>
      <c r="K779" s="73">
        <v>14559</v>
      </c>
      <c r="L779" s="73">
        <v>0</v>
      </c>
      <c r="M779" s="117">
        <v>0</v>
      </c>
      <c r="N779" s="79" t="e">
        <f t="shared" si="279"/>
        <v>#DIV/0!</v>
      </c>
      <c r="O779" s="80">
        <f t="shared" si="283"/>
        <v>0</v>
      </c>
      <c r="P779" s="79" t="e">
        <f t="shared" si="284"/>
        <v>#DIV/0!</v>
      </c>
      <c r="Q779" s="81" t="e">
        <f t="shared" si="285"/>
        <v>#DIV/0!</v>
      </c>
      <c r="R779" s="82">
        <f t="shared" si="278"/>
        <v>0</v>
      </c>
      <c r="S779" s="83" t="e">
        <f t="shared" si="286"/>
        <v>#DIV/0!</v>
      </c>
      <c r="T779" s="84"/>
      <c r="U779" s="84"/>
      <c r="V779" s="84"/>
      <c r="W779" s="84"/>
      <c r="X779" s="85"/>
      <c r="Y779" s="68"/>
      <c r="Z779" s="68"/>
    </row>
    <row r="780" spans="1:26" hidden="1" outlineLevel="1" x14ac:dyDescent="0.25">
      <c r="A780" s="118" t="str">
        <f t="shared" ref="A780:A781" si="287">IFERROR(IF(B780&gt;0,MONTH(B780)&amp;"-"&amp;YEAR(B780),B780),)</f>
        <v>12-2025</v>
      </c>
      <c r="B780" s="69">
        <v>46004</v>
      </c>
      <c r="C780" s="198" t="s">
        <v>64</v>
      </c>
      <c r="D780" s="116">
        <v>0</v>
      </c>
      <c r="E780" s="73">
        <v>0</v>
      </c>
      <c r="F780" s="73">
        <v>0</v>
      </c>
      <c r="G780" s="74" t="e">
        <f t="shared" si="280"/>
        <v>#DIV/0!</v>
      </c>
      <c r="H780" s="75" t="e">
        <f t="shared" si="281"/>
        <v>#DIV/0!</v>
      </c>
      <c r="I780" s="76" t="e">
        <f t="shared" si="282"/>
        <v>#DIV/0!</v>
      </c>
      <c r="J780" s="87">
        <v>2304.17</v>
      </c>
      <c r="K780" s="199">
        <v>214545</v>
      </c>
      <c r="L780" s="73">
        <v>0</v>
      </c>
      <c r="M780" s="88">
        <v>10900.400000000001</v>
      </c>
      <c r="N780" s="79">
        <f t="shared" si="279"/>
        <v>0.21138398590877397</v>
      </c>
      <c r="O780" s="80">
        <f t="shared" si="283"/>
        <v>4.7307273334866791</v>
      </c>
      <c r="P780" s="79" t="e">
        <f t="shared" si="284"/>
        <v>#DIV/0!</v>
      </c>
      <c r="Q780" s="81" t="e">
        <f t="shared" si="285"/>
        <v>#DIV/0!</v>
      </c>
      <c r="R780" s="82">
        <f t="shared" si="278"/>
        <v>-10900.400000000001</v>
      </c>
      <c r="S780" s="83" t="e">
        <f t="shared" si="286"/>
        <v>#DIV/0!</v>
      </c>
      <c r="T780" s="84"/>
      <c r="U780" s="84"/>
      <c r="V780" s="84"/>
      <c r="W780" s="84"/>
      <c r="X780" s="85"/>
      <c r="Y780" s="68"/>
      <c r="Z780" s="68"/>
    </row>
    <row r="781" spans="1:26" ht="12.75" collapsed="1" x14ac:dyDescent="0.2">
      <c r="A781" s="68">
        <f t="shared" si="287"/>
        <v>0</v>
      </c>
      <c r="B781" s="52" t="s">
        <v>108</v>
      </c>
      <c r="C781" s="120"/>
      <c r="D781" s="121">
        <f t="shared" ref="D781:F781" si="288">SUM(D763:D780)</f>
        <v>24995.160000000003</v>
      </c>
      <c r="E781" s="123">
        <f t="shared" si="288"/>
        <v>193</v>
      </c>
      <c r="F781" s="123">
        <f t="shared" si="288"/>
        <v>203</v>
      </c>
      <c r="G781" s="124">
        <f t="shared" si="280"/>
        <v>0.95073891625615758</v>
      </c>
      <c r="H781" s="125">
        <f t="shared" si="281"/>
        <v>129.50860103626945</v>
      </c>
      <c r="I781" s="126">
        <f t="shared" si="282"/>
        <v>136.2188912454026</v>
      </c>
      <c r="J781" s="121">
        <f t="shared" ref="J781:M781" si="289">SUM(J763:J780)</f>
        <v>6128.66</v>
      </c>
      <c r="K781" s="123">
        <f t="shared" si="289"/>
        <v>2873241</v>
      </c>
      <c r="L781" s="123">
        <f t="shared" si="289"/>
        <v>68</v>
      </c>
      <c r="M781" s="127">
        <f t="shared" si="289"/>
        <v>21741.98</v>
      </c>
      <c r="N781" s="128">
        <f t="shared" si="279"/>
        <v>0.28188141098464814</v>
      </c>
      <c r="O781" s="129">
        <f t="shared" si="283"/>
        <v>3.5475911536942824</v>
      </c>
      <c r="P781" s="128">
        <f t="shared" si="284"/>
        <v>0.24519386953314157</v>
      </c>
      <c r="Q781" s="130">
        <f t="shared" si="285"/>
        <v>0.86984760249584303</v>
      </c>
      <c r="R781" s="131">
        <f>SUM(R763:R780)</f>
        <v>3253.1799999999967</v>
      </c>
      <c r="S781" s="132">
        <f t="shared" si="286"/>
        <v>90.127352941176468</v>
      </c>
      <c r="T781" s="133">
        <f t="shared" ref="T781:U781" si="290">IFERROR((D781-D69)/D781,)</f>
        <v>0.69668847888951302</v>
      </c>
      <c r="U781" s="133">
        <f t="shared" si="290"/>
        <v>0.51295336787564771</v>
      </c>
      <c r="V781" s="134" t="s">
        <v>139</v>
      </c>
      <c r="W781" s="134" t="s">
        <v>139</v>
      </c>
      <c r="X781" s="68"/>
      <c r="Y781" s="68"/>
      <c r="Z781" s="68"/>
    </row>
    <row r="782" spans="1:26" ht="12.75" hidden="1" outlineLevel="1" x14ac:dyDescent="0.2">
      <c r="A782" s="68"/>
      <c r="B782" s="69">
        <v>46005</v>
      </c>
      <c r="C782" s="70" t="s">
        <v>32</v>
      </c>
      <c r="D782" s="71">
        <v>15879.79</v>
      </c>
      <c r="E782" s="73">
        <v>46</v>
      </c>
      <c r="F782" s="73">
        <v>43</v>
      </c>
      <c r="G782" s="74">
        <f t="shared" si="280"/>
        <v>1.069767441860465</v>
      </c>
      <c r="H782" s="75">
        <f t="shared" si="281"/>
        <v>345.21282608695657</v>
      </c>
      <c r="I782" s="76">
        <f t="shared" si="282"/>
        <v>322.69894612476378</v>
      </c>
      <c r="J782" s="77">
        <v>1935.87</v>
      </c>
      <c r="K782" s="73">
        <v>307514</v>
      </c>
      <c r="L782" s="73">
        <v>24</v>
      </c>
      <c r="M782" s="78">
        <v>3946.46</v>
      </c>
      <c r="N782" s="79">
        <f t="shared" si="279"/>
        <v>0.49053328806069235</v>
      </c>
      <c r="O782" s="80">
        <f t="shared" si="283"/>
        <v>2.0385976331055291</v>
      </c>
      <c r="P782" s="79">
        <f t="shared" si="284"/>
        <v>0.12190778341527185</v>
      </c>
      <c r="Q782" s="81">
        <f t="shared" si="285"/>
        <v>0.24852091872751464</v>
      </c>
      <c r="R782" s="82">
        <f t="shared" ref="R782:R799" si="291">D782-M782</f>
        <v>11933.330000000002</v>
      </c>
      <c r="S782" s="83">
        <f t="shared" si="286"/>
        <v>80.661249999999995</v>
      </c>
      <c r="T782" s="84"/>
      <c r="U782" s="84"/>
      <c r="V782" s="84"/>
      <c r="W782" s="84"/>
      <c r="X782" s="85"/>
      <c r="Y782" s="68"/>
      <c r="Z782" s="68"/>
    </row>
    <row r="783" spans="1:26" ht="12.75" hidden="1" outlineLevel="1" x14ac:dyDescent="0.2">
      <c r="A783" s="68"/>
      <c r="B783" s="86"/>
      <c r="C783" s="70" t="s">
        <v>33</v>
      </c>
      <c r="D783" s="87">
        <v>30591.79</v>
      </c>
      <c r="E783" s="73">
        <v>135</v>
      </c>
      <c r="F783" s="73">
        <v>141</v>
      </c>
      <c r="G783" s="74">
        <f t="shared" si="280"/>
        <v>0.95744680851063835</v>
      </c>
      <c r="H783" s="75">
        <f t="shared" si="281"/>
        <v>226.60585185185187</v>
      </c>
      <c r="I783" s="76">
        <f t="shared" si="282"/>
        <v>236.67722304526748</v>
      </c>
      <c r="J783" s="87">
        <v>1009.3</v>
      </c>
      <c r="K783" s="73">
        <v>394188</v>
      </c>
      <c r="L783" s="73">
        <v>47</v>
      </c>
      <c r="M783" s="88">
        <v>7893.63</v>
      </c>
      <c r="N783" s="79">
        <f t="shared" si="279"/>
        <v>0.12786259300220557</v>
      </c>
      <c r="O783" s="80">
        <f t="shared" si="283"/>
        <v>7.8208956702665215</v>
      </c>
      <c r="P783" s="79">
        <f t="shared" si="284"/>
        <v>3.2992512043263894E-2</v>
      </c>
      <c r="Q783" s="81">
        <f t="shared" si="285"/>
        <v>0.25803099459037865</v>
      </c>
      <c r="R783" s="89">
        <f t="shared" si="291"/>
        <v>22698.16</v>
      </c>
      <c r="S783" s="83">
        <f t="shared" si="286"/>
        <v>21.47446808510638</v>
      </c>
      <c r="T783" s="84"/>
      <c r="U783" s="84"/>
      <c r="V783" s="84"/>
      <c r="W783" s="84"/>
      <c r="X783" s="85"/>
      <c r="Y783" s="68"/>
      <c r="Z783" s="68"/>
    </row>
    <row r="784" spans="1:26" ht="12.75" hidden="1" outlineLevel="1" x14ac:dyDescent="0.2">
      <c r="A784" s="68"/>
      <c r="B784" s="86"/>
      <c r="C784" s="70" t="s">
        <v>34</v>
      </c>
      <c r="D784" s="90">
        <v>0</v>
      </c>
      <c r="E784" s="73">
        <v>0</v>
      </c>
      <c r="F784" s="73">
        <v>0</v>
      </c>
      <c r="G784" s="74" t="e">
        <f t="shared" si="280"/>
        <v>#DIV/0!</v>
      </c>
      <c r="H784" s="75" t="e">
        <f t="shared" si="281"/>
        <v>#DIV/0!</v>
      </c>
      <c r="I784" s="76" t="e">
        <f t="shared" si="282"/>
        <v>#DIV/0!</v>
      </c>
      <c r="J784" s="90">
        <v>0</v>
      </c>
      <c r="K784" s="73">
        <v>273</v>
      </c>
      <c r="L784" s="73">
        <v>0</v>
      </c>
      <c r="M784" s="91">
        <v>0</v>
      </c>
      <c r="N784" s="79" t="e">
        <f>(J784/M784)</f>
        <v>#DIV/0!</v>
      </c>
      <c r="O784" s="80" t="e">
        <f t="shared" si="283"/>
        <v>#DIV/0!</v>
      </c>
      <c r="P784" s="79" t="e">
        <f t="shared" si="284"/>
        <v>#DIV/0!</v>
      </c>
      <c r="Q784" s="81" t="e">
        <f t="shared" si="285"/>
        <v>#DIV/0!</v>
      </c>
      <c r="R784" s="92">
        <f t="shared" si="291"/>
        <v>0</v>
      </c>
      <c r="S784" s="83" t="e">
        <f t="shared" si="286"/>
        <v>#DIV/0!</v>
      </c>
      <c r="T784" s="84"/>
      <c r="U784" s="84"/>
      <c r="V784" s="84"/>
      <c r="W784" s="84"/>
      <c r="X784" s="85"/>
      <c r="Y784" s="68"/>
      <c r="Z784" s="68"/>
    </row>
    <row r="785" spans="1:26" ht="12.75" hidden="1" outlineLevel="1" x14ac:dyDescent="0.2">
      <c r="A785" s="68"/>
      <c r="B785" s="86"/>
      <c r="C785" s="70" t="s">
        <v>35</v>
      </c>
      <c r="D785" s="90">
        <v>125.9</v>
      </c>
      <c r="E785" s="73">
        <v>2</v>
      </c>
      <c r="F785" s="73">
        <v>2</v>
      </c>
      <c r="G785" s="74">
        <f t="shared" si="280"/>
        <v>1</v>
      </c>
      <c r="H785" s="75">
        <f t="shared" si="281"/>
        <v>62.95</v>
      </c>
      <c r="I785" s="76">
        <f t="shared" si="282"/>
        <v>62.95</v>
      </c>
      <c r="J785" s="90">
        <v>0</v>
      </c>
      <c r="K785" s="73">
        <v>13</v>
      </c>
      <c r="L785" s="73">
        <v>0</v>
      </c>
      <c r="M785" s="91">
        <v>0</v>
      </c>
      <c r="N785" s="79" t="e">
        <f t="shared" ref="N785:N802" si="292">J785/M785</f>
        <v>#DIV/0!</v>
      </c>
      <c r="O785" s="80" t="e">
        <f t="shared" si="283"/>
        <v>#DIV/0!</v>
      </c>
      <c r="P785" s="79">
        <f t="shared" si="284"/>
        <v>0</v>
      </c>
      <c r="Q785" s="81">
        <f t="shared" si="285"/>
        <v>0</v>
      </c>
      <c r="R785" s="92">
        <f t="shared" si="291"/>
        <v>125.9</v>
      </c>
      <c r="S785" s="83" t="e">
        <f t="shared" si="286"/>
        <v>#DIV/0!</v>
      </c>
      <c r="T785" s="84"/>
      <c r="U785" s="84"/>
      <c r="V785" s="84"/>
      <c r="W785" s="84"/>
      <c r="X785" s="85"/>
      <c r="Y785" s="68"/>
      <c r="Z785" s="68"/>
    </row>
    <row r="786" spans="1:26" ht="12.75" hidden="1" outlineLevel="1" x14ac:dyDescent="0.2">
      <c r="A786" s="68"/>
      <c r="B786" s="86"/>
      <c r="C786" s="70" t="s">
        <v>36</v>
      </c>
      <c r="D786" s="90">
        <v>729.4</v>
      </c>
      <c r="E786" s="73">
        <v>12</v>
      </c>
      <c r="F786" s="73">
        <v>10</v>
      </c>
      <c r="G786" s="74">
        <f t="shared" si="280"/>
        <v>1.2</v>
      </c>
      <c r="H786" s="75">
        <f t="shared" si="281"/>
        <v>60.783333333333331</v>
      </c>
      <c r="I786" s="76">
        <f t="shared" si="282"/>
        <v>50.652777777777779</v>
      </c>
      <c r="J786" s="90">
        <v>69.069999999999993</v>
      </c>
      <c r="K786" s="73">
        <v>19238</v>
      </c>
      <c r="L786" s="73">
        <v>3</v>
      </c>
      <c r="M786" s="91">
        <v>199.85</v>
      </c>
      <c r="N786" s="79">
        <f t="shared" si="292"/>
        <v>0.34560920690517888</v>
      </c>
      <c r="O786" s="80">
        <f t="shared" si="283"/>
        <v>2.8934414362241205</v>
      </c>
      <c r="P786" s="79">
        <f t="shared" si="284"/>
        <v>9.4694269262407454E-2</v>
      </c>
      <c r="Q786" s="81">
        <f t="shared" si="285"/>
        <v>0.27399232245681382</v>
      </c>
      <c r="R786" s="92">
        <f t="shared" si="291"/>
        <v>529.54999999999995</v>
      </c>
      <c r="S786" s="83">
        <f t="shared" si="286"/>
        <v>23.02333333333333</v>
      </c>
      <c r="T786" s="84"/>
      <c r="U786" s="84"/>
      <c r="V786" s="84"/>
      <c r="W786" s="84"/>
      <c r="X786" s="85"/>
      <c r="Y786" s="68"/>
      <c r="Z786" s="68"/>
    </row>
    <row r="787" spans="1:26" ht="12.75" hidden="1" outlineLevel="1" x14ac:dyDescent="0.2">
      <c r="A787" s="68"/>
      <c r="B787" s="69" t="s">
        <v>37</v>
      </c>
      <c r="C787" s="70" t="s">
        <v>38</v>
      </c>
      <c r="D787" s="93">
        <v>328.09</v>
      </c>
      <c r="E787" s="73">
        <v>9</v>
      </c>
      <c r="F787" s="73">
        <v>10</v>
      </c>
      <c r="G787" s="74">
        <f t="shared" si="280"/>
        <v>0.9</v>
      </c>
      <c r="H787" s="75">
        <f t="shared" si="281"/>
        <v>36.454444444444441</v>
      </c>
      <c r="I787" s="76">
        <f t="shared" si="282"/>
        <v>40.504938271604935</v>
      </c>
      <c r="J787" s="93">
        <v>62.78</v>
      </c>
      <c r="K787" s="73">
        <v>10619</v>
      </c>
      <c r="L787" s="73">
        <v>3</v>
      </c>
      <c r="M787" s="94">
        <v>99.85</v>
      </c>
      <c r="N787" s="79">
        <f t="shared" si="292"/>
        <v>0.62874311467200805</v>
      </c>
      <c r="O787" s="80">
        <f t="shared" si="283"/>
        <v>1.5904746734628861</v>
      </c>
      <c r="P787" s="79">
        <f t="shared" si="284"/>
        <v>0.19134993446920054</v>
      </c>
      <c r="Q787" s="81">
        <f t="shared" si="285"/>
        <v>0.30433722454204637</v>
      </c>
      <c r="R787" s="95">
        <f t="shared" si="291"/>
        <v>228.23999999999998</v>
      </c>
      <c r="S787" s="83">
        <f t="shared" si="286"/>
        <v>20.926666666666666</v>
      </c>
      <c r="T787" s="84"/>
      <c r="U787" s="84"/>
      <c r="V787" s="84"/>
      <c r="W787" s="84"/>
      <c r="X787" s="85"/>
      <c r="Y787" s="68"/>
      <c r="Z787" s="68"/>
    </row>
    <row r="788" spans="1:26" ht="12.75" hidden="1" outlineLevel="1" x14ac:dyDescent="0.2">
      <c r="A788" s="68"/>
      <c r="B788" s="86"/>
      <c r="C788" s="70" t="s">
        <v>39</v>
      </c>
      <c r="D788" s="96">
        <v>0</v>
      </c>
      <c r="E788" s="73">
        <v>0</v>
      </c>
      <c r="F788" s="73">
        <v>0</v>
      </c>
      <c r="G788" s="74" t="e">
        <f t="shared" si="280"/>
        <v>#DIV/0!</v>
      </c>
      <c r="H788" s="75" t="e">
        <f t="shared" si="281"/>
        <v>#DIV/0!</v>
      </c>
      <c r="I788" s="76" t="e">
        <f t="shared" si="282"/>
        <v>#DIV/0!</v>
      </c>
      <c r="J788" s="96">
        <v>0</v>
      </c>
      <c r="K788" s="73">
        <v>0</v>
      </c>
      <c r="L788" s="73">
        <v>0</v>
      </c>
      <c r="M788" s="97">
        <v>0</v>
      </c>
      <c r="N788" s="79" t="e">
        <f t="shared" si="292"/>
        <v>#DIV/0!</v>
      </c>
      <c r="O788" s="80" t="e">
        <f t="shared" si="283"/>
        <v>#DIV/0!</v>
      </c>
      <c r="P788" s="79" t="e">
        <f t="shared" si="284"/>
        <v>#DIV/0!</v>
      </c>
      <c r="Q788" s="81" t="e">
        <f t="shared" si="285"/>
        <v>#DIV/0!</v>
      </c>
      <c r="R788" s="98">
        <f t="shared" si="291"/>
        <v>0</v>
      </c>
      <c r="S788" s="83" t="e">
        <f t="shared" si="286"/>
        <v>#DIV/0!</v>
      </c>
      <c r="T788" s="84"/>
      <c r="U788" s="84"/>
      <c r="V788" s="84"/>
      <c r="W788" s="84"/>
      <c r="X788" s="85"/>
      <c r="Y788" s="68"/>
      <c r="Z788" s="68"/>
    </row>
    <row r="789" spans="1:26" ht="12.75" hidden="1" outlineLevel="1" x14ac:dyDescent="0.2">
      <c r="A789" s="68"/>
      <c r="B789" s="86"/>
      <c r="C789" s="70" t="s">
        <v>40</v>
      </c>
      <c r="D789" s="99">
        <v>0</v>
      </c>
      <c r="E789" s="73">
        <v>0</v>
      </c>
      <c r="F789" s="73">
        <v>0</v>
      </c>
      <c r="G789" s="74" t="e">
        <f t="shared" si="280"/>
        <v>#DIV/0!</v>
      </c>
      <c r="H789" s="75" t="e">
        <f t="shared" si="281"/>
        <v>#DIV/0!</v>
      </c>
      <c r="I789" s="76" t="e">
        <f t="shared" si="282"/>
        <v>#DIV/0!</v>
      </c>
      <c r="J789" s="99">
        <v>0</v>
      </c>
      <c r="K789" s="73">
        <v>0</v>
      </c>
      <c r="L789" s="73">
        <v>0</v>
      </c>
      <c r="M789" s="100">
        <v>0</v>
      </c>
      <c r="N789" s="79" t="e">
        <f t="shared" si="292"/>
        <v>#DIV/0!</v>
      </c>
      <c r="O789" s="80" t="e">
        <f t="shared" si="283"/>
        <v>#DIV/0!</v>
      </c>
      <c r="P789" s="79" t="e">
        <f t="shared" si="284"/>
        <v>#DIV/0!</v>
      </c>
      <c r="Q789" s="81" t="e">
        <f t="shared" si="285"/>
        <v>#DIV/0!</v>
      </c>
      <c r="R789" s="101">
        <f t="shared" si="291"/>
        <v>0</v>
      </c>
      <c r="S789" s="83" t="e">
        <f t="shared" si="286"/>
        <v>#DIV/0!</v>
      </c>
      <c r="T789" s="84"/>
      <c r="U789" s="84"/>
      <c r="V789" s="84"/>
      <c r="W789" s="84"/>
      <c r="X789" s="85"/>
      <c r="Y789" s="68"/>
      <c r="Z789" s="68"/>
    </row>
    <row r="790" spans="1:26" ht="12.75" hidden="1" outlineLevel="1" x14ac:dyDescent="0.2">
      <c r="A790" s="68"/>
      <c r="B790" s="86"/>
      <c r="C790" s="70" t="s">
        <v>41</v>
      </c>
      <c r="D790" s="102">
        <v>1334.56</v>
      </c>
      <c r="E790" s="73">
        <v>16</v>
      </c>
      <c r="F790" s="73">
        <v>15</v>
      </c>
      <c r="G790" s="74">
        <f t="shared" si="280"/>
        <v>1.0666666666666667</v>
      </c>
      <c r="H790" s="75">
        <f t="shared" si="281"/>
        <v>83.41</v>
      </c>
      <c r="I790" s="76">
        <f t="shared" si="282"/>
        <v>78.196874999999991</v>
      </c>
      <c r="J790" s="102">
        <v>562.41999999999996</v>
      </c>
      <c r="K790" s="73">
        <v>34705</v>
      </c>
      <c r="L790" s="73">
        <v>9</v>
      </c>
      <c r="M790" s="103">
        <v>874.63</v>
      </c>
      <c r="N790" s="79">
        <f t="shared" si="292"/>
        <v>0.64303762733956071</v>
      </c>
      <c r="O790" s="80">
        <f t="shared" si="283"/>
        <v>1.5551189502507023</v>
      </c>
      <c r="P790" s="79">
        <f t="shared" si="284"/>
        <v>0.42142728689605563</v>
      </c>
      <c r="Q790" s="81">
        <f t="shared" si="285"/>
        <v>0.65536956000479563</v>
      </c>
      <c r="R790" s="104">
        <f t="shared" si="291"/>
        <v>459.92999999999995</v>
      </c>
      <c r="S790" s="83">
        <f t="shared" si="286"/>
        <v>62.49111111111111</v>
      </c>
      <c r="T790" s="84"/>
      <c r="U790" s="84"/>
      <c r="V790" s="84"/>
      <c r="W790" s="84"/>
      <c r="X790" s="85"/>
      <c r="Y790" s="68"/>
      <c r="Z790" s="68"/>
    </row>
    <row r="791" spans="1:26" ht="12.75" hidden="1" outlineLevel="1" x14ac:dyDescent="0.2">
      <c r="A791" s="68"/>
      <c r="B791" s="86"/>
      <c r="C791" s="70" t="s">
        <v>42</v>
      </c>
      <c r="D791" s="90">
        <v>99.95</v>
      </c>
      <c r="E791" s="73">
        <v>5</v>
      </c>
      <c r="F791" s="73">
        <v>5</v>
      </c>
      <c r="G791" s="74">
        <f t="shared" si="280"/>
        <v>1</v>
      </c>
      <c r="H791" s="75">
        <f t="shared" si="281"/>
        <v>19.990000000000002</v>
      </c>
      <c r="I791" s="76">
        <f t="shared" si="282"/>
        <v>19.990000000000002</v>
      </c>
      <c r="J791" s="90">
        <v>115.07</v>
      </c>
      <c r="K791" s="73">
        <v>46481</v>
      </c>
      <c r="L791" s="73">
        <v>2</v>
      </c>
      <c r="M791" s="91">
        <v>39.979999999999997</v>
      </c>
      <c r="N791" s="79">
        <f t="shared" si="292"/>
        <v>2.8781890945472739</v>
      </c>
      <c r="O791" s="80">
        <f t="shared" si="283"/>
        <v>0.34744068827670116</v>
      </c>
      <c r="P791" s="79">
        <f t="shared" si="284"/>
        <v>1.1512756378189093</v>
      </c>
      <c r="Q791" s="81">
        <f t="shared" si="285"/>
        <v>0.39999999999999997</v>
      </c>
      <c r="R791" s="92">
        <f t="shared" si="291"/>
        <v>59.970000000000006</v>
      </c>
      <c r="S791" s="83">
        <f t="shared" si="286"/>
        <v>57.534999999999997</v>
      </c>
      <c r="T791" s="84"/>
      <c r="U791" s="84"/>
      <c r="V791" s="84"/>
      <c r="W791" s="84"/>
      <c r="X791" s="85"/>
      <c r="Y791" s="68"/>
      <c r="Z791" s="68"/>
    </row>
    <row r="792" spans="1:26" ht="12.75" hidden="1" outlineLevel="1" x14ac:dyDescent="0.2">
      <c r="A792" s="68"/>
      <c r="B792" s="86"/>
      <c r="C792" s="70" t="s">
        <v>43</v>
      </c>
      <c r="D792" s="105">
        <v>-278.33999999999997</v>
      </c>
      <c r="E792" s="73">
        <v>0</v>
      </c>
      <c r="F792" s="73">
        <v>2</v>
      </c>
      <c r="G792" s="74">
        <f t="shared" si="280"/>
        <v>0</v>
      </c>
      <c r="H792" s="75" t="e">
        <f t="shared" si="281"/>
        <v>#DIV/0!</v>
      </c>
      <c r="I792" s="76" t="e">
        <f t="shared" si="282"/>
        <v>#DIV/0!</v>
      </c>
      <c r="J792" s="105">
        <v>67.23</v>
      </c>
      <c r="K792" s="73">
        <v>11874</v>
      </c>
      <c r="L792" s="73">
        <v>0</v>
      </c>
      <c r="M792" s="106">
        <v>0</v>
      </c>
      <c r="N792" s="79" t="e">
        <f t="shared" si="292"/>
        <v>#DIV/0!</v>
      </c>
      <c r="O792" s="80">
        <f t="shared" si="283"/>
        <v>0</v>
      </c>
      <c r="P792" s="79">
        <f t="shared" si="284"/>
        <v>-0.24153912481138179</v>
      </c>
      <c r="Q792" s="81">
        <f t="shared" si="285"/>
        <v>0</v>
      </c>
      <c r="R792" s="107">
        <f t="shared" si="291"/>
        <v>-278.33999999999997</v>
      </c>
      <c r="S792" s="83" t="e">
        <f t="shared" si="286"/>
        <v>#DIV/0!</v>
      </c>
      <c r="T792" s="84"/>
      <c r="U792" s="84"/>
      <c r="V792" s="84"/>
      <c r="W792" s="84"/>
      <c r="X792" s="85"/>
      <c r="Y792" s="68"/>
      <c r="Z792" s="68"/>
    </row>
    <row r="793" spans="1:26" ht="12.75" hidden="1" outlineLevel="1" x14ac:dyDescent="0.2">
      <c r="A793" s="68"/>
      <c r="B793" s="86"/>
      <c r="C793" s="70" t="s">
        <v>44</v>
      </c>
      <c r="D793" s="108">
        <v>-139.9</v>
      </c>
      <c r="E793" s="73">
        <v>-2</v>
      </c>
      <c r="F793" s="73">
        <v>0</v>
      </c>
      <c r="G793" s="74" t="e">
        <f t="shared" si="280"/>
        <v>#DIV/0!</v>
      </c>
      <c r="H793" s="75">
        <f t="shared" si="281"/>
        <v>69.95</v>
      </c>
      <c r="I793" s="76" t="e">
        <f t="shared" si="282"/>
        <v>#DIV/0!</v>
      </c>
      <c r="J793" s="108">
        <v>91.08</v>
      </c>
      <c r="K793" s="73">
        <v>54140</v>
      </c>
      <c r="L793" s="73">
        <v>0</v>
      </c>
      <c r="M793" s="109">
        <v>0</v>
      </c>
      <c r="N793" s="79" t="e">
        <f t="shared" si="292"/>
        <v>#DIV/0!</v>
      </c>
      <c r="O793" s="80">
        <f t="shared" si="283"/>
        <v>0</v>
      </c>
      <c r="P793" s="79">
        <f t="shared" si="284"/>
        <v>-0.65103645461043602</v>
      </c>
      <c r="Q793" s="81">
        <f t="shared" si="285"/>
        <v>0</v>
      </c>
      <c r="R793" s="110">
        <f t="shared" si="291"/>
        <v>-139.9</v>
      </c>
      <c r="S793" s="83" t="e">
        <f t="shared" si="286"/>
        <v>#DIV/0!</v>
      </c>
      <c r="T793" s="84"/>
      <c r="U793" s="84"/>
      <c r="V793" s="84"/>
      <c r="W793" s="84"/>
      <c r="X793" s="85"/>
      <c r="Y793" s="68"/>
      <c r="Z793" s="68"/>
    </row>
    <row r="794" spans="1:26" ht="12.75" hidden="1" outlineLevel="1" x14ac:dyDescent="0.2">
      <c r="A794" s="111"/>
      <c r="B794" s="86"/>
      <c r="C794" s="112" t="s">
        <v>45</v>
      </c>
      <c r="D794" s="71">
        <v>-191.84</v>
      </c>
      <c r="E794" s="73">
        <v>-4</v>
      </c>
      <c r="F794" s="73">
        <v>1</v>
      </c>
      <c r="G794" s="74">
        <f t="shared" si="280"/>
        <v>-4</v>
      </c>
      <c r="H794" s="75">
        <f t="shared" si="281"/>
        <v>47.96</v>
      </c>
      <c r="I794" s="76">
        <f t="shared" si="282"/>
        <v>-11.99</v>
      </c>
      <c r="J794" s="71">
        <v>0</v>
      </c>
      <c r="K794" s="73">
        <v>0</v>
      </c>
      <c r="L794" s="73">
        <v>0</v>
      </c>
      <c r="M794" s="78">
        <v>0</v>
      </c>
      <c r="N794" s="79" t="e">
        <f t="shared" si="292"/>
        <v>#DIV/0!</v>
      </c>
      <c r="O794" s="80" t="e">
        <f t="shared" si="283"/>
        <v>#DIV/0!</v>
      </c>
      <c r="P794" s="79">
        <f t="shared" si="284"/>
        <v>0</v>
      </c>
      <c r="Q794" s="81">
        <f t="shared" si="285"/>
        <v>0</v>
      </c>
      <c r="R794" s="82">
        <f t="shared" si="291"/>
        <v>-191.84</v>
      </c>
      <c r="S794" s="83" t="e">
        <f t="shared" si="286"/>
        <v>#DIV/0!</v>
      </c>
      <c r="T794" s="113"/>
      <c r="U794" s="113"/>
      <c r="V794" s="113"/>
      <c r="W794" s="114"/>
      <c r="X794" s="115"/>
      <c r="Y794" s="68"/>
      <c r="Z794" s="68"/>
    </row>
    <row r="795" spans="1:26" ht="12.75" hidden="1" outlineLevel="1" x14ac:dyDescent="0.2">
      <c r="A795" s="68"/>
      <c r="B795" s="86"/>
      <c r="C795" s="70" t="s">
        <v>46</v>
      </c>
      <c r="D795" s="116">
        <v>941.43</v>
      </c>
      <c r="E795" s="73">
        <v>24</v>
      </c>
      <c r="F795" s="73">
        <v>28</v>
      </c>
      <c r="G795" s="74">
        <f t="shared" si="280"/>
        <v>0.8571428571428571</v>
      </c>
      <c r="H795" s="75">
        <f t="shared" si="281"/>
        <v>39.22625</v>
      </c>
      <c r="I795" s="76">
        <f t="shared" si="282"/>
        <v>45.763958333333335</v>
      </c>
      <c r="J795" s="116">
        <v>228.05</v>
      </c>
      <c r="K795" s="73">
        <v>64037</v>
      </c>
      <c r="L795" s="73">
        <v>13</v>
      </c>
      <c r="M795" s="117">
        <v>485.63</v>
      </c>
      <c r="N795" s="79">
        <f t="shared" si="292"/>
        <v>0.46959619463377472</v>
      </c>
      <c r="O795" s="80">
        <f t="shared" si="283"/>
        <v>2.12948914711686</v>
      </c>
      <c r="P795" s="79">
        <f t="shared" si="284"/>
        <v>0.24223787217318338</v>
      </c>
      <c r="Q795" s="81">
        <f t="shared" si="285"/>
        <v>0.5158429198134753</v>
      </c>
      <c r="R795" s="82">
        <f t="shared" si="291"/>
        <v>455.79999999999995</v>
      </c>
      <c r="S795" s="83">
        <f t="shared" si="286"/>
        <v>17.542307692307695</v>
      </c>
      <c r="T795" s="84"/>
      <c r="U795" s="84"/>
      <c r="V795" s="84"/>
      <c r="W795" s="84"/>
      <c r="X795" s="85"/>
      <c r="Y795" s="68"/>
      <c r="Z795" s="68"/>
    </row>
    <row r="796" spans="1:26" ht="12.75" hidden="1" outlineLevel="1" x14ac:dyDescent="0.2">
      <c r="A796" s="68"/>
      <c r="B796" s="86"/>
      <c r="C796" s="70" t="s">
        <v>47</v>
      </c>
      <c r="D796" s="87">
        <v>0</v>
      </c>
      <c r="E796" s="73">
        <v>0</v>
      </c>
      <c r="F796" s="73">
        <v>0</v>
      </c>
      <c r="G796" s="74" t="e">
        <f t="shared" si="280"/>
        <v>#DIV/0!</v>
      </c>
      <c r="H796" s="75" t="e">
        <f t="shared" si="281"/>
        <v>#DIV/0!</v>
      </c>
      <c r="I796" s="76" t="e">
        <f t="shared" si="282"/>
        <v>#DIV/0!</v>
      </c>
      <c r="J796" s="87">
        <v>0</v>
      </c>
      <c r="K796" s="73">
        <v>0</v>
      </c>
      <c r="L796" s="73">
        <v>0</v>
      </c>
      <c r="M796" s="88">
        <v>0</v>
      </c>
      <c r="N796" s="79" t="e">
        <f t="shared" si="292"/>
        <v>#DIV/0!</v>
      </c>
      <c r="O796" s="80" t="e">
        <f t="shared" si="283"/>
        <v>#DIV/0!</v>
      </c>
      <c r="P796" s="79" t="e">
        <f t="shared" si="284"/>
        <v>#DIV/0!</v>
      </c>
      <c r="Q796" s="81" t="e">
        <f t="shared" si="285"/>
        <v>#DIV/0!</v>
      </c>
      <c r="R796" s="82">
        <f t="shared" si="291"/>
        <v>0</v>
      </c>
      <c r="S796" s="83" t="e">
        <f t="shared" si="286"/>
        <v>#DIV/0!</v>
      </c>
      <c r="T796" s="84"/>
      <c r="U796" s="84"/>
      <c r="V796" s="84"/>
      <c r="W796" s="84"/>
      <c r="X796" s="85"/>
      <c r="Y796" s="68"/>
      <c r="Z796" s="68"/>
    </row>
    <row r="797" spans="1:26" ht="12.75" hidden="1" outlineLevel="1" x14ac:dyDescent="0.2">
      <c r="A797" s="68"/>
      <c r="B797" s="86"/>
      <c r="C797" s="70" t="s">
        <v>48</v>
      </c>
      <c r="D797" s="102">
        <v>5272.8</v>
      </c>
      <c r="E797" s="73">
        <v>31</v>
      </c>
      <c r="F797" s="73">
        <v>37</v>
      </c>
      <c r="G797" s="74">
        <f t="shared" si="280"/>
        <v>0.83783783783783783</v>
      </c>
      <c r="H797" s="75">
        <f t="shared" si="281"/>
        <v>170.09032258064516</v>
      </c>
      <c r="I797" s="76">
        <f t="shared" si="282"/>
        <v>203.01103017689906</v>
      </c>
      <c r="J797" s="102">
        <v>707.83</v>
      </c>
      <c r="K797" s="73">
        <v>42629</v>
      </c>
      <c r="L797" s="73">
        <v>17</v>
      </c>
      <c r="M797" s="103">
        <v>2600.61</v>
      </c>
      <c r="N797" s="79">
        <f t="shared" si="292"/>
        <v>0.27217845044047356</v>
      </c>
      <c r="O797" s="80">
        <f t="shared" si="283"/>
        <v>3.6740601556871</v>
      </c>
      <c r="P797" s="79">
        <f t="shared" si="284"/>
        <v>0.1342417690790472</v>
      </c>
      <c r="Q797" s="81">
        <f t="shared" si="285"/>
        <v>0.49321233500227585</v>
      </c>
      <c r="R797" s="82">
        <f t="shared" si="291"/>
        <v>2672.19</v>
      </c>
      <c r="S797" s="83">
        <f t="shared" si="286"/>
        <v>41.637058823529415</v>
      </c>
      <c r="T797" s="84"/>
      <c r="U797" s="84"/>
      <c r="V797" s="84"/>
      <c r="W797" s="84"/>
      <c r="X797" s="85"/>
      <c r="Y797" s="68"/>
      <c r="Z797" s="68"/>
    </row>
    <row r="798" spans="1:26" ht="12.75" hidden="1" outlineLevel="1" x14ac:dyDescent="0.2">
      <c r="A798" s="68"/>
      <c r="B798" s="86"/>
      <c r="C798" s="70" t="s">
        <v>49</v>
      </c>
      <c r="D798" s="116">
        <v>0</v>
      </c>
      <c r="E798" s="73">
        <v>0</v>
      </c>
      <c r="F798" s="73">
        <v>0</v>
      </c>
      <c r="G798" s="74" t="e">
        <f t="shared" si="280"/>
        <v>#DIV/0!</v>
      </c>
      <c r="H798" s="75" t="e">
        <f t="shared" si="281"/>
        <v>#DIV/0!</v>
      </c>
      <c r="I798" s="76" t="e">
        <f t="shared" si="282"/>
        <v>#DIV/0!</v>
      </c>
      <c r="J798" s="116">
        <v>16.170000000000002</v>
      </c>
      <c r="K798" s="73">
        <v>18679</v>
      </c>
      <c r="L798" s="73">
        <v>0</v>
      </c>
      <c r="M798" s="117">
        <v>0</v>
      </c>
      <c r="N798" s="79" t="e">
        <f t="shared" si="292"/>
        <v>#DIV/0!</v>
      </c>
      <c r="O798" s="80">
        <f t="shared" si="283"/>
        <v>0</v>
      </c>
      <c r="P798" s="79" t="e">
        <f t="shared" si="284"/>
        <v>#DIV/0!</v>
      </c>
      <c r="Q798" s="81" t="e">
        <f t="shared" si="285"/>
        <v>#DIV/0!</v>
      </c>
      <c r="R798" s="82">
        <f t="shared" si="291"/>
        <v>0</v>
      </c>
      <c r="S798" s="83" t="e">
        <f t="shared" si="286"/>
        <v>#DIV/0!</v>
      </c>
      <c r="T798" s="84"/>
      <c r="U798" s="84"/>
      <c r="V798" s="84"/>
      <c r="W798" s="84"/>
      <c r="X798" s="85"/>
      <c r="Y798" s="68"/>
      <c r="Z798" s="68"/>
    </row>
    <row r="799" spans="1:26" hidden="1" outlineLevel="1" x14ac:dyDescent="0.25">
      <c r="A799" s="118" t="str">
        <f t="shared" ref="A799:A800" si="293">IFERROR(IF(B799&gt;0,MONTH(B799)&amp;"-"&amp;YEAR(B799),B799),)</f>
        <v>12-2025</v>
      </c>
      <c r="B799" s="69">
        <v>46011</v>
      </c>
      <c r="C799" s="198" t="s">
        <v>64</v>
      </c>
      <c r="D799" s="116">
        <v>0</v>
      </c>
      <c r="E799" s="73">
        <v>0</v>
      </c>
      <c r="F799" s="73">
        <v>0</v>
      </c>
      <c r="G799" s="74" t="e">
        <f t="shared" si="280"/>
        <v>#DIV/0!</v>
      </c>
      <c r="H799" s="75" t="e">
        <f t="shared" si="281"/>
        <v>#DIV/0!</v>
      </c>
      <c r="I799" s="76" t="e">
        <f t="shared" si="282"/>
        <v>#DIV/0!</v>
      </c>
      <c r="J799" s="87">
        <v>5751.2499999999982</v>
      </c>
      <c r="K799" s="199">
        <v>346867</v>
      </c>
      <c r="L799" s="73">
        <v>0</v>
      </c>
      <c r="M799" s="88">
        <v>24478.89</v>
      </c>
      <c r="N799" s="79">
        <f t="shared" si="292"/>
        <v>0.2349473362558514</v>
      </c>
      <c r="O799" s="80">
        <f t="shared" si="283"/>
        <v>4.2562729841338856</v>
      </c>
      <c r="P799" s="79" t="e">
        <f t="shared" si="284"/>
        <v>#DIV/0!</v>
      </c>
      <c r="Q799" s="81" t="e">
        <f t="shared" si="285"/>
        <v>#DIV/0!</v>
      </c>
      <c r="R799" s="82">
        <f t="shared" si="291"/>
        <v>-24478.89</v>
      </c>
      <c r="S799" s="83" t="e">
        <f t="shared" si="286"/>
        <v>#DIV/0!</v>
      </c>
      <c r="T799" s="84"/>
      <c r="U799" s="84"/>
      <c r="V799" s="84"/>
      <c r="W799" s="84"/>
      <c r="X799" s="85"/>
      <c r="Y799" s="68"/>
      <c r="Z799" s="68"/>
    </row>
    <row r="800" spans="1:26" ht="12.75" collapsed="1" x14ac:dyDescent="0.2">
      <c r="A800" s="68">
        <f t="shared" si="293"/>
        <v>0</v>
      </c>
      <c r="B800" s="52" t="s">
        <v>109</v>
      </c>
      <c r="C800" s="120"/>
      <c r="D800" s="121">
        <f t="shared" ref="D800:F800" si="294">SUM(D782:D799)</f>
        <v>54693.630000000005</v>
      </c>
      <c r="E800" s="123">
        <f t="shared" si="294"/>
        <v>274</v>
      </c>
      <c r="F800" s="123">
        <f t="shared" si="294"/>
        <v>294</v>
      </c>
      <c r="G800" s="124">
        <f t="shared" si="280"/>
        <v>0.93197278911564629</v>
      </c>
      <c r="H800" s="125">
        <f t="shared" si="281"/>
        <v>199.61178832116789</v>
      </c>
      <c r="I800" s="126">
        <f t="shared" si="282"/>
        <v>214.18199184826042</v>
      </c>
      <c r="J800" s="121">
        <f t="shared" ref="J800:M800" si="295">SUM(J782:J799)</f>
        <v>10616.119999999999</v>
      </c>
      <c r="K800" s="123">
        <f t="shared" si="295"/>
        <v>1351257</v>
      </c>
      <c r="L800" s="123">
        <f t="shared" si="295"/>
        <v>118</v>
      </c>
      <c r="M800" s="127">
        <f t="shared" si="295"/>
        <v>40619.53</v>
      </c>
      <c r="N800" s="128">
        <f t="shared" si="292"/>
        <v>0.26135506737768749</v>
      </c>
      <c r="O800" s="129">
        <f t="shared" si="283"/>
        <v>3.8262124015176924</v>
      </c>
      <c r="P800" s="128">
        <f t="shared" si="284"/>
        <v>0.19410158001946476</v>
      </c>
      <c r="Q800" s="130">
        <f t="shared" si="285"/>
        <v>0.74267387262465479</v>
      </c>
      <c r="R800" s="131">
        <f>SUM(R782:R799)</f>
        <v>14074.10000000002</v>
      </c>
      <c r="S800" s="132">
        <f t="shared" si="286"/>
        <v>89.967118644067781</v>
      </c>
      <c r="T800" s="133">
        <f t="shared" ref="T800:U800" si="296">IFERROR((D800-D69)/D800,)</f>
        <v>0.86138568604789989</v>
      </c>
      <c r="U800" s="133">
        <f t="shared" si="296"/>
        <v>0.65693430656934304</v>
      </c>
      <c r="V800" s="134" t="s">
        <v>139</v>
      </c>
      <c r="W800" s="134" t="s">
        <v>139</v>
      </c>
      <c r="X800" s="68"/>
      <c r="Y800" s="68"/>
      <c r="Z800" s="68"/>
    </row>
    <row r="801" spans="1:26" ht="12.75" outlineLevel="1" x14ac:dyDescent="0.2">
      <c r="A801" s="50"/>
      <c r="B801" s="69">
        <v>46012</v>
      </c>
      <c r="C801" s="70" t="s">
        <v>32</v>
      </c>
      <c r="D801" s="71">
        <v>7936.51</v>
      </c>
      <c r="E801" s="73">
        <v>30</v>
      </c>
      <c r="F801" s="73">
        <v>30</v>
      </c>
      <c r="G801" s="74">
        <f t="shared" si="280"/>
        <v>1</v>
      </c>
      <c r="H801" s="75">
        <f t="shared" si="281"/>
        <v>264.55033333333336</v>
      </c>
      <c r="I801" s="76">
        <f t="shared" si="282"/>
        <v>264.55033333333336</v>
      </c>
      <c r="J801" s="77">
        <v>1654.24</v>
      </c>
      <c r="K801" s="73">
        <v>263207</v>
      </c>
      <c r="L801" s="73">
        <v>16</v>
      </c>
      <c r="M801" s="78">
        <v>4466.7299999999996</v>
      </c>
      <c r="N801" s="79">
        <f t="shared" si="292"/>
        <v>0.37034698761733981</v>
      </c>
      <c r="O801" s="80">
        <f t="shared" si="283"/>
        <v>2.7001704710320142</v>
      </c>
      <c r="P801" s="79">
        <f t="shared" si="284"/>
        <v>0.20843418580711168</v>
      </c>
      <c r="Q801" s="81">
        <f t="shared" si="285"/>
        <v>0.56280783366996312</v>
      </c>
      <c r="R801" s="82">
        <f t="shared" ref="R801:R818" si="297">D801-M801</f>
        <v>3469.7800000000007</v>
      </c>
      <c r="S801" s="83">
        <f t="shared" si="286"/>
        <v>103.39</v>
      </c>
      <c r="T801" s="135"/>
      <c r="U801" s="135"/>
      <c r="V801" s="135"/>
      <c r="W801" s="135"/>
      <c r="X801" s="136"/>
      <c r="Y801" s="50"/>
      <c r="Z801" s="50"/>
    </row>
    <row r="802" spans="1:26" ht="12.75" outlineLevel="1" x14ac:dyDescent="0.2">
      <c r="A802" s="50"/>
      <c r="B802" s="137"/>
      <c r="C802" s="70" t="s">
        <v>33</v>
      </c>
      <c r="D802" s="87">
        <v>19206.39</v>
      </c>
      <c r="E802" s="73">
        <v>104</v>
      </c>
      <c r="F802" s="73">
        <v>119</v>
      </c>
      <c r="G802" s="74">
        <f t="shared" si="280"/>
        <v>0.87394957983193278</v>
      </c>
      <c r="H802" s="75">
        <f t="shared" si="281"/>
        <v>184.67682692307693</v>
      </c>
      <c r="I802" s="76">
        <f t="shared" si="282"/>
        <v>211.31290772928995</v>
      </c>
      <c r="J802" s="87">
        <v>1288.08</v>
      </c>
      <c r="K802" s="73">
        <v>442713</v>
      </c>
      <c r="L802" s="73">
        <v>37</v>
      </c>
      <c r="M802" s="88">
        <v>6713.65</v>
      </c>
      <c r="N802" s="79">
        <f t="shared" si="292"/>
        <v>0.19185986758320733</v>
      </c>
      <c r="O802" s="80">
        <f t="shared" si="283"/>
        <v>5.2121374448792004</v>
      </c>
      <c r="P802" s="79">
        <f t="shared" si="284"/>
        <v>6.7065179869824576E-2</v>
      </c>
      <c r="Q802" s="81">
        <f t="shared" si="285"/>
        <v>0.34955293524707143</v>
      </c>
      <c r="R802" s="89">
        <f t="shared" si="297"/>
        <v>12492.74</v>
      </c>
      <c r="S802" s="83">
        <f t="shared" si="286"/>
        <v>34.812972972972972</v>
      </c>
      <c r="T802" s="135"/>
      <c r="U802" s="135"/>
      <c r="V802" s="135"/>
      <c r="W802" s="135"/>
      <c r="X802" s="136"/>
      <c r="Y802" s="50"/>
      <c r="Z802" s="50"/>
    </row>
    <row r="803" spans="1:26" ht="12.75" outlineLevel="1" x14ac:dyDescent="0.2">
      <c r="A803" s="50"/>
      <c r="B803" s="137"/>
      <c r="C803" s="70" t="s">
        <v>34</v>
      </c>
      <c r="D803" s="90">
        <v>0</v>
      </c>
      <c r="E803" s="73">
        <v>0</v>
      </c>
      <c r="F803" s="73">
        <v>0</v>
      </c>
      <c r="G803" s="74" t="e">
        <f t="shared" si="280"/>
        <v>#DIV/0!</v>
      </c>
      <c r="H803" s="75" t="e">
        <f t="shared" si="281"/>
        <v>#DIV/0!</v>
      </c>
      <c r="I803" s="76" t="e">
        <f t="shared" si="282"/>
        <v>#DIV/0!</v>
      </c>
      <c r="J803" s="90">
        <v>7.5</v>
      </c>
      <c r="K803" s="73">
        <v>288</v>
      </c>
      <c r="L803" s="73">
        <v>0</v>
      </c>
      <c r="M803" s="91">
        <v>0</v>
      </c>
      <c r="N803" s="79" t="e">
        <f>(J803/M803)</f>
        <v>#DIV/0!</v>
      </c>
      <c r="O803" s="80">
        <f t="shared" si="283"/>
        <v>0</v>
      </c>
      <c r="P803" s="79" t="e">
        <f t="shared" si="284"/>
        <v>#DIV/0!</v>
      </c>
      <c r="Q803" s="81" t="e">
        <f t="shared" si="285"/>
        <v>#DIV/0!</v>
      </c>
      <c r="R803" s="92">
        <f t="shared" si="297"/>
        <v>0</v>
      </c>
      <c r="S803" s="83" t="e">
        <f t="shared" si="286"/>
        <v>#DIV/0!</v>
      </c>
      <c r="T803" s="135"/>
      <c r="U803" s="135"/>
      <c r="V803" s="135"/>
      <c r="W803" s="135"/>
      <c r="X803" s="136"/>
      <c r="Y803" s="50"/>
      <c r="Z803" s="50"/>
    </row>
    <row r="804" spans="1:26" ht="12.75" outlineLevel="1" x14ac:dyDescent="0.2">
      <c r="A804" s="50"/>
      <c r="B804" s="137"/>
      <c r="C804" s="70" t="s">
        <v>35</v>
      </c>
      <c r="D804" s="90">
        <v>545.54999999999995</v>
      </c>
      <c r="E804" s="73">
        <v>9</v>
      </c>
      <c r="F804" s="73">
        <v>10</v>
      </c>
      <c r="G804" s="74">
        <f t="shared" si="280"/>
        <v>0.9</v>
      </c>
      <c r="H804" s="75">
        <f t="shared" si="281"/>
        <v>60.61666666666666</v>
      </c>
      <c r="I804" s="76">
        <f t="shared" si="282"/>
        <v>67.351851851851848</v>
      </c>
      <c r="J804" s="90">
        <v>184.21</v>
      </c>
      <c r="K804" s="73">
        <v>16259</v>
      </c>
      <c r="L804" s="73">
        <v>1</v>
      </c>
      <c r="M804" s="91">
        <v>59.95</v>
      </c>
      <c r="N804" s="79">
        <f t="shared" ref="N804:N821" si="298">J804/M804</f>
        <v>3.0727272727272728</v>
      </c>
      <c r="O804" s="80">
        <f t="shared" si="283"/>
        <v>0.32544378698224852</v>
      </c>
      <c r="P804" s="79">
        <f t="shared" si="284"/>
        <v>0.33765924296581434</v>
      </c>
      <c r="Q804" s="81">
        <f t="shared" si="285"/>
        <v>0.10988910274035378</v>
      </c>
      <c r="R804" s="92">
        <f t="shared" si="297"/>
        <v>485.59999999999997</v>
      </c>
      <c r="S804" s="83">
        <f t="shared" si="286"/>
        <v>184.21</v>
      </c>
      <c r="T804" s="135"/>
      <c r="U804" s="135"/>
      <c r="V804" s="135"/>
      <c r="W804" s="135"/>
      <c r="X804" s="136"/>
      <c r="Y804" s="50"/>
      <c r="Z804" s="50"/>
    </row>
    <row r="805" spans="1:26" ht="12.75" outlineLevel="1" x14ac:dyDescent="0.2">
      <c r="A805" s="50"/>
      <c r="B805" s="137"/>
      <c r="C805" s="70" t="s">
        <v>36</v>
      </c>
      <c r="D805" s="90">
        <v>589.54999999999995</v>
      </c>
      <c r="E805" s="73">
        <v>9</v>
      </c>
      <c r="F805" s="73">
        <v>9</v>
      </c>
      <c r="G805" s="74">
        <f t="shared" si="280"/>
        <v>1</v>
      </c>
      <c r="H805" s="75">
        <f t="shared" si="281"/>
        <v>65.505555555555546</v>
      </c>
      <c r="I805" s="76">
        <f t="shared" si="282"/>
        <v>65.505555555555546</v>
      </c>
      <c r="J805" s="90">
        <v>52.21</v>
      </c>
      <c r="K805" s="73">
        <v>18056</v>
      </c>
      <c r="L805" s="73">
        <v>7</v>
      </c>
      <c r="M805" s="91">
        <v>479.65</v>
      </c>
      <c r="N805" s="79">
        <f t="shared" si="298"/>
        <v>0.10885020327322006</v>
      </c>
      <c r="O805" s="80">
        <f t="shared" si="283"/>
        <v>9.186937368320244</v>
      </c>
      <c r="P805" s="79">
        <f t="shared" si="284"/>
        <v>8.8559070477482835E-2</v>
      </c>
      <c r="Q805" s="81">
        <f t="shared" si="285"/>
        <v>0.81358663387329322</v>
      </c>
      <c r="R805" s="92">
        <f t="shared" si="297"/>
        <v>109.89999999999998</v>
      </c>
      <c r="S805" s="83">
        <f t="shared" si="286"/>
        <v>7.4585714285714291</v>
      </c>
      <c r="T805" s="135"/>
      <c r="U805" s="135"/>
      <c r="V805" s="135"/>
      <c r="W805" s="135"/>
      <c r="X805" s="136"/>
      <c r="Y805" s="50"/>
      <c r="Z805" s="50"/>
    </row>
    <row r="806" spans="1:26" ht="12.75" outlineLevel="1" x14ac:dyDescent="0.2">
      <c r="A806" s="50"/>
      <c r="B806" s="138" t="s">
        <v>37</v>
      </c>
      <c r="C806" s="70" t="s">
        <v>38</v>
      </c>
      <c r="D806" s="93">
        <v>-70.63</v>
      </c>
      <c r="E806" s="73">
        <v>-2</v>
      </c>
      <c r="F806" s="73">
        <v>1</v>
      </c>
      <c r="G806" s="74">
        <f t="shared" si="280"/>
        <v>-2</v>
      </c>
      <c r="H806" s="75">
        <f t="shared" si="281"/>
        <v>35.314999999999998</v>
      </c>
      <c r="I806" s="76">
        <f t="shared" si="282"/>
        <v>-17.657499999999999</v>
      </c>
      <c r="J806" s="93">
        <v>8.48</v>
      </c>
      <c r="K806" s="73">
        <v>697</v>
      </c>
      <c r="L806" s="73">
        <v>0</v>
      </c>
      <c r="M806" s="94">
        <v>0</v>
      </c>
      <c r="N806" s="79" t="e">
        <f t="shared" si="298"/>
        <v>#DIV/0!</v>
      </c>
      <c r="O806" s="80">
        <f t="shared" si="283"/>
        <v>0</v>
      </c>
      <c r="P806" s="79">
        <f t="shared" si="284"/>
        <v>-0.12006229647458588</v>
      </c>
      <c r="Q806" s="81">
        <f t="shared" si="285"/>
        <v>0</v>
      </c>
      <c r="R806" s="95">
        <f t="shared" si="297"/>
        <v>-70.63</v>
      </c>
      <c r="S806" s="83" t="e">
        <f t="shared" si="286"/>
        <v>#DIV/0!</v>
      </c>
      <c r="T806" s="135"/>
      <c r="U806" s="135"/>
      <c r="V806" s="135"/>
      <c r="W806" s="135"/>
      <c r="X806" s="136"/>
      <c r="Y806" s="50"/>
      <c r="Z806" s="50"/>
    </row>
    <row r="807" spans="1:26" ht="12.75" outlineLevel="1" x14ac:dyDescent="0.2">
      <c r="A807" s="50"/>
      <c r="B807" s="137"/>
      <c r="C807" s="70" t="s">
        <v>39</v>
      </c>
      <c r="D807" s="96">
        <v>0</v>
      </c>
      <c r="E807" s="73">
        <v>0</v>
      </c>
      <c r="F807" s="73">
        <v>0</v>
      </c>
      <c r="G807" s="74" t="e">
        <f t="shared" si="280"/>
        <v>#DIV/0!</v>
      </c>
      <c r="H807" s="75" t="e">
        <f t="shared" si="281"/>
        <v>#DIV/0!</v>
      </c>
      <c r="I807" s="76" t="e">
        <f t="shared" si="282"/>
        <v>#DIV/0!</v>
      </c>
      <c r="J807" s="96">
        <v>0</v>
      </c>
      <c r="K807" s="73">
        <v>0</v>
      </c>
      <c r="L807" s="73">
        <v>0</v>
      </c>
      <c r="M807" s="97">
        <v>0</v>
      </c>
      <c r="N807" s="79" t="e">
        <f t="shared" si="298"/>
        <v>#DIV/0!</v>
      </c>
      <c r="O807" s="80" t="e">
        <f t="shared" si="283"/>
        <v>#DIV/0!</v>
      </c>
      <c r="P807" s="79" t="e">
        <f t="shared" si="284"/>
        <v>#DIV/0!</v>
      </c>
      <c r="Q807" s="81" t="e">
        <f t="shared" si="285"/>
        <v>#DIV/0!</v>
      </c>
      <c r="R807" s="98">
        <f t="shared" si="297"/>
        <v>0</v>
      </c>
      <c r="S807" s="83" t="e">
        <f t="shared" si="286"/>
        <v>#DIV/0!</v>
      </c>
      <c r="T807" s="135"/>
      <c r="U807" s="135"/>
      <c r="V807" s="135"/>
      <c r="W807" s="135"/>
      <c r="X807" s="136"/>
      <c r="Y807" s="50"/>
      <c r="Z807" s="50"/>
    </row>
    <row r="808" spans="1:26" ht="12.75" outlineLevel="1" x14ac:dyDescent="0.2">
      <c r="A808" s="50"/>
      <c r="B808" s="137"/>
      <c r="C808" s="70" t="s">
        <v>40</v>
      </c>
      <c r="D808" s="99">
        <v>0</v>
      </c>
      <c r="E808" s="73">
        <v>0</v>
      </c>
      <c r="F808" s="73">
        <v>0</v>
      </c>
      <c r="G808" s="74" t="e">
        <f t="shared" si="280"/>
        <v>#DIV/0!</v>
      </c>
      <c r="H808" s="75" t="e">
        <f t="shared" si="281"/>
        <v>#DIV/0!</v>
      </c>
      <c r="I808" s="76" t="e">
        <f t="shared" si="282"/>
        <v>#DIV/0!</v>
      </c>
      <c r="J808" s="99">
        <v>0</v>
      </c>
      <c r="K808" s="73">
        <v>0</v>
      </c>
      <c r="L808" s="73">
        <v>0</v>
      </c>
      <c r="M808" s="100">
        <v>0</v>
      </c>
      <c r="N808" s="79" t="e">
        <f t="shared" si="298"/>
        <v>#DIV/0!</v>
      </c>
      <c r="O808" s="80" t="e">
        <f t="shared" si="283"/>
        <v>#DIV/0!</v>
      </c>
      <c r="P808" s="79" t="e">
        <f t="shared" si="284"/>
        <v>#DIV/0!</v>
      </c>
      <c r="Q808" s="81" t="e">
        <f t="shared" si="285"/>
        <v>#DIV/0!</v>
      </c>
      <c r="R808" s="101">
        <f t="shared" si="297"/>
        <v>0</v>
      </c>
      <c r="S808" s="83" t="e">
        <f t="shared" si="286"/>
        <v>#DIV/0!</v>
      </c>
      <c r="T808" s="135"/>
      <c r="U808" s="135"/>
      <c r="V808" s="135"/>
      <c r="W808" s="135"/>
      <c r="X808" s="136"/>
      <c r="Y808" s="50"/>
      <c r="Z808" s="50"/>
    </row>
    <row r="809" spans="1:26" ht="12.75" outlineLevel="1" x14ac:dyDescent="0.2">
      <c r="A809" s="50"/>
      <c r="B809" s="137"/>
      <c r="C809" s="70" t="s">
        <v>41</v>
      </c>
      <c r="D809" s="102">
        <v>2629.8</v>
      </c>
      <c r="E809" s="73">
        <v>29</v>
      </c>
      <c r="F809" s="73">
        <v>28</v>
      </c>
      <c r="G809" s="74">
        <f t="shared" si="280"/>
        <v>1.0357142857142858</v>
      </c>
      <c r="H809" s="75">
        <f t="shared" si="281"/>
        <v>90.682758620689668</v>
      </c>
      <c r="I809" s="76">
        <f t="shared" si="282"/>
        <v>87.555766944114154</v>
      </c>
      <c r="J809" s="102">
        <v>668.15</v>
      </c>
      <c r="K809" s="73">
        <v>36463</v>
      </c>
      <c r="L809" s="73">
        <v>17</v>
      </c>
      <c r="M809" s="103">
        <v>1466.87</v>
      </c>
      <c r="N809" s="79">
        <f t="shared" si="298"/>
        <v>0.4554936701957229</v>
      </c>
      <c r="O809" s="80">
        <f t="shared" si="283"/>
        <v>2.1954201900770784</v>
      </c>
      <c r="P809" s="79">
        <f t="shared" si="284"/>
        <v>0.25406875047532129</v>
      </c>
      <c r="Q809" s="81">
        <f t="shared" si="285"/>
        <v>0.55778766446117567</v>
      </c>
      <c r="R809" s="104">
        <f t="shared" si="297"/>
        <v>1162.9300000000003</v>
      </c>
      <c r="S809" s="83">
        <f t="shared" si="286"/>
        <v>39.30294117647059</v>
      </c>
      <c r="T809" s="135"/>
      <c r="U809" s="135"/>
      <c r="V809" s="135"/>
      <c r="W809" s="135"/>
      <c r="X809" s="136"/>
      <c r="Y809" s="50"/>
      <c r="Z809" s="50"/>
    </row>
    <row r="810" spans="1:26" ht="12.75" outlineLevel="1" x14ac:dyDescent="0.2">
      <c r="A810" s="50"/>
      <c r="B810" s="137"/>
      <c r="C810" s="70" t="s">
        <v>42</v>
      </c>
      <c r="D810" s="90">
        <v>59.97</v>
      </c>
      <c r="E810" s="73">
        <v>3</v>
      </c>
      <c r="F810" s="73">
        <v>4</v>
      </c>
      <c r="G810" s="74">
        <f t="shared" si="280"/>
        <v>0.75</v>
      </c>
      <c r="H810" s="75">
        <f t="shared" si="281"/>
        <v>19.989999999999998</v>
      </c>
      <c r="I810" s="76">
        <f t="shared" si="282"/>
        <v>26.653333333333332</v>
      </c>
      <c r="J810" s="90">
        <v>136.24</v>
      </c>
      <c r="K810" s="73">
        <v>47577</v>
      </c>
      <c r="L810" s="73">
        <v>2</v>
      </c>
      <c r="M810" s="91">
        <v>39.979999999999997</v>
      </c>
      <c r="N810" s="79">
        <f t="shared" si="298"/>
        <v>3.4077038519259633</v>
      </c>
      <c r="O810" s="80">
        <f t="shared" si="283"/>
        <v>0.2934527304756312</v>
      </c>
      <c r="P810" s="79">
        <f t="shared" si="284"/>
        <v>2.2718025679506422</v>
      </c>
      <c r="Q810" s="81">
        <f t="shared" si="285"/>
        <v>0.66666666666666663</v>
      </c>
      <c r="R810" s="92">
        <f t="shared" si="297"/>
        <v>19.990000000000002</v>
      </c>
      <c r="S810" s="83">
        <f t="shared" si="286"/>
        <v>68.12</v>
      </c>
      <c r="T810" s="135"/>
      <c r="U810" s="135"/>
      <c r="V810" s="135"/>
      <c r="W810" s="135"/>
      <c r="X810" s="136"/>
      <c r="Y810" s="50"/>
      <c r="Z810" s="50"/>
    </row>
    <row r="811" spans="1:26" ht="12.75" outlineLevel="1" x14ac:dyDescent="0.2">
      <c r="A811" s="50"/>
      <c r="B811" s="137"/>
      <c r="C811" s="70" t="s">
        <v>43</v>
      </c>
      <c r="D811" s="105">
        <v>78.59</v>
      </c>
      <c r="E811" s="73">
        <v>0</v>
      </c>
      <c r="F811" s="73">
        <v>2</v>
      </c>
      <c r="G811" s="74">
        <f t="shared" si="280"/>
        <v>0</v>
      </c>
      <c r="H811" s="75" t="e">
        <f t="shared" si="281"/>
        <v>#DIV/0!</v>
      </c>
      <c r="I811" s="76" t="e">
        <f t="shared" si="282"/>
        <v>#DIV/0!</v>
      </c>
      <c r="J811" s="105">
        <v>36.36</v>
      </c>
      <c r="K811" s="73">
        <v>10972</v>
      </c>
      <c r="L811" s="73">
        <v>1</v>
      </c>
      <c r="M811" s="106">
        <v>154.46</v>
      </c>
      <c r="N811" s="79">
        <f t="shared" si="298"/>
        <v>0.23540075100349603</v>
      </c>
      <c r="O811" s="80">
        <f t="shared" si="283"/>
        <v>4.2480748074807479</v>
      </c>
      <c r="P811" s="79">
        <f t="shared" si="284"/>
        <v>0.46265428171523093</v>
      </c>
      <c r="Q811" s="81">
        <f t="shared" si="285"/>
        <v>1.9653899987275736</v>
      </c>
      <c r="R811" s="107">
        <f t="shared" si="297"/>
        <v>-75.87</v>
      </c>
      <c r="S811" s="83">
        <f t="shared" si="286"/>
        <v>36.36</v>
      </c>
      <c r="T811" s="135"/>
      <c r="U811" s="135"/>
      <c r="V811" s="135"/>
      <c r="W811" s="135"/>
      <c r="X811" s="136"/>
      <c r="Y811" s="50"/>
      <c r="Z811" s="50"/>
    </row>
    <row r="812" spans="1:26" ht="12.75" outlineLevel="1" x14ac:dyDescent="0.2">
      <c r="A812" s="50"/>
      <c r="B812" s="137"/>
      <c r="C812" s="70" t="s">
        <v>44</v>
      </c>
      <c r="D812" s="108">
        <v>190.8</v>
      </c>
      <c r="E812" s="73">
        <v>4</v>
      </c>
      <c r="F812" s="73">
        <v>4</v>
      </c>
      <c r="G812" s="74">
        <f t="shared" si="280"/>
        <v>1</v>
      </c>
      <c r="H812" s="75">
        <f t="shared" si="281"/>
        <v>47.7</v>
      </c>
      <c r="I812" s="76">
        <f t="shared" si="282"/>
        <v>47.7</v>
      </c>
      <c r="J812" s="108">
        <v>80.52</v>
      </c>
      <c r="K812" s="73">
        <v>40401</v>
      </c>
      <c r="L812" s="73">
        <v>3</v>
      </c>
      <c r="M812" s="109">
        <v>134.85</v>
      </c>
      <c r="N812" s="79">
        <f t="shared" si="298"/>
        <v>0.59710789766407124</v>
      </c>
      <c r="O812" s="80">
        <f t="shared" si="283"/>
        <v>1.6747391952309985</v>
      </c>
      <c r="P812" s="79">
        <f t="shared" si="284"/>
        <v>0.42201257861635216</v>
      </c>
      <c r="Q812" s="81">
        <f t="shared" si="285"/>
        <v>0.70676100628930816</v>
      </c>
      <c r="R812" s="110">
        <f t="shared" si="297"/>
        <v>55.950000000000017</v>
      </c>
      <c r="S812" s="83">
        <f t="shared" si="286"/>
        <v>26.84</v>
      </c>
      <c r="T812" s="135"/>
      <c r="U812" s="135"/>
      <c r="V812" s="135"/>
      <c r="W812" s="135"/>
      <c r="X812" s="136"/>
      <c r="Y812" s="50"/>
      <c r="Z812" s="50"/>
    </row>
    <row r="813" spans="1:26" ht="12.75" outlineLevel="1" x14ac:dyDescent="0.2">
      <c r="A813" s="139"/>
      <c r="B813" s="137"/>
      <c r="C813" s="112" t="s">
        <v>45</v>
      </c>
      <c r="D813" s="71">
        <v>0</v>
      </c>
      <c r="E813" s="73">
        <v>0</v>
      </c>
      <c r="F813" s="73">
        <v>0</v>
      </c>
      <c r="G813" s="74" t="e">
        <f t="shared" si="280"/>
        <v>#DIV/0!</v>
      </c>
      <c r="H813" s="75" t="e">
        <f t="shared" si="281"/>
        <v>#DIV/0!</v>
      </c>
      <c r="I813" s="76" t="e">
        <f t="shared" si="282"/>
        <v>#DIV/0!</v>
      </c>
      <c r="J813" s="71">
        <v>0</v>
      </c>
      <c r="K813" s="73">
        <v>0</v>
      </c>
      <c r="L813" s="73">
        <v>0</v>
      </c>
      <c r="M813" s="78">
        <v>0</v>
      </c>
      <c r="N813" s="79" t="e">
        <f t="shared" si="298"/>
        <v>#DIV/0!</v>
      </c>
      <c r="O813" s="80" t="e">
        <f t="shared" si="283"/>
        <v>#DIV/0!</v>
      </c>
      <c r="P813" s="79" t="e">
        <f t="shared" si="284"/>
        <v>#DIV/0!</v>
      </c>
      <c r="Q813" s="81" t="e">
        <f t="shared" si="285"/>
        <v>#DIV/0!</v>
      </c>
      <c r="R813" s="82">
        <f t="shared" si="297"/>
        <v>0</v>
      </c>
      <c r="S813" s="83" t="e">
        <f t="shared" si="286"/>
        <v>#DIV/0!</v>
      </c>
      <c r="T813" s="140"/>
      <c r="U813" s="140"/>
      <c r="V813" s="140"/>
      <c r="W813" s="141"/>
      <c r="X813" s="142"/>
      <c r="Y813" s="50"/>
      <c r="Z813" s="50"/>
    </row>
    <row r="814" spans="1:26" ht="12.75" outlineLevel="1" x14ac:dyDescent="0.2">
      <c r="A814" s="50"/>
      <c r="B814" s="137"/>
      <c r="C814" s="70" t="s">
        <v>46</v>
      </c>
      <c r="D814" s="116">
        <v>1312.67</v>
      </c>
      <c r="E814" s="73">
        <v>34</v>
      </c>
      <c r="F814" s="73">
        <v>31</v>
      </c>
      <c r="G814" s="74">
        <f t="shared" si="280"/>
        <v>1.096774193548387</v>
      </c>
      <c r="H814" s="75">
        <f t="shared" si="281"/>
        <v>38.60794117647059</v>
      </c>
      <c r="I814" s="76">
        <f t="shared" si="282"/>
        <v>35.201358131487893</v>
      </c>
      <c r="J814" s="116">
        <v>269.35000000000002</v>
      </c>
      <c r="K814" s="73">
        <v>50705</v>
      </c>
      <c r="L814" s="73">
        <v>13</v>
      </c>
      <c r="M814" s="117">
        <v>403.73</v>
      </c>
      <c r="N814" s="79">
        <f t="shared" si="298"/>
        <v>0.66715379089985882</v>
      </c>
      <c r="O814" s="80">
        <f t="shared" si="283"/>
        <v>1.4989047707443846</v>
      </c>
      <c r="P814" s="79">
        <f t="shared" si="284"/>
        <v>0.20519247030860766</v>
      </c>
      <c r="Q814" s="81">
        <f t="shared" si="285"/>
        <v>0.30756397266639751</v>
      </c>
      <c r="R814" s="82">
        <f t="shared" si="297"/>
        <v>908.94</v>
      </c>
      <c r="S814" s="83">
        <f t="shared" si="286"/>
        <v>20.719230769230769</v>
      </c>
      <c r="T814" s="135"/>
      <c r="U814" s="135"/>
      <c r="V814" s="135"/>
      <c r="W814" s="135"/>
      <c r="X814" s="136"/>
      <c r="Y814" s="50"/>
      <c r="Z814" s="50"/>
    </row>
    <row r="815" spans="1:26" ht="12.75" outlineLevel="1" x14ac:dyDescent="0.2">
      <c r="A815" s="50"/>
      <c r="B815" s="137"/>
      <c r="C815" s="70" t="s">
        <v>47</v>
      </c>
      <c r="D815" s="87">
        <v>-29.95</v>
      </c>
      <c r="E815" s="73">
        <v>-1</v>
      </c>
      <c r="F815" s="73">
        <v>0</v>
      </c>
      <c r="G815" s="74" t="e">
        <f t="shared" si="280"/>
        <v>#DIV/0!</v>
      </c>
      <c r="H815" s="75">
        <f t="shared" si="281"/>
        <v>29.95</v>
      </c>
      <c r="I815" s="76" t="e">
        <f t="shared" si="282"/>
        <v>#DIV/0!</v>
      </c>
      <c r="J815" s="87">
        <v>0</v>
      </c>
      <c r="K815" s="73">
        <v>0</v>
      </c>
      <c r="L815" s="73">
        <v>0</v>
      </c>
      <c r="M815" s="88">
        <v>0</v>
      </c>
      <c r="N815" s="79" t="e">
        <f t="shared" si="298"/>
        <v>#DIV/0!</v>
      </c>
      <c r="O815" s="80" t="e">
        <f t="shared" si="283"/>
        <v>#DIV/0!</v>
      </c>
      <c r="P815" s="79">
        <f t="shared" si="284"/>
        <v>0</v>
      </c>
      <c r="Q815" s="81">
        <f t="shared" si="285"/>
        <v>0</v>
      </c>
      <c r="R815" s="82">
        <f t="shared" si="297"/>
        <v>-29.95</v>
      </c>
      <c r="S815" s="83" t="e">
        <f t="shared" si="286"/>
        <v>#DIV/0!</v>
      </c>
      <c r="T815" s="135"/>
      <c r="U815" s="135"/>
      <c r="V815" s="135"/>
      <c r="W815" s="135"/>
      <c r="X815" s="136"/>
      <c r="Y815" s="50"/>
      <c r="Z815" s="50"/>
    </row>
    <row r="816" spans="1:26" ht="12.75" outlineLevel="1" x14ac:dyDescent="0.2">
      <c r="A816" s="50"/>
      <c r="B816" s="137"/>
      <c r="C816" s="70" t="s">
        <v>48</v>
      </c>
      <c r="D816" s="102">
        <v>4625.0600000000004</v>
      </c>
      <c r="E816" s="73">
        <v>26</v>
      </c>
      <c r="F816" s="73">
        <v>28</v>
      </c>
      <c r="G816" s="74">
        <f t="shared" si="280"/>
        <v>0.9285714285714286</v>
      </c>
      <c r="H816" s="75">
        <f t="shared" si="281"/>
        <v>177.8869230769231</v>
      </c>
      <c r="I816" s="76">
        <f t="shared" si="282"/>
        <v>191.57053254437872</v>
      </c>
      <c r="J816" s="102">
        <v>692.49</v>
      </c>
      <c r="K816" s="73">
        <v>44157</v>
      </c>
      <c r="L816" s="73">
        <v>11</v>
      </c>
      <c r="M816" s="103">
        <v>1670.89</v>
      </c>
      <c r="N816" s="79">
        <f t="shared" si="298"/>
        <v>0.41444379941228926</v>
      </c>
      <c r="O816" s="80">
        <f t="shared" si="283"/>
        <v>2.4128723880489251</v>
      </c>
      <c r="P816" s="79">
        <f t="shared" si="284"/>
        <v>0.14972562518107871</v>
      </c>
      <c r="Q816" s="81">
        <f t="shared" si="285"/>
        <v>0.36126882678278766</v>
      </c>
      <c r="R816" s="82">
        <f t="shared" si="297"/>
        <v>2954.17</v>
      </c>
      <c r="S816" s="83">
        <f t="shared" si="286"/>
        <v>62.953636363636363</v>
      </c>
      <c r="T816" s="135"/>
      <c r="U816" s="135"/>
      <c r="V816" s="135"/>
      <c r="W816" s="135"/>
      <c r="X816" s="136"/>
      <c r="Y816" s="50"/>
      <c r="Z816" s="50"/>
    </row>
    <row r="817" spans="1:26" ht="12.75" outlineLevel="1" x14ac:dyDescent="0.2">
      <c r="A817" s="118"/>
      <c r="B817" s="69"/>
      <c r="C817" s="70" t="s">
        <v>49</v>
      </c>
      <c r="D817" s="116">
        <v>0</v>
      </c>
      <c r="E817" s="73">
        <v>0</v>
      </c>
      <c r="F817" s="73">
        <v>0</v>
      </c>
      <c r="G817" s="74" t="e">
        <f t="shared" si="280"/>
        <v>#DIV/0!</v>
      </c>
      <c r="H817" s="75" t="e">
        <f t="shared" si="281"/>
        <v>#DIV/0!</v>
      </c>
      <c r="I817" s="76" t="e">
        <f t="shared" si="282"/>
        <v>#DIV/0!</v>
      </c>
      <c r="J817" s="116">
        <v>16.97</v>
      </c>
      <c r="K817" s="73">
        <v>17393</v>
      </c>
      <c r="L817" s="73">
        <v>0</v>
      </c>
      <c r="M817" s="117">
        <v>0</v>
      </c>
      <c r="N817" s="79" t="e">
        <f t="shared" si="298"/>
        <v>#DIV/0!</v>
      </c>
      <c r="O817" s="80">
        <f t="shared" si="283"/>
        <v>0</v>
      </c>
      <c r="P817" s="79" t="e">
        <f t="shared" si="284"/>
        <v>#DIV/0!</v>
      </c>
      <c r="Q817" s="81" t="e">
        <f t="shared" si="285"/>
        <v>#DIV/0!</v>
      </c>
      <c r="R817" s="82">
        <f t="shared" si="297"/>
        <v>0</v>
      </c>
      <c r="S817" s="83" t="e">
        <f t="shared" si="286"/>
        <v>#DIV/0!</v>
      </c>
      <c r="T817" s="135"/>
      <c r="U817" s="135"/>
      <c r="V817" s="135"/>
      <c r="W817" s="135"/>
      <c r="X817" s="136"/>
      <c r="Y817" s="50"/>
      <c r="Z817" s="50"/>
    </row>
    <row r="818" spans="1:26" outlineLevel="1" x14ac:dyDescent="0.25">
      <c r="A818" s="118" t="str">
        <f t="shared" ref="A818:A819" si="299">IFERROR(IF(B818&gt;0,MONTH(B818)&amp;"-"&amp;YEAR(B818),B818),)</f>
        <v>12-2025</v>
      </c>
      <c r="B818" s="69">
        <v>46018</v>
      </c>
      <c r="C818" s="198" t="s">
        <v>64</v>
      </c>
      <c r="D818" s="116">
        <v>0</v>
      </c>
      <c r="E818" s="73">
        <v>0</v>
      </c>
      <c r="F818" s="73">
        <v>0</v>
      </c>
      <c r="G818" s="74" t="e">
        <f t="shared" si="280"/>
        <v>#DIV/0!</v>
      </c>
      <c r="H818" s="75" t="e">
        <f t="shared" si="281"/>
        <v>#DIV/0!</v>
      </c>
      <c r="I818" s="76" t="e">
        <f t="shared" si="282"/>
        <v>#DIV/0!</v>
      </c>
      <c r="J818" s="87">
        <v>6654.4400000000005</v>
      </c>
      <c r="K818" s="199">
        <v>465451</v>
      </c>
      <c r="L818" s="73">
        <v>0</v>
      </c>
      <c r="M818" s="88">
        <v>18889.62</v>
      </c>
      <c r="N818" s="79">
        <f t="shared" si="298"/>
        <v>0.35228024703514421</v>
      </c>
      <c r="O818" s="80">
        <f t="shared" si="283"/>
        <v>2.8386490824171529</v>
      </c>
      <c r="P818" s="79" t="e">
        <f t="shared" si="284"/>
        <v>#DIV/0!</v>
      </c>
      <c r="Q818" s="81" t="e">
        <f t="shared" si="285"/>
        <v>#DIV/0!</v>
      </c>
      <c r="R818" s="82">
        <f t="shared" si="297"/>
        <v>-18889.62</v>
      </c>
      <c r="S818" s="83" t="e">
        <f t="shared" si="286"/>
        <v>#DIV/0!</v>
      </c>
      <c r="T818" s="135"/>
      <c r="U818" s="135"/>
      <c r="V818" s="135"/>
      <c r="W818" s="135"/>
      <c r="X818" s="136"/>
      <c r="Y818" s="50"/>
      <c r="Z818" s="50"/>
    </row>
    <row r="819" spans="1:26" ht="12.75" x14ac:dyDescent="0.2">
      <c r="A819" s="50">
        <f t="shared" si="299"/>
        <v>0</v>
      </c>
      <c r="B819" s="119" t="s">
        <v>58</v>
      </c>
      <c r="C819" s="145"/>
      <c r="D819" s="121">
        <f t="shared" ref="D819:F819" si="300">SUM(D801:D818)</f>
        <v>37074.31</v>
      </c>
      <c r="E819" s="123">
        <f t="shared" si="300"/>
        <v>245</v>
      </c>
      <c r="F819" s="123">
        <f t="shared" si="300"/>
        <v>266</v>
      </c>
      <c r="G819" s="124">
        <f t="shared" si="280"/>
        <v>0.92105263157894735</v>
      </c>
      <c r="H819" s="125">
        <f t="shared" si="281"/>
        <v>151.32371428571429</v>
      </c>
      <c r="I819" s="126">
        <f t="shared" si="282"/>
        <v>164.29431836734693</v>
      </c>
      <c r="J819" s="121">
        <f t="shared" ref="J819:M819" si="301">SUM(J801:J818)</f>
        <v>11749.240000000002</v>
      </c>
      <c r="K819" s="123">
        <f t="shared" si="301"/>
        <v>1454339</v>
      </c>
      <c r="L819" s="123">
        <f t="shared" si="301"/>
        <v>108</v>
      </c>
      <c r="M819" s="127">
        <f t="shared" si="301"/>
        <v>34480.379999999997</v>
      </c>
      <c r="N819" s="128">
        <f t="shared" si="298"/>
        <v>0.34075146503605824</v>
      </c>
      <c r="O819" s="129">
        <f t="shared" si="283"/>
        <v>2.9346902437944915</v>
      </c>
      <c r="P819" s="128">
        <f t="shared" si="284"/>
        <v>0.31691055072906288</v>
      </c>
      <c r="Q819" s="130">
        <f t="shared" si="285"/>
        <v>0.93003430138012011</v>
      </c>
      <c r="R819" s="131">
        <f>SUM(R801:R818)</f>
        <v>2593.9300000000039</v>
      </c>
      <c r="S819" s="132">
        <f t="shared" si="286"/>
        <v>108.78925925925927</v>
      </c>
      <c r="T819" s="133">
        <f t="shared" ref="T819:U819" si="302">IFERROR((D819-D69)/D819,)</f>
        <v>0.79551015244788104</v>
      </c>
      <c r="U819" s="133">
        <f t="shared" si="302"/>
        <v>0.61632653061224485</v>
      </c>
      <c r="V819" s="133" t="s">
        <v>139</v>
      </c>
      <c r="W819" s="133" t="s">
        <v>139</v>
      </c>
      <c r="X819" s="50"/>
      <c r="Y819" s="50"/>
      <c r="Z819" s="50"/>
    </row>
    <row r="820" spans="1:26" ht="12.75" outlineLevel="1" x14ac:dyDescent="0.2">
      <c r="A820" s="50"/>
      <c r="B820" s="69">
        <v>46019</v>
      </c>
      <c r="C820" s="70" t="s">
        <v>32</v>
      </c>
      <c r="D820" s="71">
        <v>13519.5</v>
      </c>
      <c r="E820" s="73">
        <v>57</v>
      </c>
      <c r="F820" s="73">
        <v>57</v>
      </c>
      <c r="G820" s="74">
        <f t="shared" si="280"/>
        <v>1</v>
      </c>
      <c r="H820" s="75">
        <f t="shared" si="281"/>
        <v>237.18421052631578</v>
      </c>
      <c r="I820" s="76">
        <f t="shared" si="282"/>
        <v>237.18421052631578</v>
      </c>
      <c r="J820" s="77">
        <v>1867.63</v>
      </c>
      <c r="K820" s="73">
        <v>249548</v>
      </c>
      <c r="L820" s="73">
        <v>23</v>
      </c>
      <c r="M820" s="78">
        <v>5019.4399999999996</v>
      </c>
      <c r="N820" s="79">
        <f t="shared" si="298"/>
        <v>0.37207935546594845</v>
      </c>
      <c r="O820" s="80">
        <f t="shared" si="283"/>
        <v>2.6875987213741475</v>
      </c>
      <c r="P820" s="79">
        <f t="shared" si="284"/>
        <v>0.13814342246384853</v>
      </c>
      <c r="Q820" s="81">
        <f t="shared" si="285"/>
        <v>0.37127408558008801</v>
      </c>
      <c r="R820" s="82">
        <f t="shared" ref="R820:R837" si="303">D820-M820</f>
        <v>8500.0600000000013</v>
      </c>
      <c r="S820" s="83">
        <f t="shared" si="286"/>
        <v>81.201304347826095</v>
      </c>
      <c r="T820" s="135"/>
      <c r="U820" s="135"/>
      <c r="V820" s="135"/>
      <c r="W820" s="135"/>
      <c r="X820" s="136"/>
      <c r="Y820" s="50"/>
      <c r="Z820" s="50"/>
    </row>
    <row r="821" spans="1:26" ht="12.75" outlineLevel="1" x14ac:dyDescent="0.2">
      <c r="A821" s="50"/>
      <c r="B821" s="137"/>
      <c r="C821" s="70" t="s">
        <v>33</v>
      </c>
      <c r="D821" s="87">
        <v>18767.79</v>
      </c>
      <c r="E821" s="73">
        <v>145</v>
      </c>
      <c r="F821" s="73">
        <v>161</v>
      </c>
      <c r="G821" s="74">
        <f t="shared" si="280"/>
        <v>0.90062111801242239</v>
      </c>
      <c r="H821" s="75">
        <f t="shared" si="281"/>
        <v>129.43303448275861</v>
      </c>
      <c r="I821" s="76">
        <f t="shared" si="282"/>
        <v>143.71530035671819</v>
      </c>
      <c r="J821" s="87">
        <v>1072.07</v>
      </c>
      <c r="K821" s="73">
        <v>465644</v>
      </c>
      <c r="L821" s="73">
        <v>32</v>
      </c>
      <c r="M821" s="88">
        <v>3923.85</v>
      </c>
      <c r="N821" s="79">
        <f t="shared" si="298"/>
        <v>0.27321890490207323</v>
      </c>
      <c r="O821" s="80">
        <f t="shared" si="283"/>
        <v>3.6600688387885119</v>
      </c>
      <c r="P821" s="79">
        <f t="shared" si="284"/>
        <v>5.7122868489044257E-2</v>
      </c>
      <c r="Q821" s="81">
        <f t="shared" si="285"/>
        <v>0.20907363093896508</v>
      </c>
      <c r="R821" s="89">
        <f t="shared" si="303"/>
        <v>14843.94</v>
      </c>
      <c r="S821" s="83">
        <f t="shared" si="286"/>
        <v>33.502187499999998</v>
      </c>
      <c r="T821" s="135"/>
      <c r="U821" s="135"/>
      <c r="V821" s="135"/>
      <c r="W821" s="135"/>
      <c r="X821" s="136"/>
      <c r="Y821" s="50"/>
      <c r="Z821" s="50"/>
    </row>
    <row r="822" spans="1:26" ht="12.75" outlineLevel="1" x14ac:dyDescent="0.2">
      <c r="A822" s="50"/>
      <c r="B822" s="137"/>
      <c r="C822" s="70" t="s">
        <v>34</v>
      </c>
      <c r="D822" s="90">
        <v>0</v>
      </c>
      <c r="E822" s="73">
        <v>0</v>
      </c>
      <c r="F822" s="73">
        <v>0</v>
      </c>
      <c r="G822" s="74" t="e">
        <f t="shared" si="280"/>
        <v>#DIV/0!</v>
      </c>
      <c r="H822" s="75" t="e">
        <f t="shared" si="281"/>
        <v>#DIV/0!</v>
      </c>
      <c r="I822" s="76" t="e">
        <f t="shared" si="282"/>
        <v>#DIV/0!</v>
      </c>
      <c r="J822" s="90">
        <v>0</v>
      </c>
      <c r="K822" s="73">
        <v>376</v>
      </c>
      <c r="L822" s="73">
        <v>0</v>
      </c>
      <c r="M822" s="91">
        <v>0</v>
      </c>
      <c r="N822" s="79" t="e">
        <f>(J822/M822)</f>
        <v>#DIV/0!</v>
      </c>
      <c r="O822" s="80" t="e">
        <f t="shared" si="283"/>
        <v>#DIV/0!</v>
      </c>
      <c r="P822" s="79" t="e">
        <f t="shared" si="284"/>
        <v>#DIV/0!</v>
      </c>
      <c r="Q822" s="81" t="e">
        <f t="shared" si="285"/>
        <v>#DIV/0!</v>
      </c>
      <c r="R822" s="92">
        <f t="shared" si="303"/>
        <v>0</v>
      </c>
      <c r="S822" s="83" t="e">
        <f t="shared" si="286"/>
        <v>#DIV/0!</v>
      </c>
      <c r="T822" s="135"/>
      <c r="U822" s="135"/>
      <c r="V822" s="135"/>
      <c r="W822" s="135"/>
      <c r="X822" s="136"/>
      <c r="Y822" s="50"/>
      <c r="Z822" s="50"/>
    </row>
    <row r="823" spans="1:26" ht="12.75" outlineLevel="1" x14ac:dyDescent="0.2">
      <c r="A823" s="50"/>
      <c r="B823" s="137"/>
      <c r="C823" s="70" t="s">
        <v>35</v>
      </c>
      <c r="D823" s="90">
        <v>125.9</v>
      </c>
      <c r="E823" s="73">
        <v>2</v>
      </c>
      <c r="F823" s="73">
        <v>2</v>
      </c>
      <c r="G823" s="74">
        <f t="shared" si="280"/>
        <v>1</v>
      </c>
      <c r="H823" s="75">
        <f t="shared" si="281"/>
        <v>62.95</v>
      </c>
      <c r="I823" s="76">
        <f t="shared" si="282"/>
        <v>62.95</v>
      </c>
      <c r="J823" s="90">
        <v>298.8</v>
      </c>
      <c r="K823" s="73">
        <v>26455</v>
      </c>
      <c r="L823" s="73">
        <v>5</v>
      </c>
      <c r="M823" s="91">
        <v>299.75</v>
      </c>
      <c r="N823" s="79">
        <f t="shared" ref="N823:N838" si="304">J823/M823</f>
        <v>0.99683069224353626</v>
      </c>
      <c r="O823" s="80">
        <f t="shared" si="283"/>
        <v>1.0031793842034806</v>
      </c>
      <c r="P823" s="79">
        <f t="shared" si="284"/>
        <v>2.3733121525019856</v>
      </c>
      <c r="Q823" s="81">
        <f t="shared" si="285"/>
        <v>2.380857823669579</v>
      </c>
      <c r="R823" s="92">
        <f t="shared" si="303"/>
        <v>-173.85</v>
      </c>
      <c r="S823" s="83">
        <f t="shared" si="286"/>
        <v>59.760000000000005</v>
      </c>
      <c r="T823" s="135"/>
      <c r="U823" s="135"/>
      <c r="V823" s="135"/>
      <c r="W823" s="135"/>
      <c r="X823" s="136"/>
      <c r="Y823" s="50"/>
      <c r="Z823" s="50"/>
    </row>
    <row r="824" spans="1:26" ht="12.75" outlineLevel="1" x14ac:dyDescent="0.2">
      <c r="A824" s="50"/>
      <c r="B824" s="137"/>
      <c r="C824" s="70" t="s">
        <v>36</v>
      </c>
      <c r="D824" s="90">
        <v>359.7</v>
      </c>
      <c r="E824" s="73">
        <v>6</v>
      </c>
      <c r="F824" s="73">
        <v>6</v>
      </c>
      <c r="G824" s="74">
        <f t="shared" si="280"/>
        <v>1</v>
      </c>
      <c r="H824" s="75">
        <f t="shared" si="281"/>
        <v>59.949999999999996</v>
      </c>
      <c r="I824" s="76">
        <f t="shared" si="282"/>
        <v>59.949999999999996</v>
      </c>
      <c r="J824" s="90">
        <v>105.72</v>
      </c>
      <c r="K824" s="73">
        <v>27117</v>
      </c>
      <c r="L824" s="73">
        <v>2</v>
      </c>
      <c r="M824" s="91">
        <v>129.9</v>
      </c>
      <c r="N824" s="79">
        <f t="shared" si="304"/>
        <v>0.81385681293302536</v>
      </c>
      <c r="O824" s="80">
        <f t="shared" si="283"/>
        <v>1.2287173666288309</v>
      </c>
      <c r="P824" s="79">
        <f t="shared" si="284"/>
        <v>0.29391159299416181</v>
      </c>
      <c r="Q824" s="81">
        <f t="shared" si="285"/>
        <v>0.36113427856547126</v>
      </c>
      <c r="R824" s="92">
        <f t="shared" si="303"/>
        <v>229.79999999999998</v>
      </c>
      <c r="S824" s="83">
        <f t="shared" si="286"/>
        <v>52.86</v>
      </c>
      <c r="T824" s="135"/>
      <c r="U824" s="135"/>
      <c r="V824" s="135"/>
      <c r="W824" s="135"/>
      <c r="X824" s="136"/>
      <c r="Y824" s="50"/>
      <c r="Z824" s="50"/>
    </row>
    <row r="825" spans="1:26" ht="12.75" outlineLevel="1" x14ac:dyDescent="0.2">
      <c r="A825" s="50"/>
      <c r="B825" s="138" t="s">
        <v>37</v>
      </c>
      <c r="C825" s="70" t="s">
        <v>38</v>
      </c>
      <c r="D825" s="93">
        <v>-60.73</v>
      </c>
      <c r="E825" s="73">
        <v>0</v>
      </c>
      <c r="F825" s="73">
        <v>1</v>
      </c>
      <c r="G825" s="74">
        <f t="shared" si="280"/>
        <v>0</v>
      </c>
      <c r="H825" s="75" t="e">
        <f t="shared" si="281"/>
        <v>#DIV/0!</v>
      </c>
      <c r="I825" s="76" t="e">
        <f t="shared" si="282"/>
        <v>#DIV/0!</v>
      </c>
      <c r="J825" s="93">
        <v>83.88</v>
      </c>
      <c r="K825" s="73">
        <v>253679</v>
      </c>
      <c r="L825" s="73">
        <v>0</v>
      </c>
      <c r="M825" s="94">
        <v>0</v>
      </c>
      <c r="N825" s="79" t="e">
        <f t="shared" si="304"/>
        <v>#DIV/0!</v>
      </c>
      <c r="O825" s="80">
        <f t="shared" si="283"/>
        <v>0</v>
      </c>
      <c r="P825" s="79">
        <f t="shared" si="284"/>
        <v>-1.3811954552939238</v>
      </c>
      <c r="Q825" s="81">
        <f t="shared" si="285"/>
        <v>0</v>
      </c>
      <c r="R825" s="95">
        <f t="shared" si="303"/>
        <v>-60.73</v>
      </c>
      <c r="S825" s="83" t="e">
        <f t="shared" si="286"/>
        <v>#DIV/0!</v>
      </c>
      <c r="T825" s="135"/>
      <c r="U825" s="135"/>
      <c r="V825" s="135"/>
      <c r="W825" s="135"/>
      <c r="X825" s="136"/>
      <c r="Y825" s="50"/>
      <c r="Z825" s="50"/>
    </row>
    <row r="826" spans="1:26" ht="12.75" outlineLevel="1" x14ac:dyDescent="0.2">
      <c r="A826" s="50"/>
      <c r="B826" s="137"/>
      <c r="C826" s="70" t="s">
        <v>39</v>
      </c>
      <c r="D826" s="96">
        <v>0</v>
      </c>
      <c r="E826" s="73">
        <v>0</v>
      </c>
      <c r="F826" s="73">
        <v>0</v>
      </c>
      <c r="G826" s="74" t="e">
        <f t="shared" si="280"/>
        <v>#DIV/0!</v>
      </c>
      <c r="H826" s="75" t="e">
        <f t="shared" si="281"/>
        <v>#DIV/0!</v>
      </c>
      <c r="I826" s="76" t="e">
        <f t="shared" si="282"/>
        <v>#DIV/0!</v>
      </c>
      <c r="J826" s="96">
        <v>0</v>
      </c>
      <c r="K826" s="73">
        <v>0</v>
      </c>
      <c r="L826" s="73">
        <v>0</v>
      </c>
      <c r="M826" s="97">
        <v>0</v>
      </c>
      <c r="N826" s="79" t="e">
        <f t="shared" si="304"/>
        <v>#DIV/0!</v>
      </c>
      <c r="O826" s="80" t="e">
        <f t="shared" si="283"/>
        <v>#DIV/0!</v>
      </c>
      <c r="P826" s="79" t="e">
        <f t="shared" si="284"/>
        <v>#DIV/0!</v>
      </c>
      <c r="Q826" s="81" t="e">
        <f t="shared" si="285"/>
        <v>#DIV/0!</v>
      </c>
      <c r="R826" s="98">
        <f t="shared" si="303"/>
        <v>0</v>
      </c>
      <c r="S826" s="83" t="e">
        <f t="shared" si="286"/>
        <v>#DIV/0!</v>
      </c>
      <c r="T826" s="135"/>
      <c r="U826" s="135"/>
      <c r="V826" s="135"/>
      <c r="W826" s="135"/>
      <c r="X826" s="136"/>
      <c r="Y826" s="50"/>
      <c r="Z826" s="50"/>
    </row>
    <row r="827" spans="1:26" ht="12.75" outlineLevel="1" x14ac:dyDescent="0.2">
      <c r="A827" s="50"/>
      <c r="B827" s="137"/>
      <c r="C827" s="70" t="s">
        <v>40</v>
      </c>
      <c r="D827" s="99">
        <v>0</v>
      </c>
      <c r="E827" s="73">
        <v>0</v>
      </c>
      <c r="F827" s="73">
        <v>0</v>
      </c>
      <c r="G827" s="74" t="e">
        <f t="shared" si="280"/>
        <v>#DIV/0!</v>
      </c>
      <c r="H827" s="75" t="e">
        <f t="shared" si="281"/>
        <v>#DIV/0!</v>
      </c>
      <c r="I827" s="76" t="e">
        <f t="shared" si="282"/>
        <v>#DIV/0!</v>
      </c>
      <c r="J827" s="99">
        <v>0</v>
      </c>
      <c r="K827" s="73">
        <v>0</v>
      </c>
      <c r="L827" s="73">
        <v>0</v>
      </c>
      <c r="M827" s="100">
        <v>0</v>
      </c>
      <c r="N827" s="79" t="e">
        <f t="shared" si="304"/>
        <v>#DIV/0!</v>
      </c>
      <c r="O827" s="80" t="e">
        <f t="shared" si="283"/>
        <v>#DIV/0!</v>
      </c>
      <c r="P827" s="79" t="e">
        <f t="shared" si="284"/>
        <v>#DIV/0!</v>
      </c>
      <c r="Q827" s="81" t="e">
        <f t="shared" si="285"/>
        <v>#DIV/0!</v>
      </c>
      <c r="R827" s="101">
        <f t="shared" si="303"/>
        <v>0</v>
      </c>
      <c r="S827" s="83" t="e">
        <f t="shared" si="286"/>
        <v>#DIV/0!</v>
      </c>
      <c r="T827" s="135"/>
      <c r="U827" s="135"/>
      <c r="V827" s="135"/>
      <c r="W827" s="135"/>
      <c r="X827" s="136"/>
      <c r="Y827" s="50"/>
      <c r="Z827" s="50"/>
    </row>
    <row r="828" spans="1:26" ht="12.75" outlineLevel="1" x14ac:dyDescent="0.2">
      <c r="A828" s="50"/>
      <c r="B828" s="137"/>
      <c r="C828" s="70" t="s">
        <v>41</v>
      </c>
      <c r="D828" s="102">
        <v>3534.27</v>
      </c>
      <c r="E828" s="73">
        <v>49</v>
      </c>
      <c r="F828" s="73">
        <v>51</v>
      </c>
      <c r="G828" s="74">
        <f t="shared" si="280"/>
        <v>0.96078431372549022</v>
      </c>
      <c r="H828" s="75">
        <f t="shared" si="281"/>
        <v>72.127959183673468</v>
      </c>
      <c r="I828" s="76">
        <f t="shared" si="282"/>
        <v>75.071957517700952</v>
      </c>
      <c r="J828" s="102">
        <v>799.06</v>
      </c>
      <c r="K828" s="73">
        <v>59789</v>
      </c>
      <c r="L828" s="73">
        <v>14</v>
      </c>
      <c r="M828" s="103">
        <v>877.86</v>
      </c>
      <c r="N828" s="79">
        <f t="shared" si="304"/>
        <v>0.91023625635067085</v>
      </c>
      <c r="O828" s="80">
        <f t="shared" si="283"/>
        <v>1.0986158736515406</v>
      </c>
      <c r="P828" s="79">
        <f t="shared" si="284"/>
        <v>0.22608912165737194</v>
      </c>
      <c r="Q828" s="81">
        <f t="shared" si="285"/>
        <v>0.24838509791272315</v>
      </c>
      <c r="R828" s="104">
        <f t="shared" si="303"/>
        <v>2656.41</v>
      </c>
      <c r="S828" s="83">
        <f t="shared" si="286"/>
        <v>57.075714285714284</v>
      </c>
      <c r="T828" s="135"/>
      <c r="U828" s="135"/>
      <c r="V828" s="135"/>
      <c r="W828" s="135"/>
      <c r="X828" s="136"/>
      <c r="Y828" s="50"/>
      <c r="Z828" s="50"/>
    </row>
    <row r="829" spans="1:26" ht="12.75" outlineLevel="1" x14ac:dyDescent="0.2">
      <c r="A829" s="50"/>
      <c r="B829" s="137"/>
      <c r="C829" s="70" t="s">
        <v>42</v>
      </c>
      <c r="D829" s="90">
        <v>59.97</v>
      </c>
      <c r="E829" s="73">
        <v>3</v>
      </c>
      <c r="F829" s="73">
        <v>3</v>
      </c>
      <c r="G829" s="74">
        <f t="shared" si="280"/>
        <v>1</v>
      </c>
      <c r="H829" s="75">
        <f t="shared" si="281"/>
        <v>19.989999999999998</v>
      </c>
      <c r="I829" s="76">
        <f t="shared" si="282"/>
        <v>19.989999999999998</v>
      </c>
      <c r="J829" s="90">
        <v>356.37</v>
      </c>
      <c r="K829" s="73">
        <v>105893</v>
      </c>
      <c r="L829" s="73">
        <v>2</v>
      </c>
      <c r="M829" s="91">
        <v>39.979999999999997</v>
      </c>
      <c r="N829" s="79">
        <f t="shared" si="304"/>
        <v>8.9137068534267136</v>
      </c>
      <c r="O829" s="80">
        <f t="shared" si="283"/>
        <v>0.11218677217498665</v>
      </c>
      <c r="P829" s="79">
        <f t="shared" si="284"/>
        <v>5.9424712356178091</v>
      </c>
      <c r="Q829" s="81">
        <f t="shared" si="285"/>
        <v>0.66666666666666663</v>
      </c>
      <c r="R829" s="92">
        <f t="shared" si="303"/>
        <v>19.990000000000002</v>
      </c>
      <c r="S829" s="83">
        <f t="shared" si="286"/>
        <v>178.185</v>
      </c>
      <c r="T829" s="135"/>
      <c r="U829" s="135"/>
      <c r="V829" s="135"/>
      <c r="W829" s="135"/>
      <c r="X829" s="136"/>
      <c r="Y829" s="50"/>
      <c r="Z829" s="50"/>
    </row>
    <row r="830" spans="1:26" ht="12.75" outlineLevel="1" x14ac:dyDescent="0.2">
      <c r="A830" s="50"/>
      <c r="B830" s="137"/>
      <c r="C830" s="70" t="s">
        <v>43</v>
      </c>
      <c r="D830" s="105">
        <v>1547.97</v>
      </c>
      <c r="E830" s="73">
        <v>13</v>
      </c>
      <c r="F830" s="73">
        <v>13</v>
      </c>
      <c r="G830" s="74">
        <f t="shared" si="280"/>
        <v>1</v>
      </c>
      <c r="H830" s="75">
        <f t="shared" si="281"/>
        <v>119.07461538461538</v>
      </c>
      <c r="I830" s="76">
        <f t="shared" si="282"/>
        <v>119.07461538461538</v>
      </c>
      <c r="J830" s="105">
        <v>74.14</v>
      </c>
      <c r="K830" s="73">
        <v>10788</v>
      </c>
      <c r="L830" s="73">
        <v>1</v>
      </c>
      <c r="M830" s="106">
        <v>0</v>
      </c>
      <c r="N830" s="79" t="e">
        <f t="shared" si="304"/>
        <v>#DIV/0!</v>
      </c>
      <c r="O830" s="80">
        <f t="shared" si="283"/>
        <v>0</v>
      </c>
      <c r="P830" s="79">
        <f t="shared" si="284"/>
        <v>4.7894985044929811E-2</v>
      </c>
      <c r="Q830" s="81">
        <f t="shared" si="285"/>
        <v>0</v>
      </c>
      <c r="R830" s="107">
        <f t="shared" si="303"/>
        <v>1547.97</v>
      </c>
      <c r="S830" s="83">
        <f t="shared" si="286"/>
        <v>74.14</v>
      </c>
      <c r="T830" s="135"/>
      <c r="U830" s="135"/>
      <c r="V830" s="135"/>
      <c r="W830" s="135"/>
      <c r="X830" s="136"/>
      <c r="Y830" s="50"/>
      <c r="Z830" s="50"/>
    </row>
    <row r="831" spans="1:26" ht="12.75" outlineLevel="1" x14ac:dyDescent="0.2">
      <c r="A831" s="50"/>
      <c r="B831" s="137"/>
      <c r="C831" s="70" t="s">
        <v>44</v>
      </c>
      <c r="D831" s="108">
        <v>209.8</v>
      </c>
      <c r="E831" s="73">
        <v>4</v>
      </c>
      <c r="F831" s="73">
        <v>4</v>
      </c>
      <c r="G831" s="74">
        <f t="shared" si="280"/>
        <v>1</v>
      </c>
      <c r="H831" s="75">
        <f t="shared" si="281"/>
        <v>52.45</v>
      </c>
      <c r="I831" s="76">
        <f t="shared" si="282"/>
        <v>52.45</v>
      </c>
      <c r="J831" s="108">
        <v>72.7</v>
      </c>
      <c r="K831" s="73">
        <v>40190</v>
      </c>
      <c r="L831" s="73">
        <v>3</v>
      </c>
      <c r="M831" s="109">
        <v>164.85</v>
      </c>
      <c r="N831" s="79">
        <f t="shared" si="304"/>
        <v>0.44100697603882322</v>
      </c>
      <c r="O831" s="80">
        <f t="shared" si="283"/>
        <v>2.2675378266850066</v>
      </c>
      <c r="P831" s="79">
        <f t="shared" si="284"/>
        <v>0.34652049571020016</v>
      </c>
      <c r="Q831" s="81">
        <f t="shared" si="285"/>
        <v>0.78574833174451852</v>
      </c>
      <c r="R831" s="110">
        <f t="shared" si="303"/>
        <v>44.950000000000017</v>
      </c>
      <c r="S831" s="83">
        <f t="shared" si="286"/>
        <v>24.233333333333334</v>
      </c>
      <c r="T831" s="135"/>
      <c r="U831" s="135"/>
      <c r="V831" s="135"/>
      <c r="W831" s="135"/>
      <c r="X831" s="136"/>
      <c r="Y831" s="50"/>
      <c r="Z831" s="50"/>
    </row>
    <row r="832" spans="1:26" ht="12.75" outlineLevel="1" x14ac:dyDescent="0.2">
      <c r="A832" s="139"/>
      <c r="B832" s="137"/>
      <c r="C832" s="112" t="s">
        <v>45</v>
      </c>
      <c r="D832" s="71">
        <v>0</v>
      </c>
      <c r="E832" s="73">
        <v>0</v>
      </c>
      <c r="F832" s="73">
        <v>0</v>
      </c>
      <c r="G832" s="74" t="e">
        <f t="shared" si="280"/>
        <v>#DIV/0!</v>
      </c>
      <c r="H832" s="75" t="e">
        <f t="shared" si="281"/>
        <v>#DIV/0!</v>
      </c>
      <c r="I832" s="76" t="e">
        <f t="shared" si="282"/>
        <v>#DIV/0!</v>
      </c>
      <c r="J832" s="71">
        <v>0</v>
      </c>
      <c r="K832" s="73">
        <v>0</v>
      </c>
      <c r="L832" s="73">
        <v>0</v>
      </c>
      <c r="M832" s="78">
        <v>0</v>
      </c>
      <c r="N832" s="79" t="e">
        <f t="shared" si="304"/>
        <v>#DIV/0!</v>
      </c>
      <c r="O832" s="80" t="e">
        <f t="shared" si="283"/>
        <v>#DIV/0!</v>
      </c>
      <c r="P832" s="79" t="e">
        <f t="shared" si="284"/>
        <v>#DIV/0!</v>
      </c>
      <c r="Q832" s="81" t="e">
        <f t="shared" si="285"/>
        <v>#DIV/0!</v>
      </c>
      <c r="R832" s="82">
        <f t="shared" si="303"/>
        <v>0</v>
      </c>
      <c r="S832" s="83" t="e">
        <f t="shared" si="286"/>
        <v>#DIV/0!</v>
      </c>
      <c r="T832" s="140"/>
      <c r="U832" s="140"/>
      <c r="V832" s="140"/>
      <c r="W832" s="141"/>
      <c r="X832" s="142"/>
      <c r="Y832" s="50"/>
      <c r="Z832" s="50"/>
    </row>
    <row r="833" spans="1:26" ht="12.75" outlineLevel="1" x14ac:dyDescent="0.2">
      <c r="A833" s="50"/>
      <c r="B833" s="137"/>
      <c r="C833" s="70" t="s">
        <v>46</v>
      </c>
      <c r="D833" s="116">
        <v>1218.3900000000001</v>
      </c>
      <c r="E833" s="73">
        <v>31</v>
      </c>
      <c r="F833" s="73">
        <v>31</v>
      </c>
      <c r="G833" s="74">
        <f t="shared" si="280"/>
        <v>1</v>
      </c>
      <c r="H833" s="75">
        <f t="shared" si="281"/>
        <v>39.302903225806453</v>
      </c>
      <c r="I833" s="76">
        <f t="shared" si="282"/>
        <v>39.302903225806453</v>
      </c>
      <c r="J833" s="116">
        <v>258.05</v>
      </c>
      <c r="K833" s="73">
        <v>66414</v>
      </c>
      <c r="L833" s="73">
        <v>25</v>
      </c>
      <c r="M833" s="117">
        <v>985.26</v>
      </c>
      <c r="N833" s="79">
        <f t="shared" si="304"/>
        <v>0.26191056167915072</v>
      </c>
      <c r="O833" s="80">
        <f t="shared" si="283"/>
        <v>3.8180972679713232</v>
      </c>
      <c r="P833" s="79">
        <f t="shared" si="284"/>
        <v>0.21179589458219453</v>
      </c>
      <c r="Q833" s="81">
        <f t="shared" si="285"/>
        <v>0.80865732647181932</v>
      </c>
      <c r="R833" s="82">
        <f t="shared" si="303"/>
        <v>233.13000000000011</v>
      </c>
      <c r="S833" s="83">
        <f t="shared" si="286"/>
        <v>10.322000000000001</v>
      </c>
      <c r="T833" s="135"/>
      <c r="U833" s="135"/>
      <c r="V833" s="135"/>
      <c r="W833" s="135"/>
      <c r="X833" s="136"/>
      <c r="Y833" s="50"/>
      <c r="Z833" s="50"/>
    </row>
    <row r="834" spans="1:26" ht="12.75" outlineLevel="1" x14ac:dyDescent="0.2">
      <c r="A834" s="50"/>
      <c r="B834" s="137"/>
      <c r="C834" s="70" t="s">
        <v>47</v>
      </c>
      <c r="D834" s="87">
        <v>59.9</v>
      </c>
      <c r="E834" s="73">
        <v>2</v>
      </c>
      <c r="F834" s="73">
        <v>2</v>
      </c>
      <c r="G834" s="74">
        <f t="shared" si="280"/>
        <v>1</v>
      </c>
      <c r="H834" s="75">
        <f t="shared" si="281"/>
        <v>29.95</v>
      </c>
      <c r="I834" s="76">
        <f t="shared" si="282"/>
        <v>29.95</v>
      </c>
      <c r="J834" s="87">
        <v>0</v>
      </c>
      <c r="K834" s="73">
        <v>0</v>
      </c>
      <c r="L834" s="73">
        <v>0</v>
      </c>
      <c r="M834" s="88">
        <v>0</v>
      </c>
      <c r="N834" s="79" t="e">
        <f t="shared" si="304"/>
        <v>#DIV/0!</v>
      </c>
      <c r="O834" s="80" t="e">
        <f t="shared" si="283"/>
        <v>#DIV/0!</v>
      </c>
      <c r="P834" s="79">
        <f t="shared" si="284"/>
        <v>0</v>
      </c>
      <c r="Q834" s="81">
        <f t="shared" si="285"/>
        <v>0</v>
      </c>
      <c r="R834" s="82">
        <f t="shared" si="303"/>
        <v>59.9</v>
      </c>
      <c r="S834" s="83" t="e">
        <f t="shared" si="286"/>
        <v>#DIV/0!</v>
      </c>
      <c r="T834" s="135"/>
      <c r="U834" s="135"/>
      <c r="V834" s="135"/>
      <c r="W834" s="135"/>
      <c r="X834" s="136"/>
      <c r="Y834" s="50"/>
      <c r="Z834" s="50"/>
    </row>
    <row r="835" spans="1:26" ht="12.75" outlineLevel="1" x14ac:dyDescent="0.2">
      <c r="A835" s="50"/>
      <c r="B835" s="137"/>
      <c r="C835" s="70" t="s">
        <v>48</v>
      </c>
      <c r="D835" s="102">
        <v>6535.42</v>
      </c>
      <c r="E835" s="73">
        <v>31</v>
      </c>
      <c r="F835" s="73">
        <v>31</v>
      </c>
      <c r="G835" s="74">
        <f t="shared" si="280"/>
        <v>1</v>
      </c>
      <c r="H835" s="75">
        <f t="shared" si="281"/>
        <v>210.82</v>
      </c>
      <c r="I835" s="76">
        <f t="shared" si="282"/>
        <v>210.82</v>
      </c>
      <c r="J835" s="102">
        <v>807.83</v>
      </c>
      <c r="K835" s="73">
        <v>55281</v>
      </c>
      <c r="L835" s="73">
        <v>15</v>
      </c>
      <c r="M835" s="103">
        <v>2922.51</v>
      </c>
      <c r="N835" s="79">
        <f t="shared" si="304"/>
        <v>0.27641650499057319</v>
      </c>
      <c r="O835" s="80">
        <f t="shared" si="283"/>
        <v>3.6177289776314323</v>
      </c>
      <c r="P835" s="79">
        <f t="shared" si="284"/>
        <v>0.12360797010750649</v>
      </c>
      <c r="Q835" s="81">
        <f t="shared" si="285"/>
        <v>0.44718013532412609</v>
      </c>
      <c r="R835" s="82">
        <f t="shared" si="303"/>
        <v>3612.91</v>
      </c>
      <c r="S835" s="83">
        <f t="shared" si="286"/>
        <v>53.855333333333334</v>
      </c>
      <c r="T835" s="135"/>
      <c r="U835" s="135"/>
      <c r="V835" s="135"/>
      <c r="W835" s="135"/>
      <c r="X835" s="136"/>
      <c r="Y835" s="50"/>
      <c r="Z835" s="50"/>
    </row>
    <row r="836" spans="1:26" ht="12.75" outlineLevel="1" x14ac:dyDescent="0.2">
      <c r="A836" s="118"/>
      <c r="B836" s="69"/>
      <c r="C836" s="70" t="s">
        <v>49</v>
      </c>
      <c r="D836" s="116">
        <v>-27</v>
      </c>
      <c r="E836" s="73">
        <v>-1</v>
      </c>
      <c r="F836" s="73">
        <v>0</v>
      </c>
      <c r="G836" s="74" t="e">
        <f t="shared" si="280"/>
        <v>#DIV/0!</v>
      </c>
      <c r="H836" s="75">
        <f t="shared" si="281"/>
        <v>27</v>
      </c>
      <c r="I836" s="76" t="e">
        <f t="shared" si="282"/>
        <v>#DIV/0!</v>
      </c>
      <c r="J836" s="116">
        <v>10.46</v>
      </c>
      <c r="K836" s="73">
        <v>14576</v>
      </c>
      <c r="L836" s="73">
        <v>0</v>
      </c>
      <c r="M836" s="117">
        <v>0</v>
      </c>
      <c r="N836" s="79" t="e">
        <f t="shared" si="304"/>
        <v>#DIV/0!</v>
      </c>
      <c r="O836" s="80">
        <f t="shared" si="283"/>
        <v>0</v>
      </c>
      <c r="P836" s="79">
        <f t="shared" si="284"/>
        <v>-0.38740740740740742</v>
      </c>
      <c r="Q836" s="81">
        <f t="shared" si="285"/>
        <v>0</v>
      </c>
      <c r="R836" s="82">
        <f t="shared" si="303"/>
        <v>-27</v>
      </c>
      <c r="S836" s="83" t="e">
        <f t="shared" si="286"/>
        <v>#DIV/0!</v>
      </c>
      <c r="T836" s="135"/>
      <c r="U836" s="135"/>
      <c r="V836" s="135"/>
      <c r="W836" s="135"/>
      <c r="X836" s="136"/>
      <c r="Y836" s="50"/>
      <c r="Z836" s="50"/>
    </row>
    <row r="837" spans="1:26" outlineLevel="1" x14ac:dyDescent="0.25">
      <c r="A837" s="118" t="str">
        <f t="shared" ref="A837:A838" si="305">IFERROR(IF(B837&gt;0,MONTH(B837)&amp;"-"&amp;YEAR(B837),B837),)</f>
        <v>1-2026</v>
      </c>
      <c r="B837" s="69">
        <v>46025</v>
      </c>
      <c r="C837" s="198" t="s">
        <v>64</v>
      </c>
      <c r="D837" s="116">
        <v>0</v>
      </c>
      <c r="E837" s="73">
        <v>0</v>
      </c>
      <c r="F837" s="73">
        <v>0</v>
      </c>
      <c r="G837" s="74" t="e">
        <f t="shared" si="280"/>
        <v>#DIV/0!</v>
      </c>
      <c r="H837" s="75" t="e">
        <f t="shared" si="281"/>
        <v>#DIV/0!</v>
      </c>
      <c r="I837" s="76" t="e">
        <f t="shared" si="282"/>
        <v>#DIV/0!</v>
      </c>
      <c r="J837" s="87">
        <v>4879.8900000000003</v>
      </c>
      <c r="K837" s="199">
        <v>507182</v>
      </c>
      <c r="L837" s="73">
        <v>0</v>
      </c>
      <c r="M837" s="88">
        <v>18214</v>
      </c>
      <c r="N837" s="79">
        <f t="shared" si="304"/>
        <v>0.26791973207422864</v>
      </c>
      <c r="O837" s="80">
        <f t="shared" si="283"/>
        <v>3.7324611825266549</v>
      </c>
      <c r="P837" s="79" t="e">
        <f t="shared" si="284"/>
        <v>#DIV/0!</v>
      </c>
      <c r="Q837" s="81" t="e">
        <f t="shared" si="285"/>
        <v>#DIV/0!</v>
      </c>
      <c r="R837" s="82">
        <f t="shared" si="303"/>
        <v>-18214</v>
      </c>
      <c r="S837" s="83" t="e">
        <f t="shared" si="286"/>
        <v>#DIV/0!</v>
      </c>
      <c r="T837" s="135"/>
      <c r="U837" s="135"/>
      <c r="V837" s="135"/>
      <c r="W837" s="135"/>
      <c r="X837" s="136"/>
      <c r="Y837" s="50"/>
      <c r="Z837" s="50"/>
    </row>
    <row r="838" spans="1:26" ht="12.75" x14ac:dyDescent="0.2">
      <c r="A838" s="50">
        <f t="shared" si="305"/>
        <v>0</v>
      </c>
      <c r="B838" s="119" t="s">
        <v>59</v>
      </c>
      <c r="C838" s="145"/>
      <c r="D838" s="121">
        <f t="shared" ref="D838:F838" si="306">SUM(D820:D837)</f>
        <v>45850.880000000005</v>
      </c>
      <c r="E838" s="123">
        <f t="shared" si="306"/>
        <v>342</v>
      </c>
      <c r="F838" s="123">
        <f t="shared" si="306"/>
        <v>362</v>
      </c>
      <c r="G838" s="124">
        <f t="shared" si="280"/>
        <v>0.94475138121546964</v>
      </c>
      <c r="H838" s="125">
        <f t="shared" si="281"/>
        <v>134.06690058479535</v>
      </c>
      <c r="I838" s="126">
        <f t="shared" si="282"/>
        <v>141.90707020963717</v>
      </c>
      <c r="J838" s="121">
        <f t="shared" ref="J838:M838" si="307">SUM(J820:J837)</f>
        <v>10686.6</v>
      </c>
      <c r="K838" s="123">
        <f t="shared" si="307"/>
        <v>1882932</v>
      </c>
      <c r="L838" s="123">
        <f t="shared" si="307"/>
        <v>122</v>
      </c>
      <c r="M838" s="127">
        <f t="shared" si="307"/>
        <v>32577.4</v>
      </c>
      <c r="N838" s="128">
        <f t="shared" si="304"/>
        <v>0.32803722826253784</v>
      </c>
      <c r="O838" s="129">
        <f t="shared" si="283"/>
        <v>3.0484344880504559</v>
      </c>
      <c r="P838" s="128">
        <f t="shared" si="284"/>
        <v>0.23307295301638703</v>
      </c>
      <c r="Q838" s="130">
        <f t="shared" si="285"/>
        <v>0.71050762820691771</v>
      </c>
      <c r="R838" s="131">
        <f>SUM(R820:R837)</f>
        <v>13273.480000000007</v>
      </c>
      <c r="S838" s="132">
        <f t="shared" si="286"/>
        <v>87.595081967213119</v>
      </c>
      <c r="T838" s="133">
        <f t="shared" ref="T838:U838" si="308">IFERROR((D838-D819)/D838,)</f>
        <v>0.1914155191786942</v>
      </c>
      <c r="U838" s="133">
        <f t="shared" si="308"/>
        <v>0.28362573099415206</v>
      </c>
      <c r="V838" s="133" t="s">
        <v>139</v>
      </c>
      <c r="W838" s="133" t="s">
        <v>139</v>
      </c>
      <c r="X838" s="50"/>
      <c r="Y838" s="50"/>
      <c r="Z838" s="50"/>
    </row>
    <row r="839" spans="1:26" ht="12.75" x14ac:dyDescent="0.2">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2.75" x14ac:dyDescent="0.2">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2.75" x14ac:dyDescent="0.2">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2.75" x14ac:dyDescent="0.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2.75" x14ac:dyDescent="0.2">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2.75" x14ac:dyDescent="0.2">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2.75" x14ac:dyDescent="0.2">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2.75" x14ac:dyDescent="0.2">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2.75" x14ac:dyDescent="0.2">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2.75" x14ac:dyDescent="0.2">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2.75" x14ac:dyDescent="0.2">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2.75" x14ac:dyDescent="0.2">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2.75" x14ac:dyDescent="0.2">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2.75" x14ac:dyDescent="0.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2.75" x14ac:dyDescent="0.2">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2.75" x14ac:dyDescent="0.2">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2.75" x14ac:dyDescent="0.2">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2.75" x14ac:dyDescent="0.2">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2.75" x14ac:dyDescent="0.2">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2.75" x14ac:dyDescent="0.2">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2.75" x14ac:dyDescent="0.2">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2.75" x14ac:dyDescent="0.2">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2.75" x14ac:dyDescent="0.2">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2.75" x14ac:dyDescent="0.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2.75" x14ac:dyDescent="0.2">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2.75" x14ac:dyDescent="0.2">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2.75" x14ac:dyDescent="0.2">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2.75" x14ac:dyDescent="0.2">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2.75" x14ac:dyDescent="0.2">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2.75" x14ac:dyDescent="0.2">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2.75" x14ac:dyDescent="0.2">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2.75" x14ac:dyDescent="0.2">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2.75" x14ac:dyDescent="0.2">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2.75" x14ac:dyDescent="0.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2.75" x14ac:dyDescent="0.2">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2.75" x14ac:dyDescent="0.2">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2.75" x14ac:dyDescent="0.2">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2.75" x14ac:dyDescent="0.2">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2.75" x14ac:dyDescent="0.2">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2.75" x14ac:dyDescent="0.2">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2.75" x14ac:dyDescent="0.2">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2.75" x14ac:dyDescent="0.2">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2.75" x14ac:dyDescent="0.2">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2.75" x14ac:dyDescent="0.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2.75" x14ac:dyDescent="0.2">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2.75" x14ac:dyDescent="0.2">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2.75" x14ac:dyDescent="0.2">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2.75" x14ac:dyDescent="0.2">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2.75" x14ac:dyDescent="0.2">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2.75" x14ac:dyDescent="0.2">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2.75" x14ac:dyDescent="0.2">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2.75" x14ac:dyDescent="0.2">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2.75" x14ac:dyDescent="0.2">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2.75" x14ac:dyDescent="0.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2.75" x14ac:dyDescent="0.2">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2.75" x14ac:dyDescent="0.2">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2.75" x14ac:dyDescent="0.2">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2.75" x14ac:dyDescent="0.2">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2.75" x14ac:dyDescent="0.2">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2.75" x14ac:dyDescent="0.2">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2.75" x14ac:dyDescent="0.2">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2.75" x14ac:dyDescent="0.2">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2.75" x14ac:dyDescent="0.2">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2.75" x14ac:dyDescent="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2.75" x14ac:dyDescent="0.2">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2.75" x14ac:dyDescent="0.2">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2.75" x14ac:dyDescent="0.2">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2.75" x14ac:dyDescent="0.2">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2.75" x14ac:dyDescent="0.2">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2.75" x14ac:dyDescent="0.2">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2.75" x14ac:dyDescent="0.2">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2.75" x14ac:dyDescent="0.2">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2.75" x14ac:dyDescent="0.2">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2.75" x14ac:dyDescent="0.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2.75" x14ac:dyDescent="0.2">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2.75" x14ac:dyDescent="0.2">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2.75" x14ac:dyDescent="0.2">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2.75" x14ac:dyDescent="0.2">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2.75" x14ac:dyDescent="0.2">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2.75" x14ac:dyDescent="0.2">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2.75" x14ac:dyDescent="0.2">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2.75" x14ac:dyDescent="0.2">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2.75" x14ac:dyDescent="0.2">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2.75" x14ac:dyDescent="0.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2.75" x14ac:dyDescent="0.2">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2.75" x14ac:dyDescent="0.2">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2.75" x14ac:dyDescent="0.2">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2.75" x14ac:dyDescent="0.2">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2.75" x14ac:dyDescent="0.2">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2.75" x14ac:dyDescent="0.2">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2.75" x14ac:dyDescent="0.2">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2.75" x14ac:dyDescent="0.2">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2.75" x14ac:dyDescent="0.2">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2.75" x14ac:dyDescent="0.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2.75" x14ac:dyDescent="0.2">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2.75" x14ac:dyDescent="0.2">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2.75" x14ac:dyDescent="0.2">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2.75" x14ac:dyDescent="0.2">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2.75" x14ac:dyDescent="0.2">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2.75" x14ac:dyDescent="0.2">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2.75" x14ac:dyDescent="0.2">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2.75" x14ac:dyDescent="0.2">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2.75" x14ac:dyDescent="0.2">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2.75" x14ac:dyDescent="0.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2.75" x14ac:dyDescent="0.2">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2.75" x14ac:dyDescent="0.2">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2.75" x14ac:dyDescent="0.2">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2.75" x14ac:dyDescent="0.2">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2.75" x14ac:dyDescent="0.2">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2.75" x14ac:dyDescent="0.2">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2.75" x14ac:dyDescent="0.2">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2.75" x14ac:dyDescent="0.2">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2.75" x14ac:dyDescent="0.2">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2.75" x14ac:dyDescent="0.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2.75" x14ac:dyDescent="0.2">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2.75" x14ac:dyDescent="0.2">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2.75" x14ac:dyDescent="0.2">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2.75" x14ac:dyDescent="0.2">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2.75" x14ac:dyDescent="0.2">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2.75" x14ac:dyDescent="0.2">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2.75" x14ac:dyDescent="0.2">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2.75" x14ac:dyDescent="0.2">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2.75" x14ac:dyDescent="0.2">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2.75" x14ac:dyDescent="0.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2.75" x14ac:dyDescent="0.2">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2.75" x14ac:dyDescent="0.2">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2.75" x14ac:dyDescent="0.2">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2.75" x14ac:dyDescent="0.2">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2.75" x14ac:dyDescent="0.2">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2.75" x14ac:dyDescent="0.2">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2.75" x14ac:dyDescent="0.2">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2.75" x14ac:dyDescent="0.2">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2.75" x14ac:dyDescent="0.2">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2.75" x14ac:dyDescent="0.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2.75" x14ac:dyDescent="0.2">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2.75" x14ac:dyDescent="0.2">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2.75" x14ac:dyDescent="0.2">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2.75" x14ac:dyDescent="0.2">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2.75" x14ac:dyDescent="0.2">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2.75" x14ac:dyDescent="0.2">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2.75" x14ac:dyDescent="0.2">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2.75" x14ac:dyDescent="0.2">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2.75" x14ac:dyDescent="0.2">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2.75" x14ac:dyDescent="0.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2.75" x14ac:dyDescent="0.2">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2.75" x14ac:dyDescent="0.2">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2.75" x14ac:dyDescent="0.2">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2.75" x14ac:dyDescent="0.2">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2.75" x14ac:dyDescent="0.2">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2.75" x14ac:dyDescent="0.2">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2.75" x14ac:dyDescent="0.2">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2.75" x14ac:dyDescent="0.2">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2.75" x14ac:dyDescent="0.2">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2.75" x14ac:dyDescent="0.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2.75" x14ac:dyDescent="0.2">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2.75" x14ac:dyDescent="0.2">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2.75" x14ac:dyDescent="0.2">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2.75" x14ac:dyDescent="0.2">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2.75" x14ac:dyDescent="0.2">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2.75" x14ac:dyDescent="0.2">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2.75" x14ac:dyDescent="0.2">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2.75" x14ac:dyDescent="0.2">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spans="1:26" ht="12.75" x14ac:dyDescent="0.2">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spans="1:26" ht="12.75" x14ac:dyDescent="0.2">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spans="1:26" ht="12.75" x14ac:dyDescent="0.2">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spans="1:26" ht="12.75" x14ac:dyDescent="0.2">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spans="1:26" ht="12.75" x14ac:dyDescent="0.2">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row r="1006" spans="1:26" ht="12.75" x14ac:dyDescent="0.2">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row>
    <row r="1007" spans="1:26" ht="12.75" x14ac:dyDescent="0.2">
      <c r="A1007" s="50"/>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row>
    <row r="1008" spans="1:26" ht="12.75" x14ac:dyDescent="0.2">
      <c r="A1008" s="50"/>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row>
    <row r="1009" spans="1:26" ht="12.75" x14ac:dyDescent="0.2">
      <c r="A1009" s="50"/>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row>
    <row r="1010" spans="1:26" ht="12.75" x14ac:dyDescent="0.2">
      <c r="A1010" s="50"/>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row>
    <row r="1011" spans="1:26" ht="12.75" x14ac:dyDescent="0.2">
      <c r="A1011" s="50"/>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row>
    <row r="1012" spans="1:26" ht="12.75" x14ac:dyDescent="0.2">
      <c r="A1012" s="50"/>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row>
    <row r="1013" spans="1:26" ht="12.75" x14ac:dyDescent="0.2">
      <c r="A1013" s="50"/>
      <c r="B1013" s="50"/>
      <c r="C1013" s="50"/>
      <c r="D1013" s="50"/>
      <c r="E1013" s="50"/>
      <c r="F1013" s="50"/>
      <c r="G1013" s="50"/>
      <c r="H1013" s="50"/>
      <c r="I1013" s="50"/>
      <c r="J1013" s="50"/>
      <c r="K1013" s="50"/>
      <c r="L1013" s="50"/>
      <c r="M1013" s="50"/>
      <c r="N1013" s="50"/>
      <c r="O1013" s="50"/>
      <c r="P1013" s="50"/>
      <c r="Q1013" s="50"/>
      <c r="R1013" s="50"/>
      <c r="S1013" s="50"/>
      <c r="T1013" s="50"/>
      <c r="U1013" s="50"/>
      <c r="V1013" s="50"/>
      <c r="W1013" s="50"/>
      <c r="X1013" s="50"/>
      <c r="Y1013" s="50"/>
      <c r="Z1013" s="50"/>
    </row>
    <row r="1014" spans="1:26" ht="12.75" x14ac:dyDescent="0.2">
      <c r="A1014" s="50"/>
      <c r="B1014" s="50"/>
      <c r="C1014" s="50"/>
      <c r="D1014" s="50"/>
      <c r="E1014" s="50"/>
      <c r="F1014" s="50"/>
      <c r="G1014" s="50"/>
      <c r="H1014" s="50"/>
      <c r="I1014" s="50"/>
      <c r="J1014" s="50"/>
      <c r="K1014" s="50"/>
      <c r="L1014" s="50"/>
      <c r="M1014" s="50"/>
      <c r="N1014" s="50"/>
      <c r="O1014" s="50"/>
      <c r="P1014" s="50"/>
      <c r="Q1014" s="50"/>
      <c r="R1014" s="50"/>
      <c r="S1014" s="50"/>
      <c r="T1014" s="50"/>
      <c r="U1014" s="50"/>
      <c r="V1014" s="50"/>
      <c r="W1014" s="50"/>
      <c r="X1014" s="50"/>
      <c r="Y1014" s="50"/>
      <c r="Z1014" s="50"/>
    </row>
    <row r="1015" spans="1:26" ht="12.75" x14ac:dyDescent="0.2">
      <c r="A1015" s="50"/>
      <c r="B1015" s="50"/>
      <c r="C1015" s="50"/>
      <c r="D1015" s="50"/>
      <c r="E1015" s="50"/>
      <c r="F1015" s="50"/>
      <c r="G1015" s="50"/>
      <c r="H1015" s="50"/>
      <c r="I1015" s="50"/>
      <c r="J1015" s="50"/>
      <c r="K1015" s="50"/>
      <c r="L1015" s="50"/>
      <c r="M1015" s="50"/>
      <c r="N1015" s="50"/>
      <c r="O1015" s="50"/>
      <c r="P1015" s="50"/>
      <c r="Q1015" s="50"/>
      <c r="R1015" s="50"/>
      <c r="S1015" s="50"/>
      <c r="T1015" s="50"/>
      <c r="U1015" s="50"/>
      <c r="V1015" s="50"/>
      <c r="W1015" s="50"/>
      <c r="X1015" s="50"/>
      <c r="Y1015" s="50"/>
      <c r="Z1015" s="50"/>
    </row>
    <row r="1016" spans="1:26" ht="12.75" x14ac:dyDescent="0.2">
      <c r="A1016" s="50"/>
      <c r="B1016" s="50"/>
      <c r="C1016" s="50"/>
      <c r="D1016" s="50"/>
      <c r="E1016" s="50"/>
      <c r="F1016" s="50"/>
      <c r="G1016" s="50"/>
      <c r="H1016" s="50"/>
      <c r="I1016" s="50"/>
      <c r="J1016" s="50"/>
      <c r="K1016" s="50"/>
      <c r="L1016" s="50"/>
      <c r="M1016" s="50"/>
      <c r="N1016" s="50"/>
      <c r="O1016" s="50"/>
      <c r="P1016" s="50"/>
      <c r="Q1016" s="50"/>
      <c r="R1016" s="50"/>
      <c r="S1016" s="50"/>
      <c r="T1016" s="50"/>
      <c r="U1016" s="50"/>
      <c r="V1016" s="50"/>
      <c r="W1016" s="50"/>
      <c r="X1016" s="50"/>
      <c r="Y1016" s="50"/>
      <c r="Z1016" s="50"/>
    </row>
    <row r="1017" spans="1:26" ht="12.75" x14ac:dyDescent="0.2">
      <c r="A1017" s="50"/>
      <c r="B1017" s="50"/>
      <c r="C1017" s="50"/>
      <c r="D1017" s="50"/>
      <c r="E1017" s="50"/>
      <c r="F1017" s="50"/>
      <c r="G1017" s="50"/>
      <c r="H1017" s="50"/>
      <c r="I1017" s="50"/>
      <c r="J1017" s="50"/>
      <c r="K1017" s="50"/>
      <c r="L1017" s="50"/>
      <c r="M1017" s="50"/>
      <c r="N1017" s="50"/>
      <c r="O1017" s="50"/>
      <c r="P1017" s="50"/>
      <c r="Q1017" s="50"/>
      <c r="R1017" s="50"/>
      <c r="S1017" s="50"/>
      <c r="T1017" s="50"/>
      <c r="U1017" s="50"/>
      <c r="V1017" s="50"/>
      <c r="W1017" s="50"/>
      <c r="X1017" s="50"/>
      <c r="Y1017" s="50"/>
      <c r="Z1017" s="50"/>
    </row>
    <row r="1018" spans="1:26" ht="12.75" x14ac:dyDescent="0.2">
      <c r="A1018" s="50"/>
      <c r="B1018" s="50"/>
      <c r="C1018" s="50"/>
      <c r="D1018" s="50"/>
      <c r="E1018" s="50"/>
      <c r="F1018" s="50"/>
      <c r="G1018" s="50"/>
      <c r="H1018" s="50"/>
      <c r="I1018" s="50"/>
      <c r="J1018" s="50"/>
      <c r="K1018" s="50"/>
      <c r="L1018" s="50"/>
      <c r="M1018" s="50"/>
      <c r="N1018" s="50"/>
      <c r="O1018" s="50"/>
      <c r="P1018" s="50"/>
      <c r="Q1018" s="50"/>
      <c r="R1018" s="50"/>
      <c r="S1018" s="50"/>
      <c r="T1018" s="50"/>
      <c r="U1018" s="50"/>
      <c r="V1018" s="50"/>
      <c r="W1018" s="50"/>
      <c r="X1018" s="50"/>
      <c r="Y1018" s="50"/>
      <c r="Z1018" s="50"/>
    </row>
    <row r="1019" spans="1:26" ht="12.75" x14ac:dyDescent="0.2">
      <c r="A1019" s="50"/>
      <c r="B1019" s="50"/>
      <c r="C1019" s="50"/>
      <c r="D1019" s="50"/>
      <c r="E1019" s="50"/>
      <c r="F1019" s="50"/>
      <c r="G1019" s="50"/>
      <c r="H1019" s="50"/>
      <c r="I1019" s="50"/>
      <c r="J1019" s="50"/>
      <c r="K1019" s="50"/>
      <c r="L1019" s="50"/>
      <c r="M1019" s="50"/>
      <c r="N1019" s="50"/>
      <c r="O1019" s="50"/>
      <c r="P1019" s="50"/>
      <c r="Q1019" s="50"/>
      <c r="R1019" s="50"/>
      <c r="S1019" s="50"/>
      <c r="T1019" s="50"/>
      <c r="U1019" s="50"/>
      <c r="V1019" s="50"/>
      <c r="W1019" s="50"/>
      <c r="X1019" s="50"/>
      <c r="Y1019" s="50"/>
      <c r="Z1019" s="50"/>
    </row>
    <row r="1020" spans="1:26" ht="12.75" x14ac:dyDescent="0.2">
      <c r="A1020" s="50"/>
      <c r="B1020" s="50"/>
      <c r="C1020" s="50"/>
      <c r="D1020" s="50"/>
      <c r="E1020" s="50"/>
      <c r="F1020" s="50"/>
      <c r="G1020" s="50"/>
      <c r="H1020" s="50"/>
      <c r="I1020" s="50"/>
      <c r="J1020" s="50"/>
      <c r="K1020" s="50"/>
      <c r="L1020" s="50"/>
      <c r="M1020" s="50"/>
      <c r="N1020" s="50"/>
      <c r="O1020" s="50"/>
      <c r="P1020" s="50"/>
      <c r="Q1020" s="50"/>
      <c r="R1020" s="50"/>
      <c r="S1020" s="50"/>
      <c r="T1020" s="50"/>
      <c r="U1020" s="50"/>
      <c r="V1020" s="50"/>
      <c r="W1020" s="50"/>
      <c r="X1020" s="50"/>
      <c r="Y1020" s="50"/>
      <c r="Z1020" s="50"/>
    </row>
    <row r="1021" spans="1:26" ht="12.75" x14ac:dyDescent="0.2">
      <c r="A1021" s="50"/>
      <c r="B1021" s="50"/>
      <c r="C1021" s="50"/>
      <c r="D1021" s="50"/>
      <c r="E1021" s="50"/>
      <c r="F1021" s="50"/>
      <c r="G1021" s="50"/>
      <c r="H1021" s="50"/>
      <c r="I1021" s="50"/>
      <c r="J1021" s="50"/>
      <c r="K1021" s="50"/>
      <c r="L1021" s="50"/>
      <c r="M1021" s="50"/>
      <c r="N1021" s="50"/>
      <c r="O1021" s="50"/>
      <c r="P1021" s="50"/>
      <c r="Q1021" s="50"/>
      <c r="R1021" s="50"/>
      <c r="S1021" s="50"/>
      <c r="T1021" s="50"/>
      <c r="U1021" s="50"/>
      <c r="V1021" s="50"/>
      <c r="W1021" s="50"/>
      <c r="X1021" s="50"/>
      <c r="Y1021" s="50"/>
      <c r="Z1021" s="50"/>
    </row>
    <row r="1022" spans="1:26" ht="12.75" x14ac:dyDescent="0.2">
      <c r="A1022" s="50"/>
      <c r="B1022" s="50"/>
      <c r="C1022" s="50"/>
      <c r="D1022" s="50"/>
      <c r="E1022" s="50"/>
      <c r="F1022" s="50"/>
      <c r="G1022" s="50"/>
      <c r="H1022" s="50"/>
      <c r="I1022" s="50"/>
      <c r="J1022" s="50"/>
      <c r="K1022" s="50"/>
      <c r="L1022" s="50"/>
      <c r="M1022" s="50"/>
      <c r="N1022" s="50"/>
      <c r="O1022" s="50"/>
      <c r="P1022" s="50"/>
      <c r="Q1022" s="50"/>
      <c r="R1022" s="50"/>
      <c r="S1022" s="50"/>
      <c r="T1022" s="50"/>
      <c r="U1022" s="50"/>
      <c r="V1022" s="50"/>
      <c r="W1022" s="50"/>
      <c r="X1022" s="50"/>
      <c r="Y1022" s="50"/>
      <c r="Z1022" s="50"/>
    </row>
    <row r="1023" spans="1:26" ht="12.75" x14ac:dyDescent="0.2">
      <c r="A1023" s="50"/>
      <c r="B1023" s="50"/>
      <c r="C1023" s="50"/>
      <c r="D1023" s="50"/>
      <c r="E1023" s="50"/>
      <c r="F1023" s="50"/>
      <c r="G1023" s="50"/>
      <c r="H1023" s="50"/>
      <c r="I1023" s="50"/>
      <c r="J1023" s="50"/>
      <c r="K1023" s="50"/>
      <c r="L1023" s="50"/>
      <c r="M1023" s="50"/>
      <c r="N1023" s="50"/>
      <c r="O1023" s="50"/>
      <c r="P1023" s="50"/>
      <c r="Q1023" s="50"/>
      <c r="R1023" s="50"/>
      <c r="S1023" s="50"/>
      <c r="T1023" s="50"/>
      <c r="U1023" s="50"/>
      <c r="V1023" s="50"/>
      <c r="W1023" s="50"/>
      <c r="X1023" s="50"/>
      <c r="Y1023" s="50"/>
      <c r="Z1023" s="50"/>
    </row>
    <row r="1024" spans="1:26" ht="12.75" x14ac:dyDescent="0.2">
      <c r="A1024" s="50"/>
      <c r="B1024" s="50"/>
      <c r="C1024" s="50"/>
      <c r="D1024" s="50"/>
      <c r="E1024" s="50"/>
      <c r="F1024" s="50"/>
      <c r="G1024" s="50"/>
      <c r="H1024" s="50"/>
      <c r="I1024" s="50"/>
      <c r="J1024" s="50"/>
      <c r="K1024" s="50"/>
      <c r="L1024" s="50"/>
      <c r="M1024" s="50"/>
      <c r="N1024" s="50"/>
      <c r="O1024" s="50"/>
      <c r="P1024" s="50"/>
      <c r="Q1024" s="50"/>
      <c r="R1024" s="50"/>
      <c r="S1024" s="50"/>
      <c r="T1024" s="50"/>
      <c r="U1024" s="50"/>
      <c r="V1024" s="50"/>
      <c r="W1024" s="50"/>
      <c r="X1024" s="50"/>
      <c r="Y1024" s="50"/>
      <c r="Z1024" s="50"/>
    </row>
    <row r="1025" spans="1:26" ht="12.75" x14ac:dyDescent="0.2">
      <c r="A1025" s="50"/>
      <c r="B1025" s="50"/>
      <c r="C1025" s="50"/>
      <c r="D1025" s="50"/>
      <c r="E1025" s="50"/>
      <c r="F1025" s="50"/>
      <c r="G1025" s="50"/>
      <c r="H1025" s="50"/>
      <c r="I1025" s="50"/>
      <c r="J1025" s="50"/>
      <c r="K1025" s="50"/>
      <c r="L1025" s="50"/>
      <c r="M1025" s="50"/>
      <c r="N1025" s="50"/>
      <c r="O1025" s="50"/>
      <c r="P1025" s="50"/>
      <c r="Q1025" s="50"/>
      <c r="R1025" s="50"/>
      <c r="S1025" s="50"/>
      <c r="T1025" s="50"/>
      <c r="U1025" s="50"/>
      <c r="V1025" s="50"/>
      <c r="W1025" s="50"/>
      <c r="X1025" s="50"/>
      <c r="Y1025" s="50"/>
      <c r="Z1025" s="50"/>
    </row>
    <row r="1026" spans="1:26" ht="12.75" x14ac:dyDescent="0.2">
      <c r="A1026" s="50"/>
      <c r="B1026" s="50"/>
      <c r="C1026" s="50"/>
      <c r="D1026" s="50"/>
      <c r="E1026" s="50"/>
      <c r="F1026" s="50"/>
      <c r="G1026" s="50"/>
      <c r="H1026" s="50"/>
      <c r="I1026" s="50"/>
      <c r="J1026" s="50"/>
      <c r="K1026" s="50"/>
      <c r="L1026" s="50"/>
      <c r="M1026" s="50"/>
      <c r="N1026" s="50"/>
      <c r="O1026" s="50"/>
      <c r="P1026" s="50"/>
      <c r="Q1026" s="50"/>
      <c r="R1026" s="50"/>
      <c r="S1026" s="50"/>
      <c r="T1026" s="50"/>
      <c r="U1026" s="50"/>
      <c r="V1026" s="50"/>
      <c r="W1026" s="50"/>
      <c r="X1026" s="50"/>
      <c r="Y1026" s="50"/>
      <c r="Z1026" s="50"/>
    </row>
    <row r="1027" spans="1:26" ht="12.75" x14ac:dyDescent="0.2">
      <c r="A1027" s="50"/>
      <c r="B1027" s="50"/>
      <c r="C1027" s="50"/>
      <c r="D1027" s="50"/>
      <c r="E1027" s="50"/>
      <c r="F1027" s="50"/>
      <c r="G1027" s="50"/>
      <c r="H1027" s="50"/>
      <c r="I1027" s="50"/>
      <c r="J1027" s="50"/>
      <c r="K1027" s="50"/>
      <c r="L1027" s="50"/>
      <c r="M1027" s="50"/>
      <c r="N1027" s="50"/>
      <c r="O1027" s="50"/>
      <c r="P1027" s="50"/>
      <c r="Q1027" s="50"/>
      <c r="R1027" s="50"/>
      <c r="S1027" s="50"/>
      <c r="T1027" s="50"/>
      <c r="U1027" s="50"/>
      <c r="V1027" s="50"/>
      <c r="W1027" s="50"/>
      <c r="X1027" s="50"/>
      <c r="Y1027" s="50"/>
      <c r="Z1027" s="50"/>
    </row>
    <row r="1028" spans="1:26" ht="12.75" x14ac:dyDescent="0.2">
      <c r="A1028" s="50"/>
      <c r="B1028" s="50"/>
      <c r="C1028" s="50"/>
      <c r="D1028" s="50"/>
      <c r="E1028" s="50"/>
      <c r="F1028" s="50"/>
      <c r="G1028" s="50"/>
      <c r="H1028" s="50"/>
      <c r="I1028" s="50"/>
      <c r="J1028" s="50"/>
      <c r="K1028" s="50"/>
      <c r="L1028" s="50"/>
      <c r="M1028" s="50"/>
      <c r="N1028" s="50"/>
      <c r="O1028" s="50"/>
      <c r="P1028" s="50"/>
      <c r="Q1028" s="50"/>
      <c r="R1028" s="50"/>
      <c r="S1028" s="50"/>
      <c r="T1028" s="50"/>
      <c r="U1028" s="50"/>
      <c r="V1028" s="50"/>
      <c r="W1028" s="50"/>
      <c r="X1028" s="50"/>
      <c r="Y1028" s="50"/>
      <c r="Z1028" s="50"/>
    </row>
    <row r="1029" spans="1:26" ht="12.75" x14ac:dyDescent="0.2">
      <c r="A1029" s="50"/>
      <c r="B1029" s="50"/>
      <c r="C1029" s="50"/>
      <c r="D1029" s="50"/>
      <c r="E1029" s="50"/>
      <c r="F1029" s="50"/>
      <c r="G1029" s="50"/>
      <c r="H1029" s="50"/>
      <c r="I1029" s="50"/>
      <c r="J1029" s="50"/>
      <c r="K1029" s="50"/>
      <c r="L1029" s="50"/>
      <c r="M1029" s="50"/>
      <c r="N1029" s="50"/>
      <c r="O1029" s="50"/>
      <c r="P1029" s="50"/>
      <c r="Q1029" s="50"/>
      <c r="R1029" s="50"/>
      <c r="S1029" s="50"/>
      <c r="T1029" s="50"/>
      <c r="U1029" s="50"/>
      <c r="V1029" s="50"/>
      <c r="W1029" s="50"/>
      <c r="X1029" s="50"/>
      <c r="Y1029" s="50"/>
      <c r="Z1029" s="50"/>
    </row>
    <row r="1030" spans="1:26" ht="12.75" x14ac:dyDescent="0.2">
      <c r="A1030" s="50"/>
      <c r="B1030" s="50"/>
      <c r="C1030" s="50"/>
      <c r="D1030" s="50"/>
      <c r="E1030" s="50"/>
      <c r="F1030" s="50"/>
      <c r="G1030" s="50"/>
      <c r="H1030" s="50"/>
      <c r="I1030" s="50"/>
      <c r="J1030" s="50"/>
      <c r="K1030" s="50"/>
      <c r="L1030" s="50"/>
      <c r="M1030" s="50"/>
      <c r="N1030" s="50"/>
      <c r="O1030" s="50"/>
      <c r="P1030" s="50"/>
      <c r="Q1030" s="50"/>
      <c r="R1030" s="50"/>
      <c r="S1030" s="50"/>
      <c r="T1030" s="50"/>
      <c r="U1030" s="50"/>
      <c r="V1030" s="50"/>
      <c r="W1030" s="50"/>
      <c r="X1030" s="50"/>
      <c r="Y1030" s="50"/>
      <c r="Z1030" s="50"/>
    </row>
    <row r="1031" spans="1:26" ht="12.75" x14ac:dyDescent="0.2">
      <c r="A1031" s="50"/>
      <c r="B1031" s="50"/>
      <c r="C1031" s="50"/>
      <c r="D1031" s="50"/>
      <c r="E1031" s="50"/>
      <c r="F1031" s="50"/>
      <c r="G1031" s="50"/>
      <c r="H1031" s="50"/>
      <c r="I1031" s="50"/>
      <c r="J1031" s="50"/>
      <c r="K1031" s="50"/>
      <c r="L1031" s="50"/>
      <c r="M1031" s="50"/>
      <c r="N1031" s="50"/>
      <c r="O1031" s="50"/>
      <c r="P1031" s="50"/>
      <c r="Q1031" s="50"/>
      <c r="R1031" s="50"/>
      <c r="S1031" s="50"/>
      <c r="T1031" s="50"/>
      <c r="U1031" s="50"/>
      <c r="V1031" s="50"/>
      <c r="W1031" s="50"/>
      <c r="X1031" s="50"/>
      <c r="Y1031" s="50"/>
      <c r="Z1031" s="50"/>
    </row>
    <row r="1032" spans="1:26" ht="12.75" x14ac:dyDescent="0.2">
      <c r="A1032" s="50"/>
      <c r="B1032" s="50"/>
      <c r="C1032" s="50"/>
      <c r="D1032" s="50"/>
      <c r="E1032" s="50"/>
      <c r="F1032" s="50"/>
      <c r="G1032" s="50"/>
      <c r="H1032" s="50"/>
      <c r="I1032" s="50"/>
      <c r="J1032" s="50"/>
      <c r="K1032" s="50"/>
      <c r="L1032" s="50"/>
      <c r="M1032" s="50"/>
      <c r="N1032" s="50"/>
      <c r="O1032" s="50"/>
      <c r="P1032" s="50"/>
      <c r="Q1032" s="50"/>
      <c r="R1032" s="50"/>
      <c r="S1032" s="50"/>
      <c r="T1032" s="50"/>
      <c r="U1032" s="50"/>
      <c r="V1032" s="50"/>
      <c r="W1032" s="50"/>
      <c r="X1032" s="50"/>
      <c r="Y1032" s="50"/>
      <c r="Z1032" s="50"/>
    </row>
    <row r="1033" spans="1:26" ht="12.75" x14ac:dyDescent="0.2">
      <c r="A1033" s="50"/>
      <c r="B1033" s="50"/>
      <c r="C1033" s="50"/>
      <c r="D1033" s="50"/>
      <c r="E1033" s="50"/>
      <c r="F1033" s="50"/>
      <c r="G1033" s="50"/>
      <c r="H1033" s="50"/>
      <c r="I1033" s="50"/>
      <c r="J1033" s="50"/>
      <c r="K1033" s="50"/>
      <c r="L1033" s="50"/>
      <c r="M1033" s="50"/>
      <c r="N1033" s="50"/>
      <c r="O1033" s="50"/>
      <c r="P1033" s="50"/>
      <c r="Q1033" s="50"/>
      <c r="R1033" s="50"/>
      <c r="S1033" s="50"/>
      <c r="T1033" s="50"/>
      <c r="U1033" s="50"/>
      <c r="V1033" s="50"/>
      <c r="W1033" s="50"/>
      <c r="X1033" s="50"/>
      <c r="Y1033" s="50"/>
      <c r="Z1033" s="50"/>
    </row>
    <row r="1034" spans="1:26" ht="12.75" x14ac:dyDescent="0.2">
      <c r="A1034" s="50"/>
      <c r="B1034" s="50"/>
      <c r="C1034" s="50"/>
      <c r="D1034" s="50"/>
      <c r="E1034" s="50"/>
      <c r="F1034" s="50"/>
      <c r="G1034" s="50"/>
      <c r="H1034" s="50"/>
      <c r="I1034" s="50"/>
      <c r="J1034" s="50"/>
      <c r="K1034" s="50"/>
      <c r="L1034" s="50"/>
      <c r="M1034" s="50"/>
      <c r="N1034" s="50"/>
      <c r="O1034" s="50"/>
      <c r="P1034" s="50"/>
      <c r="Q1034" s="50"/>
      <c r="R1034" s="50"/>
      <c r="S1034" s="50"/>
      <c r="T1034" s="50"/>
      <c r="U1034" s="50"/>
      <c r="V1034" s="50"/>
      <c r="W1034" s="50"/>
      <c r="X1034" s="50"/>
      <c r="Y1034" s="50"/>
      <c r="Z1034" s="50"/>
    </row>
    <row r="1035" spans="1:26" ht="12.75" x14ac:dyDescent="0.2">
      <c r="A1035" s="50"/>
      <c r="B1035" s="50"/>
      <c r="C1035" s="50"/>
      <c r="D1035" s="50"/>
      <c r="E1035" s="50"/>
      <c r="F1035" s="50"/>
      <c r="G1035" s="50"/>
      <c r="H1035" s="50"/>
      <c r="I1035" s="50"/>
      <c r="J1035" s="50"/>
      <c r="K1035" s="50"/>
      <c r="L1035" s="50"/>
      <c r="M1035" s="50"/>
      <c r="N1035" s="50"/>
      <c r="O1035" s="50"/>
      <c r="P1035" s="50"/>
      <c r="Q1035" s="50"/>
      <c r="R1035" s="50"/>
      <c r="S1035" s="50"/>
      <c r="T1035" s="50"/>
      <c r="U1035" s="50"/>
      <c r="V1035" s="50"/>
      <c r="W1035" s="50"/>
      <c r="X1035" s="50"/>
      <c r="Y1035" s="50"/>
      <c r="Z1035" s="50"/>
    </row>
    <row r="1036" spans="1:26" ht="12.75" x14ac:dyDescent="0.2">
      <c r="A1036" s="50"/>
      <c r="B1036" s="50"/>
      <c r="C1036" s="50"/>
      <c r="D1036" s="50"/>
      <c r="E1036" s="50"/>
      <c r="F1036" s="50"/>
      <c r="G1036" s="50"/>
      <c r="H1036" s="50"/>
      <c r="I1036" s="50"/>
      <c r="J1036" s="50"/>
      <c r="K1036" s="50"/>
      <c r="L1036" s="50"/>
      <c r="M1036" s="50"/>
      <c r="N1036" s="50"/>
      <c r="O1036" s="50"/>
      <c r="P1036" s="50"/>
      <c r="Q1036" s="50"/>
      <c r="R1036" s="50"/>
      <c r="S1036" s="50"/>
      <c r="T1036" s="50"/>
      <c r="U1036" s="50"/>
      <c r="V1036" s="50"/>
      <c r="W1036" s="50"/>
      <c r="X1036" s="50"/>
      <c r="Y1036" s="50"/>
      <c r="Z1036" s="50"/>
    </row>
    <row r="1037" spans="1:26" ht="12.75" x14ac:dyDescent="0.2">
      <c r="A1037" s="50"/>
      <c r="B1037" s="50"/>
      <c r="C1037" s="50"/>
      <c r="D1037" s="50"/>
      <c r="E1037" s="50"/>
      <c r="F1037" s="50"/>
      <c r="G1037" s="50"/>
      <c r="H1037" s="50"/>
      <c r="I1037" s="50"/>
      <c r="J1037" s="50"/>
      <c r="K1037" s="50"/>
      <c r="L1037" s="50"/>
      <c r="M1037" s="50"/>
      <c r="N1037" s="50"/>
      <c r="O1037" s="50"/>
      <c r="P1037" s="50"/>
      <c r="Q1037" s="50"/>
      <c r="R1037" s="50"/>
      <c r="S1037" s="50"/>
      <c r="T1037" s="50"/>
      <c r="U1037" s="50"/>
      <c r="V1037" s="50"/>
      <c r="W1037" s="50"/>
      <c r="X1037" s="50"/>
      <c r="Y1037" s="50"/>
      <c r="Z1037" s="50"/>
    </row>
    <row r="1038" spans="1:26" ht="12.75" x14ac:dyDescent="0.2">
      <c r="A1038" s="50"/>
      <c r="B1038" s="50"/>
      <c r="C1038" s="50"/>
      <c r="D1038" s="50"/>
      <c r="E1038" s="50"/>
      <c r="F1038" s="50"/>
      <c r="G1038" s="50"/>
      <c r="H1038" s="50"/>
      <c r="I1038" s="50"/>
      <c r="J1038" s="50"/>
      <c r="K1038" s="50"/>
      <c r="L1038" s="50"/>
      <c r="M1038" s="50"/>
      <c r="N1038" s="50"/>
      <c r="O1038" s="50"/>
      <c r="P1038" s="50"/>
      <c r="Q1038" s="50"/>
      <c r="R1038" s="50"/>
      <c r="S1038" s="50"/>
      <c r="T1038" s="50"/>
      <c r="U1038" s="50"/>
      <c r="V1038" s="50"/>
      <c r="W1038" s="50"/>
      <c r="X1038" s="50"/>
      <c r="Y1038" s="50"/>
      <c r="Z1038" s="50"/>
    </row>
    <row r="1039" spans="1:26" ht="12.75" x14ac:dyDescent="0.2">
      <c r="A1039" s="50"/>
      <c r="B1039" s="50"/>
      <c r="C1039" s="50"/>
      <c r="D1039" s="50"/>
      <c r="E1039" s="50"/>
      <c r="F1039" s="50"/>
      <c r="G1039" s="50"/>
      <c r="H1039" s="50"/>
      <c r="I1039" s="50"/>
      <c r="J1039" s="50"/>
      <c r="K1039" s="50"/>
      <c r="L1039" s="50"/>
      <c r="M1039" s="50"/>
      <c r="N1039" s="50"/>
      <c r="O1039" s="50"/>
      <c r="P1039" s="50"/>
      <c r="Q1039" s="50"/>
      <c r="R1039" s="50"/>
      <c r="S1039" s="50"/>
      <c r="T1039" s="50"/>
      <c r="U1039" s="50"/>
      <c r="V1039" s="50"/>
      <c r="W1039" s="50"/>
      <c r="X1039" s="50"/>
      <c r="Y1039" s="50"/>
      <c r="Z1039" s="50"/>
    </row>
    <row r="1040" spans="1:26" ht="12.75" x14ac:dyDescent="0.2">
      <c r="A1040" s="50"/>
      <c r="B1040" s="50"/>
      <c r="C1040" s="50"/>
      <c r="D1040" s="50"/>
      <c r="E1040" s="50"/>
      <c r="F1040" s="50"/>
      <c r="G1040" s="50"/>
      <c r="H1040" s="50"/>
      <c r="I1040" s="50"/>
      <c r="J1040" s="50"/>
      <c r="K1040" s="50"/>
      <c r="L1040" s="50"/>
      <c r="M1040" s="50"/>
      <c r="N1040" s="50"/>
      <c r="O1040" s="50"/>
      <c r="P1040" s="50"/>
      <c r="Q1040" s="50"/>
      <c r="R1040" s="50"/>
      <c r="S1040" s="50"/>
      <c r="T1040" s="50"/>
      <c r="U1040" s="50"/>
      <c r="V1040" s="50"/>
      <c r="W1040" s="50"/>
      <c r="X1040" s="50"/>
      <c r="Y1040" s="50"/>
      <c r="Z1040" s="50"/>
    </row>
    <row r="1041" spans="1:26" ht="12.75" x14ac:dyDescent="0.2">
      <c r="A1041" s="50"/>
      <c r="B1041" s="50"/>
      <c r="C1041" s="50"/>
      <c r="D1041" s="50"/>
      <c r="E1041" s="50"/>
      <c r="F1041" s="50"/>
      <c r="G1041" s="50"/>
      <c r="H1041" s="50"/>
      <c r="I1041" s="50"/>
      <c r="J1041" s="50"/>
      <c r="K1041" s="50"/>
      <c r="L1041" s="50"/>
      <c r="M1041" s="50"/>
      <c r="N1041" s="50"/>
      <c r="O1041" s="50"/>
      <c r="P1041" s="50"/>
      <c r="Q1041" s="50"/>
      <c r="R1041" s="50"/>
      <c r="S1041" s="50"/>
      <c r="T1041" s="50"/>
      <c r="U1041" s="50"/>
      <c r="V1041" s="50"/>
      <c r="W1041" s="50"/>
      <c r="X1041" s="50"/>
      <c r="Y1041" s="50"/>
      <c r="Z1041" s="50"/>
    </row>
    <row r="1042" spans="1:26" ht="12.75" x14ac:dyDescent="0.2">
      <c r="A1042" s="50"/>
      <c r="B1042" s="50"/>
      <c r="C1042" s="50"/>
      <c r="D1042" s="50"/>
      <c r="E1042" s="50"/>
      <c r="F1042" s="50"/>
      <c r="G1042" s="50"/>
      <c r="H1042" s="50"/>
      <c r="I1042" s="50"/>
      <c r="J1042" s="50"/>
      <c r="K1042" s="50"/>
      <c r="L1042" s="50"/>
      <c r="M1042" s="50"/>
      <c r="N1042" s="50"/>
      <c r="O1042" s="50"/>
      <c r="P1042" s="50"/>
      <c r="Q1042" s="50"/>
      <c r="R1042" s="50"/>
      <c r="S1042" s="50"/>
      <c r="T1042" s="50"/>
      <c r="U1042" s="50"/>
      <c r="V1042" s="50"/>
      <c r="W1042" s="50"/>
      <c r="X1042" s="50"/>
      <c r="Y1042" s="50"/>
      <c r="Z1042" s="50"/>
    </row>
    <row r="1043" spans="1:26" ht="12.75" x14ac:dyDescent="0.2">
      <c r="A1043" s="50"/>
      <c r="B1043" s="50"/>
      <c r="C1043" s="50"/>
      <c r="D1043" s="50"/>
      <c r="E1043" s="50"/>
      <c r="F1043" s="50"/>
      <c r="G1043" s="50"/>
      <c r="H1043" s="50"/>
      <c r="I1043" s="50"/>
      <c r="J1043" s="50"/>
      <c r="K1043" s="50"/>
      <c r="L1043" s="50"/>
      <c r="M1043" s="50"/>
      <c r="N1043" s="50"/>
      <c r="O1043" s="50"/>
      <c r="P1043" s="50"/>
      <c r="Q1043" s="50"/>
      <c r="R1043" s="50"/>
      <c r="S1043" s="50"/>
      <c r="T1043" s="50"/>
      <c r="U1043" s="50"/>
      <c r="V1043" s="50"/>
      <c r="W1043" s="50"/>
      <c r="X1043" s="50"/>
      <c r="Y1043" s="50"/>
      <c r="Z1043" s="50"/>
    </row>
    <row r="1044" spans="1:26" ht="12.75" x14ac:dyDescent="0.2">
      <c r="A1044" s="50"/>
      <c r="B1044" s="50"/>
      <c r="C1044" s="50"/>
      <c r="D1044" s="50"/>
      <c r="E1044" s="50"/>
      <c r="F1044" s="50"/>
      <c r="G1044" s="50"/>
      <c r="H1044" s="50"/>
      <c r="I1044" s="50"/>
      <c r="J1044" s="50"/>
      <c r="K1044" s="50"/>
      <c r="L1044" s="50"/>
      <c r="M1044" s="50"/>
      <c r="N1044" s="50"/>
      <c r="O1044" s="50"/>
      <c r="P1044" s="50"/>
      <c r="Q1044" s="50"/>
      <c r="R1044" s="50"/>
      <c r="S1044" s="50"/>
      <c r="T1044" s="50"/>
      <c r="U1044" s="50"/>
      <c r="V1044" s="50"/>
      <c r="W1044" s="50"/>
      <c r="X1044" s="50"/>
      <c r="Y1044" s="50"/>
      <c r="Z1044" s="50"/>
    </row>
    <row r="1045" spans="1:26" ht="12.75" x14ac:dyDescent="0.2">
      <c r="A1045" s="50"/>
      <c r="B1045" s="50"/>
      <c r="C1045" s="50"/>
      <c r="D1045" s="50"/>
      <c r="E1045" s="50"/>
      <c r="F1045" s="50"/>
      <c r="G1045" s="50"/>
      <c r="H1045" s="50"/>
      <c r="I1045" s="50"/>
      <c r="J1045" s="50"/>
      <c r="K1045" s="50"/>
      <c r="L1045" s="50"/>
      <c r="M1045" s="50"/>
      <c r="N1045" s="50"/>
      <c r="O1045" s="50"/>
      <c r="P1045" s="50"/>
      <c r="Q1045" s="50"/>
      <c r="R1045" s="50"/>
      <c r="S1045" s="50"/>
      <c r="T1045" s="50"/>
      <c r="U1045" s="50"/>
      <c r="V1045" s="50"/>
      <c r="W1045" s="50"/>
      <c r="X1045" s="50"/>
      <c r="Y1045" s="50"/>
      <c r="Z1045" s="50"/>
    </row>
    <row r="1046" spans="1:26" ht="12.75" x14ac:dyDescent="0.2">
      <c r="A1046" s="50"/>
      <c r="B1046" s="50"/>
      <c r="C1046" s="50"/>
      <c r="D1046" s="50"/>
      <c r="E1046" s="50"/>
      <c r="F1046" s="50"/>
      <c r="G1046" s="50"/>
      <c r="H1046" s="50"/>
      <c r="I1046" s="50"/>
      <c r="J1046" s="50"/>
      <c r="K1046" s="50"/>
      <c r="L1046" s="50"/>
      <c r="M1046" s="50"/>
      <c r="N1046" s="50"/>
      <c r="O1046" s="50"/>
      <c r="P1046" s="50"/>
      <c r="Q1046" s="50"/>
      <c r="R1046" s="50"/>
      <c r="S1046" s="50"/>
      <c r="T1046" s="50"/>
      <c r="U1046" s="50"/>
      <c r="V1046" s="50"/>
      <c r="W1046" s="50"/>
      <c r="X1046" s="50"/>
      <c r="Y1046" s="50"/>
      <c r="Z1046" s="50"/>
    </row>
    <row r="1047" spans="1:26" ht="12.75" x14ac:dyDescent="0.2">
      <c r="A1047" s="50"/>
      <c r="B1047" s="50"/>
      <c r="C1047" s="50"/>
      <c r="D1047" s="50"/>
      <c r="E1047" s="50"/>
      <c r="F1047" s="50"/>
      <c r="G1047" s="50"/>
      <c r="H1047" s="50"/>
      <c r="I1047" s="50"/>
      <c r="J1047" s="50"/>
      <c r="K1047" s="50"/>
      <c r="L1047" s="50"/>
      <c r="M1047" s="50"/>
      <c r="N1047" s="50"/>
      <c r="O1047" s="50"/>
      <c r="P1047" s="50"/>
      <c r="Q1047" s="50"/>
      <c r="R1047" s="50"/>
      <c r="S1047" s="50"/>
      <c r="T1047" s="50"/>
      <c r="U1047" s="50"/>
      <c r="V1047" s="50"/>
      <c r="W1047" s="50"/>
      <c r="X1047" s="50"/>
      <c r="Y1047" s="50"/>
      <c r="Z1047" s="50"/>
    </row>
    <row r="1048" spans="1:26" ht="12.75" x14ac:dyDescent="0.2">
      <c r="A1048" s="50"/>
      <c r="B1048" s="50"/>
      <c r="C1048" s="50"/>
      <c r="D1048" s="50"/>
      <c r="E1048" s="50"/>
      <c r="F1048" s="50"/>
      <c r="G1048" s="50"/>
      <c r="H1048" s="50"/>
      <c r="I1048" s="50"/>
      <c r="J1048" s="50"/>
      <c r="K1048" s="50"/>
      <c r="L1048" s="50"/>
      <c r="M1048" s="50"/>
      <c r="N1048" s="50"/>
      <c r="O1048" s="50"/>
      <c r="P1048" s="50"/>
      <c r="Q1048" s="50"/>
      <c r="R1048" s="50"/>
      <c r="S1048" s="50"/>
      <c r="T1048" s="50"/>
      <c r="U1048" s="50"/>
      <c r="V1048" s="50"/>
      <c r="W1048" s="50"/>
      <c r="X1048" s="50"/>
      <c r="Y1048" s="50"/>
      <c r="Z1048" s="50"/>
    </row>
    <row r="1049" spans="1:26" ht="12.75" x14ac:dyDescent="0.2">
      <c r="A1049" s="50"/>
      <c r="B1049" s="50"/>
      <c r="C1049" s="50"/>
      <c r="D1049" s="50"/>
      <c r="E1049" s="50"/>
      <c r="F1049" s="50"/>
      <c r="G1049" s="50"/>
      <c r="H1049" s="50"/>
      <c r="I1049" s="50"/>
      <c r="J1049" s="50"/>
      <c r="K1049" s="50"/>
      <c r="L1049" s="50"/>
      <c r="M1049" s="50"/>
      <c r="N1049" s="50"/>
      <c r="O1049" s="50"/>
      <c r="P1049" s="50"/>
      <c r="Q1049" s="50"/>
      <c r="R1049" s="50"/>
      <c r="S1049" s="50"/>
      <c r="T1049" s="50"/>
      <c r="U1049" s="50"/>
      <c r="V1049" s="50"/>
      <c r="W1049" s="50"/>
      <c r="X1049" s="50"/>
      <c r="Y1049" s="50"/>
      <c r="Z1049" s="50"/>
    </row>
    <row r="1050" spans="1:26" ht="12.75" x14ac:dyDescent="0.2">
      <c r="A1050" s="50"/>
      <c r="B1050" s="50"/>
      <c r="C1050" s="50"/>
      <c r="D1050" s="50"/>
      <c r="E1050" s="50"/>
      <c r="F1050" s="50"/>
      <c r="G1050" s="50"/>
      <c r="H1050" s="50"/>
      <c r="I1050" s="50"/>
      <c r="J1050" s="50"/>
      <c r="K1050" s="50"/>
      <c r="L1050" s="50"/>
      <c r="M1050" s="50"/>
      <c r="N1050" s="50"/>
      <c r="O1050" s="50"/>
      <c r="P1050" s="50"/>
      <c r="Q1050" s="50"/>
      <c r="R1050" s="50"/>
      <c r="S1050" s="50"/>
      <c r="T1050" s="50"/>
      <c r="U1050" s="50"/>
      <c r="V1050" s="50"/>
      <c r="W1050" s="50"/>
      <c r="X1050" s="50"/>
      <c r="Y1050" s="50"/>
      <c r="Z1050" s="50"/>
    </row>
    <row r="1051" spans="1:26" ht="12.75" x14ac:dyDescent="0.2">
      <c r="A1051" s="50"/>
      <c r="B1051" s="50"/>
      <c r="C1051" s="50"/>
      <c r="D1051" s="50"/>
      <c r="E1051" s="50"/>
      <c r="F1051" s="50"/>
      <c r="G1051" s="50"/>
      <c r="H1051" s="50"/>
      <c r="I1051" s="50"/>
      <c r="J1051" s="50"/>
      <c r="K1051" s="50"/>
      <c r="L1051" s="50"/>
      <c r="M1051" s="50"/>
      <c r="N1051" s="50"/>
      <c r="O1051" s="50"/>
      <c r="P1051" s="50"/>
      <c r="Q1051" s="50"/>
      <c r="R1051" s="50"/>
      <c r="S1051" s="50"/>
      <c r="T1051" s="50"/>
      <c r="U1051" s="50"/>
      <c r="V1051" s="50"/>
      <c r="W1051" s="50"/>
      <c r="X1051" s="50"/>
      <c r="Y1051" s="50"/>
      <c r="Z1051" s="50"/>
    </row>
    <row r="1052" spans="1:26" ht="12.75" x14ac:dyDescent="0.2">
      <c r="A1052" s="50"/>
      <c r="B1052" s="50"/>
      <c r="C1052" s="50"/>
      <c r="D1052" s="50"/>
      <c r="E1052" s="50"/>
      <c r="F1052" s="50"/>
      <c r="G1052" s="50"/>
      <c r="H1052" s="50"/>
      <c r="I1052" s="50"/>
      <c r="J1052" s="50"/>
      <c r="K1052" s="50"/>
      <c r="L1052" s="50"/>
      <c r="M1052" s="50"/>
      <c r="N1052" s="50"/>
      <c r="O1052" s="50"/>
      <c r="P1052" s="50"/>
      <c r="Q1052" s="50"/>
      <c r="R1052" s="50"/>
      <c r="S1052" s="50"/>
      <c r="T1052" s="50"/>
      <c r="U1052" s="50"/>
      <c r="V1052" s="50"/>
      <c r="W1052" s="50"/>
      <c r="X1052" s="50"/>
      <c r="Y1052" s="50"/>
      <c r="Z1052" s="50"/>
    </row>
    <row r="1053" spans="1:26" ht="12.75" x14ac:dyDescent="0.2">
      <c r="A1053" s="50"/>
      <c r="B1053" s="50"/>
      <c r="C1053" s="50"/>
      <c r="D1053" s="50"/>
      <c r="E1053" s="50"/>
      <c r="F1053" s="50"/>
      <c r="G1053" s="50"/>
      <c r="H1053" s="50"/>
      <c r="I1053" s="50"/>
      <c r="J1053" s="50"/>
      <c r="K1053" s="50"/>
      <c r="L1053" s="50"/>
      <c r="M1053" s="50"/>
      <c r="N1053" s="50"/>
      <c r="O1053" s="50"/>
      <c r="P1053" s="50"/>
      <c r="Q1053" s="50"/>
      <c r="R1053" s="50"/>
      <c r="S1053" s="50"/>
      <c r="T1053" s="50"/>
      <c r="U1053" s="50"/>
      <c r="V1053" s="50"/>
      <c r="W1053" s="50"/>
      <c r="X1053" s="50"/>
      <c r="Y1053" s="50"/>
      <c r="Z1053" s="50"/>
    </row>
    <row r="1054" spans="1:26" ht="12.75" x14ac:dyDescent="0.2">
      <c r="A1054" s="50"/>
      <c r="B1054" s="50"/>
      <c r="C1054" s="50"/>
      <c r="D1054" s="50"/>
      <c r="E1054" s="50"/>
      <c r="F1054" s="50"/>
      <c r="G1054" s="50"/>
      <c r="H1054" s="50"/>
      <c r="I1054" s="50"/>
      <c r="J1054" s="50"/>
      <c r="K1054" s="50"/>
      <c r="L1054" s="50"/>
      <c r="M1054" s="50"/>
      <c r="N1054" s="50"/>
      <c r="O1054" s="50"/>
      <c r="P1054" s="50"/>
      <c r="Q1054" s="50"/>
      <c r="R1054" s="50"/>
      <c r="S1054" s="50"/>
      <c r="T1054" s="50"/>
      <c r="U1054" s="50"/>
      <c r="V1054" s="50"/>
      <c r="W1054" s="50"/>
      <c r="X1054" s="50"/>
      <c r="Y1054" s="50"/>
      <c r="Z1054" s="50"/>
    </row>
    <row r="1055" spans="1:26" ht="12.75" x14ac:dyDescent="0.2">
      <c r="A1055" s="50"/>
      <c r="B1055" s="50"/>
      <c r="C1055" s="50"/>
      <c r="D1055" s="50"/>
      <c r="E1055" s="50"/>
      <c r="F1055" s="50"/>
      <c r="G1055" s="50"/>
      <c r="H1055" s="50"/>
      <c r="I1055" s="50"/>
      <c r="J1055" s="50"/>
      <c r="K1055" s="50"/>
      <c r="L1055" s="50"/>
      <c r="M1055" s="50"/>
      <c r="N1055" s="50"/>
      <c r="O1055" s="50"/>
      <c r="P1055" s="50"/>
      <c r="Q1055" s="50"/>
      <c r="R1055" s="50"/>
      <c r="S1055" s="50"/>
      <c r="T1055" s="50"/>
      <c r="U1055" s="50"/>
      <c r="V1055" s="50"/>
      <c r="W1055" s="50"/>
      <c r="X1055" s="50"/>
      <c r="Y1055" s="50"/>
      <c r="Z1055" s="50"/>
    </row>
    <row r="1056" spans="1:26" ht="12.75" x14ac:dyDescent="0.2">
      <c r="A1056" s="50"/>
      <c r="B1056" s="50"/>
      <c r="C1056" s="50"/>
      <c r="D1056" s="50"/>
      <c r="E1056" s="50"/>
      <c r="F1056" s="50"/>
      <c r="G1056" s="50"/>
      <c r="H1056" s="50"/>
      <c r="I1056" s="50"/>
      <c r="J1056" s="50"/>
      <c r="K1056" s="50"/>
      <c r="L1056" s="50"/>
      <c r="M1056" s="50"/>
      <c r="N1056" s="50"/>
      <c r="O1056" s="50"/>
      <c r="P1056" s="50"/>
      <c r="Q1056" s="50"/>
      <c r="R1056" s="50"/>
      <c r="S1056" s="50"/>
      <c r="T1056" s="50"/>
      <c r="U1056" s="50"/>
      <c r="V1056" s="50"/>
      <c r="W1056" s="50"/>
      <c r="X1056" s="50"/>
      <c r="Y1056" s="50"/>
      <c r="Z1056" s="50"/>
    </row>
    <row r="1057" spans="1:26" ht="12.75" x14ac:dyDescent="0.2">
      <c r="A1057" s="50"/>
      <c r="B1057" s="50"/>
      <c r="C1057" s="50"/>
      <c r="D1057" s="50"/>
      <c r="E1057" s="50"/>
      <c r="F1057" s="50"/>
      <c r="G1057" s="50"/>
      <c r="H1057" s="50"/>
      <c r="I1057" s="50"/>
      <c r="J1057" s="50"/>
      <c r="K1057" s="50"/>
      <c r="L1057" s="50"/>
      <c r="M1057" s="50"/>
      <c r="N1057" s="50"/>
      <c r="O1057" s="50"/>
      <c r="P1057" s="50"/>
      <c r="Q1057" s="50"/>
      <c r="R1057" s="50"/>
      <c r="S1057" s="50"/>
      <c r="T1057" s="50"/>
      <c r="U1057" s="50"/>
      <c r="V1057" s="50"/>
      <c r="W1057" s="50"/>
      <c r="X1057" s="50"/>
      <c r="Y1057" s="50"/>
      <c r="Z1057" s="50"/>
    </row>
    <row r="1058" spans="1:26" ht="12.75" x14ac:dyDescent="0.2">
      <c r="A1058" s="50"/>
      <c r="B1058" s="50"/>
      <c r="C1058" s="50"/>
      <c r="D1058" s="50"/>
      <c r="E1058" s="50"/>
      <c r="F1058" s="50"/>
      <c r="G1058" s="50"/>
      <c r="H1058" s="50"/>
      <c r="I1058" s="50"/>
      <c r="J1058" s="50"/>
      <c r="K1058" s="50"/>
      <c r="L1058" s="50"/>
      <c r="M1058" s="50"/>
      <c r="N1058" s="50"/>
      <c r="O1058" s="50"/>
      <c r="P1058" s="50"/>
      <c r="Q1058" s="50"/>
      <c r="R1058" s="50"/>
      <c r="S1058" s="50"/>
      <c r="T1058" s="50"/>
      <c r="U1058" s="50"/>
      <c r="V1058" s="50"/>
      <c r="W1058" s="50"/>
      <c r="X1058" s="50"/>
      <c r="Y1058" s="50"/>
      <c r="Z1058" s="50"/>
    </row>
    <row r="1059" spans="1:26" ht="12.75" x14ac:dyDescent="0.2">
      <c r="A1059" s="50"/>
      <c r="B1059" s="50"/>
      <c r="C1059" s="50"/>
      <c r="D1059" s="50"/>
      <c r="E1059" s="50"/>
      <c r="F1059" s="50"/>
      <c r="G1059" s="50"/>
      <c r="H1059" s="50"/>
      <c r="I1059" s="50"/>
      <c r="J1059" s="50"/>
      <c r="K1059" s="50"/>
      <c r="L1059" s="50"/>
      <c r="M1059" s="50"/>
      <c r="N1059" s="50"/>
      <c r="O1059" s="50"/>
      <c r="P1059" s="50"/>
      <c r="Q1059" s="50"/>
      <c r="R1059" s="50"/>
      <c r="S1059" s="50"/>
      <c r="T1059" s="50"/>
      <c r="U1059" s="50"/>
      <c r="V1059" s="50"/>
      <c r="W1059" s="50"/>
      <c r="X1059" s="50"/>
      <c r="Y1059" s="50"/>
      <c r="Z1059" s="50"/>
    </row>
    <row r="1060" spans="1:26" ht="12.75" x14ac:dyDescent="0.2">
      <c r="A1060" s="50"/>
      <c r="B1060" s="50"/>
      <c r="C1060" s="50"/>
      <c r="D1060" s="50"/>
      <c r="E1060" s="50"/>
      <c r="F1060" s="50"/>
      <c r="G1060" s="50"/>
      <c r="H1060" s="50"/>
      <c r="I1060" s="50"/>
      <c r="J1060" s="50"/>
      <c r="K1060" s="50"/>
      <c r="L1060" s="50"/>
      <c r="M1060" s="50"/>
      <c r="N1060" s="50"/>
      <c r="O1060" s="50"/>
      <c r="P1060" s="50"/>
      <c r="Q1060" s="50"/>
      <c r="R1060" s="50"/>
      <c r="S1060" s="50"/>
      <c r="T1060" s="50"/>
      <c r="U1060" s="50"/>
      <c r="V1060" s="50"/>
      <c r="W1060" s="50"/>
      <c r="X1060" s="50"/>
      <c r="Y1060" s="50"/>
      <c r="Z1060" s="50"/>
    </row>
    <row r="1061" spans="1:26" ht="12.75" x14ac:dyDescent="0.2">
      <c r="A1061" s="50"/>
      <c r="B1061" s="50"/>
      <c r="C1061" s="50"/>
      <c r="D1061" s="50"/>
      <c r="E1061" s="50"/>
      <c r="F1061" s="50"/>
      <c r="G1061" s="50"/>
      <c r="H1061" s="50"/>
      <c r="I1061" s="50"/>
      <c r="J1061" s="50"/>
      <c r="K1061" s="50"/>
      <c r="L1061" s="50"/>
      <c r="M1061" s="50"/>
      <c r="N1061" s="50"/>
      <c r="O1061" s="50"/>
      <c r="P1061" s="50"/>
      <c r="Q1061" s="50"/>
      <c r="R1061" s="50"/>
      <c r="S1061" s="50"/>
      <c r="T1061" s="50"/>
      <c r="U1061" s="50"/>
      <c r="V1061" s="50"/>
      <c r="W1061" s="50"/>
      <c r="X1061" s="50"/>
      <c r="Y1061" s="50"/>
      <c r="Z1061" s="50"/>
    </row>
    <row r="1062" spans="1:26" ht="12.75" x14ac:dyDescent="0.2">
      <c r="A1062" s="50"/>
      <c r="B1062" s="50"/>
      <c r="C1062" s="50"/>
      <c r="D1062" s="50"/>
      <c r="E1062" s="50"/>
      <c r="F1062" s="50"/>
      <c r="G1062" s="50"/>
      <c r="H1062" s="50"/>
      <c r="I1062" s="50"/>
      <c r="J1062" s="50"/>
      <c r="K1062" s="50"/>
      <c r="L1062" s="50"/>
      <c r="M1062" s="50"/>
      <c r="N1062" s="50"/>
      <c r="O1062" s="50"/>
      <c r="P1062" s="50"/>
      <c r="Q1062" s="50"/>
      <c r="R1062" s="50"/>
      <c r="S1062" s="50"/>
      <c r="T1062" s="50"/>
      <c r="U1062" s="50"/>
      <c r="V1062" s="50"/>
      <c r="W1062" s="50"/>
      <c r="X1062" s="50"/>
      <c r="Y1062" s="50"/>
      <c r="Z1062" s="50"/>
    </row>
    <row r="1063" spans="1:26" ht="12.75" x14ac:dyDescent="0.2">
      <c r="A1063" s="50"/>
      <c r="B1063" s="50"/>
      <c r="C1063" s="50"/>
      <c r="D1063" s="50"/>
      <c r="E1063" s="50"/>
      <c r="F1063" s="50"/>
      <c r="G1063" s="50"/>
      <c r="H1063" s="50"/>
      <c r="I1063" s="50"/>
      <c r="J1063" s="50"/>
      <c r="K1063" s="50"/>
      <c r="L1063" s="50"/>
      <c r="M1063" s="50"/>
      <c r="N1063" s="50"/>
      <c r="O1063" s="50"/>
      <c r="P1063" s="50"/>
      <c r="Q1063" s="50"/>
      <c r="R1063" s="50"/>
      <c r="S1063" s="50"/>
      <c r="T1063" s="50"/>
      <c r="U1063" s="50"/>
      <c r="V1063" s="50"/>
      <c r="W1063" s="50"/>
      <c r="X1063" s="50"/>
      <c r="Y1063" s="50"/>
      <c r="Z1063" s="50"/>
    </row>
    <row r="1064" spans="1:26" ht="12.75" x14ac:dyDescent="0.2">
      <c r="A1064" s="50"/>
      <c r="B1064" s="50"/>
      <c r="C1064" s="50"/>
      <c r="D1064" s="50"/>
      <c r="E1064" s="50"/>
      <c r="F1064" s="50"/>
      <c r="G1064" s="50"/>
      <c r="H1064" s="50"/>
      <c r="I1064" s="50"/>
      <c r="J1064" s="50"/>
      <c r="K1064" s="50"/>
      <c r="L1064" s="50"/>
      <c r="M1064" s="50"/>
      <c r="N1064" s="50"/>
      <c r="O1064" s="50"/>
      <c r="P1064" s="50"/>
      <c r="Q1064" s="50"/>
      <c r="R1064" s="50"/>
      <c r="S1064" s="50"/>
      <c r="T1064" s="50"/>
      <c r="U1064" s="50"/>
      <c r="V1064" s="50"/>
      <c r="W1064" s="50"/>
      <c r="X1064" s="50"/>
      <c r="Y1064" s="50"/>
      <c r="Z1064" s="50"/>
    </row>
    <row r="1065" spans="1:26" ht="12.75" x14ac:dyDescent="0.2">
      <c r="A1065" s="50"/>
      <c r="B1065" s="50"/>
      <c r="C1065" s="50"/>
      <c r="D1065" s="50"/>
      <c r="E1065" s="50"/>
      <c r="F1065" s="50"/>
      <c r="G1065" s="50"/>
      <c r="H1065" s="50"/>
      <c r="I1065" s="50"/>
      <c r="J1065" s="50"/>
      <c r="K1065" s="50"/>
      <c r="L1065" s="50"/>
      <c r="M1065" s="50"/>
      <c r="N1065" s="50"/>
      <c r="O1065" s="50"/>
      <c r="P1065" s="50"/>
      <c r="Q1065" s="50"/>
      <c r="R1065" s="50"/>
      <c r="S1065" s="50"/>
      <c r="T1065" s="50"/>
      <c r="U1065" s="50"/>
      <c r="V1065" s="50"/>
      <c r="W1065" s="50"/>
      <c r="X1065" s="50"/>
      <c r="Y1065" s="50"/>
      <c r="Z1065" s="50"/>
    </row>
    <row r="1066" spans="1:26" ht="12.75" x14ac:dyDescent="0.2">
      <c r="A1066" s="50"/>
      <c r="B1066" s="50"/>
      <c r="C1066" s="50"/>
      <c r="D1066" s="50"/>
      <c r="E1066" s="50"/>
      <c r="F1066" s="50"/>
      <c r="G1066" s="50"/>
      <c r="H1066" s="50"/>
      <c r="I1066" s="50"/>
      <c r="J1066" s="50"/>
      <c r="K1066" s="50"/>
      <c r="L1066" s="50"/>
      <c r="M1066" s="50"/>
      <c r="N1066" s="50"/>
      <c r="O1066" s="50"/>
      <c r="P1066" s="50"/>
      <c r="Q1066" s="50"/>
      <c r="R1066" s="50"/>
      <c r="S1066" s="50"/>
      <c r="T1066" s="50"/>
      <c r="U1066" s="50"/>
      <c r="V1066" s="50"/>
      <c r="W1066" s="50"/>
      <c r="X1066" s="50"/>
      <c r="Y1066" s="50"/>
      <c r="Z1066" s="50"/>
    </row>
    <row r="1067" spans="1:26" ht="12.75" x14ac:dyDescent="0.2">
      <c r="A1067" s="50"/>
      <c r="B1067" s="50"/>
      <c r="C1067" s="50"/>
      <c r="D1067" s="50"/>
      <c r="E1067" s="50"/>
      <c r="F1067" s="50"/>
      <c r="G1067" s="50"/>
      <c r="H1067" s="50"/>
      <c r="I1067" s="50"/>
      <c r="J1067" s="50"/>
      <c r="K1067" s="50"/>
      <c r="L1067" s="50"/>
      <c r="M1067" s="50"/>
      <c r="N1067" s="50"/>
      <c r="O1067" s="50"/>
      <c r="P1067" s="50"/>
      <c r="Q1067" s="50"/>
      <c r="R1067" s="50"/>
      <c r="S1067" s="50"/>
      <c r="T1067" s="50"/>
      <c r="U1067" s="50"/>
      <c r="V1067" s="50"/>
      <c r="W1067" s="50"/>
      <c r="X1067" s="50"/>
      <c r="Y1067" s="50"/>
      <c r="Z1067" s="50"/>
    </row>
    <row r="1068" spans="1:26" ht="12.75" x14ac:dyDescent="0.2">
      <c r="A1068" s="50"/>
      <c r="B1068" s="50"/>
      <c r="C1068" s="50"/>
      <c r="D1068" s="50"/>
      <c r="E1068" s="50"/>
      <c r="F1068" s="50"/>
      <c r="G1068" s="50"/>
      <c r="H1068" s="50"/>
      <c r="I1068" s="50"/>
      <c r="J1068" s="50"/>
      <c r="K1068" s="50"/>
      <c r="L1068" s="50"/>
      <c r="M1068" s="50"/>
      <c r="N1068" s="50"/>
      <c r="O1068" s="50"/>
      <c r="P1068" s="50"/>
      <c r="Q1068" s="50"/>
      <c r="R1068" s="50"/>
      <c r="S1068" s="50"/>
      <c r="T1068" s="50"/>
      <c r="U1068" s="50"/>
      <c r="V1068" s="50"/>
      <c r="W1068" s="50"/>
      <c r="X1068" s="50"/>
      <c r="Y1068" s="50"/>
      <c r="Z1068" s="50"/>
    </row>
    <row r="1069" spans="1:26" ht="12.75" x14ac:dyDescent="0.2">
      <c r="A1069" s="50"/>
      <c r="B1069" s="50"/>
      <c r="C1069" s="50"/>
      <c r="D1069" s="50"/>
      <c r="E1069" s="50"/>
      <c r="F1069" s="50"/>
      <c r="G1069" s="50"/>
      <c r="H1069" s="50"/>
      <c r="I1069" s="50"/>
      <c r="J1069" s="50"/>
      <c r="K1069" s="50"/>
      <c r="L1069" s="50"/>
      <c r="M1069" s="50"/>
      <c r="N1069" s="50"/>
      <c r="O1069" s="50"/>
      <c r="P1069" s="50"/>
      <c r="Q1069" s="50"/>
      <c r="R1069" s="50"/>
      <c r="S1069" s="50"/>
      <c r="T1069" s="50"/>
      <c r="U1069" s="50"/>
      <c r="V1069" s="50"/>
      <c r="W1069" s="50"/>
      <c r="X1069" s="50"/>
      <c r="Y1069" s="50"/>
      <c r="Z1069" s="50"/>
    </row>
    <row r="1070" spans="1:26" ht="12.75" x14ac:dyDescent="0.2">
      <c r="A1070" s="50"/>
      <c r="B1070" s="50"/>
      <c r="C1070" s="50"/>
      <c r="D1070" s="50"/>
      <c r="E1070" s="50"/>
      <c r="F1070" s="50"/>
      <c r="G1070" s="50"/>
      <c r="H1070" s="50"/>
      <c r="I1070" s="50"/>
      <c r="J1070" s="50"/>
      <c r="K1070" s="50"/>
      <c r="L1070" s="50"/>
      <c r="M1070" s="50"/>
      <c r="N1070" s="50"/>
      <c r="O1070" s="50"/>
      <c r="P1070" s="50"/>
      <c r="Q1070" s="50"/>
      <c r="R1070" s="50"/>
      <c r="S1070" s="50"/>
      <c r="T1070" s="50"/>
      <c r="U1070" s="50"/>
      <c r="V1070" s="50"/>
      <c r="W1070" s="50"/>
      <c r="X1070" s="50"/>
      <c r="Y1070" s="50"/>
      <c r="Z1070" s="50"/>
    </row>
    <row r="1071" spans="1:26" ht="12.75" x14ac:dyDescent="0.2">
      <c r="A1071" s="50"/>
      <c r="B1071" s="50"/>
      <c r="C1071" s="50"/>
      <c r="D1071" s="50"/>
      <c r="E1071" s="50"/>
      <c r="F1071" s="50"/>
      <c r="G1071" s="50"/>
      <c r="H1071" s="50"/>
      <c r="I1071" s="50"/>
      <c r="J1071" s="50"/>
      <c r="K1071" s="50"/>
      <c r="L1071" s="50"/>
      <c r="M1071" s="50"/>
      <c r="N1071" s="50"/>
      <c r="O1071" s="50"/>
      <c r="P1071" s="50"/>
      <c r="Q1071" s="50"/>
      <c r="R1071" s="50"/>
      <c r="S1071" s="50"/>
      <c r="T1071" s="50"/>
      <c r="U1071" s="50"/>
      <c r="V1071" s="50"/>
      <c r="W1071" s="50"/>
      <c r="X1071" s="50"/>
      <c r="Y1071" s="50"/>
      <c r="Z1071" s="50"/>
    </row>
    <row r="1072" spans="1:26" ht="12.75" x14ac:dyDescent="0.2">
      <c r="A1072" s="50"/>
      <c r="B1072" s="50"/>
      <c r="C1072" s="50"/>
      <c r="D1072" s="50"/>
      <c r="E1072" s="50"/>
      <c r="F1072" s="50"/>
      <c r="G1072" s="50"/>
      <c r="H1072" s="50"/>
      <c r="I1072" s="50"/>
      <c r="J1072" s="50"/>
      <c r="K1072" s="50"/>
      <c r="L1072" s="50"/>
      <c r="M1072" s="50"/>
      <c r="N1072" s="50"/>
      <c r="O1072" s="50"/>
      <c r="P1072" s="50"/>
      <c r="Q1072" s="50"/>
      <c r="R1072" s="50"/>
      <c r="S1072" s="50"/>
      <c r="T1072" s="50"/>
      <c r="U1072" s="50"/>
      <c r="V1072" s="50"/>
      <c r="W1072" s="50"/>
      <c r="X1072" s="50"/>
      <c r="Y1072" s="50"/>
      <c r="Z1072" s="50"/>
    </row>
    <row r="1073" spans="1:26" ht="12.75" x14ac:dyDescent="0.2">
      <c r="A1073" s="50"/>
      <c r="B1073" s="50"/>
      <c r="C1073" s="50"/>
      <c r="D1073" s="50"/>
      <c r="E1073" s="50"/>
      <c r="F1073" s="50"/>
      <c r="G1073" s="50"/>
      <c r="H1073" s="50"/>
      <c r="I1073" s="50"/>
      <c r="J1073" s="50"/>
      <c r="K1073" s="50"/>
      <c r="L1073" s="50"/>
      <c r="M1073" s="50"/>
      <c r="N1073" s="50"/>
      <c r="O1073" s="50"/>
      <c r="P1073" s="50"/>
      <c r="Q1073" s="50"/>
      <c r="R1073" s="50"/>
      <c r="S1073" s="50"/>
      <c r="T1073" s="50"/>
      <c r="U1073" s="50"/>
      <c r="V1073" s="50"/>
      <c r="W1073" s="50"/>
      <c r="X1073" s="50"/>
      <c r="Y1073" s="50"/>
      <c r="Z1073" s="50"/>
    </row>
    <row r="1074" spans="1:26" ht="12.75" x14ac:dyDescent="0.2">
      <c r="A1074" s="50"/>
      <c r="B1074" s="50"/>
      <c r="C1074" s="50"/>
      <c r="D1074" s="50"/>
      <c r="E1074" s="50"/>
      <c r="F1074" s="50"/>
      <c r="G1074" s="50"/>
      <c r="H1074" s="50"/>
      <c r="I1074" s="50"/>
      <c r="J1074" s="50"/>
      <c r="K1074" s="50"/>
      <c r="L1074" s="50"/>
      <c r="M1074" s="50"/>
      <c r="N1074" s="50"/>
      <c r="O1074" s="50"/>
      <c r="P1074" s="50"/>
      <c r="Q1074" s="50"/>
      <c r="R1074" s="50"/>
      <c r="S1074" s="50"/>
      <c r="T1074" s="50"/>
      <c r="U1074" s="50"/>
      <c r="V1074" s="50"/>
      <c r="W1074" s="50"/>
      <c r="X1074" s="50"/>
      <c r="Y1074" s="50"/>
      <c r="Z1074" s="50"/>
    </row>
    <row r="1075" spans="1:26" ht="12.75" x14ac:dyDescent="0.2">
      <c r="A1075" s="50"/>
      <c r="B1075" s="50"/>
      <c r="C1075" s="50"/>
      <c r="D1075" s="50"/>
      <c r="E1075" s="50"/>
      <c r="F1075" s="50"/>
      <c r="G1075" s="50"/>
      <c r="H1075" s="50"/>
      <c r="I1075" s="50"/>
      <c r="J1075" s="50"/>
      <c r="K1075" s="50"/>
      <c r="L1075" s="50"/>
      <c r="M1075" s="50"/>
      <c r="N1075" s="50"/>
      <c r="O1075" s="50"/>
      <c r="P1075" s="50"/>
      <c r="Q1075" s="50"/>
      <c r="R1075" s="50"/>
      <c r="S1075" s="50"/>
      <c r="T1075" s="50"/>
      <c r="U1075" s="50"/>
      <c r="V1075" s="50"/>
      <c r="W1075" s="50"/>
      <c r="X1075" s="50"/>
      <c r="Y1075" s="50"/>
      <c r="Z1075" s="50"/>
    </row>
    <row r="1076" spans="1:26" ht="12.75" x14ac:dyDescent="0.2">
      <c r="A1076" s="50"/>
      <c r="B1076" s="50"/>
      <c r="C1076" s="50"/>
      <c r="D1076" s="50"/>
      <c r="E1076" s="50"/>
      <c r="F1076" s="50"/>
      <c r="G1076" s="50"/>
      <c r="H1076" s="50"/>
      <c r="I1076" s="50"/>
      <c r="J1076" s="50"/>
      <c r="K1076" s="50"/>
      <c r="L1076" s="50"/>
      <c r="M1076" s="50"/>
      <c r="N1076" s="50"/>
      <c r="O1076" s="50"/>
      <c r="P1076" s="50"/>
      <c r="Q1076" s="50"/>
      <c r="R1076" s="50"/>
      <c r="S1076" s="50"/>
      <c r="T1076" s="50"/>
      <c r="U1076" s="50"/>
      <c r="V1076" s="50"/>
      <c r="W1076" s="50"/>
      <c r="X1076" s="50"/>
      <c r="Y1076" s="50"/>
      <c r="Z1076" s="50"/>
    </row>
    <row r="1077" spans="1:26" ht="12.75" x14ac:dyDescent="0.2">
      <c r="A1077" s="50"/>
      <c r="B1077" s="50"/>
      <c r="C1077" s="50"/>
      <c r="D1077" s="50"/>
      <c r="E1077" s="50"/>
      <c r="F1077" s="50"/>
      <c r="G1077" s="50"/>
      <c r="H1077" s="50"/>
      <c r="I1077" s="50"/>
      <c r="J1077" s="50"/>
      <c r="K1077" s="50"/>
      <c r="L1077" s="50"/>
      <c r="M1077" s="50"/>
      <c r="N1077" s="50"/>
      <c r="O1077" s="50"/>
      <c r="P1077" s="50"/>
      <c r="Q1077" s="50"/>
      <c r="R1077" s="50"/>
      <c r="S1077" s="50"/>
      <c r="T1077" s="50"/>
      <c r="U1077" s="50"/>
      <c r="V1077" s="50"/>
      <c r="W1077" s="50"/>
      <c r="X1077" s="50"/>
      <c r="Y1077" s="50"/>
      <c r="Z1077" s="50"/>
    </row>
    <row r="1078" spans="1:26" ht="12.75" x14ac:dyDescent="0.2">
      <c r="A1078" s="50"/>
      <c r="B1078" s="50"/>
      <c r="C1078" s="50"/>
      <c r="D1078" s="50"/>
      <c r="E1078" s="50"/>
      <c r="F1078" s="50"/>
      <c r="G1078" s="50"/>
      <c r="H1078" s="50"/>
      <c r="I1078" s="50"/>
      <c r="J1078" s="50"/>
      <c r="K1078" s="50"/>
      <c r="L1078" s="50"/>
      <c r="M1078" s="50"/>
      <c r="N1078" s="50"/>
      <c r="O1078" s="50"/>
      <c r="P1078" s="50"/>
      <c r="Q1078" s="50"/>
      <c r="R1078" s="50"/>
      <c r="S1078" s="50"/>
      <c r="T1078" s="50"/>
      <c r="U1078" s="50"/>
      <c r="V1078" s="50"/>
      <c r="W1078" s="50"/>
      <c r="X1078" s="50"/>
      <c r="Y1078" s="50"/>
      <c r="Z1078" s="50"/>
    </row>
    <row r="1079" spans="1:26" ht="12.75" x14ac:dyDescent="0.2">
      <c r="A1079" s="50"/>
      <c r="B1079" s="50"/>
      <c r="C1079" s="50"/>
      <c r="D1079" s="50"/>
      <c r="E1079" s="50"/>
      <c r="F1079" s="50"/>
      <c r="G1079" s="50"/>
      <c r="H1079" s="50"/>
      <c r="I1079" s="50"/>
      <c r="J1079" s="50"/>
      <c r="K1079" s="50"/>
      <c r="L1079" s="50"/>
      <c r="M1079" s="50"/>
      <c r="N1079" s="50"/>
      <c r="O1079" s="50"/>
      <c r="P1079" s="50"/>
      <c r="Q1079" s="50"/>
      <c r="R1079" s="50"/>
      <c r="S1079" s="50"/>
      <c r="T1079" s="50"/>
      <c r="U1079" s="50"/>
      <c r="V1079" s="50"/>
      <c r="W1079" s="50"/>
      <c r="X1079" s="50"/>
      <c r="Y1079" s="50"/>
      <c r="Z1079" s="50"/>
    </row>
    <row r="1080" spans="1:26" ht="12.75" x14ac:dyDescent="0.2">
      <c r="A1080" s="50"/>
      <c r="B1080" s="50"/>
      <c r="C1080" s="50"/>
      <c r="D1080" s="50"/>
      <c r="E1080" s="50"/>
      <c r="F1080" s="50"/>
      <c r="G1080" s="50"/>
      <c r="H1080" s="50"/>
      <c r="I1080" s="50"/>
      <c r="J1080" s="50"/>
      <c r="K1080" s="50"/>
      <c r="L1080" s="50"/>
      <c r="M1080" s="50"/>
      <c r="N1080" s="50"/>
      <c r="O1080" s="50"/>
      <c r="P1080" s="50"/>
      <c r="Q1080" s="50"/>
      <c r="R1080" s="50"/>
      <c r="S1080" s="50"/>
      <c r="T1080" s="50"/>
      <c r="U1080" s="50"/>
      <c r="V1080" s="50"/>
      <c r="W1080" s="50"/>
      <c r="X1080" s="50"/>
      <c r="Y1080" s="50"/>
      <c r="Z1080" s="50"/>
    </row>
    <row r="1081" spans="1:26" ht="12.75" x14ac:dyDescent="0.2">
      <c r="A1081" s="50"/>
      <c r="B1081" s="50"/>
      <c r="C1081" s="50"/>
      <c r="D1081" s="50"/>
      <c r="E1081" s="50"/>
      <c r="F1081" s="50"/>
      <c r="G1081" s="50"/>
      <c r="H1081" s="50"/>
      <c r="I1081" s="50"/>
      <c r="J1081" s="50"/>
      <c r="K1081" s="50"/>
      <c r="L1081" s="50"/>
      <c r="M1081" s="50"/>
      <c r="N1081" s="50"/>
      <c r="O1081" s="50"/>
      <c r="P1081" s="50"/>
      <c r="Q1081" s="50"/>
      <c r="R1081" s="50"/>
      <c r="S1081" s="50"/>
      <c r="T1081" s="50"/>
      <c r="U1081" s="50"/>
      <c r="V1081" s="50"/>
      <c r="W1081" s="50"/>
      <c r="X1081" s="50"/>
      <c r="Y1081" s="50"/>
      <c r="Z1081" s="50"/>
    </row>
    <row r="1082" spans="1:26" ht="12.75" x14ac:dyDescent="0.2">
      <c r="A1082" s="50"/>
      <c r="B1082" s="50"/>
      <c r="C1082" s="50"/>
      <c r="D1082" s="50"/>
      <c r="E1082" s="50"/>
      <c r="F1082" s="50"/>
      <c r="G1082" s="50"/>
      <c r="H1082" s="50"/>
      <c r="I1082" s="50"/>
      <c r="J1082" s="50"/>
      <c r="K1082" s="50"/>
      <c r="L1082" s="50"/>
      <c r="M1082" s="50"/>
      <c r="N1082" s="50"/>
      <c r="O1082" s="50"/>
      <c r="P1082" s="50"/>
      <c r="Q1082" s="50"/>
      <c r="R1082" s="50"/>
      <c r="S1082" s="50"/>
      <c r="T1082" s="50"/>
      <c r="U1082" s="50"/>
      <c r="V1082" s="50"/>
      <c r="W1082" s="50"/>
      <c r="X1082" s="50"/>
      <c r="Y1082" s="50"/>
      <c r="Z1082" s="50"/>
    </row>
    <row r="1083" spans="1:26" ht="12.75" x14ac:dyDescent="0.2">
      <c r="A1083" s="50"/>
      <c r="B1083" s="50"/>
      <c r="C1083" s="50"/>
      <c r="D1083" s="50"/>
      <c r="E1083" s="50"/>
      <c r="F1083" s="50"/>
      <c r="G1083" s="50"/>
      <c r="H1083" s="50"/>
      <c r="I1083" s="50"/>
      <c r="J1083" s="50"/>
      <c r="K1083" s="50"/>
      <c r="L1083" s="50"/>
      <c r="M1083" s="50"/>
      <c r="N1083" s="50"/>
      <c r="O1083" s="50"/>
      <c r="P1083" s="50"/>
      <c r="Q1083" s="50"/>
      <c r="R1083" s="50"/>
      <c r="S1083" s="50"/>
      <c r="T1083" s="50"/>
      <c r="U1083" s="50"/>
      <c r="V1083" s="50"/>
      <c r="W1083" s="50"/>
      <c r="X1083" s="50"/>
      <c r="Y1083" s="50"/>
      <c r="Z1083" s="50"/>
    </row>
    <row r="1084" spans="1:26" ht="12.75" x14ac:dyDescent="0.2">
      <c r="A1084" s="50"/>
      <c r="B1084" s="50"/>
      <c r="C1084" s="50"/>
      <c r="D1084" s="50"/>
      <c r="E1084" s="50"/>
      <c r="F1084" s="50"/>
      <c r="G1084" s="50"/>
      <c r="H1084" s="50"/>
      <c r="I1084" s="50"/>
      <c r="J1084" s="50"/>
      <c r="K1084" s="50"/>
      <c r="L1084" s="50"/>
      <c r="M1084" s="50"/>
      <c r="N1084" s="50"/>
      <c r="O1084" s="50"/>
      <c r="P1084" s="50"/>
      <c r="Q1084" s="50"/>
      <c r="R1084" s="50"/>
      <c r="S1084" s="50"/>
      <c r="T1084" s="50"/>
      <c r="U1084" s="50"/>
      <c r="V1084" s="50"/>
      <c r="W1084" s="50"/>
      <c r="X1084" s="50"/>
      <c r="Y1084" s="50"/>
      <c r="Z1084" s="50"/>
    </row>
    <row r="1085" spans="1:26" ht="12.75" x14ac:dyDescent="0.2">
      <c r="A1085" s="50"/>
      <c r="B1085" s="50"/>
      <c r="C1085" s="50"/>
      <c r="D1085" s="50"/>
      <c r="E1085" s="50"/>
      <c r="F1085" s="50"/>
      <c r="G1085" s="50"/>
      <c r="H1085" s="50"/>
      <c r="I1085" s="50"/>
      <c r="J1085" s="50"/>
      <c r="K1085" s="50"/>
      <c r="L1085" s="50"/>
      <c r="M1085" s="50"/>
      <c r="N1085" s="50"/>
      <c r="O1085" s="50"/>
      <c r="P1085" s="50"/>
      <c r="Q1085" s="50"/>
      <c r="R1085" s="50"/>
      <c r="S1085" s="50"/>
      <c r="T1085" s="50"/>
      <c r="U1085" s="50"/>
      <c r="V1085" s="50"/>
      <c r="W1085" s="50"/>
      <c r="X1085" s="50"/>
      <c r="Y1085" s="50"/>
      <c r="Z1085" s="50"/>
    </row>
    <row r="1086" spans="1:26" ht="12.75" x14ac:dyDescent="0.2">
      <c r="A1086" s="50"/>
      <c r="B1086" s="50"/>
      <c r="C1086" s="50"/>
      <c r="D1086" s="50"/>
      <c r="E1086" s="50"/>
      <c r="F1086" s="50"/>
      <c r="G1086" s="50"/>
      <c r="H1086" s="50"/>
      <c r="I1086" s="50"/>
      <c r="J1086" s="50"/>
      <c r="K1086" s="50"/>
      <c r="L1086" s="50"/>
      <c r="M1086" s="50"/>
      <c r="N1086" s="50"/>
      <c r="O1086" s="50"/>
      <c r="P1086" s="50"/>
      <c r="Q1086" s="50"/>
      <c r="R1086" s="50"/>
      <c r="S1086" s="50"/>
      <c r="T1086" s="50"/>
      <c r="U1086" s="50"/>
      <c r="V1086" s="50"/>
      <c r="W1086" s="50"/>
      <c r="X1086" s="50"/>
      <c r="Y1086" s="50"/>
      <c r="Z1086" s="50"/>
    </row>
    <row r="1087" spans="1:26" ht="12.75" x14ac:dyDescent="0.2">
      <c r="A1087" s="50"/>
      <c r="B1087" s="50"/>
      <c r="C1087" s="50"/>
      <c r="D1087" s="50"/>
      <c r="E1087" s="50"/>
      <c r="F1087" s="50"/>
      <c r="G1087" s="50"/>
      <c r="H1087" s="50"/>
      <c r="I1087" s="50"/>
      <c r="J1087" s="50"/>
      <c r="K1087" s="50"/>
      <c r="L1087" s="50"/>
      <c r="M1087" s="50"/>
      <c r="N1087" s="50"/>
      <c r="O1087" s="50"/>
      <c r="P1087" s="50"/>
      <c r="Q1087" s="50"/>
      <c r="R1087" s="50"/>
      <c r="S1087" s="50"/>
      <c r="T1087" s="50"/>
      <c r="U1087" s="50"/>
      <c r="V1087" s="50"/>
      <c r="W1087" s="50"/>
      <c r="X1087" s="50"/>
      <c r="Y1087" s="50"/>
      <c r="Z1087" s="50"/>
    </row>
    <row r="1088" spans="1:26" ht="12.75" x14ac:dyDescent="0.2">
      <c r="A1088" s="50"/>
      <c r="B1088" s="50"/>
      <c r="C1088" s="50"/>
      <c r="D1088" s="50"/>
      <c r="E1088" s="50"/>
      <c r="F1088" s="50"/>
      <c r="G1088" s="50"/>
      <c r="H1088" s="50"/>
      <c r="I1088" s="50"/>
      <c r="J1088" s="50"/>
      <c r="K1088" s="50"/>
      <c r="L1088" s="50"/>
      <c r="M1088" s="50"/>
      <c r="N1088" s="50"/>
      <c r="O1088" s="50"/>
      <c r="P1088" s="50"/>
      <c r="Q1088" s="50"/>
      <c r="R1088" s="50"/>
      <c r="S1088" s="50"/>
      <c r="T1088" s="50"/>
      <c r="U1088" s="50"/>
      <c r="V1088" s="50"/>
      <c r="W1088" s="50"/>
      <c r="X1088" s="50"/>
      <c r="Y1088" s="50"/>
      <c r="Z1088" s="50"/>
    </row>
    <row r="1089" spans="1:26" ht="12.75" x14ac:dyDescent="0.2">
      <c r="A1089" s="50"/>
      <c r="B1089" s="50"/>
      <c r="C1089" s="50"/>
      <c r="D1089" s="50"/>
      <c r="E1089" s="50"/>
      <c r="F1089" s="50"/>
      <c r="G1089" s="50"/>
      <c r="H1089" s="50"/>
      <c r="I1089" s="50"/>
      <c r="J1089" s="50"/>
      <c r="K1089" s="50"/>
      <c r="L1089" s="50"/>
      <c r="M1089" s="50"/>
      <c r="N1089" s="50"/>
      <c r="O1089" s="50"/>
      <c r="P1089" s="50"/>
      <c r="Q1089" s="50"/>
      <c r="R1089" s="50"/>
      <c r="S1089" s="50"/>
      <c r="T1089" s="50"/>
      <c r="U1089" s="50"/>
      <c r="V1089" s="50"/>
      <c r="W1089" s="50"/>
      <c r="X1089" s="50"/>
      <c r="Y1089" s="50"/>
      <c r="Z1089" s="50"/>
    </row>
    <row r="1090" spans="1:26" ht="12.75" x14ac:dyDescent="0.2">
      <c r="A1090" s="50"/>
      <c r="B1090" s="50"/>
      <c r="C1090" s="50"/>
      <c r="D1090" s="50"/>
      <c r="E1090" s="50"/>
      <c r="F1090" s="50"/>
      <c r="G1090" s="50"/>
      <c r="H1090" s="50"/>
      <c r="I1090" s="50"/>
      <c r="J1090" s="50"/>
      <c r="K1090" s="50"/>
      <c r="L1090" s="50"/>
      <c r="M1090" s="50"/>
      <c r="N1090" s="50"/>
      <c r="O1090" s="50"/>
      <c r="P1090" s="50"/>
      <c r="Q1090" s="50"/>
      <c r="R1090" s="50"/>
      <c r="S1090" s="50"/>
      <c r="T1090" s="50"/>
      <c r="U1090" s="50"/>
      <c r="V1090" s="50"/>
      <c r="W1090" s="50"/>
      <c r="X1090" s="50"/>
      <c r="Y1090" s="50"/>
      <c r="Z1090" s="50"/>
    </row>
    <row r="1091" spans="1:26" ht="12.75" x14ac:dyDescent="0.2">
      <c r="A1091" s="50"/>
      <c r="B1091" s="50"/>
      <c r="C1091" s="50"/>
      <c r="D1091" s="50"/>
      <c r="E1091" s="50"/>
      <c r="F1091" s="50"/>
      <c r="G1091" s="50"/>
      <c r="H1091" s="50"/>
      <c r="I1091" s="50"/>
      <c r="J1091" s="50"/>
      <c r="K1091" s="50"/>
      <c r="L1091" s="50"/>
      <c r="M1091" s="50"/>
      <c r="N1091" s="50"/>
      <c r="O1091" s="50"/>
      <c r="P1091" s="50"/>
      <c r="Q1091" s="50"/>
      <c r="R1091" s="50"/>
      <c r="S1091" s="50"/>
      <c r="T1091" s="50"/>
      <c r="U1091" s="50"/>
      <c r="V1091" s="50"/>
      <c r="W1091" s="50"/>
      <c r="X1091" s="50"/>
      <c r="Y1091" s="50"/>
      <c r="Z1091" s="50"/>
    </row>
    <row r="1092" spans="1:26" ht="12.75" x14ac:dyDescent="0.2">
      <c r="A1092" s="50"/>
      <c r="B1092" s="50"/>
      <c r="C1092" s="50"/>
      <c r="D1092" s="50"/>
      <c r="E1092" s="50"/>
      <c r="F1092" s="50"/>
      <c r="G1092" s="50"/>
      <c r="H1092" s="50"/>
      <c r="I1092" s="50"/>
      <c r="J1092" s="50"/>
      <c r="K1092" s="50"/>
      <c r="L1092" s="50"/>
      <c r="M1092" s="50"/>
      <c r="N1092" s="50"/>
      <c r="O1092" s="50"/>
      <c r="P1092" s="50"/>
      <c r="Q1092" s="50"/>
      <c r="R1092" s="50"/>
      <c r="S1092" s="50"/>
      <c r="T1092" s="50"/>
      <c r="U1092" s="50"/>
      <c r="V1092" s="50"/>
      <c r="W1092" s="50"/>
      <c r="X1092" s="50"/>
      <c r="Y1092" s="50"/>
      <c r="Z1092" s="50"/>
    </row>
    <row r="1093" spans="1:26" ht="12.75" x14ac:dyDescent="0.2">
      <c r="A1093" s="50"/>
      <c r="B1093" s="50"/>
      <c r="C1093" s="50"/>
      <c r="D1093" s="50"/>
      <c r="E1093" s="50"/>
      <c r="F1093" s="50"/>
      <c r="G1093" s="50"/>
      <c r="H1093" s="50"/>
      <c r="I1093" s="50"/>
      <c r="J1093" s="50"/>
      <c r="K1093" s="50"/>
      <c r="L1093" s="50"/>
      <c r="M1093" s="50"/>
      <c r="N1093" s="50"/>
      <c r="O1093" s="50"/>
      <c r="P1093" s="50"/>
      <c r="Q1093" s="50"/>
      <c r="R1093" s="50"/>
      <c r="S1093" s="50"/>
      <c r="T1093" s="50"/>
      <c r="U1093" s="50"/>
      <c r="V1093" s="50"/>
      <c r="W1093" s="50"/>
      <c r="X1093" s="50"/>
      <c r="Y1093" s="50"/>
      <c r="Z1093" s="50"/>
    </row>
    <row r="1094" spans="1:26" ht="12.75" x14ac:dyDescent="0.2">
      <c r="A1094" s="50"/>
      <c r="B1094" s="50"/>
      <c r="C1094" s="50"/>
      <c r="D1094" s="50"/>
      <c r="E1094" s="50"/>
      <c r="F1094" s="50"/>
      <c r="G1094" s="50"/>
      <c r="H1094" s="50"/>
      <c r="I1094" s="50"/>
      <c r="J1094" s="50"/>
      <c r="K1094" s="50"/>
      <c r="L1094" s="50"/>
      <c r="M1094" s="50"/>
      <c r="N1094" s="50"/>
      <c r="O1094" s="50"/>
      <c r="P1094" s="50"/>
      <c r="Q1094" s="50"/>
      <c r="R1094" s="50"/>
      <c r="S1094" s="50"/>
      <c r="T1094" s="50"/>
      <c r="U1094" s="50"/>
      <c r="V1094" s="50"/>
      <c r="W1094" s="50"/>
      <c r="X1094" s="50"/>
      <c r="Y1094" s="50"/>
      <c r="Z1094" s="50"/>
    </row>
    <row r="1095" spans="1:26" ht="12.75" x14ac:dyDescent="0.2">
      <c r="A1095" s="50"/>
      <c r="B1095" s="50"/>
      <c r="C1095" s="50"/>
      <c r="D1095" s="50"/>
      <c r="E1095" s="50"/>
      <c r="F1095" s="50"/>
      <c r="G1095" s="50"/>
      <c r="H1095" s="50"/>
      <c r="I1095" s="50"/>
      <c r="J1095" s="50"/>
      <c r="K1095" s="50"/>
      <c r="L1095" s="50"/>
      <c r="M1095" s="50"/>
      <c r="N1095" s="50"/>
      <c r="O1095" s="50"/>
      <c r="P1095" s="50"/>
      <c r="Q1095" s="50"/>
      <c r="R1095" s="50"/>
      <c r="S1095" s="50"/>
      <c r="T1095" s="50"/>
      <c r="U1095" s="50"/>
      <c r="V1095" s="50"/>
      <c r="W1095" s="50"/>
      <c r="X1095" s="50"/>
      <c r="Y1095" s="50"/>
      <c r="Z1095" s="50"/>
    </row>
    <row r="1096" spans="1:26" ht="12.75" x14ac:dyDescent="0.2">
      <c r="A1096" s="50"/>
      <c r="B1096" s="50"/>
      <c r="C1096" s="50"/>
      <c r="D1096" s="50"/>
      <c r="E1096" s="50"/>
      <c r="F1096" s="50"/>
      <c r="G1096" s="50"/>
      <c r="H1096" s="50"/>
      <c r="I1096" s="50"/>
      <c r="J1096" s="50"/>
      <c r="K1096" s="50"/>
      <c r="L1096" s="50"/>
      <c r="M1096" s="50"/>
      <c r="N1096" s="50"/>
      <c r="O1096" s="50"/>
      <c r="P1096" s="50"/>
      <c r="Q1096" s="50"/>
      <c r="R1096" s="50"/>
      <c r="S1096" s="50"/>
      <c r="T1096" s="50"/>
      <c r="U1096" s="50"/>
      <c r="V1096" s="50"/>
      <c r="W1096" s="50"/>
      <c r="X1096" s="50"/>
      <c r="Y1096" s="50"/>
      <c r="Z1096" s="50"/>
    </row>
    <row r="1097" spans="1:26" ht="12.75" x14ac:dyDescent="0.2">
      <c r="A1097" s="50"/>
      <c r="B1097" s="50"/>
      <c r="C1097" s="50"/>
      <c r="D1097" s="50"/>
      <c r="E1097" s="50"/>
      <c r="F1097" s="50"/>
      <c r="G1097" s="50"/>
      <c r="H1097" s="50"/>
      <c r="I1097" s="50"/>
      <c r="J1097" s="50"/>
      <c r="K1097" s="50"/>
      <c r="L1097" s="50"/>
      <c r="M1097" s="50"/>
      <c r="N1097" s="50"/>
      <c r="O1097" s="50"/>
      <c r="P1097" s="50"/>
      <c r="Q1097" s="50"/>
      <c r="R1097" s="50"/>
      <c r="S1097" s="50"/>
      <c r="T1097" s="50"/>
      <c r="U1097" s="50"/>
      <c r="V1097" s="50"/>
      <c r="W1097" s="50"/>
      <c r="X1097" s="50"/>
      <c r="Y1097" s="50"/>
      <c r="Z1097" s="50"/>
    </row>
    <row r="1098" spans="1:26" ht="12.75" x14ac:dyDescent="0.2">
      <c r="A1098" s="50"/>
      <c r="B1098" s="50"/>
      <c r="C1098" s="50"/>
      <c r="D1098" s="50"/>
      <c r="E1098" s="50"/>
      <c r="F1098" s="50"/>
      <c r="G1098" s="50"/>
      <c r="H1098" s="50"/>
      <c r="I1098" s="50"/>
      <c r="J1098" s="50"/>
      <c r="K1098" s="50"/>
      <c r="L1098" s="50"/>
      <c r="M1098" s="50"/>
      <c r="N1098" s="50"/>
      <c r="O1098" s="50"/>
      <c r="P1098" s="50"/>
      <c r="Q1098" s="50"/>
      <c r="R1098" s="50"/>
      <c r="S1098" s="50"/>
      <c r="T1098" s="50"/>
      <c r="U1098" s="50"/>
      <c r="V1098" s="50"/>
      <c r="W1098" s="50"/>
      <c r="X1098" s="50"/>
      <c r="Y1098" s="50"/>
      <c r="Z1098" s="50"/>
    </row>
    <row r="1099" spans="1:26" ht="12.75" x14ac:dyDescent="0.2">
      <c r="A1099" s="50"/>
      <c r="B1099" s="50"/>
      <c r="C1099" s="50"/>
      <c r="D1099" s="50"/>
      <c r="E1099" s="50"/>
      <c r="F1099" s="50"/>
      <c r="G1099" s="50"/>
      <c r="H1099" s="50"/>
      <c r="I1099" s="50"/>
      <c r="J1099" s="50"/>
      <c r="K1099" s="50"/>
      <c r="L1099" s="50"/>
      <c r="M1099" s="50"/>
      <c r="N1099" s="50"/>
      <c r="O1099" s="50"/>
      <c r="P1099" s="50"/>
      <c r="Q1099" s="50"/>
      <c r="R1099" s="50"/>
      <c r="S1099" s="50"/>
      <c r="T1099" s="50"/>
      <c r="U1099" s="50"/>
      <c r="V1099" s="50"/>
      <c r="W1099" s="50"/>
      <c r="X1099" s="50"/>
      <c r="Y1099" s="50"/>
      <c r="Z1099" s="50"/>
    </row>
    <row r="1100" spans="1:26" ht="12.75" x14ac:dyDescent="0.2">
      <c r="A1100" s="50"/>
      <c r="B1100" s="50"/>
      <c r="C1100" s="50"/>
      <c r="D1100" s="50"/>
      <c r="E1100" s="50"/>
      <c r="F1100" s="50"/>
      <c r="G1100" s="50"/>
      <c r="H1100" s="50"/>
      <c r="I1100" s="50"/>
      <c r="J1100" s="50"/>
      <c r="K1100" s="50"/>
      <c r="L1100" s="50"/>
      <c r="M1100" s="50"/>
      <c r="N1100" s="50"/>
      <c r="O1100" s="50"/>
      <c r="P1100" s="50"/>
      <c r="Q1100" s="50"/>
      <c r="R1100" s="50"/>
      <c r="S1100" s="50"/>
      <c r="T1100" s="50"/>
      <c r="U1100" s="50"/>
      <c r="V1100" s="50"/>
      <c r="W1100" s="50"/>
      <c r="X1100" s="50"/>
      <c r="Y1100" s="50"/>
      <c r="Z1100" s="50"/>
    </row>
    <row r="1101" spans="1:26" ht="12.75" x14ac:dyDescent="0.2">
      <c r="A1101" s="50"/>
      <c r="B1101" s="50"/>
      <c r="C1101" s="50"/>
      <c r="D1101" s="50"/>
      <c r="E1101" s="50"/>
      <c r="F1101" s="50"/>
      <c r="G1101" s="50"/>
      <c r="H1101" s="50"/>
      <c r="I1101" s="50"/>
      <c r="J1101" s="50"/>
      <c r="K1101" s="50"/>
      <c r="L1101" s="50"/>
      <c r="M1101" s="50"/>
      <c r="N1101" s="50"/>
      <c r="O1101" s="50"/>
      <c r="P1101" s="50"/>
      <c r="Q1101" s="50"/>
      <c r="R1101" s="50"/>
      <c r="S1101" s="50"/>
      <c r="T1101" s="50"/>
      <c r="U1101" s="50"/>
      <c r="V1101" s="50"/>
      <c r="W1101" s="50"/>
      <c r="X1101" s="50"/>
      <c r="Y1101" s="50"/>
      <c r="Z1101" s="50"/>
    </row>
    <row r="1102" spans="1:26" ht="12.75" x14ac:dyDescent="0.2">
      <c r="A1102" s="50"/>
      <c r="B1102" s="50"/>
      <c r="C1102" s="50"/>
      <c r="D1102" s="50"/>
      <c r="E1102" s="50"/>
      <c r="F1102" s="50"/>
      <c r="G1102" s="50"/>
      <c r="H1102" s="50"/>
      <c r="I1102" s="50"/>
      <c r="J1102" s="50"/>
      <c r="K1102" s="50"/>
      <c r="L1102" s="50"/>
      <c r="M1102" s="50"/>
      <c r="N1102" s="50"/>
      <c r="O1102" s="50"/>
      <c r="P1102" s="50"/>
      <c r="Q1102" s="50"/>
      <c r="R1102" s="50"/>
      <c r="S1102" s="50"/>
      <c r="T1102" s="50"/>
      <c r="U1102" s="50"/>
      <c r="V1102" s="50"/>
      <c r="W1102" s="50"/>
      <c r="X1102" s="50"/>
      <c r="Y1102" s="50"/>
      <c r="Z1102" s="50"/>
    </row>
    <row r="1103" spans="1:26" ht="12.75" x14ac:dyDescent="0.2">
      <c r="A1103" s="50"/>
      <c r="B1103" s="50"/>
      <c r="C1103" s="50"/>
      <c r="D1103" s="50"/>
      <c r="E1103" s="50"/>
      <c r="F1103" s="50"/>
      <c r="G1103" s="50"/>
      <c r="H1103" s="50"/>
      <c r="I1103" s="50"/>
      <c r="J1103" s="50"/>
      <c r="K1103" s="50"/>
      <c r="L1103" s="50"/>
      <c r="M1103" s="50"/>
      <c r="N1103" s="50"/>
      <c r="O1103" s="50"/>
      <c r="P1103" s="50"/>
      <c r="Q1103" s="50"/>
      <c r="R1103" s="50"/>
      <c r="S1103" s="50"/>
      <c r="T1103" s="50"/>
      <c r="U1103" s="50"/>
      <c r="V1103" s="50"/>
      <c r="W1103" s="50"/>
      <c r="X1103" s="50"/>
      <c r="Y1103" s="50"/>
      <c r="Z1103" s="50"/>
    </row>
    <row r="1104" spans="1:26" ht="12.75" x14ac:dyDescent="0.2">
      <c r="A1104" s="50"/>
      <c r="B1104" s="50"/>
      <c r="C1104" s="50"/>
      <c r="D1104" s="50"/>
      <c r="E1104" s="50"/>
      <c r="F1104" s="50"/>
      <c r="G1104" s="50"/>
      <c r="H1104" s="50"/>
      <c r="I1104" s="50"/>
      <c r="J1104" s="50"/>
      <c r="K1104" s="50"/>
      <c r="L1104" s="50"/>
      <c r="M1104" s="50"/>
      <c r="N1104" s="50"/>
      <c r="O1104" s="50"/>
      <c r="P1104" s="50"/>
      <c r="Q1104" s="50"/>
      <c r="R1104" s="50"/>
      <c r="S1104" s="50"/>
      <c r="T1104" s="50"/>
      <c r="U1104" s="50"/>
      <c r="V1104" s="50"/>
      <c r="W1104" s="50"/>
      <c r="X1104" s="50"/>
      <c r="Y1104" s="50"/>
      <c r="Z1104" s="50"/>
    </row>
    <row r="1105" spans="1:26" ht="12.75" x14ac:dyDescent="0.2">
      <c r="A1105" s="50"/>
      <c r="B1105" s="50"/>
      <c r="C1105" s="50"/>
      <c r="D1105" s="50"/>
      <c r="E1105" s="50"/>
      <c r="F1105" s="50"/>
      <c r="G1105" s="50"/>
      <c r="H1105" s="50"/>
      <c r="I1105" s="50"/>
      <c r="J1105" s="50"/>
      <c r="K1105" s="50"/>
      <c r="L1105" s="50"/>
      <c r="M1105" s="50"/>
      <c r="N1105" s="50"/>
      <c r="O1105" s="50"/>
      <c r="P1105" s="50"/>
      <c r="Q1105" s="50"/>
      <c r="R1105" s="50"/>
      <c r="S1105" s="50"/>
      <c r="T1105" s="50"/>
      <c r="U1105" s="50"/>
      <c r="V1105" s="50"/>
      <c r="W1105" s="50"/>
      <c r="X1105" s="50"/>
      <c r="Y1105" s="50"/>
      <c r="Z1105" s="50"/>
    </row>
    <row r="1106" spans="1:26" ht="12.75" x14ac:dyDescent="0.2">
      <c r="A1106" s="50"/>
      <c r="B1106" s="50"/>
      <c r="C1106" s="50"/>
      <c r="D1106" s="50"/>
      <c r="E1106" s="50"/>
      <c r="F1106" s="50"/>
      <c r="G1106" s="50"/>
      <c r="H1106" s="50"/>
      <c r="I1106" s="50"/>
      <c r="J1106" s="50"/>
      <c r="K1106" s="50"/>
      <c r="L1106" s="50"/>
      <c r="M1106" s="50"/>
      <c r="N1106" s="50"/>
      <c r="O1106" s="50"/>
      <c r="P1106" s="50"/>
      <c r="Q1106" s="50"/>
      <c r="R1106" s="50"/>
      <c r="S1106" s="50"/>
      <c r="T1106" s="50"/>
      <c r="U1106" s="50"/>
      <c r="V1106" s="50"/>
      <c r="W1106" s="50"/>
      <c r="X1106" s="50"/>
      <c r="Y1106" s="50"/>
      <c r="Z1106" s="50"/>
    </row>
    <row r="1107" spans="1:26" ht="12.75" x14ac:dyDescent="0.2">
      <c r="A1107" s="50"/>
      <c r="B1107" s="50"/>
      <c r="C1107" s="50"/>
      <c r="D1107" s="50"/>
      <c r="E1107" s="50"/>
      <c r="F1107" s="50"/>
      <c r="G1107" s="50"/>
      <c r="H1107" s="50"/>
      <c r="I1107" s="50"/>
      <c r="J1107" s="50"/>
      <c r="K1107" s="50"/>
      <c r="L1107" s="50"/>
      <c r="M1107" s="50"/>
      <c r="N1107" s="50"/>
      <c r="O1107" s="50"/>
      <c r="P1107" s="50"/>
      <c r="Q1107" s="50"/>
      <c r="R1107" s="50"/>
      <c r="S1107" s="50"/>
      <c r="T1107" s="50"/>
      <c r="U1107" s="50"/>
      <c r="V1107" s="50"/>
      <c r="W1107" s="50"/>
      <c r="X1107" s="50"/>
      <c r="Y1107" s="50"/>
      <c r="Z1107" s="50"/>
    </row>
    <row r="1108" spans="1:26" ht="12.75" x14ac:dyDescent="0.2">
      <c r="A1108" s="50"/>
      <c r="B1108" s="50"/>
      <c r="C1108" s="50"/>
      <c r="D1108" s="50"/>
      <c r="E1108" s="50"/>
      <c r="F1108" s="50"/>
      <c r="G1108" s="50"/>
      <c r="H1108" s="50"/>
      <c r="I1108" s="50"/>
      <c r="J1108" s="50"/>
      <c r="K1108" s="50"/>
      <c r="L1108" s="50"/>
      <c r="M1108" s="50"/>
      <c r="N1108" s="50"/>
      <c r="O1108" s="50"/>
      <c r="P1108" s="50"/>
      <c r="Q1108" s="50"/>
      <c r="R1108" s="50"/>
      <c r="S1108" s="50"/>
      <c r="T1108" s="50"/>
      <c r="U1108" s="50"/>
      <c r="V1108" s="50"/>
      <c r="W1108" s="50"/>
      <c r="X1108" s="50"/>
      <c r="Y1108" s="50"/>
      <c r="Z1108" s="50"/>
    </row>
    <row r="1109" spans="1:26" ht="12.75" x14ac:dyDescent="0.2">
      <c r="A1109" s="50"/>
      <c r="B1109" s="50"/>
      <c r="C1109" s="50"/>
      <c r="D1109" s="50"/>
      <c r="E1109" s="50"/>
      <c r="F1109" s="50"/>
      <c r="G1109" s="50"/>
      <c r="H1109" s="50"/>
      <c r="I1109" s="50"/>
      <c r="J1109" s="50"/>
      <c r="K1109" s="50"/>
      <c r="L1109" s="50"/>
      <c r="M1109" s="50"/>
      <c r="N1109" s="50"/>
      <c r="O1109" s="50"/>
      <c r="P1109" s="50"/>
      <c r="Q1109" s="50"/>
      <c r="R1109" s="50"/>
      <c r="S1109" s="50"/>
      <c r="T1109" s="50"/>
      <c r="U1109" s="50"/>
      <c r="V1109" s="50"/>
      <c r="W1109" s="50"/>
      <c r="X1109" s="50"/>
      <c r="Y1109" s="50"/>
      <c r="Z1109" s="50"/>
    </row>
    <row r="1110" spans="1:26" ht="12.75" x14ac:dyDescent="0.2">
      <c r="A1110" s="50"/>
      <c r="B1110" s="50"/>
      <c r="C1110" s="50"/>
      <c r="D1110" s="50"/>
      <c r="E1110" s="50"/>
      <c r="F1110" s="50"/>
      <c r="G1110" s="50"/>
      <c r="H1110" s="50"/>
      <c r="I1110" s="50"/>
      <c r="J1110" s="50"/>
      <c r="K1110" s="50"/>
      <c r="L1110" s="50"/>
      <c r="M1110" s="50"/>
      <c r="N1110" s="50"/>
      <c r="O1110" s="50"/>
      <c r="P1110" s="50"/>
      <c r="Q1110" s="50"/>
      <c r="R1110" s="50"/>
      <c r="S1110" s="50"/>
      <c r="T1110" s="50"/>
      <c r="U1110" s="50"/>
      <c r="V1110" s="50"/>
      <c r="W1110" s="50"/>
      <c r="X1110" s="50"/>
      <c r="Y1110" s="50"/>
      <c r="Z1110" s="50"/>
    </row>
    <row r="1111" spans="1:26" ht="12.75" x14ac:dyDescent="0.2">
      <c r="A1111" s="50"/>
      <c r="B1111" s="50"/>
      <c r="C1111" s="50"/>
      <c r="D1111" s="50"/>
      <c r="E1111" s="50"/>
      <c r="F1111" s="50"/>
      <c r="G1111" s="50"/>
      <c r="H1111" s="50"/>
      <c r="I1111" s="50"/>
      <c r="J1111" s="50"/>
      <c r="K1111" s="50"/>
      <c r="L1111" s="50"/>
      <c r="M1111" s="50"/>
      <c r="N1111" s="50"/>
      <c r="O1111" s="50"/>
      <c r="P1111" s="50"/>
      <c r="Q1111" s="50"/>
      <c r="R1111" s="50"/>
      <c r="S1111" s="50"/>
      <c r="T1111" s="50"/>
      <c r="U1111" s="50"/>
      <c r="V1111" s="50"/>
      <c r="W1111" s="50"/>
      <c r="X1111" s="50"/>
      <c r="Y1111" s="50"/>
      <c r="Z1111" s="50"/>
    </row>
    <row r="1112" spans="1:26" ht="12.75" x14ac:dyDescent="0.2">
      <c r="A1112" s="50"/>
      <c r="B1112" s="50"/>
      <c r="C1112" s="50"/>
      <c r="D1112" s="50"/>
      <c r="E1112" s="50"/>
      <c r="F1112" s="50"/>
      <c r="G1112" s="50"/>
      <c r="H1112" s="50"/>
      <c r="I1112" s="50"/>
      <c r="J1112" s="50"/>
      <c r="K1112" s="50"/>
      <c r="L1112" s="50"/>
      <c r="M1112" s="50"/>
      <c r="N1112" s="50"/>
      <c r="O1112" s="50"/>
      <c r="P1112" s="50"/>
      <c r="Q1112" s="50"/>
      <c r="R1112" s="50"/>
      <c r="S1112" s="50"/>
      <c r="T1112" s="50"/>
      <c r="U1112" s="50"/>
      <c r="V1112" s="50"/>
      <c r="W1112" s="50"/>
      <c r="X1112" s="50"/>
      <c r="Y1112" s="50"/>
      <c r="Z1112" s="50"/>
    </row>
    <row r="1113" spans="1:26" ht="12.75" x14ac:dyDescent="0.2">
      <c r="A1113" s="50"/>
      <c r="B1113" s="50"/>
      <c r="C1113" s="50"/>
      <c r="D1113" s="50"/>
      <c r="E1113" s="50"/>
      <c r="F1113" s="50"/>
      <c r="G1113" s="50"/>
      <c r="H1113" s="50"/>
      <c r="I1113" s="50"/>
      <c r="J1113" s="50"/>
      <c r="K1113" s="50"/>
      <c r="L1113" s="50"/>
      <c r="M1113" s="50"/>
      <c r="N1113" s="50"/>
      <c r="O1113" s="50"/>
      <c r="P1113" s="50"/>
      <c r="Q1113" s="50"/>
      <c r="R1113" s="50"/>
      <c r="S1113" s="50"/>
      <c r="T1113" s="50"/>
      <c r="U1113" s="50"/>
      <c r="V1113" s="50"/>
      <c r="W1113" s="50"/>
      <c r="X1113" s="50"/>
      <c r="Y1113" s="50"/>
      <c r="Z1113" s="50"/>
    </row>
    <row r="1114" spans="1:26" ht="12.75" x14ac:dyDescent="0.2">
      <c r="A1114" s="50"/>
      <c r="B1114" s="50"/>
      <c r="C1114" s="50"/>
      <c r="D1114" s="50"/>
      <c r="E1114" s="50"/>
      <c r="F1114" s="50"/>
      <c r="G1114" s="50"/>
      <c r="H1114" s="50"/>
      <c r="I1114" s="50"/>
      <c r="J1114" s="50"/>
      <c r="K1114" s="50"/>
      <c r="L1114" s="50"/>
      <c r="M1114" s="50"/>
      <c r="N1114" s="50"/>
      <c r="O1114" s="50"/>
      <c r="P1114" s="50"/>
      <c r="Q1114" s="50"/>
      <c r="R1114" s="50"/>
      <c r="S1114" s="50"/>
      <c r="T1114" s="50"/>
      <c r="U1114" s="50"/>
      <c r="V1114" s="50"/>
      <c r="W1114" s="50"/>
      <c r="X1114" s="50"/>
      <c r="Y1114" s="50"/>
      <c r="Z1114" s="50"/>
    </row>
    <row r="1115" spans="1:26" ht="12.75" x14ac:dyDescent="0.2">
      <c r="A1115" s="50"/>
      <c r="B1115" s="50"/>
      <c r="C1115" s="50"/>
      <c r="D1115" s="50"/>
      <c r="E1115" s="50"/>
      <c r="F1115" s="50"/>
      <c r="G1115" s="50"/>
      <c r="H1115" s="50"/>
      <c r="I1115" s="50"/>
      <c r="J1115" s="50"/>
      <c r="K1115" s="50"/>
      <c r="L1115" s="50"/>
      <c r="M1115" s="50"/>
      <c r="N1115" s="50"/>
      <c r="O1115" s="50"/>
      <c r="P1115" s="50"/>
      <c r="Q1115" s="50"/>
      <c r="R1115" s="50"/>
      <c r="S1115" s="50"/>
      <c r="T1115" s="50"/>
      <c r="U1115" s="50"/>
      <c r="V1115" s="50"/>
      <c r="W1115" s="50"/>
      <c r="X1115" s="50"/>
      <c r="Y1115" s="50"/>
      <c r="Z1115" s="50"/>
    </row>
    <row r="1116" spans="1:26" ht="12.75" x14ac:dyDescent="0.2">
      <c r="A1116" s="50"/>
      <c r="B1116" s="50"/>
      <c r="C1116" s="50"/>
      <c r="D1116" s="50"/>
      <c r="E1116" s="50"/>
      <c r="F1116" s="50"/>
      <c r="G1116" s="50"/>
      <c r="H1116" s="50"/>
      <c r="I1116" s="50"/>
      <c r="J1116" s="50"/>
      <c r="K1116" s="50"/>
      <c r="L1116" s="50"/>
      <c r="M1116" s="50"/>
      <c r="N1116" s="50"/>
      <c r="O1116" s="50"/>
      <c r="P1116" s="50"/>
      <c r="Q1116" s="50"/>
      <c r="R1116" s="50"/>
      <c r="S1116" s="50"/>
      <c r="T1116" s="50"/>
      <c r="U1116" s="50"/>
      <c r="V1116" s="50"/>
      <c r="W1116" s="50"/>
      <c r="X1116" s="50"/>
      <c r="Y1116" s="50"/>
      <c r="Z1116" s="50"/>
    </row>
    <row r="1117" spans="1:26" ht="12.75" x14ac:dyDescent="0.2">
      <c r="A1117" s="50"/>
      <c r="B1117" s="50"/>
      <c r="C1117" s="50"/>
      <c r="D1117" s="50"/>
      <c r="E1117" s="50"/>
      <c r="F1117" s="50"/>
      <c r="G1117" s="50"/>
      <c r="H1117" s="50"/>
      <c r="I1117" s="50"/>
      <c r="J1117" s="50"/>
      <c r="K1117" s="50"/>
      <c r="L1117" s="50"/>
      <c r="M1117" s="50"/>
      <c r="N1117" s="50"/>
      <c r="O1117" s="50"/>
      <c r="P1117" s="50"/>
      <c r="Q1117" s="50"/>
      <c r="R1117" s="50"/>
      <c r="S1117" s="50"/>
      <c r="T1117" s="50"/>
      <c r="U1117" s="50"/>
      <c r="V1117" s="50"/>
      <c r="W1117" s="50"/>
      <c r="X1117" s="50"/>
      <c r="Y1117" s="50"/>
      <c r="Z1117" s="50"/>
    </row>
    <row r="1118" spans="1:26" ht="12.75" x14ac:dyDescent="0.2">
      <c r="A1118" s="50"/>
      <c r="B1118" s="50"/>
      <c r="C1118" s="50"/>
      <c r="D1118" s="50"/>
      <c r="E1118" s="50"/>
      <c r="F1118" s="50"/>
      <c r="G1118" s="50"/>
      <c r="H1118" s="50"/>
      <c r="I1118" s="50"/>
      <c r="J1118" s="50"/>
      <c r="K1118" s="50"/>
      <c r="L1118" s="50"/>
      <c r="M1118" s="50"/>
      <c r="N1118" s="50"/>
      <c r="O1118" s="50"/>
      <c r="P1118" s="50"/>
      <c r="Q1118" s="50"/>
      <c r="R1118" s="50"/>
      <c r="S1118" s="50"/>
      <c r="T1118" s="50"/>
      <c r="U1118" s="50"/>
      <c r="V1118" s="50"/>
      <c r="W1118" s="50"/>
      <c r="X1118" s="50"/>
      <c r="Y1118" s="50"/>
      <c r="Z1118" s="50"/>
    </row>
    <row r="1119" spans="1:26" ht="12.75" x14ac:dyDescent="0.2">
      <c r="A1119" s="50"/>
      <c r="B1119" s="50"/>
      <c r="C1119" s="50"/>
      <c r="D1119" s="50"/>
      <c r="E1119" s="50"/>
      <c r="F1119" s="50"/>
      <c r="G1119" s="50"/>
      <c r="H1119" s="50"/>
      <c r="I1119" s="50"/>
      <c r="J1119" s="50"/>
      <c r="K1119" s="50"/>
      <c r="L1119" s="50"/>
      <c r="M1119" s="50"/>
      <c r="N1119" s="50"/>
      <c r="O1119" s="50"/>
      <c r="P1119" s="50"/>
      <c r="Q1119" s="50"/>
      <c r="R1119" s="50"/>
      <c r="S1119" s="50"/>
      <c r="T1119" s="50"/>
      <c r="U1119" s="50"/>
      <c r="V1119" s="50"/>
      <c r="W1119" s="50"/>
      <c r="X1119" s="50"/>
      <c r="Y1119" s="50"/>
      <c r="Z1119" s="50"/>
    </row>
    <row r="1120" spans="1:26" ht="12.75" x14ac:dyDescent="0.2">
      <c r="A1120" s="50"/>
      <c r="B1120" s="50"/>
      <c r="C1120" s="50"/>
      <c r="D1120" s="50"/>
      <c r="E1120" s="50"/>
      <c r="F1120" s="50"/>
      <c r="G1120" s="50"/>
      <c r="H1120" s="50"/>
      <c r="I1120" s="50"/>
      <c r="J1120" s="50"/>
      <c r="K1120" s="50"/>
      <c r="L1120" s="50"/>
      <c r="M1120" s="50"/>
      <c r="N1120" s="50"/>
      <c r="O1120" s="50"/>
      <c r="P1120" s="50"/>
      <c r="Q1120" s="50"/>
      <c r="R1120" s="50"/>
      <c r="S1120" s="50"/>
      <c r="T1120" s="50"/>
      <c r="U1120" s="50"/>
      <c r="V1120" s="50"/>
      <c r="W1120" s="50"/>
      <c r="X1120" s="50"/>
      <c r="Y1120" s="50"/>
      <c r="Z1120" s="50"/>
    </row>
    <row r="1121" spans="1:26" ht="12.75" x14ac:dyDescent="0.2">
      <c r="A1121" s="50"/>
      <c r="B1121" s="50"/>
      <c r="C1121" s="50"/>
      <c r="D1121" s="50"/>
      <c r="E1121" s="50"/>
      <c r="F1121" s="50"/>
      <c r="G1121" s="50"/>
      <c r="H1121" s="50"/>
      <c r="I1121" s="50"/>
      <c r="J1121" s="50"/>
      <c r="K1121" s="50"/>
      <c r="L1121" s="50"/>
      <c r="M1121" s="50"/>
      <c r="N1121" s="50"/>
      <c r="O1121" s="50"/>
      <c r="P1121" s="50"/>
      <c r="Q1121" s="50"/>
      <c r="R1121" s="50"/>
      <c r="S1121" s="50"/>
      <c r="T1121" s="50"/>
      <c r="U1121" s="50"/>
      <c r="V1121" s="50"/>
      <c r="W1121" s="50"/>
      <c r="X1121" s="50"/>
      <c r="Y1121" s="50"/>
      <c r="Z1121" s="50"/>
    </row>
    <row r="1122" spans="1:26" ht="12.75" x14ac:dyDescent="0.2">
      <c r="A1122" s="50"/>
      <c r="B1122" s="50"/>
      <c r="C1122" s="50"/>
      <c r="D1122" s="50"/>
      <c r="E1122" s="50"/>
      <c r="F1122" s="50"/>
      <c r="G1122" s="50"/>
      <c r="H1122" s="50"/>
      <c r="I1122" s="50"/>
      <c r="J1122" s="50"/>
      <c r="K1122" s="50"/>
      <c r="L1122" s="50"/>
      <c r="M1122" s="50"/>
      <c r="N1122" s="50"/>
      <c r="O1122" s="50"/>
      <c r="P1122" s="50"/>
      <c r="Q1122" s="50"/>
      <c r="R1122" s="50"/>
      <c r="S1122" s="50"/>
      <c r="T1122" s="50"/>
      <c r="U1122" s="50"/>
      <c r="V1122" s="50"/>
      <c r="W1122" s="50"/>
      <c r="X1122" s="50"/>
      <c r="Y1122" s="50"/>
      <c r="Z1122" s="50"/>
    </row>
    <row r="1123" spans="1:26" ht="12.75" x14ac:dyDescent="0.2">
      <c r="A1123" s="50"/>
      <c r="B1123" s="50"/>
      <c r="C1123" s="50"/>
      <c r="D1123" s="50"/>
      <c r="E1123" s="50"/>
      <c r="F1123" s="50"/>
      <c r="G1123" s="50"/>
      <c r="H1123" s="50"/>
      <c r="I1123" s="50"/>
      <c r="J1123" s="50"/>
      <c r="K1123" s="50"/>
      <c r="L1123" s="50"/>
      <c r="M1123" s="50"/>
      <c r="N1123" s="50"/>
      <c r="O1123" s="50"/>
      <c r="P1123" s="50"/>
      <c r="Q1123" s="50"/>
      <c r="R1123" s="50"/>
      <c r="S1123" s="50"/>
      <c r="T1123" s="50"/>
      <c r="U1123" s="50"/>
      <c r="V1123" s="50"/>
      <c r="W1123" s="50"/>
      <c r="X1123" s="50"/>
      <c r="Y1123" s="50"/>
      <c r="Z1123" s="50"/>
    </row>
    <row r="1124" spans="1:26" ht="12.75" x14ac:dyDescent="0.2">
      <c r="A1124" s="50"/>
      <c r="B1124" s="50"/>
      <c r="C1124" s="50"/>
      <c r="D1124" s="50"/>
      <c r="E1124" s="50"/>
      <c r="F1124" s="50"/>
      <c r="G1124" s="50"/>
      <c r="H1124" s="50"/>
      <c r="I1124" s="50"/>
      <c r="J1124" s="50"/>
      <c r="K1124" s="50"/>
      <c r="L1124" s="50"/>
      <c r="M1124" s="50"/>
      <c r="N1124" s="50"/>
      <c r="O1124" s="50"/>
      <c r="P1124" s="50"/>
      <c r="Q1124" s="50"/>
      <c r="R1124" s="50"/>
      <c r="S1124" s="50"/>
      <c r="T1124" s="50"/>
      <c r="U1124" s="50"/>
      <c r="V1124" s="50"/>
      <c r="W1124" s="50"/>
      <c r="X1124" s="50"/>
      <c r="Y1124" s="50"/>
      <c r="Z1124" s="50"/>
    </row>
    <row r="1125" spans="1:26" ht="12.75" x14ac:dyDescent="0.2">
      <c r="A1125" s="50"/>
      <c r="B1125" s="50"/>
      <c r="C1125" s="50"/>
      <c r="D1125" s="50"/>
      <c r="E1125" s="50"/>
      <c r="F1125" s="50"/>
      <c r="G1125" s="50"/>
      <c r="H1125" s="50"/>
      <c r="I1125" s="50"/>
      <c r="J1125" s="50"/>
      <c r="K1125" s="50"/>
      <c r="L1125" s="50"/>
      <c r="M1125" s="50"/>
      <c r="N1125" s="50"/>
      <c r="O1125" s="50"/>
      <c r="P1125" s="50"/>
      <c r="Q1125" s="50"/>
      <c r="R1125" s="50"/>
      <c r="S1125" s="50"/>
      <c r="T1125" s="50"/>
      <c r="U1125" s="50"/>
      <c r="V1125" s="50"/>
      <c r="W1125" s="50"/>
      <c r="X1125" s="50"/>
      <c r="Y1125" s="50"/>
      <c r="Z1125" s="50"/>
    </row>
    <row r="1126" spans="1:26" ht="12.75" x14ac:dyDescent="0.2">
      <c r="A1126" s="50"/>
      <c r="B1126" s="50"/>
      <c r="C1126" s="50"/>
      <c r="D1126" s="50"/>
      <c r="E1126" s="50"/>
      <c r="F1126" s="50"/>
      <c r="G1126" s="50"/>
      <c r="H1126" s="50"/>
      <c r="I1126" s="50"/>
      <c r="J1126" s="50"/>
      <c r="K1126" s="50"/>
      <c r="L1126" s="50"/>
      <c r="M1126" s="50"/>
      <c r="N1126" s="50"/>
      <c r="O1126" s="50"/>
      <c r="P1126" s="50"/>
      <c r="Q1126" s="50"/>
      <c r="R1126" s="50"/>
      <c r="S1126" s="50"/>
      <c r="T1126" s="50"/>
      <c r="U1126" s="50"/>
      <c r="V1126" s="50"/>
      <c r="W1126" s="50"/>
      <c r="X1126" s="50"/>
      <c r="Y1126" s="50"/>
      <c r="Z1126" s="50"/>
    </row>
    <row r="1127" spans="1:26" ht="12.75" x14ac:dyDescent="0.2">
      <c r="A1127" s="50"/>
      <c r="B1127" s="50"/>
      <c r="C1127" s="50"/>
      <c r="D1127" s="50"/>
      <c r="E1127" s="50"/>
      <c r="F1127" s="50"/>
      <c r="G1127" s="50"/>
      <c r="H1127" s="50"/>
      <c r="I1127" s="50"/>
      <c r="J1127" s="50"/>
      <c r="K1127" s="50"/>
      <c r="L1127" s="50"/>
      <c r="M1127" s="50"/>
      <c r="N1127" s="50"/>
      <c r="O1127" s="50"/>
      <c r="P1127" s="50"/>
      <c r="Q1127" s="50"/>
      <c r="R1127" s="50"/>
      <c r="S1127" s="50"/>
      <c r="T1127" s="50"/>
      <c r="U1127" s="50"/>
      <c r="V1127" s="50"/>
      <c r="W1127" s="50"/>
      <c r="X1127" s="50"/>
      <c r="Y1127" s="50"/>
      <c r="Z1127" s="50"/>
    </row>
    <row r="1128" spans="1:26" ht="12.75" x14ac:dyDescent="0.2">
      <c r="A1128" s="50"/>
      <c r="B1128" s="50"/>
      <c r="C1128" s="50"/>
      <c r="D1128" s="50"/>
      <c r="E1128" s="50"/>
      <c r="F1128" s="50"/>
      <c r="G1128" s="50"/>
      <c r="H1128" s="50"/>
      <c r="I1128" s="50"/>
      <c r="J1128" s="50"/>
      <c r="K1128" s="50"/>
      <c r="L1128" s="50"/>
      <c r="M1128" s="50"/>
      <c r="N1128" s="50"/>
      <c r="O1128" s="50"/>
      <c r="P1128" s="50"/>
      <c r="Q1128" s="50"/>
      <c r="R1128" s="50"/>
      <c r="S1128" s="50"/>
      <c r="T1128" s="50"/>
      <c r="U1128" s="50"/>
      <c r="V1128" s="50"/>
      <c r="W1128" s="50"/>
      <c r="X1128" s="50"/>
      <c r="Y1128" s="50"/>
      <c r="Z1128" s="50"/>
    </row>
    <row r="1129" spans="1:26" ht="12.75" x14ac:dyDescent="0.2">
      <c r="A1129" s="50"/>
      <c r="B1129" s="50"/>
      <c r="C1129" s="50"/>
      <c r="D1129" s="50"/>
      <c r="E1129" s="50"/>
      <c r="F1129" s="50"/>
      <c r="G1129" s="50"/>
      <c r="H1129" s="50"/>
      <c r="I1129" s="50"/>
      <c r="J1129" s="50"/>
      <c r="K1129" s="50"/>
      <c r="L1129" s="50"/>
      <c r="M1129" s="50"/>
      <c r="N1129" s="50"/>
      <c r="O1129" s="50"/>
      <c r="P1129" s="50"/>
      <c r="Q1129" s="50"/>
      <c r="R1129" s="50"/>
      <c r="S1129" s="50"/>
      <c r="T1129" s="50"/>
      <c r="U1129" s="50"/>
      <c r="V1129" s="50"/>
      <c r="W1129" s="50"/>
      <c r="X1129" s="50"/>
      <c r="Y1129" s="50"/>
      <c r="Z1129" s="50"/>
    </row>
    <row r="1130" spans="1:26" ht="12.75" x14ac:dyDescent="0.2">
      <c r="A1130" s="50"/>
      <c r="B1130" s="50"/>
      <c r="C1130" s="50"/>
      <c r="D1130" s="50"/>
      <c r="E1130" s="50"/>
      <c r="F1130" s="50"/>
      <c r="G1130" s="50"/>
      <c r="H1130" s="50"/>
      <c r="I1130" s="50"/>
      <c r="J1130" s="50"/>
      <c r="K1130" s="50"/>
      <c r="L1130" s="50"/>
      <c r="M1130" s="50"/>
      <c r="N1130" s="50"/>
      <c r="O1130" s="50"/>
      <c r="P1130" s="50"/>
      <c r="Q1130" s="50"/>
      <c r="R1130" s="50"/>
      <c r="S1130" s="50"/>
      <c r="T1130" s="50"/>
      <c r="U1130" s="50"/>
      <c r="V1130" s="50"/>
      <c r="W1130" s="50"/>
      <c r="X1130" s="50"/>
      <c r="Y1130" s="50"/>
      <c r="Z1130" s="50"/>
    </row>
    <row r="1131" spans="1:26" ht="12.75" x14ac:dyDescent="0.2">
      <c r="A1131" s="50"/>
      <c r="B1131" s="50"/>
      <c r="C1131" s="50"/>
      <c r="D1131" s="50"/>
      <c r="E1131" s="50"/>
      <c r="F1131" s="50"/>
      <c r="G1131" s="50"/>
      <c r="H1131" s="50"/>
      <c r="I1131" s="50"/>
      <c r="J1131" s="50"/>
      <c r="K1131" s="50"/>
      <c r="L1131" s="50"/>
      <c r="M1131" s="50"/>
      <c r="N1131" s="50"/>
      <c r="O1131" s="50"/>
      <c r="P1131" s="50"/>
      <c r="Q1131" s="50"/>
      <c r="R1131" s="50"/>
      <c r="S1131" s="50"/>
      <c r="T1131" s="50"/>
      <c r="U1131" s="50"/>
      <c r="V1131" s="50"/>
      <c r="W1131" s="50"/>
      <c r="X1131" s="50"/>
      <c r="Y1131" s="50"/>
      <c r="Z1131" s="50"/>
    </row>
    <row r="1132" spans="1:26" ht="12.75" x14ac:dyDescent="0.2">
      <c r="A1132" s="50"/>
      <c r="B1132" s="50"/>
      <c r="C1132" s="50"/>
      <c r="D1132" s="50"/>
      <c r="E1132" s="50"/>
      <c r="F1132" s="50"/>
      <c r="G1132" s="50"/>
      <c r="H1132" s="50"/>
      <c r="I1132" s="50"/>
      <c r="J1132" s="50"/>
      <c r="K1132" s="50"/>
      <c r="L1132" s="50"/>
      <c r="M1132" s="50"/>
      <c r="N1132" s="50"/>
      <c r="O1132" s="50"/>
      <c r="P1132" s="50"/>
      <c r="Q1132" s="50"/>
      <c r="R1132" s="50"/>
      <c r="S1132" s="50"/>
      <c r="T1132" s="50"/>
      <c r="U1132" s="50"/>
      <c r="V1132" s="50"/>
      <c r="W1132" s="50"/>
      <c r="X1132" s="50"/>
      <c r="Y1132" s="50"/>
      <c r="Z1132" s="50"/>
    </row>
    <row r="1133" spans="1:26" ht="12.75" x14ac:dyDescent="0.2">
      <c r="A1133" s="50"/>
      <c r="B1133" s="50"/>
      <c r="C1133" s="50"/>
      <c r="D1133" s="50"/>
      <c r="E1133" s="50"/>
      <c r="F1133" s="50"/>
      <c r="G1133" s="50"/>
      <c r="H1133" s="50"/>
      <c r="I1133" s="50"/>
      <c r="J1133" s="50"/>
      <c r="K1133" s="50"/>
      <c r="L1133" s="50"/>
      <c r="M1133" s="50"/>
      <c r="N1133" s="50"/>
      <c r="O1133" s="50"/>
      <c r="P1133" s="50"/>
      <c r="Q1133" s="50"/>
      <c r="R1133" s="50"/>
      <c r="S1133" s="50"/>
      <c r="T1133" s="50"/>
      <c r="U1133" s="50"/>
      <c r="V1133" s="50"/>
      <c r="W1133" s="50"/>
      <c r="X1133" s="50"/>
      <c r="Y1133" s="50"/>
      <c r="Z1133" s="50"/>
    </row>
    <row r="1134" spans="1:26" ht="12.75" x14ac:dyDescent="0.2">
      <c r="A1134" s="50"/>
      <c r="B1134" s="50"/>
      <c r="C1134" s="50"/>
      <c r="D1134" s="50"/>
      <c r="E1134" s="50"/>
      <c r="F1134" s="50"/>
      <c r="G1134" s="50"/>
      <c r="H1134" s="50"/>
      <c r="I1134" s="50"/>
      <c r="J1134" s="50"/>
      <c r="K1134" s="50"/>
      <c r="L1134" s="50"/>
      <c r="M1134" s="50"/>
      <c r="N1134" s="50"/>
      <c r="O1134" s="50"/>
      <c r="P1134" s="50"/>
      <c r="Q1134" s="50"/>
      <c r="R1134" s="50"/>
      <c r="S1134" s="50"/>
      <c r="T1134" s="50"/>
      <c r="U1134" s="50"/>
      <c r="V1134" s="50"/>
      <c r="W1134" s="50"/>
      <c r="X1134" s="50"/>
      <c r="Y1134" s="50"/>
      <c r="Z1134" s="50"/>
    </row>
    <row r="1135" spans="1:26" ht="12.75" x14ac:dyDescent="0.2">
      <c r="A1135" s="50"/>
      <c r="B1135" s="50"/>
      <c r="C1135" s="50"/>
      <c r="D1135" s="50"/>
      <c r="E1135" s="50"/>
      <c r="F1135" s="50"/>
      <c r="G1135" s="50"/>
      <c r="H1135" s="50"/>
      <c r="I1135" s="50"/>
      <c r="J1135" s="50"/>
      <c r="K1135" s="50"/>
      <c r="L1135" s="50"/>
      <c r="M1135" s="50"/>
      <c r="N1135" s="50"/>
      <c r="O1135" s="50"/>
      <c r="P1135" s="50"/>
      <c r="Q1135" s="50"/>
      <c r="R1135" s="50"/>
      <c r="S1135" s="50"/>
      <c r="T1135" s="50"/>
      <c r="U1135" s="50"/>
      <c r="V1135" s="50"/>
      <c r="W1135" s="50"/>
      <c r="X1135" s="50"/>
      <c r="Y1135" s="50"/>
      <c r="Z1135" s="50"/>
    </row>
    <row r="1136" spans="1:26" ht="12.75" x14ac:dyDescent="0.2">
      <c r="A1136" s="50"/>
      <c r="B1136" s="50"/>
      <c r="C1136" s="50"/>
      <c r="D1136" s="50"/>
      <c r="E1136" s="50"/>
      <c r="F1136" s="50"/>
      <c r="G1136" s="50"/>
      <c r="H1136" s="50"/>
      <c r="I1136" s="50"/>
      <c r="J1136" s="50"/>
      <c r="K1136" s="50"/>
      <c r="L1136" s="50"/>
      <c r="M1136" s="50"/>
      <c r="N1136" s="50"/>
      <c r="O1136" s="50"/>
      <c r="P1136" s="50"/>
      <c r="Q1136" s="50"/>
      <c r="R1136" s="50"/>
      <c r="S1136" s="50"/>
      <c r="T1136" s="50"/>
      <c r="U1136" s="50"/>
      <c r="V1136" s="50"/>
      <c r="W1136" s="50"/>
      <c r="X1136" s="50"/>
      <c r="Y1136" s="50"/>
      <c r="Z1136" s="50"/>
    </row>
    <row r="1137" spans="1:26" ht="12.75" x14ac:dyDescent="0.2">
      <c r="A1137" s="50"/>
      <c r="B1137" s="50"/>
      <c r="C1137" s="50"/>
      <c r="D1137" s="50"/>
      <c r="E1137" s="50"/>
      <c r="F1137" s="50"/>
      <c r="G1137" s="50"/>
      <c r="H1137" s="50"/>
      <c r="I1137" s="50"/>
      <c r="J1137" s="50"/>
      <c r="K1137" s="50"/>
      <c r="L1137" s="50"/>
      <c r="M1137" s="50"/>
      <c r="N1137" s="50"/>
      <c r="O1137" s="50"/>
      <c r="P1137" s="50"/>
      <c r="Q1137" s="50"/>
      <c r="R1137" s="50"/>
      <c r="S1137" s="50"/>
      <c r="T1137" s="50"/>
      <c r="U1137" s="50"/>
      <c r="V1137" s="50"/>
      <c r="W1137" s="50"/>
      <c r="X1137" s="50"/>
      <c r="Y1137" s="50"/>
      <c r="Z1137" s="50"/>
    </row>
    <row r="1138" spans="1:26" ht="12.75" x14ac:dyDescent="0.2">
      <c r="A1138" s="50"/>
      <c r="B1138" s="50"/>
      <c r="C1138" s="50"/>
      <c r="D1138" s="50"/>
      <c r="E1138" s="50"/>
      <c r="F1138" s="50"/>
      <c r="G1138" s="50"/>
      <c r="H1138" s="50"/>
      <c r="I1138" s="50"/>
      <c r="J1138" s="50"/>
      <c r="K1138" s="50"/>
      <c r="L1138" s="50"/>
      <c r="M1138" s="50"/>
      <c r="N1138" s="50"/>
      <c r="O1138" s="50"/>
      <c r="P1138" s="50"/>
      <c r="Q1138" s="50"/>
      <c r="R1138" s="50"/>
      <c r="S1138" s="50"/>
      <c r="T1138" s="50"/>
      <c r="U1138" s="50"/>
      <c r="V1138" s="50"/>
      <c r="W1138" s="50"/>
      <c r="X1138" s="50"/>
      <c r="Y1138" s="50"/>
      <c r="Z1138" s="50"/>
    </row>
    <row r="1139" spans="1:26" ht="12.75" x14ac:dyDescent="0.2">
      <c r="A1139" s="50"/>
      <c r="B1139" s="50"/>
      <c r="C1139" s="50"/>
      <c r="D1139" s="50"/>
      <c r="E1139" s="50"/>
      <c r="F1139" s="50"/>
      <c r="G1139" s="50"/>
      <c r="H1139" s="50"/>
      <c r="I1139" s="50"/>
      <c r="J1139" s="50"/>
      <c r="K1139" s="50"/>
      <c r="L1139" s="50"/>
      <c r="M1139" s="50"/>
      <c r="N1139" s="50"/>
      <c r="O1139" s="50"/>
      <c r="P1139" s="50"/>
      <c r="Q1139" s="50"/>
      <c r="R1139" s="50"/>
      <c r="S1139" s="50"/>
      <c r="T1139" s="50"/>
      <c r="U1139" s="50"/>
      <c r="V1139" s="50"/>
      <c r="W1139" s="50"/>
      <c r="X1139" s="50"/>
      <c r="Y1139" s="50"/>
      <c r="Z1139" s="50"/>
    </row>
    <row r="1140" spans="1:26" ht="12.75" x14ac:dyDescent="0.2">
      <c r="A1140" s="50"/>
      <c r="B1140" s="50"/>
      <c r="C1140" s="50"/>
      <c r="D1140" s="50"/>
      <c r="E1140" s="50"/>
      <c r="F1140" s="50"/>
      <c r="G1140" s="50"/>
      <c r="H1140" s="50"/>
      <c r="I1140" s="50"/>
      <c r="J1140" s="50"/>
      <c r="K1140" s="50"/>
      <c r="L1140" s="50"/>
      <c r="M1140" s="50"/>
      <c r="N1140" s="50"/>
      <c r="O1140" s="50"/>
      <c r="P1140" s="50"/>
      <c r="Q1140" s="50"/>
      <c r="R1140" s="50"/>
      <c r="S1140" s="50"/>
      <c r="T1140" s="50"/>
      <c r="U1140" s="50"/>
      <c r="V1140" s="50"/>
      <c r="W1140" s="50"/>
      <c r="X1140" s="50"/>
      <c r="Y1140" s="50"/>
      <c r="Z1140" s="50"/>
    </row>
    <row r="1141" spans="1:26" ht="12.75" x14ac:dyDescent="0.2">
      <c r="A1141" s="50"/>
      <c r="B1141" s="50"/>
      <c r="C1141" s="50"/>
      <c r="D1141" s="50"/>
      <c r="E1141" s="50"/>
      <c r="F1141" s="50"/>
      <c r="G1141" s="50"/>
      <c r="H1141" s="50"/>
      <c r="I1141" s="50"/>
      <c r="J1141" s="50"/>
      <c r="K1141" s="50"/>
      <c r="L1141" s="50"/>
      <c r="M1141" s="50"/>
      <c r="N1141" s="50"/>
      <c r="O1141" s="50"/>
      <c r="P1141" s="50"/>
      <c r="Q1141" s="50"/>
      <c r="R1141" s="50"/>
      <c r="S1141" s="50"/>
      <c r="T1141" s="50"/>
      <c r="U1141" s="50"/>
      <c r="V1141" s="50"/>
      <c r="W1141" s="50"/>
      <c r="X1141" s="50"/>
      <c r="Y1141" s="50"/>
      <c r="Z1141" s="50"/>
    </row>
    <row r="1142" spans="1:26" ht="12.75" x14ac:dyDescent="0.2">
      <c r="A1142" s="50"/>
      <c r="B1142" s="50"/>
      <c r="C1142" s="50"/>
      <c r="D1142" s="50"/>
      <c r="E1142" s="50"/>
      <c r="F1142" s="50"/>
      <c r="G1142" s="50"/>
      <c r="H1142" s="50"/>
      <c r="I1142" s="50"/>
      <c r="J1142" s="50"/>
      <c r="K1142" s="50"/>
      <c r="L1142" s="50"/>
      <c r="M1142" s="50"/>
      <c r="N1142" s="50"/>
      <c r="O1142" s="50"/>
      <c r="P1142" s="50"/>
      <c r="Q1142" s="50"/>
      <c r="R1142" s="50"/>
      <c r="S1142" s="50"/>
      <c r="T1142" s="50"/>
      <c r="U1142" s="50"/>
      <c r="V1142" s="50"/>
      <c r="W1142" s="50"/>
      <c r="X1142" s="50"/>
      <c r="Y1142" s="50"/>
      <c r="Z1142" s="50"/>
    </row>
    <row r="1143" spans="1:26" ht="12.75" x14ac:dyDescent="0.2">
      <c r="A1143" s="50"/>
      <c r="B1143" s="50"/>
      <c r="C1143" s="50"/>
      <c r="D1143" s="50"/>
      <c r="E1143" s="50"/>
      <c r="F1143" s="50"/>
      <c r="G1143" s="50"/>
      <c r="H1143" s="50"/>
      <c r="I1143" s="50"/>
      <c r="J1143" s="50"/>
      <c r="K1143" s="50"/>
      <c r="L1143" s="50"/>
      <c r="M1143" s="50"/>
      <c r="N1143" s="50"/>
      <c r="O1143" s="50"/>
      <c r="P1143" s="50"/>
      <c r="Q1143" s="50"/>
      <c r="R1143" s="50"/>
      <c r="S1143" s="50"/>
      <c r="T1143" s="50"/>
      <c r="U1143" s="50"/>
      <c r="V1143" s="50"/>
      <c r="W1143" s="50"/>
      <c r="X1143" s="50"/>
      <c r="Y1143" s="50"/>
      <c r="Z1143" s="50"/>
    </row>
    <row r="1144" spans="1:26" ht="12.75" x14ac:dyDescent="0.2">
      <c r="A1144" s="50"/>
      <c r="B1144" s="50"/>
      <c r="C1144" s="50"/>
      <c r="D1144" s="50"/>
      <c r="E1144" s="50"/>
      <c r="F1144" s="50"/>
      <c r="G1144" s="50"/>
      <c r="H1144" s="50"/>
      <c r="I1144" s="50"/>
      <c r="J1144" s="50"/>
      <c r="K1144" s="50"/>
      <c r="L1144" s="50"/>
      <c r="M1144" s="50"/>
      <c r="N1144" s="50"/>
      <c r="O1144" s="50"/>
      <c r="P1144" s="50"/>
      <c r="Q1144" s="50"/>
      <c r="R1144" s="50"/>
      <c r="S1144" s="50"/>
      <c r="T1144" s="50"/>
      <c r="U1144" s="50"/>
      <c r="V1144" s="50"/>
      <c r="W1144" s="50"/>
      <c r="X1144" s="50"/>
      <c r="Y1144" s="50"/>
      <c r="Z1144" s="50"/>
    </row>
    <row r="1145" spans="1:26" ht="12.75" x14ac:dyDescent="0.2">
      <c r="A1145" s="50"/>
      <c r="B1145" s="50"/>
      <c r="C1145" s="50"/>
      <c r="D1145" s="50"/>
      <c r="E1145" s="50"/>
      <c r="F1145" s="50"/>
      <c r="G1145" s="50"/>
      <c r="H1145" s="50"/>
      <c r="I1145" s="50"/>
      <c r="J1145" s="50"/>
      <c r="K1145" s="50"/>
      <c r="L1145" s="50"/>
      <c r="M1145" s="50"/>
      <c r="N1145" s="50"/>
      <c r="O1145" s="50"/>
      <c r="P1145" s="50"/>
      <c r="Q1145" s="50"/>
      <c r="R1145" s="50"/>
      <c r="S1145" s="50"/>
      <c r="T1145" s="50"/>
      <c r="U1145" s="50"/>
      <c r="V1145" s="50"/>
      <c r="W1145" s="50"/>
      <c r="X1145" s="50"/>
      <c r="Y1145" s="50"/>
      <c r="Z1145" s="50"/>
    </row>
    <row r="1146" spans="1:26" ht="12.75" x14ac:dyDescent="0.2">
      <c r="A1146" s="50"/>
      <c r="B1146" s="50"/>
      <c r="C1146" s="50"/>
      <c r="D1146" s="50"/>
      <c r="E1146" s="50"/>
      <c r="F1146" s="50"/>
      <c r="G1146" s="50"/>
      <c r="H1146" s="50"/>
      <c r="I1146" s="50"/>
      <c r="J1146" s="50"/>
      <c r="K1146" s="50"/>
      <c r="L1146" s="50"/>
      <c r="M1146" s="50"/>
      <c r="N1146" s="50"/>
      <c r="O1146" s="50"/>
      <c r="P1146" s="50"/>
      <c r="Q1146" s="50"/>
      <c r="R1146" s="50"/>
      <c r="S1146" s="50"/>
      <c r="T1146" s="50"/>
      <c r="U1146" s="50"/>
      <c r="V1146" s="50"/>
      <c r="W1146" s="50"/>
      <c r="X1146" s="50"/>
      <c r="Y1146" s="50"/>
      <c r="Z1146" s="50"/>
    </row>
    <row r="1147" spans="1:26" ht="12.75" x14ac:dyDescent="0.2">
      <c r="A1147" s="50"/>
      <c r="B1147" s="50"/>
      <c r="C1147" s="50"/>
      <c r="D1147" s="50"/>
      <c r="E1147" s="50"/>
      <c r="F1147" s="50"/>
      <c r="G1147" s="50"/>
      <c r="H1147" s="50"/>
      <c r="I1147" s="50"/>
      <c r="J1147" s="50"/>
      <c r="K1147" s="50"/>
      <c r="L1147" s="50"/>
      <c r="M1147" s="50"/>
      <c r="N1147" s="50"/>
      <c r="O1147" s="50"/>
      <c r="P1147" s="50"/>
      <c r="Q1147" s="50"/>
      <c r="R1147" s="50"/>
      <c r="S1147" s="50"/>
      <c r="T1147" s="50"/>
      <c r="U1147" s="50"/>
      <c r="V1147" s="50"/>
      <c r="W1147" s="50"/>
      <c r="X1147" s="50"/>
      <c r="Y1147" s="50"/>
      <c r="Z1147" s="50"/>
    </row>
    <row r="1148" spans="1:26" ht="12.75" x14ac:dyDescent="0.2">
      <c r="A1148" s="50"/>
      <c r="B1148" s="50"/>
      <c r="C1148" s="50"/>
      <c r="D1148" s="50"/>
      <c r="E1148" s="50"/>
      <c r="F1148" s="50"/>
      <c r="G1148" s="50"/>
      <c r="H1148" s="50"/>
      <c r="I1148" s="50"/>
      <c r="J1148" s="50"/>
      <c r="K1148" s="50"/>
      <c r="L1148" s="50"/>
      <c r="M1148" s="50"/>
      <c r="N1148" s="50"/>
      <c r="O1148" s="50"/>
      <c r="P1148" s="50"/>
      <c r="Q1148" s="50"/>
      <c r="R1148" s="50"/>
      <c r="S1148" s="50"/>
      <c r="T1148" s="50"/>
      <c r="U1148" s="50"/>
      <c r="V1148" s="50"/>
      <c r="W1148" s="50"/>
      <c r="X1148" s="50"/>
      <c r="Y1148" s="50"/>
      <c r="Z1148" s="50"/>
    </row>
    <row r="1149" spans="1:26" ht="12.75" x14ac:dyDescent="0.2">
      <c r="A1149" s="50"/>
      <c r="B1149" s="50"/>
      <c r="C1149" s="50"/>
      <c r="D1149" s="50"/>
      <c r="E1149" s="50"/>
      <c r="F1149" s="50"/>
      <c r="G1149" s="50"/>
      <c r="H1149" s="50"/>
      <c r="I1149" s="50"/>
      <c r="J1149" s="50"/>
      <c r="K1149" s="50"/>
      <c r="L1149" s="50"/>
      <c r="M1149" s="50"/>
      <c r="N1149" s="50"/>
      <c r="O1149" s="50"/>
      <c r="P1149" s="50"/>
      <c r="Q1149" s="50"/>
      <c r="R1149" s="50"/>
      <c r="S1149" s="50"/>
      <c r="T1149" s="50"/>
      <c r="U1149" s="50"/>
      <c r="V1149" s="50"/>
      <c r="W1149" s="50"/>
      <c r="X1149" s="50"/>
      <c r="Y1149" s="50"/>
      <c r="Z1149" s="50"/>
    </row>
    <row r="1150" spans="1:26" ht="12.75" x14ac:dyDescent="0.2">
      <c r="A1150" s="50"/>
      <c r="B1150" s="50"/>
      <c r="C1150" s="50"/>
      <c r="D1150" s="50"/>
      <c r="E1150" s="50"/>
      <c r="F1150" s="50"/>
      <c r="G1150" s="50"/>
      <c r="H1150" s="50"/>
      <c r="I1150" s="50"/>
      <c r="J1150" s="50"/>
      <c r="K1150" s="50"/>
      <c r="L1150" s="50"/>
      <c r="M1150" s="50"/>
      <c r="N1150" s="50"/>
      <c r="O1150" s="50"/>
      <c r="P1150" s="50"/>
      <c r="Q1150" s="50"/>
      <c r="R1150" s="50"/>
      <c r="S1150" s="50"/>
      <c r="T1150" s="50"/>
      <c r="U1150" s="50"/>
      <c r="V1150" s="50"/>
      <c r="W1150" s="50"/>
      <c r="X1150" s="50"/>
      <c r="Y1150" s="50"/>
      <c r="Z1150" s="50"/>
    </row>
    <row r="1151" spans="1:26" ht="12.75" x14ac:dyDescent="0.2">
      <c r="A1151" s="50"/>
      <c r="B1151" s="50"/>
      <c r="C1151" s="50"/>
      <c r="D1151" s="50"/>
      <c r="E1151" s="50"/>
      <c r="F1151" s="50"/>
      <c r="G1151" s="50"/>
      <c r="H1151" s="50"/>
      <c r="I1151" s="50"/>
      <c r="J1151" s="50"/>
      <c r="K1151" s="50"/>
      <c r="L1151" s="50"/>
      <c r="M1151" s="50"/>
      <c r="N1151" s="50"/>
      <c r="O1151" s="50"/>
      <c r="P1151" s="50"/>
      <c r="Q1151" s="50"/>
      <c r="R1151" s="50"/>
      <c r="S1151" s="50"/>
      <c r="T1151" s="50"/>
      <c r="U1151" s="50"/>
      <c r="V1151" s="50"/>
      <c r="W1151" s="50"/>
      <c r="X1151" s="50"/>
      <c r="Y1151" s="50"/>
      <c r="Z1151" s="50"/>
    </row>
    <row r="1152" spans="1:26" ht="12.75" x14ac:dyDescent="0.2">
      <c r="A1152" s="50"/>
      <c r="B1152" s="50"/>
      <c r="C1152" s="50"/>
      <c r="D1152" s="50"/>
      <c r="E1152" s="50"/>
      <c r="F1152" s="50"/>
      <c r="G1152" s="50"/>
      <c r="H1152" s="50"/>
      <c r="I1152" s="50"/>
      <c r="J1152" s="50"/>
      <c r="K1152" s="50"/>
      <c r="L1152" s="50"/>
      <c r="M1152" s="50"/>
      <c r="N1152" s="50"/>
      <c r="O1152" s="50"/>
      <c r="P1152" s="50"/>
      <c r="Q1152" s="50"/>
      <c r="R1152" s="50"/>
      <c r="S1152" s="50"/>
      <c r="T1152" s="50"/>
      <c r="U1152" s="50"/>
      <c r="V1152" s="50"/>
      <c r="W1152" s="50"/>
      <c r="X1152" s="50"/>
      <c r="Y1152" s="50"/>
      <c r="Z1152" s="50"/>
    </row>
    <row r="1153" spans="1:26" ht="12.75" x14ac:dyDescent="0.2">
      <c r="A1153" s="50"/>
      <c r="B1153" s="50"/>
      <c r="C1153" s="50"/>
      <c r="D1153" s="50"/>
      <c r="E1153" s="50"/>
      <c r="F1153" s="50"/>
      <c r="G1153" s="50"/>
      <c r="H1153" s="50"/>
      <c r="I1153" s="50"/>
      <c r="J1153" s="50"/>
      <c r="K1153" s="50"/>
      <c r="L1153" s="50"/>
      <c r="M1153" s="50"/>
      <c r="N1153" s="50"/>
      <c r="O1153" s="50"/>
      <c r="P1153" s="50"/>
      <c r="Q1153" s="50"/>
      <c r="R1153" s="50"/>
      <c r="S1153" s="50"/>
      <c r="T1153" s="50"/>
      <c r="U1153" s="50"/>
      <c r="V1153" s="50"/>
      <c r="W1153" s="50"/>
      <c r="X1153" s="50"/>
      <c r="Y1153" s="50"/>
      <c r="Z1153" s="50"/>
    </row>
    <row r="1154" spans="1:26" ht="12.75" x14ac:dyDescent="0.2">
      <c r="A1154" s="50"/>
      <c r="B1154" s="50"/>
      <c r="C1154" s="50"/>
      <c r="D1154" s="50"/>
      <c r="E1154" s="50"/>
      <c r="F1154" s="50"/>
      <c r="G1154" s="50"/>
      <c r="H1154" s="50"/>
      <c r="I1154" s="50"/>
      <c r="J1154" s="50"/>
      <c r="K1154" s="50"/>
      <c r="L1154" s="50"/>
      <c r="M1154" s="50"/>
      <c r="N1154" s="50"/>
      <c r="O1154" s="50"/>
      <c r="P1154" s="50"/>
      <c r="Q1154" s="50"/>
      <c r="R1154" s="50"/>
      <c r="S1154" s="50"/>
      <c r="T1154" s="50"/>
      <c r="U1154" s="50"/>
      <c r="V1154" s="50"/>
      <c r="W1154" s="50"/>
      <c r="X1154" s="50"/>
      <c r="Y1154" s="50"/>
      <c r="Z1154" s="50"/>
    </row>
    <row r="1155" spans="1:26" ht="12.75" x14ac:dyDescent="0.2">
      <c r="A1155" s="50"/>
      <c r="B1155" s="50"/>
      <c r="C1155" s="50"/>
      <c r="D1155" s="50"/>
      <c r="E1155" s="50"/>
      <c r="F1155" s="50"/>
      <c r="G1155" s="50"/>
      <c r="H1155" s="50"/>
      <c r="I1155" s="50"/>
      <c r="J1155" s="50"/>
      <c r="K1155" s="50"/>
      <c r="L1155" s="50"/>
      <c r="M1155" s="50"/>
      <c r="N1155" s="50"/>
      <c r="O1155" s="50"/>
      <c r="P1155" s="50"/>
      <c r="Q1155" s="50"/>
      <c r="R1155" s="50"/>
      <c r="S1155" s="50"/>
      <c r="T1155" s="50"/>
      <c r="U1155" s="50"/>
      <c r="V1155" s="50"/>
      <c r="W1155" s="50"/>
      <c r="X1155" s="50"/>
      <c r="Y1155" s="50"/>
      <c r="Z1155" s="50"/>
    </row>
    <row r="1156" spans="1:26" ht="12.75" x14ac:dyDescent="0.2">
      <c r="A1156" s="50"/>
      <c r="B1156" s="50"/>
      <c r="C1156" s="50"/>
      <c r="D1156" s="50"/>
      <c r="E1156" s="50"/>
      <c r="F1156" s="50"/>
      <c r="G1156" s="50"/>
      <c r="H1156" s="50"/>
      <c r="I1156" s="50"/>
      <c r="J1156" s="50"/>
      <c r="K1156" s="50"/>
      <c r="L1156" s="50"/>
      <c r="M1156" s="50"/>
      <c r="N1156" s="50"/>
      <c r="O1156" s="50"/>
      <c r="P1156" s="50"/>
      <c r="Q1156" s="50"/>
      <c r="R1156" s="50"/>
      <c r="S1156" s="50"/>
      <c r="T1156" s="50"/>
      <c r="U1156" s="50"/>
      <c r="V1156" s="50"/>
      <c r="W1156" s="50"/>
      <c r="X1156" s="50"/>
      <c r="Y1156" s="50"/>
      <c r="Z1156" s="50"/>
    </row>
    <row r="1157" spans="1:26" ht="12.75" x14ac:dyDescent="0.2">
      <c r="A1157" s="50"/>
      <c r="B1157" s="50"/>
      <c r="C1157" s="50"/>
      <c r="D1157" s="50"/>
      <c r="E1157" s="50"/>
      <c r="F1157" s="50"/>
      <c r="G1157" s="50"/>
      <c r="H1157" s="50"/>
      <c r="I1157" s="50"/>
      <c r="J1157" s="50"/>
      <c r="K1157" s="50"/>
      <c r="L1157" s="50"/>
      <c r="M1157" s="50"/>
      <c r="N1157" s="50"/>
      <c r="O1157" s="50"/>
      <c r="P1157" s="50"/>
      <c r="Q1157" s="50"/>
      <c r="R1157" s="50"/>
      <c r="S1157" s="50"/>
      <c r="T1157" s="50"/>
      <c r="U1157" s="50"/>
      <c r="V1157" s="50"/>
      <c r="W1157" s="50"/>
      <c r="X1157" s="50"/>
      <c r="Y1157" s="50"/>
      <c r="Z1157" s="50"/>
    </row>
    <row r="1158" spans="1:26" ht="12.75" x14ac:dyDescent="0.2">
      <c r="A1158" s="50"/>
      <c r="B1158" s="50"/>
      <c r="C1158" s="50"/>
      <c r="D1158" s="50"/>
      <c r="E1158" s="50"/>
      <c r="F1158" s="50"/>
      <c r="G1158" s="50"/>
      <c r="H1158" s="50"/>
      <c r="I1158" s="50"/>
      <c r="J1158" s="50"/>
      <c r="K1158" s="50"/>
      <c r="L1158" s="50"/>
      <c r="M1158" s="50"/>
      <c r="N1158" s="50"/>
      <c r="O1158" s="50"/>
      <c r="P1158" s="50"/>
      <c r="Q1158" s="50"/>
      <c r="R1158" s="50"/>
      <c r="S1158" s="50"/>
      <c r="T1158" s="50"/>
      <c r="U1158" s="50"/>
      <c r="V1158" s="50"/>
      <c r="W1158" s="50"/>
      <c r="X1158" s="50"/>
      <c r="Y1158" s="50"/>
      <c r="Z1158" s="50"/>
    </row>
    <row r="1159" spans="1:26" ht="12.75" x14ac:dyDescent="0.2">
      <c r="A1159" s="50"/>
      <c r="B1159" s="50"/>
      <c r="C1159" s="50"/>
      <c r="D1159" s="50"/>
      <c r="E1159" s="50"/>
      <c r="F1159" s="50"/>
      <c r="G1159" s="50"/>
      <c r="H1159" s="50"/>
      <c r="I1159" s="50"/>
      <c r="J1159" s="50"/>
      <c r="K1159" s="50"/>
      <c r="L1159" s="50"/>
      <c r="M1159" s="50"/>
      <c r="N1159" s="50"/>
      <c r="O1159" s="50"/>
      <c r="P1159" s="50"/>
      <c r="Q1159" s="50"/>
      <c r="R1159" s="50"/>
      <c r="S1159" s="50"/>
      <c r="T1159" s="50"/>
      <c r="U1159" s="50"/>
      <c r="V1159" s="50"/>
      <c r="W1159" s="50"/>
      <c r="X1159" s="50"/>
      <c r="Y1159" s="50"/>
      <c r="Z1159" s="50"/>
    </row>
    <row r="1160" spans="1:26" ht="12.75" x14ac:dyDescent="0.2">
      <c r="A1160" s="50"/>
      <c r="B1160" s="50"/>
      <c r="C1160" s="50"/>
      <c r="D1160" s="50"/>
      <c r="E1160" s="50"/>
      <c r="F1160" s="50"/>
      <c r="G1160" s="50"/>
      <c r="H1160" s="50"/>
      <c r="I1160" s="50"/>
      <c r="J1160" s="50"/>
      <c r="K1160" s="50"/>
      <c r="L1160" s="50"/>
      <c r="M1160" s="50"/>
      <c r="N1160" s="50"/>
      <c r="O1160" s="50"/>
      <c r="P1160" s="50"/>
      <c r="Q1160" s="50"/>
      <c r="R1160" s="50"/>
      <c r="S1160" s="50"/>
      <c r="T1160" s="50"/>
      <c r="U1160" s="50"/>
      <c r="V1160" s="50"/>
      <c r="W1160" s="50"/>
      <c r="X1160" s="50"/>
      <c r="Y1160" s="50"/>
      <c r="Z1160" s="50"/>
    </row>
    <row r="1161" spans="1:26" ht="12.75" x14ac:dyDescent="0.2">
      <c r="A1161" s="50"/>
      <c r="B1161" s="50"/>
      <c r="C1161" s="50"/>
      <c r="D1161" s="50"/>
      <c r="E1161" s="50"/>
      <c r="F1161" s="50"/>
      <c r="G1161" s="50"/>
      <c r="H1161" s="50"/>
      <c r="I1161" s="50"/>
      <c r="J1161" s="50"/>
      <c r="K1161" s="50"/>
      <c r="L1161" s="50"/>
      <c r="M1161" s="50"/>
      <c r="N1161" s="50"/>
      <c r="O1161" s="50"/>
      <c r="P1161" s="50"/>
      <c r="Q1161" s="50"/>
      <c r="R1161" s="50"/>
      <c r="S1161" s="50"/>
      <c r="T1161" s="50"/>
      <c r="U1161" s="50"/>
      <c r="V1161" s="50"/>
      <c r="W1161" s="50"/>
      <c r="X1161" s="50"/>
      <c r="Y1161" s="50"/>
      <c r="Z1161" s="50"/>
    </row>
    <row r="1162" spans="1:26" ht="12.75" x14ac:dyDescent="0.2">
      <c r="A1162" s="50"/>
      <c r="B1162" s="50"/>
      <c r="C1162" s="50"/>
      <c r="D1162" s="50"/>
      <c r="E1162" s="50"/>
      <c r="F1162" s="50"/>
      <c r="G1162" s="50"/>
      <c r="H1162" s="50"/>
      <c r="I1162" s="50"/>
      <c r="J1162" s="50"/>
      <c r="K1162" s="50"/>
      <c r="L1162" s="50"/>
      <c r="M1162" s="50"/>
      <c r="N1162" s="50"/>
      <c r="O1162" s="50"/>
      <c r="P1162" s="50"/>
      <c r="Q1162" s="50"/>
      <c r="R1162" s="50"/>
      <c r="S1162" s="50"/>
      <c r="T1162" s="50"/>
      <c r="U1162" s="50"/>
      <c r="V1162" s="50"/>
      <c r="W1162" s="50"/>
      <c r="X1162" s="50"/>
      <c r="Y1162" s="50"/>
      <c r="Z1162" s="50"/>
    </row>
    <row r="1163" spans="1:26" ht="12.75" x14ac:dyDescent="0.2">
      <c r="A1163" s="50"/>
      <c r="B1163" s="50"/>
      <c r="C1163" s="50"/>
      <c r="D1163" s="50"/>
      <c r="E1163" s="50"/>
      <c r="F1163" s="50"/>
      <c r="G1163" s="50"/>
      <c r="H1163" s="50"/>
      <c r="I1163" s="50"/>
      <c r="J1163" s="50"/>
      <c r="K1163" s="50"/>
      <c r="L1163" s="50"/>
      <c r="M1163" s="50"/>
      <c r="N1163" s="50"/>
      <c r="O1163" s="50"/>
      <c r="P1163" s="50"/>
      <c r="Q1163" s="50"/>
      <c r="R1163" s="50"/>
      <c r="S1163" s="50"/>
      <c r="T1163" s="50"/>
      <c r="U1163" s="50"/>
      <c r="V1163" s="50"/>
      <c r="W1163" s="50"/>
      <c r="X1163" s="50"/>
      <c r="Y1163" s="50"/>
      <c r="Z1163" s="50"/>
    </row>
    <row r="1164" spans="1:26" ht="12.75" x14ac:dyDescent="0.2">
      <c r="A1164" s="50"/>
      <c r="B1164" s="50"/>
      <c r="C1164" s="50"/>
      <c r="D1164" s="50"/>
      <c r="E1164" s="50"/>
      <c r="F1164" s="50"/>
      <c r="G1164" s="50"/>
      <c r="H1164" s="50"/>
      <c r="I1164" s="50"/>
      <c r="J1164" s="50"/>
      <c r="K1164" s="50"/>
      <c r="L1164" s="50"/>
      <c r="M1164" s="50"/>
      <c r="N1164" s="50"/>
      <c r="O1164" s="50"/>
      <c r="P1164" s="50"/>
      <c r="Q1164" s="50"/>
      <c r="R1164" s="50"/>
      <c r="S1164" s="50"/>
      <c r="T1164" s="50"/>
      <c r="U1164" s="50"/>
      <c r="V1164" s="50"/>
      <c r="W1164" s="50"/>
      <c r="X1164" s="50"/>
      <c r="Y1164" s="50"/>
      <c r="Z1164" s="50"/>
    </row>
    <row r="1165" spans="1:26" ht="12.75" x14ac:dyDescent="0.2">
      <c r="A1165" s="50"/>
      <c r="B1165" s="50"/>
      <c r="C1165" s="50"/>
      <c r="D1165" s="50"/>
      <c r="E1165" s="50"/>
      <c r="F1165" s="50"/>
      <c r="G1165" s="50"/>
      <c r="H1165" s="50"/>
      <c r="I1165" s="50"/>
      <c r="J1165" s="50"/>
      <c r="K1165" s="50"/>
      <c r="L1165" s="50"/>
      <c r="M1165" s="50"/>
      <c r="N1165" s="50"/>
      <c r="O1165" s="50"/>
      <c r="P1165" s="50"/>
      <c r="Q1165" s="50"/>
      <c r="R1165" s="50"/>
      <c r="S1165" s="50"/>
      <c r="T1165" s="50"/>
      <c r="U1165" s="50"/>
      <c r="V1165" s="50"/>
      <c r="W1165" s="50"/>
      <c r="X1165" s="50"/>
      <c r="Y1165" s="50"/>
      <c r="Z1165" s="50"/>
    </row>
    <row r="1166" spans="1:26" ht="12.75" x14ac:dyDescent="0.2">
      <c r="A1166" s="50"/>
      <c r="B1166" s="50"/>
      <c r="C1166" s="50"/>
      <c r="D1166" s="50"/>
      <c r="E1166" s="50"/>
      <c r="F1166" s="50"/>
      <c r="G1166" s="50"/>
      <c r="H1166" s="50"/>
      <c r="I1166" s="50"/>
      <c r="J1166" s="50"/>
      <c r="K1166" s="50"/>
      <c r="L1166" s="50"/>
      <c r="M1166" s="50"/>
      <c r="N1166" s="50"/>
      <c r="O1166" s="50"/>
      <c r="P1166" s="50"/>
      <c r="Q1166" s="50"/>
      <c r="R1166" s="50"/>
      <c r="S1166" s="50"/>
      <c r="T1166" s="50"/>
      <c r="U1166" s="50"/>
      <c r="V1166" s="50"/>
      <c r="W1166" s="50"/>
      <c r="X1166" s="50"/>
      <c r="Y1166" s="50"/>
      <c r="Z1166" s="50"/>
    </row>
    <row r="1167" spans="1:26" ht="12.75" x14ac:dyDescent="0.2">
      <c r="A1167" s="50"/>
      <c r="B1167" s="50"/>
      <c r="C1167" s="50"/>
      <c r="D1167" s="50"/>
      <c r="E1167" s="50"/>
      <c r="F1167" s="50"/>
      <c r="G1167" s="50"/>
      <c r="H1167" s="50"/>
      <c r="I1167" s="50"/>
      <c r="J1167" s="50"/>
      <c r="K1167" s="50"/>
      <c r="L1167" s="50"/>
      <c r="M1167" s="50"/>
      <c r="N1167" s="50"/>
      <c r="O1167" s="50"/>
      <c r="P1167" s="50"/>
      <c r="Q1167" s="50"/>
      <c r="R1167" s="50"/>
      <c r="S1167" s="50"/>
      <c r="T1167" s="50"/>
      <c r="U1167" s="50"/>
      <c r="V1167" s="50"/>
      <c r="W1167" s="50"/>
      <c r="X1167" s="50"/>
      <c r="Y1167" s="50"/>
      <c r="Z1167" s="50"/>
    </row>
    <row r="1168" spans="1:26" ht="12.75" x14ac:dyDescent="0.2">
      <c r="A1168" s="50"/>
      <c r="B1168" s="50"/>
      <c r="C1168" s="50"/>
      <c r="D1168" s="50"/>
      <c r="E1168" s="50"/>
      <c r="F1168" s="50"/>
      <c r="G1168" s="50"/>
      <c r="H1168" s="50"/>
      <c r="I1168" s="50"/>
      <c r="J1168" s="50"/>
      <c r="K1168" s="50"/>
      <c r="L1168" s="50"/>
      <c r="M1168" s="50"/>
      <c r="N1168" s="50"/>
      <c r="O1168" s="50"/>
      <c r="P1168" s="50"/>
      <c r="Q1168" s="50"/>
      <c r="R1168" s="50"/>
      <c r="S1168" s="50"/>
      <c r="T1168" s="50"/>
      <c r="U1168" s="50"/>
      <c r="V1168" s="50"/>
      <c r="W1168" s="50"/>
      <c r="X1168" s="50"/>
      <c r="Y1168" s="50"/>
      <c r="Z1168" s="50"/>
    </row>
    <row r="1169" spans="1:26" ht="12.75" x14ac:dyDescent="0.2">
      <c r="A1169" s="50"/>
      <c r="B1169" s="50"/>
      <c r="C1169" s="50"/>
      <c r="D1169" s="50"/>
      <c r="E1169" s="50"/>
      <c r="F1169" s="50"/>
      <c r="G1169" s="50"/>
      <c r="H1169" s="50"/>
      <c r="I1169" s="50"/>
      <c r="J1169" s="50"/>
      <c r="K1169" s="50"/>
      <c r="L1169" s="50"/>
      <c r="M1169" s="50"/>
      <c r="N1169" s="50"/>
      <c r="O1169" s="50"/>
      <c r="P1169" s="50"/>
      <c r="Q1169" s="50"/>
      <c r="R1169" s="50"/>
      <c r="S1169" s="50"/>
      <c r="T1169" s="50"/>
      <c r="U1169" s="50"/>
      <c r="V1169" s="50"/>
      <c r="W1169" s="50"/>
      <c r="X1169" s="50"/>
      <c r="Y1169" s="50"/>
      <c r="Z1169" s="50"/>
    </row>
    <row r="1170" spans="1:26" ht="12.75" x14ac:dyDescent="0.2">
      <c r="A1170" s="50"/>
      <c r="B1170" s="50"/>
      <c r="C1170" s="50"/>
      <c r="D1170" s="50"/>
      <c r="E1170" s="50"/>
      <c r="F1170" s="50"/>
      <c r="G1170" s="50"/>
      <c r="H1170" s="50"/>
      <c r="I1170" s="50"/>
      <c r="J1170" s="50"/>
      <c r="K1170" s="50"/>
      <c r="L1170" s="50"/>
      <c r="M1170" s="50"/>
      <c r="N1170" s="50"/>
      <c r="O1170" s="50"/>
      <c r="P1170" s="50"/>
      <c r="Q1170" s="50"/>
      <c r="R1170" s="50"/>
      <c r="S1170" s="50"/>
      <c r="T1170" s="50"/>
      <c r="U1170" s="50"/>
      <c r="V1170" s="50"/>
      <c r="W1170" s="50"/>
      <c r="X1170" s="50"/>
      <c r="Y1170" s="50"/>
      <c r="Z1170" s="50"/>
    </row>
    <row r="1171" spans="1:26" ht="12.75" x14ac:dyDescent="0.2">
      <c r="A1171" s="50"/>
      <c r="B1171" s="50"/>
      <c r="C1171" s="50"/>
      <c r="D1171" s="50"/>
      <c r="E1171" s="50"/>
      <c r="F1171" s="50"/>
      <c r="G1171" s="50"/>
      <c r="H1171" s="50"/>
      <c r="I1171" s="50"/>
      <c r="J1171" s="50"/>
      <c r="K1171" s="50"/>
      <c r="L1171" s="50"/>
      <c r="M1171" s="50"/>
      <c r="N1171" s="50"/>
      <c r="O1171" s="50"/>
      <c r="P1171" s="50"/>
      <c r="Q1171" s="50"/>
      <c r="R1171" s="50"/>
      <c r="S1171" s="50"/>
      <c r="T1171" s="50"/>
      <c r="U1171" s="50"/>
      <c r="V1171" s="50"/>
      <c r="W1171" s="50"/>
      <c r="X1171" s="50"/>
      <c r="Y1171" s="50"/>
      <c r="Z1171" s="50"/>
    </row>
    <row r="1172" spans="1:26" ht="12.75" x14ac:dyDescent="0.2">
      <c r="A1172" s="50"/>
      <c r="B1172" s="50"/>
      <c r="C1172" s="50"/>
      <c r="D1172" s="50"/>
      <c r="E1172" s="50"/>
      <c r="F1172" s="50"/>
      <c r="G1172" s="50"/>
      <c r="H1172" s="50"/>
      <c r="I1172" s="50"/>
      <c r="J1172" s="50"/>
      <c r="K1172" s="50"/>
      <c r="L1172" s="50"/>
      <c r="M1172" s="50"/>
      <c r="N1172" s="50"/>
      <c r="O1172" s="50"/>
      <c r="P1172" s="50"/>
      <c r="Q1172" s="50"/>
      <c r="R1172" s="50"/>
      <c r="S1172" s="50"/>
      <c r="T1172" s="50"/>
      <c r="U1172" s="50"/>
      <c r="V1172" s="50"/>
      <c r="W1172" s="50"/>
      <c r="X1172" s="50"/>
      <c r="Y1172" s="50"/>
      <c r="Z1172" s="50"/>
    </row>
    <row r="1173" spans="1:26" ht="12.75" x14ac:dyDescent="0.2">
      <c r="A1173" s="50"/>
      <c r="B1173" s="50"/>
      <c r="C1173" s="50"/>
      <c r="D1173" s="50"/>
      <c r="E1173" s="50"/>
      <c r="F1173" s="50"/>
      <c r="G1173" s="50"/>
      <c r="H1173" s="50"/>
      <c r="I1173" s="50"/>
      <c r="J1173" s="50"/>
      <c r="K1173" s="50"/>
      <c r="L1173" s="50"/>
      <c r="M1173" s="50"/>
      <c r="N1173" s="50"/>
      <c r="O1173" s="50"/>
      <c r="P1173" s="50"/>
      <c r="Q1173" s="50"/>
      <c r="R1173" s="50"/>
      <c r="S1173" s="50"/>
      <c r="T1173" s="50"/>
      <c r="U1173" s="50"/>
      <c r="V1173" s="50"/>
      <c r="W1173" s="50"/>
      <c r="X1173" s="50"/>
      <c r="Y1173" s="50"/>
      <c r="Z1173" s="50"/>
    </row>
    <row r="1174" spans="1:26" ht="12.75" x14ac:dyDescent="0.2">
      <c r="A1174" s="50"/>
      <c r="B1174" s="50"/>
      <c r="C1174" s="50"/>
      <c r="D1174" s="50"/>
      <c r="E1174" s="50"/>
      <c r="F1174" s="50"/>
      <c r="G1174" s="50"/>
      <c r="H1174" s="50"/>
      <c r="I1174" s="50"/>
      <c r="J1174" s="50"/>
      <c r="K1174" s="50"/>
      <c r="L1174" s="50"/>
      <c r="M1174" s="50"/>
      <c r="N1174" s="50"/>
      <c r="O1174" s="50"/>
      <c r="P1174" s="50"/>
      <c r="Q1174" s="50"/>
      <c r="R1174" s="50"/>
      <c r="S1174" s="50"/>
      <c r="T1174" s="50"/>
      <c r="U1174" s="50"/>
      <c r="V1174" s="50"/>
      <c r="W1174" s="50"/>
      <c r="X1174" s="50"/>
      <c r="Y1174" s="50"/>
      <c r="Z1174" s="50"/>
    </row>
    <row r="1175" spans="1:26" ht="12.75" x14ac:dyDescent="0.2">
      <c r="A1175" s="50"/>
      <c r="B1175" s="50"/>
      <c r="C1175" s="50"/>
      <c r="D1175" s="50"/>
      <c r="E1175" s="50"/>
      <c r="F1175" s="50"/>
      <c r="G1175" s="50"/>
      <c r="H1175" s="50"/>
      <c r="I1175" s="50"/>
      <c r="J1175" s="50"/>
      <c r="K1175" s="50"/>
      <c r="L1175" s="50"/>
      <c r="M1175" s="50"/>
      <c r="N1175" s="50"/>
      <c r="O1175" s="50"/>
      <c r="P1175" s="50"/>
      <c r="Q1175" s="50"/>
      <c r="R1175" s="50"/>
      <c r="S1175" s="50"/>
      <c r="T1175" s="50"/>
      <c r="U1175" s="50"/>
      <c r="V1175" s="50"/>
      <c r="W1175" s="50"/>
      <c r="X1175" s="50"/>
      <c r="Y1175" s="50"/>
      <c r="Z1175" s="50"/>
    </row>
    <row r="1176" spans="1:26" ht="12.75" x14ac:dyDescent="0.2">
      <c r="A1176" s="50"/>
      <c r="B1176" s="50"/>
      <c r="C1176" s="50"/>
      <c r="D1176" s="50"/>
      <c r="E1176" s="50"/>
      <c r="F1176" s="50"/>
      <c r="G1176" s="50"/>
      <c r="H1176" s="50"/>
      <c r="I1176" s="50"/>
      <c r="J1176" s="50"/>
      <c r="K1176" s="50"/>
      <c r="L1176" s="50"/>
      <c r="M1176" s="50"/>
      <c r="N1176" s="50"/>
      <c r="O1176" s="50"/>
      <c r="P1176" s="50"/>
      <c r="Q1176" s="50"/>
      <c r="R1176" s="50"/>
      <c r="S1176" s="50"/>
      <c r="T1176" s="50"/>
      <c r="U1176" s="50"/>
      <c r="V1176" s="50"/>
      <c r="W1176" s="50"/>
      <c r="X1176" s="50"/>
      <c r="Y1176" s="50"/>
      <c r="Z1176" s="50"/>
    </row>
    <row r="1177" spans="1:26" ht="12.75" x14ac:dyDescent="0.2">
      <c r="A1177" s="50"/>
      <c r="B1177" s="50"/>
      <c r="C1177" s="50"/>
      <c r="D1177" s="50"/>
      <c r="E1177" s="50"/>
      <c r="F1177" s="50"/>
      <c r="G1177" s="50"/>
      <c r="H1177" s="50"/>
      <c r="I1177" s="50"/>
      <c r="J1177" s="50"/>
      <c r="K1177" s="50"/>
      <c r="L1177" s="50"/>
      <c r="M1177" s="50"/>
      <c r="N1177" s="50"/>
      <c r="O1177" s="50"/>
      <c r="P1177" s="50"/>
      <c r="Q1177" s="50"/>
      <c r="R1177" s="50"/>
      <c r="S1177" s="50"/>
      <c r="T1177" s="50"/>
      <c r="U1177" s="50"/>
      <c r="V1177" s="50"/>
      <c r="W1177" s="50"/>
      <c r="X1177" s="50"/>
      <c r="Y1177" s="50"/>
      <c r="Z1177" s="50"/>
    </row>
    <row r="1178" spans="1:26" ht="12.75" x14ac:dyDescent="0.2">
      <c r="A1178" s="50"/>
      <c r="B1178" s="50"/>
      <c r="C1178" s="50"/>
      <c r="D1178" s="50"/>
      <c r="E1178" s="50"/>
      <c r="F1178" s="50"/>
      <c r="G1178" s="50"/>
      <c r="H1178" s="50"/>
      <c r="I1178" s="50"/>
      <c r="J1178" s="50"/>
      <c r="K1178" s="50"/>
      <c r="L1178" s="50"/>
      <c r="M1178" s="50"/>
      <c r="N1178" s="50"/>
      <c r="O1178" s="50"/>
      <c r="P1178" s="50"/>
      <c r="Q1178" s="50"/>
      <c r="R1178" s="50"/>
      <c r="S1178" s="50"/>
      <c r="T1178" s="50"/>
      <c r="U1178" s="50"/>
      <c r="V1178" s="50"/>
      <c r="W1178" s="50"/>
      <c r="X1178" s="50"/>
      <c r="Y1178" s="50"/>
      <c r="Z1178" s="50"/>
    </row>
    <row r="1179" spans="1:26" ht="12.75" x14ac:dyDescent="0.2">
      <c r="A1179" s="50"/>
      <c r="B1179" s="50"/>
      <c r="C1179" s="50"/>
      <c r="D1179" s="50"/>
      <c r="E1179" s="50"/>
      <c r="F1179" s="50"/>
      <c r="G1179" s="50"/>
      <c r="H1179" s="50"/>
      <c r="I1179" s="50"/>
      <c r="J1179" s="50"/>
      <c r="K1179" s="50"/>
      <c r="L1179" s="50"/>
      <c r="M1179" s="50"/>
      <c r="N1179" s="50"/>
      <c r="O1179" s="50"/>
      <c r="P1179" s="50"/>
      <c r="Q1179" s="50"/>
      <c r="R1179" s="50"/>
      <c r="S1179" s="50"/>
      <c r="T1179" s="50"/>
      <c r="U1179" s="50"/>
      <c r="V1179" s="50"/>
      <c r="W1179" s="50"/>
      <c r="X1179" s="50"/>
      <c r="Y1179" s="50"/>
      <c r="Z1179" s="50"/>
    </row>
    <row r="1180" spans="1:26" ht="12.75" x14ac:dyDescent="0.2">
      <c r="A1180" s="50"/>
      <c r="B1180" s="50"/>
      <c r="C1180" s="50"/>
      <c r="D1180" s="50"/>
      <c r="E1180" s="50"/>
      <c r="F1180" s="50"/>
      <c r="G1180" s="50"/>
      <c r="H1180" s="50"/>
      <c r="I1180" s="50"/>
      <c r="J1180" s="50"/>
      <c r="K1180" s="50"/>
      <c r="L1180" s="50"/>
      <c r="M1180" s="50"/>
      <c r="N1180" s="50"/>
      <c r="O1180" s="50"/>
      <c r="P1180" s="50"/>
      <c r="Q1180" s="50"/>
      <c r="R1180" s="50"/>
      <c r="S1180" s="50"/>
      <c r="T1180" s="50"/>
      <c r="U1180" s="50"/>
      <c r="V1180" s="50"/>
      <c r="W1180" s="50"/>
      <c r="X1180" s="50"/>
      <c r="Y1180" s="50"/>
      <c r="Z1180" s="50"/>
    </row>
    <row r="1181" spans="1:26" ht="12.75" x14ac:dyDescent="0.2">
      <c r="A1181" s="50"/>
      <c r="B1181" s="50"/>
      <c r="C1181" s="50"/>
      <c r="D1181" s="50"/>
      <c r="E1181" s="50"/>
      <c r="F1181" s="50"/>
      <c r="G1181" s="50"/>
      <c r="H1181" s="50"/>
      <c r="I1181" s="50"/>
      <c r="J1181" s="50"/>
      <c r="K1181" s="50"/>
      <c r="L1181" s="50"/>
      <c r="M1181" s="50"/>
      <c r="N1181" s="50"/>
      <c r="O1181" s="50"/>
      <c r="P1181" s="50"/>
      <c r="Q1181" s="50"/>
      <c r="R1181" s="50"/>
      <c r="S1181" s="50"/>
      <c r="T1181" s="50"/>
      <c r="U1181" s="50"/>
      <c r="V1181" s="50"/>
      <c r="W1181" s="50"/>
      <c r="X1181" s="50"/>
      <c r="Y1181" s="50"/>
      <c r="Z1181" s="50"/>
    </row>
    <row r="1182" spans="1:26" ht="12.75" x14ac:dyDescent="0.2">
      <c r="A1182" s="50"/>
      <c r="B1182" s="50"/>
      <c r="C1182" s="50"/>
      <c r="D1182" s="50"/>
      <c r="E1182" s="50"/>
      <c r="F1182" s="50"/>
      <c r="G1182" s="50"/>
      <c r="H1182" s="50"/>
      <c r="I1182" s="50"/>
      <c r="J1182" s="50"/>
      <c r="K1182" s="50"/>
      <c r="L1182" s="50"/>
      <c r="M1182" s="50"/>
      <c r="N1182" s="50"/>
      <c r="O1182" s="50"/>
      <c r="P1182" s="50"/>
      <c r="Q1182" s="50"/>
      <c r="R1182" s="50"/>
      <c r="S1182" s="50"/>
      <c r="T1182" s="50"/>
      <c r="U1182" s="50"/>
      <c r="V1182" s="50"/>
      <c r="W1182" s="50"/>
      <c r="X1182" s="50"/>
      <c r="Y1182" s="50"/>
      <c r="Z1182" s="50"/>
    </row>
    <row r="1183" spans="1:26" ht="12.75" x14ac:dyDescent="0.2">
      <c r="A1183" s="50"/>
      <c r="B1183" s="50"/>
      <c r="C1183" s="50"/>
      <c r="D1183" s="50"/>
      <c r="E1183" s="50"/>
      <c r="F1183" s="50"/>
      <c r="G1183" s="50"/>
      <c r="H1183" s="50"/>
      <c r="I1183" s="50"/>
      <c r="J1183" s="50"/>
      <c r="K1183" s="50"/>
      <c r="L1183" s="50"/>
      <c r="M1183" s="50"/>
      <c r="N1183" s="50"/>
      <c r="O1183" s="50"/>
      <c r="P1183" s="50"/>
      <c r="Q1183" s="50"/>
      <c r="R1183" s="50"/>
      <c r="S1183" s="50"/>
      <c r="T1183" s="50"/>
      <c r="U1183" s="50"/>
      <c r="V1183" s="50"/>
      <c r="W1183" s="50"/>
      <c r="X1183" s="50"/>
      <c r="Y1183" s="50"/>
      <c r="Z1183" s="50"/>
    </row>
    <row r="1184" spans="1:26" ht="12.75" x14ac:dyDescent="0.2">
      <c r="A1184" s="50"/>
      <c r="B1184" s="50"/>
      <c r="C1184" s="50"/>
      <c r="D1184" s="50"/>
      <c r="E1184" s="50"/>
      <c r="F1184" s="50"/>
      <c r="G1184" s="50"/>
      <c r="H1184" s="50"/>
      <c r="I1184" s="50"/>
      <c r="J1184" s="50"/>
      <c r="K1184" s="50"/>
      <c r="L1184" s="50"/>
      <c r="M1184" s="50"/>
      <c r="N1184" s="50"/>
      <c r="O1184" s="50"/>
      <c r="P1184" s="50"/>
      <c r="Q1184" s="50"/>
      <c r="R1184" s="50"/>
      <c r="S1184" s="50"/>
      <c r="T1184" s="50"/>
      <c r="U1184" s="50"/>
      <c r="V1184" s="50"/>
      <c r="W1184" s="50"/>
      <c r="X1184" s="50"/>
      <c r="Y1184" s="50"/>
      <c r="Z1184" s="50"/>
    </row>
    <row r="1185" spans="1:26" ht="12.75" x14ac:dyDescent="0.2">
      <c r="A1185" s="50"/>
      <c r="B1185" s="50"/>
      <c r="C1185" s="50"/>
      <c r="D1185" s="50"/>
      <c r="E1185" s="50"/>
      <c r="F1185" s="50"/>
      <c r="G1185" s="50"/>
      <c r="H1185" s="50"/>
      <c r="I1185" s="50"/>
      <c r="J1185" s="50"/>
      <c r="K1185" s="50"/>
      <c r="L1185" s="50"/>
      <c r="M1185" s="50"/>
      <c r="N1185" s="50"/>
      <c r="O1185" s="50"/>
      <c r="P1185" s="50"/>
      <c r="Q1185" s="50"/>
      <c r="R1185" s="50"/>
      <c r="S1185" s="50"/>
      <c r="T1185" s="50"/>
      <c r="U1185" s="50"/>
      <c r="V1185" s="50"/>
      <c r="W1185" s="50"/>
      <c r="X1185" s="50"/>
      <c r="Y1185" s="50"/>
      <c r="Z1185" s="50"/>
    </row>
    <row r="1186" spans="1:26" ht="12.75" x14ac:dyDescent="0.2">
      <c r="A1186" s="50"/>
      <c r="B1186" s="50"/>
      <c r="C1186" s="50"/>
      <c r="D1186" s="50"/>
      <c r="E1186" s="50"/>
      <c r="F1186" s="50"/>
      <c r="G1186" s="50"/>
      <c r="H1186" s="50"/>
      <c r="I1186" s="50"/>
      <c r="J1186" s="50"/>
      <c r="K1186" s="50"/>
      <c r="L1186" s="50"/>
      <c r="M1186" s="50"/>
      <c r="N1186" s="50"/>
      <c r="O1186" s="50"/>
      <c r="P1186" s="50"/>
      <c r="Q1186" s="50"/>
      <c r="R1186" s="50"/>
      <c r="S1186" s="50"/>
      <c r="T1186" s="50"/>
      <c r="U1186" s="50"/>
      <c r="V1186" s="50"/>
      <c r="W1186" s="50"/>
      <c r="X1186" s="50"/>
      <c r="Y1186" s="50"/>
      <c r="Z1186" s="50"/>
    </row>
    <row r="1187" spans="1:26" ht="12.75" x14ac:dyDescent="0.2">
      <c r="A1187" s="50"/>
      <c r="B1187" s="50"/>
      <c r="C1187" s="50"/>
      <c r="D1187" s="50"/>
      <c r="E1187" s="50"/>
      <c r="F1187" s="50"/>
      <c r="G1187" s="50"/>
      <c r="H1187" s="50"/>
      <c r="I1187" s="50"/>
      <c r="J1187" s="50"/>
      <c r="K1187" s="50"/>
      <c r="L1187" s="50"/>
      <c r="M1187" s="50"/>
      <c r="N1187" s="50"/>
      <c r="O1187" s="50"/>
      <c r="P1187" s="50"/>
      <c r="Q1187" s="50"/>
      <c r="R1187" s="50"/>
      <c r="S1187" s="50"/>
      <c r="T1187" s="50"/>
      <c r="U1187" s="50"/>
      <c r="V1187" s="50"/>
      <c r="W1187" s="50"/>
      <c r="X1187" s="50"/>
      <c r="Y1187" s="50"/>
      <c r="Z1187" s="50"/>
    </row>
    <row r="1188" spans="1:26" ht="12.75" x14ac:dyDescent="0.2">
      <c r="A1188" s="50"/>
      <c r="B1188" s="50"/>
      <c r="C1188" s="50"/>
      <c r="D1188" s="50"/>
      <c r="E1188" s="50"/>
      <c r="F1188" s="50"/>
      <c r="G1188" s="50"/>
      <c r="H1188" s="50"/>
      <c r="I1188" s="50"/>
      <c r="J1188" s="50"/>
      <c r="K1188" s="50"/>
      <c r="L1188" s="50"/>
      <c r="M1188" s="50"/>
      <c r="N1188" s="50"/>
      <c r="O1188" s="50"/>
      <c r="P1188" s="50"/>
      <c r="Q1188" s="50"/>
      <c r="R1188" s="50"/>
      <c r="S1188" s="50"/>
      <c r="T1188" s="50"/>
      <c r="U1188" s="50"/>
      <c r="V1188" s="50"/>
      <c r="W1188" s="50"/>
      <c r="X1188" s="50"/>
      <c r="Y1188" s="50"/>
      <c r="Z1188" s="50"/>
    </row>
    <row r="1189" spans="1:26" ht="12.75" x14ac:dyDescent="0.2">
      <c r="A1189" s="50"/>
      <c r="B1189" s="50"/>
      <c r="C1189" s="50"/>
      <c r="D1189" s="50"/>
      <c r="E1189" s="50"/>
      <c r="F1189" s="50"/>
      <c r="G1189" s="50"/>
      <c r="H1189" s="50"/>
      <c r="I1189" s="50"/>
      <c r="J1189" s="50"/>
      <c r="K1189" s="50"/>
      <c r="L1189" s="50"/>
      <c r="M1189" s="50"/>
      <c r="N1189" s="50"/>
      <c r="O1189" s="50"/>
      <c r="P1189" s="50"/>
      <c r="Q1189" s="50"/>
      <c r="R1189" s="50"/>
      <c r="S1189" s="50"/>
      <c r="T1189" s="50"/>
      <c r="U1189" s="50"/>
      <c r="V1189" s="50"/>
      <c r="W1189" s="50"/>
      <c r="X1189" s="50"/>
      <c r="Y1189" s="50"/>
      <c r="Z1189" s="50"/>
    </row>
    <row r="1190" spans="1:26" ht="12.75" x14ac:dyDescent="0.2">
      <c r="A1190" s="50"/>
      <c r="B1190" s="50"/>
      <c r="C1190" s="50"/>
      <c r="D1190" s="50"/>
      <c r="E1190" s="50"/>
      <c r="F1190" s="50"/>
      <c r="G1190" s="50"/>
      <c r="H1190" s="50"/>
      <c r="I1190" s="50"/>
      <c r="J1190" s="50"/>
      <c r="K1190" s="50"/>
      <c r="L1190" s="50"/>
      <c r="M1190" s="50"/>
      <c r="N1190" s="50"/>
      <c r="O1190" s="50"/>
      <c r="P1190" s="50"/>
      <c r="Q1190" s="50"/>
      <c r="R1190" s="50"/>
      <c r="S1190" s="50"/>
      <c r="T1190" s="50"/>
      <c r="U1190" s="50"/>
      <c r="V1190" s="50"/>
      <c r="W1190" s="50"/>
      <c r="X1190" s="50"/>
      <c r="Y1190" s="50"/>
      <c r="Z1190" s="50"/>
    </row>
    <row r="1191" spans="1:26" ht="12.75" x14ac:dyDescent="0.2">
      <c r="A1191" s="50"/>
      <c r="B1191" s="50"/>
      <c r="C1191" s="50"/>
      <c r="D1191" s="50"/>
      <c r="E1191" s="50"/>
      <c r="F1191" s="50"/>
      <c r="G1191" s="50"/>
      <c r="H1191" s="50"/>
      <c r="I1191" s="50"/>
      <c r="J1191" s="50"/>
      <c r="K1191" s="50"/>
      <c r="L1191" s="50"/>
      <c r="M1191" s="50"/>
      <c r="N1191" s="50"/>
      <c r="O1191" s="50"/>
      <c r="P1191" s="50"/>
      <c r="Q1191" s="50"/>
      <c r="R1191" s="50"/>
      <c r="S1191" s="50"/>
      <c r="T1191" s="50"/>
      <c r="U1191" s="50"/>
      <c r="V1191" s="50"/>
      <c r="W1191" s="50"/>
      <c r="X1191" s="50"/>
      <c r="Y1191" s="50"/>
      <c r="Z1191" s="50"/>
    </row>
    <row r="1192" spans="1:26" ht="12.75" x14ac:dyDescent="0.2">
      <c r="A1192" s="50"/>
      <c r="B1192" s="50"/>
      <c r="C1192" s="50"/>
      <c r="D1192" s="50"/>
      <c r="E1192" s="50"/>
      <c r="F1192" s="50"/>
      <c r="G1192" s="50"/>
      <c r="H1192" s="50"/>
      <c r="I1192" s="50"/>
      <c r="J1192" s="50"/>
      <c r="K1192" s="50"/>
      <c r="L1192" s="50"/>
      <c r="M1192" s="50"/>
      <c r="N1192" s="50"/>
      <c r="O1192" s="50"/>
      <c r="P1192" s="50"/>
      <c r="Q1192" s="50"/>
      <c r="R1192" s="50"/>
      <c r="S1192" s="50"/>
      <c r="T1192" s="50"/>
      <c r="U1192" s="50"/>
      <c r="V1192" s="50"/>
      <c r="W1192" s="50"/>
      <c r="X1192" s="50"/>
      <c r="Y1192" s="50"/>
      <c r="Z1192" s="50"/>
    </row>
    <row r="1193" spans="1:26" ht="12.75" x14ac:dyDescent="0.2">
      <c r="A1193" s="50"/>
      <c r="B1193" s="50"/>
      <c r="C1193" s="50"/>
      <c r="D1193" s="50"/>
      <c r="E1193" s="50"/>
      <c r="F1193" s="50"/>
      <c r="G1193" s="50"/>
      <c r="H1193" s="50"/>
      <c r="I1193" s="50"/>
      <c r="J1193" s="50"/>
      <c r="K1193" s="50"/>
      <c r="L1193" s="50"/>
      <c r="M1193" s="50"/>
      <c r="N1193" s="50"/>
      <c r="O1193" s="50"/>
      <c r="P1193" s="50"/>
      <c r="Q1193" s="50"/>
      <c r="R1193" s="50"/>
      <c r="S1193" s="50"/>
      <c r="T1193" s="50"/>
      <c r="U1193" s="50"/>
      <c r="V1193" s="50"/>
      <c r="W1193" s="50"/>
      <c r="X1193" s="50"/>
      <c r="Y1193" s="50"/>
      <c r="Z1193" s="50"/>
    </row>
    <row r="1194" spans="1:26" ht="12.75" x14ac:dyDescent="0.2">
      <c r="A1194" s="50"/>
      <c r="B1194" s="50"/>
      <c r="C1194" s="50"/>
      <c r="D1194" s="50"/>
      <c r="E1194" s="50"/>
      <c r="F1194" s="50"/>
      <c r="G1194" s="50"/>
      <c r="H1194" s="50"/>
      <c r="I1194" s="50"/>
      <c r="J1194" s="50"/>
      <c r="K1194" s="50"/>
      <c r="L1194" s="50"/>
      <c r="M1194" s="50"/>
      <c r="N1194" s="50"/>
      <c r="O1194" s="50"/>
      <c r="P1194" s="50"/>
      <c r="Q1194" s="50"/>
      <c r="R1194" s="50"/>
      <c r="S1194" s="50"/>
      <c r="T1194" s="50"/>
      <c r="U1194" s="50"/>
      <c r="V1194" s="50"/>
      <c r="W1194" s="50"/>
      <c r="X1194" s="50"/>
      <c r="Y1194" s="50"/>
      <c r="Z1194" s="50"/>
    </row>
    <row r="1195" spans="1:26" ht="12.75" x14ac:dyDescent="0.2">
      <c r="A1195" s="50"/>
      <c r="B1195" s="50"/>
      <c r="C1195" s="50"/>
      <c r="D1195" s="50"/>
      <c r="E1195" s="50"/>
      <c r="F1195" s="50"/>
      <c r="G1195" s="50"/>
      <c r="H1195" s="50"/>
      <c r="I1195" s="50"/>
      <c r="J1195" s="50"/>
      <c r="K1195" s="50"/>
      <c r="L1195" s="50"/>
      <c r="M1195" s="50"/>
      <c r="N1195" s="50"/>
      <c r="O1195" s="50"/>
      <c r="P1195" s="50"/>
      <c r="Q1195" s="50"/>
      <c r="R1195" s="50"/>
      <c r="S1195" s="50"/>
      <c r="T1195" s="50"/>
      <c r="U1195" s="50"/>
      <c r="V1195" s="50"/>
      <c r="W1195" s="50"/>
      <c r="X1195" s="50"/>
      <c r="Y1195" s="50"/>
      <c r="Z1195" s="50"/>
    </row>
    <row r="1196" spans="1:26" ht="12.75" x14ac:dyDescent="0.2">
      <c r="A1196" s="50"/>
      <c r="B1196" s="50"/>
      <c r="C1196" s="50"/>
      <c r="D1196" s="50"/>
      <c r="E1196" s="50"/>
      <c r="F1196" s="50"/>
      <c r="G1196" s="50"/>
      <c r="H1196" s="50"/>
      <c r="I1196" s="50"/>
      <c r="J1196" s="50"/>
      <c r="K1196" s="50"/>
      <c r="L1196" s="50"/>
      <c r="M1196" s="50"/>
      <c r="N1196" s="50"/>
      <c r="O1196" s="50"/>
      <c r="P1196" s="50"/>
      <c r="Q1196" s="50"/>
      <c r="R1196" s="50"/>
      <c r="S1196" s="50"/>
      <c r="T1196" s="50"/>
      <c r="U1196" s="50"/>
      <c r="V1196" s="50"/>
      <c r="W1196" s="50"/>
      <c r="X1196" s="50"/>
      <c r="Y1196" s="50"/>
      <c r="Z1196" s="50"/>
    </row>
    <row r="1197" spans="1:26" ht="12.75" x14ac:dyDescent="0.2">
      <c r="A1197" s="50"/>
      <c r="B1197" s="50"/>
      <c r="C1197" s="50"/>
      <c r="D1197" s="50"/>
      <c r="E1197" s="50"/>
      <c r="F1197" s="50"/>
      <c r="G1197" s="50"/>
      <c r="H1197" s="50"/>
      <c r="I1197" s="50"/>
      <c r="J1197" s="50"/>
      <c r="K1197" s="50"/>
      <c r="L1197" s="50"/>
      <c r="M1197" s="50"/>
      <c r="N1197" s="50"/>
      <c r="O1197" s="50"/>
      <c r="P1197" s="50"/>
      <c r="Q1197" s="50"/>
      <c r="R1197" s="50"/>
      <c r="S1197" s="50"/>
      <c r="T1197" s="50"/>
      <c r="U1197" s="50"/>
      <c r="V1197" s="50"/>
      <c r="W1197" s="50"/>
      <c r="X1197" s="50"/>
      <c r="Y1197" s="50"/>
      <c r="Z1197" s="50"/>
    </row>
    <row r="1198" spans="1:26" ht="12.75" x14ac:dyDescent="0.2">
      <c r="A1198" s="50"/>
      <c r="B1198" s="50"/>
      <c r="C1198" s="50"/>
      <c r="D1198" s="50"/>
      <c r="E1198" s="50"/>
      <c r="F1198" s="50"/>
      <c r="G1198" s="50"/>
      <c r="H1198" s="50"/>
      <c r="I1198" s="50"/>
      <c r="J1198" s="50"/>
      <c r="K1198" s="50"/>
      <c r="L1198" s="50"/>
      <c r="M1198" s="50"/>
      <c r="N1198" s="50"/>
      <c r="O1198" s="50"/>
      <c r="P1198" s="50"/>
      <c r="Q1198" s="50"/>
      <c r="R1198" s="50"/>
      <c r="S1198" s="50"/>
      <c r="T1198" s="50"/>
      <c r="U1198" s="50"/>
      <c r="V1198" s="50"/>
      <c r="W1198" s="50"/>
      <c r="X1198" s="50"/>
      <c r="Y1198" s="50"/>
      <c r="Z1198" s="50"/>
    </row>
    <row r="1199" spans="1:26" ht="12.75" x14ac:dyDescent="0.2">
      <c r="A1199" s="50"/>
      <c r="B1199" s="50"/>
      <c r="C1199" s="50"/>
      <c r="D1199" s="50"/>
      <c r="E1199" s="50"/>
      <c r="F1199" s="50"/>
      <c r="G1199" s="50"/>
      <c r="H1199" s="50"/>
      <c r="I1199" s="50"/>
      <c r="J1199" s="50"/>
      <c r="K1199" s="50"/>
      <c r="L1199" s="50"/>
      <c r="M1199" s="50"/>
      <c r="N1199" s="50"/>
      <c r="O1199" s="50"/>
      <c r="P1199" s="50"/>
      <c r="Q1199" s="50"/>
      <c r="R1199" s="50"/>
      <c r="S1199" s="50"/>
      <c r="T1199" s="50"/>
      <c r="U1199" s="50"/>
      <c r="V1199" s="50"/>
      <c r="W1199" s="50"/>
      <c r="X1199" s="50"/>
      <c r="Y1199" s="50"/>
      <c r="Z1199" s="50"/>
    </row>
    <row r="1200" spans="1:26" ht="12.75" x14ac:dyDescent="0.2">
      <c r="A1200" s="50"/>
      <c r="B1200" s="50"/>
      <c r="C1200" s="50"/>
      <c r="D1200" s="50"/>
      <c r="E1200" s="50"/>
      <c r="F1200" s="50"/>
      <c r="G1200" s="50"/>
      <c r="H1200" s="50"/>
      <c r="I1200" s="50"/>
      <c r="J1200" s="50"/>
      <c r="K1200" s="50"/>
      <c r="L1200" s="50"/>
      <c r="M1200" s="50"/>
      <c r="N1200" s="50"/>
      <c r="O1200" s="50"/>
      <c r="P1200" s="50"/>
      <c r="Q1200" s="50"/>
      <c r="R1200" s="50"/>
      <c r="S1200" s="50"/>
      <c r="T1200" s="50"/>
      <c r="U1200" s="50"/>
      <c r="V1200" s="50"/>
      <c r="W1200" s="50"/>
      <c r="X1200" s="50"/>
      <c r="Y1200" s="50"/>
      <c r="Z1200" s="50"/>
    </row>
    <row r="1201" spans="1:26" ht="12.75" x14ac:dyDescent="0.2">
      <c r="A1201" s="50"/>
      <c r="B1201" s="50"/>
      <c r="C1201" s="50"/>
      <c r="D1201" s="50"/>
      <c r="E1201" s="50"/>
      <c r="F1201" s="50"/>
      <c r="G1201" s="50"/>
      <c r="H1201" s="50"/>
      <c r="I1201" s="50"/>
      <c r="J1201" s="50"/>
      <c r="K1201" s="50"/>
      <c r="L1201" s="50"/>
      <c r="M1201" s="50"/>
      <c r="N1201" s="50"/>
      <c r="O1201" s="50"/>
      <c r="P1201" s="50"/>
      <c r="Q1201" s="50"/>
      <c r="R1201" s="50"/>
      <c r="S1201" s="50"/>
      <c r="T1201" s="50"/>
      <c r="U1201" s="50"/>
      <c r="V1201" s="50"/>
      <c r="W1201" s="50"/>
      <c r="X1201" s="50"/>
      <c r="Y1201" s="50"/>
      <c r="Z1201" s="50"/>
    </row>
    <row r="1202" spans="1:26" ht="12.75" x14ac:dyDescent="0.2">
      <c r="A1202" s="50"/>
      <c r="B1202" s="50"/>
      <c r="C1202" s="50"/>
      <c r="D1202" s="50"/>
      <c r="E1202" s="50"/>
      <c r="F1202" s="50"/>
      <c r="G1202" s="50"/>
      <c r="H1202" s="50"/>
      <c r="I1202" s="50"/>
      <c r="J1202" s="50"/>
      <c r="K1202" s="50"/>
      <c r="L1202" s="50"/>
      <c r="M1202" s="50"/>
      <c r="N1202" s="50"/>
      <c r="O1202" s="50"/>
      <c r="P1202" s="50"/>
      <c r="Q1202" s="50"/>
      <c r="R1202" s="50"/>
      <c r="S1202" s="50"/>
      <c r="T1202" s="50"/>
      <c r="U1202" s="50"/>
      <c r="V1202" s="50"/>
      <c r="W1202" s="50"/>
      <c r="X1202" s="50"/>
      <c r="Y1202" s="50"/>
      <c r="Z1202" s="50"/>
    </row>
    <row r="1203" spans="1:26" ht="12.75" x14ac:dyDescent="0.2">
      <c r="A1203" s="50"/>
      <c r="B1203" s="50"/>
      <c r="C1203" s="50"/>
      <c r="D1203" s="50"/>
      <c r="E1203" s="50"/>
      <c r="F1203" s="50"/>
      <c r="G1203" s="50"/>
      <c r="H1203" s="50"/>
      <c r="I1203" s="50"/>
      <c r="J1203" s="50"/>
      <c r="K1203" s="50"/>
      <c r="L1203" s="50"/>
      <c r="M1203" s="50"/>
      <c r="N1203" s="50"/>
      <c r="O1203" s="50"/>
      <c r="P1203" s="50"/>
      <c r="Q1203" s="50"/>
      <c r="R1203" s="50"/>
      <c r="S1203" s="50"/>
      <c r="T1203" s="50"/>
      <c r="U1203" s="50"/>
      <c r="V1203" s="50"/>
      <c r="W1203" s="50"/>
      <c r="X1203" s="50"/>
      <c r="Y1203" s="50"/>
      <c r="Z1203" s="50"/>
    </row>
    <row r="1204" spans="1:26" ht="12.75" x14ac:dyDescent="0.2">
      <c r="A1204" s="50"/>
      <c r="B1204" s="50"/>
      <c r="C1204" s="50"/>
      <c r="D1204" s="50"/>
      <c r="E1204" s="50"/>
      <c r="F1204" s="50"/>
      <c r="G1204" s="50"/>
      <c r="H1204" s="50"/>
      <c r="I1204" s="50"/>
      <c r="J1204" s="50"/>
      <c r="K1204" s="50"/>
      <c r="L1204" s="50"/>
      <c r="M1204" s="50"/>
      <c r="N1204" s="50"/>
      <c r="O1204" s="50"/>
      <c r="P1204" s="50"/>
      <c r="Q1204" s="50"/>
      <c r="R1204" s="50"/>
      <c r="S1204" s="50"/>
      <c r="T1204" s="50"/>
      <c r="U1204" s="50"/>
      <c r="V1204" s="50"/>
      <c r="W1204" s="50"/>
      <c r="X1204" s="50"/>
      <c r="Y1204" s="50"/>
      <c r="Z1204" s="50"/>
    </row>
    <row r="1205" spans="1:26" ht="12.75" x14ac:dyDescent="0.2">
      <c r="A1205" s="50"/>
      <c r="B1205" s="50"/>
      <c r="C1205" s="50"/>
      <c r="D1205" s="50"/>
      <c r="E1205" s="50"/>
      <c r="F1205" s="50"/>
      <c r="G1205" s="50"/>
      <c r="H1205" s="50"/>
      <c r="I1205" s="50"/>
      <c r="J1205" s="50"/>
      <c r="K1205" s="50"/>
      <c r="L1205" s="50"/>
      <c r="M1205" s="50"/>
      <c r="N1205" s="50"/>
      <c r="O1205" s="50"/>
      <c r="P1205" s="50"/>
      <c r="Q1205" s="50"/>
      <c r="R1205" s="50"/>
      <c r="S1205" s="50"/>
      <c r="T1205" s="50"/>
      <c r="U1205" s="50"/>
      <c r="V1205" s="50"/>
      <c r="W1205" s="50"/>
      <c r="X1205" s="50"/>
      <c r="Y1205" s="50"/>
      <c r="Z1205" s="50"/>
    </row>
    <row r="1206" spans="1:26" ht="12.75" x14ac:dyDescent="0.2">
      <c r="A1206" s="50"/>
      <c r="B1206" s="50"/>
      <c r="C1206" s="50"/>
      <c r="D1206" s="50"/>
      <c r="E1206" s="50"/>
      <c r="F1206" s="50"/>
      <c r="G1206" s="50"/>
      <c r="H1206" s="50"/>
      <c r="I1206" s="50"/>
      <c r="J1206" s="50"/>
      <c r="K1206" s="50"/>
      <c r="L1206" s="50"/>
      <c r="M1206" s="50"/>
      <c r="N1206" s="50"/>
      <c r="O1206" s="50"/>
      <c r="P1206" s="50"/>
      <c r="Q1206" s="50"/>
      <c r="R1206" s="50"/>
      <c r="S1206" s="50"/>
      <c r="T1206" s="50"/>
      <c r="U1206" s="50"/>
      <c r="V1206" s="50"/>
      <c r="W1206" s="50"/>
      <c r="X1206" s="50"/>
      <c r="Y1206" s="50"/>
      <c r="Z1206" s="50"/>
    </row>
    <row r="1207" spans="1:26" ht="12.75" x14ac:dyDescent="0.2">
      <c r="A1207" s="50"/>
      <c r="B1207" s="50"/>
      <c r="C1207" s="50"/>
      <c r="D1207" s="50"/>
      <c r="E1207" s="50"/>
      <c r="F1207" s="50"/>
      <c r="G1207" s="50"/>
      <c r="H1207" s="50"/>
      <c r="I1207" s="50"/>
      <c r="J1207" s="50"/>
      <c r="K1207" s="50"/>
      <c r="L1207" s="50"/>
      <c r="M1207" s="50"/>
      <c r="N1207" s="50"/>
      <c r="O1207" s="50"/>
      <c r="P1207" s="50"/>
      <c r="Q1207" s="50"/>
      <c r="R1207" s="50"/>
      <c r="S1207" s="50"/>
      <c r="T1207" s="50"/>
      <c r="U1207" s="50"/>
      <c r="V1207" s="50"/>
      <c r="W1207" s="50"/>
      <c r="X1207" s="50"/>
      <c r="Y1207" s="50"/>
      <c r="Z1207" s="50"/>
    </row>
    <row r="1208" spans="1:26" ht="12.75" x14ac:dyDescent="0.2">
      <c r="A1208" s="50"/>
      <c r="B1208" s="50"/>
      <c r="C1208" s="50"/>
      <c r="D1208" s="50"/>
      <c r="E1208" s="50"/>
      <c r="F1208" s="50"/>
      <c r="G1208" s="50"/>
      <c r="H1208" s="50"/>
      <c r="I1208" s="50"/>
      <c r="J1208" s="50"/>
      <c r="K1208" s="50"/>
      <c r="L1208" s="50"/>
      <c r="M1208" s="50"/>
      <c r="N1208" s="50"/>
      <c r="O1208" s="50"/>
      <c r="P1208" s="50"/>
      <c r="Q1208" s="50"/>
      <c r="R1208" s="50"/>
      <c r="S1208" s="50"/>
      <c r="T1208" s="50"/>
      <c r="U1208" s="50"/>
      <c r="V1208" s="50"/>
      <c r="W1208" s="50"/>
      <c r="X1208" s="50"/>
      <c r="Y1208" s="50"/>
      <c r="Z1208" s="50"/>
    </row>
    <row r="1209" spans="1:26" ht="12.75" x14ac:dyDescent="0.2">
      <c r="A1209" s="50"/>
      <c r="B1209" s="50"/>
      <c r="C1209" s="50"/>
      <c r="D1209" s="50"/>
      <c r="E1209" s="50"/>
      <c r="F1209" s="50"/>
      <c r="G1209" s="50"/>
      <c r="H1209" s="50"/>
      <c r="I1209" s="50"/>
      <c r="J1209" s="50"/>
      <c r="K1209" s="50"/>
      <c r="L1209" s="50"/>
      <c r="M1209" s="50"/>
      <c r="N1209" s="50"/>
      <c r="O1209" s="50"/>
      <c r="P1209" s="50"/>
      <c r="Q1209" s="50"/>
      <c r="R1209" s="50"/>
      <c r="S1209" s="50"/>
      <c r="T1209" s="50"/>
      <c r="U1209" s="50"/>
      <c r="V1209" s="50"/>
      <c r="W1209" s="50"/>
      <c r="X1209" s="50"/>
      <c r="Y1209" s="50"/>
      <c r="Z1209" s="50"/>
    </row>
    <row r="1210" spans="1:26" ht="12.75" x14ac:dyDescent="0.2">
      <c r="A1210" s="50"/>
      <c r="B1210" s="50"/>
      <c r="C1210" s="50"/>
      <c r="D1210" s="50"/>
      <c r="E1210" s="50"/>
      <c r="F1210" s="50"/>
      <c r="G1210" s="50"/>
      <c r="H1210" s="50"/>
      <c r="I1210" s="50"/>
      <c r="J1210" s="50"/>
      <c r="K1210" s="50"/>
      <c r="L1210" s="50"/>
      <c r="M1210" s="50"/>
      <c r="N1210" s="50"/>
      <c r="O1210" s="50"/>
      <c r="P1210" s="50"/>
      <c r="Q1210" s="50"/>
      <c r="R1210" s="50"/>
      <c r="S1210" s="50"/>
      <c r="T1210" s="50"/>
      <c r="U1210" s="50"/>
      <c r="V1210" s="50"/>
      <c r="W1210" s="50"/>
      <c r="X1210" s="50"/>
      <c r="Y1210" s="50"/>
      <c r="Z1210" s="50"/>
    </row>
    <row r="1211" spans="1:26" ht="12.75" x14ac:dyDescent="0.2">
      <c r="A1211" s="50"/>
      <c r="B1211" s="50"/>
      <c r="C1211" s="50"/>
      <c r="D1211" s="50"/>
      <c r="E1211" s="50"/>
      <c r="F1211" s="50"/>
      <c r="G1211" s="50"/>
      <c r="H1211" s="50"/>
      <c r="I1211" s="50"/>
      <c r="J1211" s="50"/>
      <c r="K1211" s="50"/>
      <c r="L1211" s="50"/>
      <c r="M1211" s="50"/>
      <c r="N1211" s="50"/>
      <c r="O1211" s="50"/>
      <c r="P1211" s="50"/>
      <c r="Q1211" s="50"/>
      <c r="R1211" s="50"/>
      <c r="S1211" s="50"/>
      <c r="T1211" s="50"/>
      <c r="U1211" s="50"/>
      <c r="V1211" s="50"/>
      <c r="W1211" s="50"/>
      <c r="X1211" s="50"/>
      <c r="Y1211" s="50"/>
      <c r="Z1211" s="50"/>
    </row>
    <row r="1212" spans="1:26" ht="12.75" x14ac:dyDescent="0.2">
      <c r="A1212" s="50"/>
      <c r="B1212" s="50"/>
      <c r="C1212" s="50"/>
      <c r="D1212" s="50"/>
      <c r="E1212" s="50"/>
      <c r="F1212" s="50"/>
      <c r="G1212" s="50"/>
      <c r="H1212" s="50"/>
      <c r="I1212" s="50"/>
      <c r="J1212" s="50"/>
      <c r="K1212" s="50"/>
      <c r="L1212" s="50"/>
      <c r="M1212" s="50"/>
      <c r="N1212" s="50"/>
      <c r="O1212" s="50"/>
      <c r="P1212" s="50"/>
      <c r="Q1212" s="50"/>
      <c r="R1212" s="50"/>
      <c r="S1212" s="50"/>
      <c r="T1212" s="50"/>
      <c r="U1212" s="50"/>
      <c r="V1212" s="50"/>
      <c r="W1212" s="50"/>
      <c r="X1212" s="50"/>
      <c r="Y1212" s="50"/>
      <c r="Z1212" s="50"/>
    </row>
    <row r="1213" spans="1:26" ht="12.75" x14ac:dyDescent="0.2">
      <c r="A1213" s="50"/>
      <c r="B1213" s="50"/>
      <c r="C1213" s="50"/>
      <c r="D1213" s="50"/>
      <c r="E1213" s="50"/>
      <c r="F1213" s="50"/>
      <c r="G1213" s="50"/>
      <c r="H1213" s="50"/>
      <c r="I1213" s="50"/>
      <c r="J1213" s="50"/>
      <c r="K1213" s="50"/>
      <c r="L1213" s="50"/>
      <c r="M1213" s="50"/>
      <c r="N1213" s="50"/>
      <c r="O1213" s="50"/>
      <c r="P1213" s="50"/>
      <c r="Q1213" s="50"/>
      <c r="R1213" s="50"/>
      <c r="S1213" s="50"/>
      <c r="T1213" s="50"/>
      <c r="U1213" s="50"/>
      <c r="V1213" s="50"/>
      <c r="W1213" s="50"/>
      <c r="X1213" s="50"/>
      <c r="Y1213" s="50"/>
      <c r="Z1213" s="50"/>
    </row>
    <row r="1214" spans="1:26" ht="12.75" x14ac:dyDescent="0.2">
      <c r="A1214" s="50"/>
      <c r="B1214" s="50"/>
      <c r="C1214" s="50"/>
      <c r="D1214" s="50"/>
      <c r="E1214" s="50"/>
      <c r="F1214" s="50"/>
      <c r="G1214" s="50"/>
      <c r="H1214" s="50"/>
      <c r="I1214" s="50"/>
      <c r="J1214" s="50"/>
      <c r="K1214" s="50"/>
      <c r="L1214" s="50"/>
      <c r="M1214" s="50"/>
      <c r="N1214" s="50"/>
      <c r="O1214" s="50"/>
      <c r="P1214" s="50"/>
      <c r="Q1214" s="50"/>
      <c r="R1214" s="50"/>
      <c r="S1214" s="50"/>
      <c r="T1214" s="50"/>
      <c r="U1214" s="50"/>
      <c r="V1214" s="50"/>
      <c r="W1214" s="50"/>
      <c r="X1214" s="50"/>
      <c r="Y1214" s="50"/>
      <c r="Z1214" s="50"/>
    </row>
    <row r="1215" spans="1:26" ht="12.75" x14ac:dyDescent="0.2">
      <c r="A1215" s="50"/>
      <c r="B1215" s="50"/>
      <c r="C1215" s="50"/>
      <c r="D1215" s="50"/>
      <c r="E1215" s="50"/>
      <c r="F1215" s="50"/>
      <c r="G1215" s="50"/>
      <c r="H1215" s="50"/>
      <c r="I1215" s="50"/>
      <c r="J1215" s="50"/>
      <c r="K1215" s="50"/>
      <c r="L1215" s="50"/>
      <c r="M1215" s="50"/>
      <c r="N1215" s="50"/>
      <c r="O1215" s="50"/>
      <c r="P1215" s="50"/>
      <c r="Q1215" s="50"/>
      <c r="R1215" s="50"/>
      <c r="S1215" s="50"/>
      <c r="T1215" s="50"/>
      <c r="U1215" s="50"/>
      <c r="V1215" s="50"/>
      <c r="W1215" s="50"/>
      <c r="X1215" s="50"/>
      <c r="Y1215" s="50"/>
      <c r="Z1215" s="50"/>
    </row>
    <row r="1216" spans="1:26" ht="12.75" x14ac:dyDescent="0.2">
      <c r="A1216" s="50"/>
      <c r="B1216" s="50"/>
      <c r="C1216" s="50"/>
      <c r="D1216" s="50"/>
      <c r="E1216" s="50"/>
      <c r="F1216" s="50"/>
      <c r="G1216" s="50"/>
      <c r="H1216" s="50"/>
      <c r="I1216" s="50"/>
      <c r="J1216" s="50"/>
      <c r="K1216" s="50"/>
      <c r="L1216" s="50"/>
      <c r="M1216" s="50"/>
      <c r="N1216" s="50"/>
      <c r="O1216" s="50"/>
      <c r="P1216" s="50"/>
      <c r="Q1216" s="50"/>
      <c r="R1216" s="50"/>
      <c r="S1216" s="50"/>
      <c r="T1216" s="50"/>
      <c r="U1216" s="50"/>
      <c r="V1216" s="50"/>
      <c r="W1216" s="50"/>
      <c r="X1216" s="50"/>
      <c r="Y1216" s="50"/>
      <c r="Z1216" s="50"/>
    </row>
    <row r="1217" spans="1:26" ht="12.75" x14ac:dyDescent="0.2">
      <c r="A1217" s="50"/>
      <c r="B1217" s="50"/>
      <c r="C1217" s="50"/>
      <c r="D1217" s="50"/>
      <c r="E1217" s="50"/>
      <c r="F1217" s="50"/>
      <c r="G1217" s="50"/>
      <c r="H1217" s="50"/>
      <c r="I1217" s="50"/>
      <c r="J1217" s="50"/>
      <c r="K1217" s="50"/>
      <c r="L1217" s="50"/>
      <c r="M1217" s="50"/>
      <c r="N1217" s="50"/>
      <c r="O1217" s="50"/>
      <c r="P1217" s="50"/>
      <c r="Q1217" s="50"/>
      <c r="R1217" s="50"/>
      <c r="S1217" s="50"/>
      <c r="T1217" s="50"/>
      <c r="U1217" s="50"/>
      <c r="V1217" s="50"/>
      <c r="W1217" s="50"/>
      <c r="X1217" s="50"/>
      <c r="Y1217" s="50"/>
      <c r="Z1217" s="50"/>
    </row>
    <row r="1218" spans="1:26" ht="12.75" x14ac:dyDescent="0.2">
      <c r="A1218" s="50"/>
      <c r="B1218" s="50"/>
      <c r="C1218" s="50"/>
      <c r="D1218" s="50"/>
      <c r="E1218" s="50"/>
      <c r="F1218" s="50"/>
      <c r="G1218" s="50"/>
      <c r="H1218" s="50"/>
      <c r="I1218" s="50"/>
      <c r="J1218" s="50"/>
      <c r="K1218" s="50"/>
      <c r="L1218" s="50"/>
      <c r="M1218" s="50"/>
      <c r="N1218" s="50"/>
      <c r="O1218" s="50"/>
      <c r="P1218" s="50"/>
      <c r="Q1218" s="50"/>
      <c r="R1218" s="50"/>
      <c r="S1218" s="50"/>
      <c r="T1218" s="50"/>
      <c r="U1218" s="50"/>
      <c r="V1218" s="50"/>
      <c r="W1218" s="50"/>
      <c r="X1218" s="50"/>
      <c r="Y1218" s="50"/>
      <c r="Z1218" s="50"/>
    </row>
    <row r="1219" spans="1:26" ht="12.75" x14ac:dyDescent="0.2">
      <c r="A1219" s="50"/>
      <c r="B1219" s="50"/>
      <c r="C1219" s="50"/>
      <c r="D1219" s="50"/>
      <c r="E1219" s="50"/>
      <c r="F1219" s="50"/>
      <c r="G1219" s="50"/>
      <c r="H1219" s="50"/>
      <c r="I1219" s="50"/>
      <c r="J1219" s="50"/>
      <c r="K1219" s="50"/>
      <c r="L1219" s="50"/>
      <c r="M1219" s="50"/>
      <c r="N1219" s="50"/>
      <c r="O1219" s="50"/>
      <c r="P1219" s="50"/>
      <c r="Q1219" s="50"/>
      <c r="R1219" s="50"/>
      <c r="S1219" s="50"/>
      <c r="T1219" s="50"/>
      <c r="U1219" s="50"/>
      <c r="V1219" s="50"/>
      <c r="W1219" s="50"/>
      <c r="X1219" s="50"/>
      <c r="Y1219" s="50"/>
      <c r="Z1219" s="50"/>
    </row>
    <row r="1220" spans="1:26" ht="12.75" x14ac:dyDescent="0.2">
      <c r="A1220" s="50"/>
      <c r="B1220" s="50"/>
      <c r="C1220" s="50"/>
      <c r="D1220" s="50"/>
      <c r="E1220" s="50"/>
      <c r="F1220" s="50"/>
      <c r="G1220" s="50"/>
      <c r="H1220" s="50"/>
      <c r="I1220" s="50"/>
      <c r="J1220" s="50"/>
      <c r="K1220" s="50"/>
      <c r="L1220" s="50"/>
      <c r="M1220" s="50"/>
      <c r="N1220" s="50"/>
      <c r="O1220" s="50"/>
      <c r="P1220" s="50"/>
      <c r="Q1220" s="50"/>
      <c r="R1220" s="50"/>
      <c r="S1220" s="50"/>
      <c r="T1220" s="50"/>
      <c r="U1220" s="50"/>
      <c r="V1220" s="50"/>
      <c r="W1220" s="50"/>
      <c r="X1220" s="50"/>
      <c r="Y1220" s="50"/>
      <c r="Z1220" s="50"/>
    </row>
    <row r="1221" spans="1:26" ht="12.75" x14ac:dyDescent="0.2">
      <c r="A1221" s="50"/>
      <c r="B1221" s="50"/>
      <c r="C1221" s="50"/>
      <c r="D1221" s="50"/>
      <c r="E1221" s="50"/>
      <c r="F1221" s="50"/>
      <c r="G1221" s="50"/>
      <c r="H1221" s="50"/>
      <c r="I1221" s="50"/>
      <c r="J1221" s="50"/>
      <c r="K1221" s="50"/>
      <c r="L1221" s="50"/>
      <c r="M1221" s="50"/>
      <c r="N1221" s="50"/>
      <c r="O1221" s="50"/>
      <c r="P1221" s="50"/>
      <c r="Q1221" s="50"/>
      <c r="R1221" s="50"/>
      <c r="S1221" s="50"/>
      <c r="T1221" s="50"/>
      <c r="U1221" s="50"/>
      <c r="V1221" s="50"/>
      <c r="W1221" s="50"/>
      <c r="X1221" s="50"/>
      <c r="Y1221" s="50"/>
      <c r="Z1221" s="50"/>
    </row>
    <row r="1222" spans="1:26" ht="12.75" x14ac:dyDescent="0.2">
      <c r="A1222" s="50"/>
      <c r="B1222" s="50"/>
      <c r="C1222" s="50"/>
      <c r="D1222" s="50"/>
      <c r="E1222" s="50"/>
      <c r="F1222" s="50"/>
      <c r="G1222" s="50"/>
      <c r="H1222" s="50"/>
      <c r="I1222" s="50"/>
      <c r="J1222" s="50"/>
      <c r="K1222" s="50"/>
      <c r="L1222" s="50"/>
      <c r="M1222" s="50"/>
      <c r="N1222" s="50"/>
      <c r="O1222" s="50"/>
      <c r="P1222" s="50"/>
      <c r="Q1222" s="50"/>
      <c r="R1222" s="50"/>
      <c r="S1222" s="50"/>
      <c r="T1222" s="50"/>
      <c r="U1222" s="50"/>
      <c r="V1222" s="50"/>
      <c r="W1222" s="50"/>
      <c r="X1222" s="50"/>
      <c r="Y1222" s="50"/>
      <c r="Z1222" s="50"/>
    </row>
    <row r="1223" spans="1:26" ht="12.75" x14ac:dyDescent="0.2">
      <c r="A1223" s="50"/>
      <c r="B1223" s="50"/>
      <c r="C1223" s="50"/>
      <c r="D1223" s="50"/>
      <c r="E1223" s="50"/>
      <c r="F1223" s="50"/>
      <c r="G1223" s="50"/>
      <c r="H1223" s="50"/>
      <c r="I1223" s="50"/>
      <c r="J1223" s="50"/>
      <c r="K1223" s="50"/>
      <c r="L1223" s="50"/>
      <c r="M1223" s="50"/>
      <c r="N1223" s="50"/>
      <c r="O1223" s="50"/>
      <c r="P1223" s="50"/>
      <c r="Q1223" s="50"/>
      <c r="R1223" s="50"/>
      <c r="S1223" s="50"/>
      <c r="T1223" s="50"/>
      <c r="U1223" s="50"/>
      <c r="V1223" s="50"/>
      <c r="W1223" s="50"/>
      <c r="X1223" s="50"/>
      <c r="Y1223" s="50"/>
      <c r="Z1223" s="50"/>
    </row>
    <row r="1224" spans="1:26" ht="12.75" x14ac:dyDescent="0.2">
      <c r="A1224" s="50"/>
      <c r="B1224" s="50"/>
      <c r="C1224" s="50"/>
      <c r="D1224" s="50"/>
      <c r="E1224" s="50"/>
      <c r="F1224" s="50"/>
      <c r="G1224" s="50"/>
      <c r="H1224" s="50"/>
      <c r="I1224" s="50"/>
      <c r="J1224" s="50"/>
      <c r="K1224" s="50"/>
      <c r="L1224" s="50"/>
      <c r="M1224" s="50"/>
      <c r="N1224" s="50"/>
      <c r="O1224" s="50"/>
      <c r="P1224" s="50"/>
      <c r="Q1224" s="50"/>
      <c r="R1224" s="50"/>
      <c r="S1224" s="50"/>
      <c r="T1224" s="50"/>
      <c r="U1224" s="50"/>
      <c r="V1224" s="50"/>
      <c r="W1224" s="50"/>
      <c r="X1224" s="50"/>
      <c r="Y1224" s="50"/>
      <c r="Z1224" s="50"/>
    </row>
    <row r="1225" spans="1:26" ht="12.75" x14ac:dyDescent="0.2">
      <c r="A1225" s="50"/>
      <c r="B1225" s="50"/>
      <c r="C1225" s="50"/>
      <c r="D1225" s="50"/>
      <c r="E1225" s="50"/>
      <c r="F1225" s="50"/>
      <c r="G1225" s="50"/>
      <c r="H1225" s="50"/>
      <c r="I1225" s="50"/>
      <c r="J1225" s="50"/>
      <c r="K1225" s="50"/>
      <c r="L1225" s="50"/>
      <c r="M1225" s="50"/>
      <c r="N1225" s="50"/>
      <c r="O1225" s="50"/>
      <c r="P1225" s="50"/>
      <c r="Q1225" s="50"/>
      <c r="R1225" s="50"/>
      <c r="S1225" s="50"/>
      <c r="T1225" s="50"/>
      <c r="U1225" s="50"/>
      <c r="V1225" s="50"/>
      <c r="W1225" s="50"/>
      <c r="X1225" s="50"/>
      <c r="Y1225" s="50"/>
      <c r="Z1225" s="50"/>
    </row>
    <row r="1226" spans="1:26" ht="12.75" x14ac:dyDescent="0.2">
      <c r="A1226" s="50"/>
      <c r="B1226" s="50"/>
      <c r="C1226" s="50"/>
      <c r="D1226" s="50"/>
      <c r="E1226" s="50"/>
      <c r="F1226" s="50"/>
      <c r="G1226" s="50"/>
      <c r="H1226" s="50"/>
      <c r="I1226" s="50"/>
      <c r="J1226" s="50"/>
      <c r="K1226" s="50"/>
      <c r="L1226" s="50"/>
      <c r="M1226" s="50"/>
      <c r="N1226" s="50"/>
      <c r="O1226" s="50"/>
      <c r="P1226" s="50"/>
      <c r="Q1226" s="50"/>
      <c r="R1226" s="50"/>
      <c r="S1226" s="50"/>
      <c r="T1226" s="50"/>
      <c r="U1226" s="50"/>
      <c r="V1226" s="50"/>
      <c r="W1226" s="50"/>
      <c r="X1226" s="50"/>
      <c r="Y1226" s="50"/>
      <c r="Z1226" s="50"/>
    </row>
    <row r="1227" spans="1:26" ht="12.75" x14ac:dyDescent="0.2">
      <c r="A1227" s="50"/>
      <c r="B1227" s="50"/>
      <c r="C1227" s="50"/>
      <c r="D1227" s="50"/>
      <c r="E1227" s="50"/>
      <c r="F1227" s="50"/>
      <c r="G1227" s="50"/>
      <c r="H1227" s="50"/>
      <c r="I1227" s="50"/>
      <c r="J1227" s="50"/>
      <c r="K1227" s="50"/>
      <c r="L1227" s="50"/>
      <c r="M1227" s="50"/>
      <c r="N1227" s="50"/>
      <c r="O1227" s="50"/>
      <c r="P1227" s="50"/>
      <c r="Q1227" s="50"/>
      <c r="R1227" s="50"/>
      <c r="S1227" s="50"/>
      <c r="T1227" s="50"/>
      <c r="U1227" s="50"/>
      <c r="V1227" s="50"/>
      <c r="W1227" s="50"/>
      <c r="X1227" s="50"/>
      <c r="Y1227" s="50"/>
      <c r="Z1227" s="50"/>
    </row>
    <row r="1228" spans="1:26" ht="12.75" x14ac:dyDescent="0.2">
      <c r="A1228" s="50"/>
      <c r="B1228" s="50"/>
      <c r="C1228" s="50"/>
      <c r="D1228" s="50"/>
      <c r="E1228" s="50"/>
      <c r="F1228" s="50"/>
      <c r="G1228" s="50"/>
      <c r="H1228" s="50"/>
      <c r="I1228" s="50"/>
      <c r="J1228" s="50"/>
      <c r="K1228" s="50"/>
      <c r="L1228" s="50"/>
      <c r="M1228" s="50"/>
      <c r="N1228" s="50"/>
      <c r="O1228" s="50"/>
      <c r="P1228" s="50"/>
      <c r="Q1228" s="50"/>
      <c r="R1228" s="50"/>
      <c r="S1228" s="50"/>
      <c r="T1228" s="50"/>
      <c r="U1228" s="50"/>
      <c r="V1228" s="50"/>
      <c r="W1228" s="50"/>
      <c r="X1228" s="50"/>
      <c r="Y1228" s="50"/>
      <c r="Z1228" s="50"/>
    </row>
    <row r="1229" spans="1:26" ht="12.75" x14ac:dyDescent="0.2">
      <c r="A1229" s="50"/>
      <c r="B1229" s="50"/>
      <c r="C1229" s="50"/>
      <c r="D1229" s="50"/>
      <c r="E1229" s="50"/>
      <c r="F1229" s="50"/>
      <c r="G1229" s="50"/>
      <c r="H1229" s="50"/>
      <c r="I1229" s="50"/>
      <c r="J1229" s="50"/>
      <c r="K1229" s="50"/>
      <c r="L1229" s="50"/>
      <c r="M1229" s="50"/>
      <c r="N1229" s="50"/>
      <c r="O1229" s="50"/>
      <c r="P1229" s="50"/>
      <c r="Q1229" s="50"/>
      <c r="R1229" s="50"/>
      <c r="S1229" s="50"/>
      <c r="T1229" s="50"/>
      <c r="U1229" s="50"/>
      <c r="V1229" s="50"/>
      <c r="W1229" s="50"/>
      <c r="X1229" s="50"/>
      <c r="Y1229" s="50"/>
      <c r="Z1229" s="50"/>
    </row>
    <row r="1230" spans="1:26" ht="12.75" x14ac:dyDescent="0.2">
      <c r="A1230" s="50"/>
      <c r="B1230" s="50"/>
      <c r="C1230" s="50"/>
      <c r="D1230" s="50"/>
      <c r="E1230" s="50"/>
      <c r="F1230" s="50"/>
      <c r="G1230" s="50"/>
      <c r="H1230" s="50"/>
      <c r="I1230" s="50"/>
      <c r="J1230" s="50"/>
      <c r="K1230" s="50"/>
      <c r="L1230" s="50"/>
      <c r="M1230" s="50"/>
      <c r="N1230" s="50"/>
      <c r="O1230" s="50"/>
      <c r="P1230" s="50"/>
      <c r="Q1230" s="50"/>
      <c r="R1230" s="50"/>
      <c r="S1230" s="50"/>
      <c r="T1230" s="50"/>
      <c r="U1230" s="50"/>
      <c r="V1230" s="50"/>
      <c r="W1230" s="50"/>
      <c r="X1230" s="50"/>
      <c r="Y1230" s="50"/>
      <c r="Z1230" s="50"/>
    </row>
    <row r="1231" spans="1:26" ht="12.75" x14ac:dyDescent="0.2">
      <c r="A1231" s="50"/>
      <c r="B1231" s="50"/>
      <c r="C1231" s="50"/>
      <c r="D1231" s="50"/>
      <c r="E1231" s="50"/>
      <c r="F1231" s="50"/>
      <c r="G1231" s="50"/>
      <c r="H1231" s="50"/>
      <c r="I1231" s="50"/>
      <c r="J1231" s="50"/>
      <c r="K1231" s="50"/>
      <c r="L1231" s="50"/>
      <c r="M1231" s="50"/>
      <c r="N1231" s="50"/>
      <c r="O1231" s="50"/>
      <c r="P1231" s="50"/>
      <c r="Q1231" s="50"/>
      <c r="R1231" s="50"/>
      <c r="S1231" s="50"/>
      <c r="T1231" s="50"/>
      <c r="U1231" s="50"/>
      <c r="V1231" s="50"/>
      <c r="W1231" s="50"/>
      <c r="X1231" s="50"/>
      <c r="Y1231" s="50"/>
      <c r="Z1231" s="50"/>
    </row>
    <row r="1232" spans="1:26" ht="12.75" x14ac:dyDescent="0.2">
      <c r="A1232" s="50"/>
      <c r="B1232" s="50"/>
      <c r="C1232" s="50"/>
      <c r="D1232" s="50"/>
      <c r="E1232" s="50"/>
      <c r="F1232" s="50"/>
      <c r="G1232" s="50"/>
      <c r="H1232" s="50"/>
      <c r="I1232" s="50"/>
      <c r="J1232" s="50"/>
      <c r="K1232" s="50"/>
      <c r="L1232" s="50"/>
      <c r="M1232" s="50"/>
      <c r="N1232" s="50"/>
      <c r="O1232" s="50"/>
      <c r="P1232" s="50"/>
      <c r="Q1232" s="50"/>
      <c r="R1232" s="50"/>
      <c r="S1232" s="50"/>
      <c r="T1232" s="50"/>
      <c r="U1232" s="50"/>
      <c r="V1232" s="50"/>
      <c r="W1232" s="50"/>
      <c r="X1232" s="50"/>
      <c r="Y1232" s="50"/>
      <c r="Z1232" s="50"/>
    </row>
    <row r="1233" spans="1:26" ht="12.75" x14ac:dyDescent="0.2">
      <c r="A1233" s="50"/>
      <c r="B1233" s="50"/>
      <c r="C1233" s="50"/>
      <c r="D1233" s="50"/>
      <c r="E1233" s="50"/>
      <c r="F1233" s="50"/>
      <c r="G1233" s="50"/>
      <c r="H1233" s="50"/>
      <c r="I1233" s="50"/>
      <c r="J1233" s="50"/>
      <c r="K1233" s="50"/>
      <c r="L1233" s="50"/>
      <c r="M1233" s="50"/>
      <c r="N1233" s="50"/>
      <c r="O1233" s="50"/>
      <c r="P1233" s="50"/>
      <c r="Q1233" s="50"/>
      <c r="R1233" s="50"/>
      <c r="S1233" s="50"/>
      <c r="T1233" s="50"/>
      <c r="U1233" s="50"/>
      <c r="V1233" s="50"/>
      <c r="W1233" s="50"/>
      <c r="X1233" s="50"/>
      <c r="Y1233" s="50"/>
      <c r="Z1233" s="50"/>
    </row>
    <row r="1234" spans="1:26" ht="12.75" x14ac:dyDescent="0.2">
      <c r="A1234" s="50"/>
      <c r="B1234" s="50"/>
      <c r="C1234" s="50"/>
      <c r="D1234" s="50"/>
      <c r="E1234" s="50"/>
      <c r="F1234" s="50"/>
      <c r="G1234" s="50"/>
      <c r="H1234" s="50"/>
      <c r="I1234" s="50"/>
      <c r="J1234" s="50"/>
      <c r="K1234" s="50"/>
      <c r="L1234" s="50"/>
      <c r="M1234" s="50"/>
      <c r="N1234" s="50"/>
      <c r="O1234" s="50"/>
      <c r="P1234" s="50"/>
      <c r="Q1234" s="50"/>
      <c r="R1234" s="50"/>
      <c r="S1234" s="50"/>
      <c r="T1234" s="50"/>
      <c r="U1234" s="50"/>
      <c r="V1234" s="50"/>
      <c r="W1234" s="50"/>
      <c r="X1234" s="50"/>
      <c r="Y1234" s="50"/>
      <c r="Z1234" s="50"/>
    </row>
    <row r="1235" spans="1:26" ht="12.75" x14ac:dyDescent="0.2">
      <c r="A1235" s="50"/>
      <c r="B1235" s="50"/>
      <c r="C1235" s="50"/>
      <c r="D1235" s="50"/>
      <c r="E1235" s="50"/>
      <c r="F1235" s="50"/>
      <c r="G1235" s="50"/>
      <c r="H1235" s="50"/>
      <c r="I1235" s="50"/>
      <c r="J1235" s="50"/>
      <c r="K1235" s="50"/>
      <c r="L1235" s="50"/>
      <c r="M1235" s="50"/>
      <c r="N1235" s="50"/>
      <c r="O1235" s="50"/>
      <c r="P1235" s="50"/>
      <c r="Q1235" s="50"/>
      <c r="R1235" s="50"/>
      <c r="S1235" s="50"/>
      <c r="T1235" s="50"/>
      <c r="U1235" s="50"/>
      <c r="V1235" s="50"/>
      <c r="W1235" s="50"/>
      <c r="X1235" s="50"/>
      <c r="Y1235" s="50"/>
      <c r="Z1235" s="50"/>
    </row>
    <row r="1236" spans="1:26" ht="12.75" x14ac:dyDescent="0.2">
      <c r="A1236" s="50"/>
      <c r="B1236" s="50"/>
      <c r="C1236" s="50"/>
      <c r="D1236" s="50"/>
      <c r="E1236" s="50"/>
      <c r="F1236" s="50"/>
      <c r="G1236" s="50"/>
      <c r="H1236" s="50"/>
      <c r="I1236" s="50"/>
      <c r="J1236" s="50"/>
      <c r="K1236" s="50"/>
      <c r="L1236" s="50"/>
      <c r="M1236" s="50"/>
      <c r="N1236" s="50"/>
      <c r="O1236" s="50"/>
      <c r="P1236" s="50"/>
      <c r="Q1236" s="50"/>
      <c r="R1236" s="50"/>
      <c r="S1236" s="50"/>
      <c r="T1236" s="50"/>
      <c r="U1236" s="50"/>
      <c r="V1236" s="50"/>
      <c r="W1236" s="50"/>
      <c r="X1236" s="50"/>
      <c r="Y1236" s="50"/>
      <c r="Z1236" s="50"/>
    </row>
    <row r="1237" spans="1:26" ht="12.75" x14ac:dyDescent="0.2">
      <c r="A1237" s="50"/>
      <c r="B1237" s="50"/>
      <c r="C1237" s="50"/>
      <c r="D1237" s="50"/>
      <c r="E1237" s="50"/>
      <c r="F1237" s="50"/>
      <c r="G1237" s="50"/>
      <c r="H1237" s="50"/>
      <c r="I1237" s="50"/>
      <c r="J1237" s="50"/>
      <c r="K1237" s="50"/>
      <c r="L1237" s="50"/>
      <c r="M1237" s="50"/>
      <c r="N1237" s="50"/>
      <c r="O1237" s="50"/>
      <c r="P1237" s="50"/>
      <c r="Q1237" s="50"/>
      <c r="R1237" s="50"/>
      <c r="S1237" s="50"/>
      <c r="T1237" s="50"/>
      <c r="U1237" s="50"/>
      <c r="V1237" s="50"/>
      <c r="W1237" s="50"/>
      <c r="X1237" s="50"/>
      <c r="Y1237" s="50"/>
      <c r="Z1237" s="50"/>
    </row>
    <row r="1238" spans="1:26" ht="12.75" x14ac:dyDescent="0.2">
      <c r="A1238" s="50"/>
      <c r="B1238" s="50"/>
      <c r="C1238" s="50"/>
      <c r="D1238" s="50"/>
      <c r="E1238" s="50"/>
      <c r="F1238" s="50"/>
      <c r="G1238" s="50"/>
      <c r="H1238" s="50"/>
      <c r="I1238" s="50"/>
      <c r="J1238" s="50"/>
      <c r="K1238" s="50"/>
      <c r="L1238" s="50"/>
      <c r="M1238" s="50"/>
      <c r="N1238" s="50"/>
      <c r="O1238" s="50"/>
      <c r="P1238" s="50"/>
      <c r="Q1238" s="50"/>
      <c r="R1238" s="50"/>
      <c r="S1238" s="50"/>
      <c r="T1238" s="50"/>
      <c r="U1238" s="50"/>
      <c r="V1238" s="50"/>
      <c r="W1238" s="50"/>
      <c r="X1238" s="50"/>
      <c r="Y1238" s="50"/>
      <c r="Z1238" s="50"/>
    </row>
    <row r="1239" spans="1:26" ht="12.75" x14ac:dyDescent="0.2">
      <c r="A1239" s="50"/>
      <c r="B1239" s="50"/>
      <c r="C1239" s="50"/>
      <c r="D1239" s="50"/>
      <c r="E1239" s="50"/>
      <c r="F1239" s="50"/>
      <c r="G1239" s="50"/>
      <c r="H1239" s="50"/>
      <c r="I1239" s="50"/>
      <c r="J1239" s="50"/>
      <c r="K1239" s="50"/>
      <c r="L1239" s="50"/>
      <c r="M1239" s="50"/>
      <c r="N1239" s="50"/>
      <c r="O1239" s="50"/>
      <c r="P1239" s="50"/>
      <c r="Q1239" s="50"/>
      <c r="R1239" s="50"/>
      <c r="S1239" s="50"/>
      <c r="T1239" s="50"/>
      <c r="U1239" s="50"/>
      <c r="V1239" s="50"/>
      <c r="W1239" s="50"/>
      <c r="X1239" s="50"/>
      <c r="Y1239" s="50"/>
      <c r="Z1239" s="50"/>
    </row>
    <row r="1240" spans="1:26" ht="12.75" x14ac:dyDescent="0.2">
      <c r="A1240" s="50"/>
      <c r="B1240" s="50"/>
      <c r="C1240" s="50"/>
      <c r="D1240" s="50"/>
      <c r="E1240" s="50"/>
      <c r="F1240" s="50"/>
      <c r="G1240" s="50"/>
      <c r="H1240" s="50"/>
      <c r="I1240" s="50"/>
      <c r="J1240" s="50"/>
      <c r="K1240" s="50"/>
      <c r="L1240" s="50"/>
      <c r="M1240" s="50"/>
      <c r="N1240" s="50"/>
      <c r="O1240" s="50"/>
      <c r="P1240" s="50"/>
      <c r="Q1240" s="50"/>
      <c r="R1240" s="50"/>
      <c r="S1240" s="50"/>
      <c r="T1240" s="50"/>
      <c r="U1240" s="50"/>
      <c r="V1240" s="50"/>
      <c r="W1240" s="50"/>
      <c r="X1240" s="50"/>
      <c r="Y1240" s="50"/>
      <c r="Z1240" s="50"/>
    </row>
    <row r="1241" spans="1:26" ht="12.75" x14ac:dyDescent="0.2">
      <c r="A1241" s="50"/>
      <c r="B1241" s="50"/>
      <c r="C1241" s="50"/>
      <c r="D1241" s="50"/>
      <c r="E1241" s="50"/>
      <c r="F1241" s="50"/>
      <c r="G1241" s="50"/>
      <c r="H1241" s="50"/>
      <c r="I1241" s="50"/>
      <c r="J1241" s="50"/>
      <c r="K1241" s="50"/>
      <c r="L1241" s="50"/>
      <c r="M1241" s="50"/>
      <c r="N1241" s="50"/>
      <c r="O1241" s="50"/>
      <c r="P1241" s="50"/>
      <c r="Q1241" s="50"/>
      <c r="R1241" s="50"/>
      <c r="S1241" s="50"/>
      <c r="T1241" s="50"/>
      <c r="U1241" s="50"/>
      <c r="V1241" s="50"/>
      <c r="W1241" s="50"/>
      <c r="X1241" s="50"/>
      <c r="Y1241" s="50"/>
      <c r="Z1241" s="50"/>
    </row>
    <row r="1242" spans="1:26" ht="12.75" x14ac:dyDescent="0.2">
      <c r="A1242" s="50"/>
      <c r="B1242" s="50"/>
      <c r="C1242" s="50"/>
      <c r="D1242" s="50"/>
      <c r="E1242" s="50"/>
      <c r="F1242" s="50"/>
      <c r="G1242" s="50"/>
      <c r="H1242" s="50"/>
      <c r="I1242" s="50"/>
      <c r="J1242" s="50"/>
      <c r="K1242" s="50"/>
      <c r="L1242" s="50"/>
      <c r="M1242" s="50"/>
      <c r="N1242" s="50"/>
      <c r="O1242" s="50"/>
      <c r="P1242" s="50"/>
      <c r="Q1242" s="50"/>
      <c r="R1242" s="50"/>
      <c r="S1242" s="50"/>
      <c r="T1242" s="50"/>
      <c r="U1242" s="50"/>
      <c r="V1242" s="50"/>
      <c r="W1242" s="50"/>
      <c r="X1242" s="50"/>
      <c r="Y1242" s="50"/>
      <c r="Z1242" s="50"/>
    </row>
    <row r="1243" spans="1:26" ht="12.75" x14ac:dyDescent="0.2">
      <c r="A1243" s="50"/>
      <c r="B1243" s="50"/>
      <c r="C1243" s="50"/>
      <c r="D1243" s="50"/>
      <c r="E1243" s="50"/>
      <c r="F1243" s="50"/>
      <c r="G1243" s="50"/>
      <c r="H1243" s="50"/>
      <c r="I1243" s="50"/>
      <c r="J1243" s="50"/>
      <c r="K1243" s="50"/>
      <c r="L1243" s="50"/>
      <c r="M1243" s="50"/>
      <c r="N1243" s="50"/>
      <c r="O1243" s="50"/>
      <c r="P1243" s="50"/>
      <c r="Q1243" s="50"/>
      <c r="R1243" s="50"/>
      <c r="S1243" s="50"/>
      <c r="T1243" s="50"/>
      <c r="U1243" s="50"/>
      <c r="V1243" s="50"/>
      <c r="W1243" s="50"/>
      <c r="X1243" s="50"/>
      <c r="Y1243" s="50"/>
      <c r="Z1243" s="50"/>
    </row>
    <row r="1244" spans="1:26" ht="12.75" x14ac:dyDescent="0.2">
      <c r="A1244" s="50"/>
      <c r="B1244" s="50"/>
      <c r="C1244" s="50"/>
      <c r="D1244" s="50"/>
      <c r="E1244" s="50"/>
      <c r="F1244" s="50"/>
      <c r="G1244" s="50"/>
      <c r="H1244" s="50"/>
      <c r="I1244" s="50"/>
      <c r="J1244" s="50"/>
      <c r="K1244" s="50"/>
      <c r="L1244" s="50"/>
      <c r="M1244" s="50"/>
      <c r="N1244" s="50"/>
      <c r="O1244" s="50"/>
      <c r="P1244" s="50"/>
      <c r="Q1244" s="50"/>
      <c r="R1244" s="50"/>
      <c r="S1244" s="50"/>
      <c r="T1244" s="50"/>
      <c r="U1244" s="50"/>
      <c r="V1244" s="50"/>
      <c r="W1244" s="50"/>
      <c r="X1244" s="50"/>
      <c r="Y1244" s="50"/>
      <c r="Z1244" s="50"/>
    </row>
    <row r="1245" spans="1:26" ht="12.75" x14ac:dyDescent="0.2">
      <c r="A1245" s="50"/>
      <c r="B1245" s="50"/>
      <c r="C1245" s="50"/>
      <c r="D1245" s="50"/>
      <c r="E1245" s="50"/>
      <c r="F1245" s="50"/>
      <c r="G1245" s="50"/>
      <c r="H1245" s="50"/>
      <c r="I1245" s="50"/>
      <c r="J1245" s="50"/>
      <c r="K1245" s="50"/>
      <c r="L1245" s="50"/>
      <c r="M1245" s="50"/>
      <c r="N1245" s="50"/>
      <c r="O1245" s="50"/>
      <c r="P1245" s="50"/>
      <c r="Q1245" s="50"/>
      <c r="R1245" s="50"/>
      <c r="S1245" s="50"/>
      <c r="T1245" s="50"/>
      <c r="U1245" s="50"/>
      <c r="V1245" s="50"/>
      <c r="W1245" s="50"/>
      <c r="X1245" s="50"/>
      <c r="Y1245" s="50"/>
      <c r="Z1245" s="50"/>
    </row>
    <row r="1246" spans="1:26" ht="12.75" x14ac:dyDescent="0.2">
      <c r="A1246" s="50"/>
      <c r="B1246" s="50"/>
      <c r="C1246" s="50"/>
      <c r="D1246" s="50"/>
      <c r="E1246" s="50"/>
      <c r="F1246" s="50"/>
      <c r="G1246" s="50"/>
      <c r="H1246" s="50"/>
      <c r="I1246" s="50"/>
      <c r="J1246" s="50"/>
      <c r="K1246" s="50"/>
      <c r="L1246" s="50"/>
      <c r="M1246" s="50"/>
      <c r="N1246" s="50"/>
      <c r="O1246" s="50"/>
      <c r="P1246" s="50"/>
      <c r="Q1246" s="50"/>
      <c r="R1246" s="50"/>
      <c r="S1246" s="50"/>
      <c r="T1246" s="50"/>
      <c r="U1246" s="50"/>
      <c r="V1246" s="50"/>
      <c r="W1246" s="50"/>
      <c r="X1246" s="50"/>
      <c r="Y1246" s="50"/>
      <c r="Z1246" s="50"/>
    </row>
    <row r="1247" spans="1:26" ht="12.75" x14ac:dyDescent="0.2">
      <c r="A1247" s="50"/>
      <c r="B1247" s="50"/>
      <c r="C1247" s="50"/>
      <c r="D1247" s="50"/>
      <c r="E1247" s="50"/>
      <c r="F1247" s="50"/>
      <c r="G1247" s="50"/>
      <c r="H1247" s="50"/>
      <c r="I1247" s="50"/>
      <c r="J1247" s="50"/>
      <c r="K1247" s="50"/>
      <c r="L1247" s="50"/>
      <c r="M1247" s="50"/>
      <c r="N1247" s="50"/>
      <c r="O1247" s="50"/>
      <c r="P1247" s="50"/>
      <c r="Q1247" s="50"/>
      <c r="R1247" s="50"/>
      <c r="S1247" s="50"/>
      <c r="T1247" s="50"/>
      <c r="U1247" s="50"/>
      <c r="V1247" s="50"/>
      <c r="W1247" s="50"/>
      <c r="X1247" s="50"/>
      <c r="Y1247" s="50"/>
      <c r="Z1247" s="50"/>
    </row>
    <row r="1248" spans="1:26" ht="12.75" x14ac:dyDescent="0.2">
      <c r="A1248" s="50"/>
      <c r="B1248" s="50"/>
      <c r="C1248" s="50"/>
      <c r="D1248" s="50"/>
      <c r="E1248" s="50"/>
      <c r="F1248" s="50"/>
      <c r="G1248" s="50"/>
      <c r="H1248" s="50"/>
      <c r="I1248" s="50"/>
      <c r="J1248" s="50"/>
      <c r="K1248" s="50"/>
      <c r="L1248" s="50"/>
      <c r="M1248" s="50"/>
      <c r="N1248" s="50"/>
      <c r="O1248" s="50"/>
      <c r="P1248" s="50"/>
      <c r="Q1248" s="50"/>
      <c r="R1248" s="50"/>
      <c r="S1248" s="50"/>
      <c r="T1248" s="50"/>
      <c r="U1248" s="50"/>
      <c r="V1248" s="50"/>
      <c r="W1248" s="50"/>
      <c r="X1248" s="50"/>
      <c r="Y1248" s="50"/>
      <c r="Z1248" s="50"/>
    </row>
    <row r="1249" spans="1:26" ht="12.75" x14ac:dyDescent="0.2">
      <c r="A1249" s="50"/>
      <c r="B1249" s="50"/>
      <c r="C1249" s="50"/>
      <c r="D1249" s="50"/>
      <c r="E1249" s="50"/>
      <c r="F1249" s="50"/>
      <c r="G1249" s="50"/>
      <c r="H1249" s="50"/>
      <c r="I1249" s="50"/>
      <c r="J1249" s="50"/>
      <c r="K1249" s="50"/>
      <c r="L1249" s="50"/>
      <c r="M1249" s="50"/>
      <c r="N1249" s="50"/>
      <c r="O1249" s="50"/>
      <c r="P1249" s="50"/>
      <c r="Q1249" s="50"/>
      <c r="R1249" s="50"/>
      <c r="S1249" s="50"/>
      <c r="T1249" s="50"/>
      <c r="U1249" s="50"/>
      <c r="V1249" s="50"/>
      <c r="W1249" s="50"/>
      <c r="X1249" s="50"/>
      <c r="Y1249" s="50"/>
      <c r="Z1249" s="50"/>
    </row>
    <row r="1250" spans="1:26" ht="12.75" x14ac:dyDescent="0.2">
      <c r="A1250" s="50"/>
      <c r="B1250" s="50"/>
      <c r="C1250" s="50"/>
      <c r="D1250" s="50"/>
      <c r="E1250" s="50"/>
      <c r="F1250" s="50"/>
      <c r="G1250" s="50"/>
      <c r="H1250" s="50"/>
      <c r="I1250" s="50"/>
      <c r="J1250" s="50"/>
      <c r="K1250" s="50"/>
      <c r="L1250" s="50"/>
      <c r="M1250" s="50"/>
      <c r="N1250" s="50"/>
      <c r="O1250" s="50"/>
      <c r="P1250" s="50"/>
      <c r="Q1250" s="50"/>
      <c r="R1250" s="50"/>
      <c r="S1250" s="50"/>
      <c r="T1250" s="50"/>
      <c r="U1250" s="50"/>
      <c r="V1250" s="50"/>
      <c r="W1250" s="50"/>
      <c r="X1250" s="50"/>
      <c r="Y1250" s="50"/>
      <c r="Z1250" s="50"/>
    </row>
    <row r="1251" spans="1:26" ht="12.75" x14ac:dyDescent="0.2">
      <c r="A1251" s="50"/>
      <c r="B1251" s="50"/>
      <c r="C1251" s="50"/>
      <c r="D1251" s="50"/>
      <c r="E1251" s="50"/>
      <c r="F1251" s="50"/>
      <c r="G1251" s="50"/>
      <c r="H1251" s="50"/>
      <c r="I1251" s="50"/>
      <c r="J1251" s="50"/>
      <c r="K1251" s="50"/>
      <c r="L1251" s="50"/>
      <c r="M1251" s="50"/>
      <c r="N1251" s="50"/>
      <c r="O1251" s="50"/>
      <c r="P1251" s="50"/>
      <c r="Q1251" s="50"/>
      <c r="R1251" s="50"/>
      <c r="S1251" s="50"/>
      <c r="T1251" s="50"/>
      <c r="U1251" s="50"/>
      <c r="V1251" s="50"/>
      <c r="W1251" s="50"/>
      <c r="X1251" s="50"/>
      <c r="Y1251" s="50"/>
      <c r="Z1251" s="50"/>
    </row>
    <row r="1252" spans="1:26" ht="12.75" x14ac:dyDescent="0.2">
      <c r="A1252" s="50"/>
      <c r="B1252" s="50"/>
      <c r="C1252" s="50"/>
      <c r="D1252" s="50"/>
      <c r="E1252" s="50"/>
      <c r="F1252" s="50"/>
      <c r="G1252" s="50"/>
      <c r="H1252" s="50"/>
      <c r="I1252" s="50"/>
      <c r="J1252" s="50"/>
      <c r="K1252" s="50"/>
      <c r="L1252" s="50"/>
      <c r="M1252" s="50"/>
      <c r="N1252" s="50"/>
      <c r="O1252" s="50"/>
      <c r="P1252" s="50"/>
      <c r="Q1252" s="50"/>
      <c r="R1252" s="50"/>
      <c r="S1252" s="50"/>
      <c r="T1252" s="50"/>
      <c r="U1252" s="50"/>
      <c r="V1252" s="50"/>
      <c r="W1252" s="50"/>
      <c r="X1252" s="50"/>
      <c r="Y1252" s="50"/>
      <c r="Z1252" s="50"/>
    </row>
    <row r="1253" spans="1:26" ht="12.75" x14ac:dyDescent="0.2">
      <c r="A1253" s="50"/>
      <c r="B1253" s="50"/>
      <c r="C1253" s="50"/>
      <c r="D1253" s="50"/>
      <c r="E1253" s="50"/>
      <c r="F1253" s="50"/>
      <c r="G1253" s="50"/>
      <c r="H1253" s="50"/>
      <c r="I1253" s="50"/>
      <c r="J1253" s="50"/>
      <c r="K1253" s="50"/>
      <c r="L1253" s="50"/>
      <c r="M1253" s="50"/>
      <c r="N1253" s="50"/>
      <c r="O1253" s="50"/>
      <c r="P1253" s="50"/>
      <c r="Q1253" s="50"/>
      <c r="R1253" s="50"/>
      <c r="S1253" s="50"/>
      <c r="T1253" s="50"/>
      <c r="U1253" s="50"/>
      <c r="V1253" s="50"/>
      <c r="W1253" s="50"/>
      <c r="X1253" s="50"/>
      <c r="Y1253" s="50"/>
      <c r="Z1253" s="50"/>
    </row>
    <row r="1254" spans="1:26" ht="12.75" x14ac:dyDescent="0.2">
      <c r="A1254" s="50"/>
      <c r="B1254" s="50"/>
      <c r="C1254" s="50"/>
      <c r="D1254" s="50"/>
      <c r="E1254" s="50"/>
      <c r="F1254" s="50"/>
      <c r="G1254" s="50"/>
      <c r="H1254" s="50"/>
      <c r="I1254" s="50"/>
      <c r="J1254" s="50"/>
      <c r="K1254" s="50"/>
      <c r="L1254" s="50"/>
      <c r="M1254" s="50"/>
      <c r="N1254" s="50"/>
      <c r="O1254" s="50"/>
      <c r="P1254" s="50"/>
      <c r="Q1254" s="50"/>
      <c r="R1254" s="50"/>
      <c r="S1254" s="50"/>
      <c r="T1254" s="50"/>
      <c r="U1254" s="50"/>
      <c r="V1254" s="50"/>
      <c r="W1254" s="50"/>
      <c r="X1254" s="50"/>
      <c r="Y1254" s="50"/>
      <c r="Z1254" s="50"/>
    </row>
    <row r="1255" spans="1:26" ht="12.75" x14ac:dyDescent="0.2">
      <c r="A1255" s="50"/>
      <c r="B1255" s="50"/>
      <c r="C1255" s="50"/>
      <c r="D1255" s="50"/>
      <c r="E1255" s="50"/>
      <c r="F1255" s="50"/>
      <c r="G1255" s="50"/>
      <c r="H1255" s="50"/>
      <c r="I1255" s="50"/>
      <c r="J1255" s="50"/>
      <c r="K1255" s="50"/>
      <c r="L1255" s="50"/>
      <c r="M1255" s="50"/>
      <c r="N1255" s="50"/>
      <c r="O1255" s="50"/>
      <c r="P1255" s="50"/>
      <c r="Q1255" s="50"/>
      <c r="R1255" s="50"/>
      <c r="S1255" s="50"/>
      <c r="T1255" s="50"/>
      <c r="U1255" s="50"/>
      <c r="V1255" s="50"/>
      <c r="W1255" s="50"/>
      <c r="X1255" s="50"/>
      <c r="Y1255" s="50"/>
      <c r="Z1255" s="50"/>
    </row>
    <row r="1256" spans="1:26" ht="12.75" x14ac:dyDescent="0.2">
      <c r="A1256" s="50"/>
      <c r="B1256" s="50"/>
      <c r="C1256" s="50"/>
      <c r="D1256" s="50"/>
      <c r="E1256" s="50"/>
      <c r="F1256" s="50"/>
      <c r="G1256" s="50"/>
      <c r="H1256" s="50"/>
      <c r="I1256" s="50"/>
      <c r="J1256" s="50"/>
      <c r="K1256" s="50"/>
      <c r="L1256" s="50"/>
      <c r="M1256" s="50"/>
      <c r="N1256" s="50"/>
      <c r="O1256" s="50"/>
      <c r="P1256" s="50"/>
      <c r="Q1256" s="50"/>
      <c r="R1256" s="50"/>
      <c r="S1256" s="50"/>
      <c r="T1256" s="50"/>
      <c r="U1256" s="50"/>
      <c r="V1256" s="50"/>
      <c r="W1256" s="50"/>
      <c r="X1256" s="50"/>
      <c r="Y1256" s="50"/>
      <c r="Z1256" s="50"/>
    </row>
    <row r="1257" spans="1:26" ht="12.75" x14ac:dyDescent="0.2">
      <c r="A1257" s="50"/>
      <c r="B1257" s="50"/>
      <c r="C1257" s="50"/>
      <c r="D1257" s="50"/>
      <c r="E1257" s="50"/>
      <c r="F1257" s="50"/>
      <c r="G1257" s="50"/>
      <c r="H1257" s="50"/>
      <c r="I1257" s="50"/>
      <c r="J1257" s="50"/>
      <c r="K1257" s="50"/>
      <c r="L1257" s="50"/>
      <c r="M1257" s="50"/>
      <c r="N1257" s="50"/>
      <c r="O1257" s="50"/>
      <c r="P1257" s="50"/>
      <c r="Q1257" s="50"/>
      <c r="R1257" s="50"/>
      <c r="S1257" s="50"/>
      <c r="T1257" s="50"/>
      <c r="U1257" s="50"/>
      <c r="V1257" s="50"/>
      <c r="W1257" s="50"/>
      <c r="X1257" s="50"/>
      <c r="Y1257" s="50"/>
      <c r="Z1257" s="50"/>
    </row>
    <row r="1258" spans="1:26" ht="12.75" x14ac:dyDescent="0.2">
      <c r="A1258" s="50"/>
      <c r="B1258" s="50"/>
      <c r="C1258" s="50"/>
      <c r="D1258" s="50"/>
      <c r="E1258" s="50"/>
      <c r="F1258" s="50"/>
      <c r="G1258" s="50"/>
      <c r="H1258" s="50"/>
      <c r="I1258" s="50"/>
      <c r="J1258" s="50"/>
      <c r="K1258" s="50"/>
      <c r="L1258" s="50"/>
      <c r="M1258" s="50"/>
      <c r="N1258" s="50"/>
      <c r="O1258" s="50"/>
      <c r="P1258" s="50"/>
      <c r="Q1258" s="50"/>
      <c r="R1258" s="50"/>
      <c r="S1258" s="50"/>
      <c r="T1258" s="50"/>
      <c r="U1258" s="50"/>
      <c r="V1258" s="50"/>
      <c r="W1258" s="50"/>
      <c r="X1258" s="50"/>
      <c r="Y1258" s="50"/>
      <c r="Z1258" s="50"/>
    </row>
    <row r="1259" spans="1:26" ht="12.75" x14ac:dyDescent="0.2">
      <c r="A1259" s="50"/>
      <c r="B1259" s="50"/>
      <c r="C1259" s="50"/>
      <c r="D1259" s="50"/>
      <c r="E1259" s="50"/>
      <c r="F1259" s="50"/>
      <c r="G1259" s="50"/>
      <c r="H1259" s="50"/>
      <c r="I1259" s="50"/>
      <c r="J1259" s="50"/>
      <c r="K1259" s="50"/>
      <c r="L1259" s="50"/>
      <c r="M1259" s="50"/>
      <c r="N1259" s="50"/>
      <c r="O1259" s="50"/>
      <c r="P1259" s="50"/>
      <c r="Q1259" s="50"/>
      <c r="R1259" s="50"/>
      <c r="S1259" s="50"/>
      <c r="T1259" s="50"/>
      <c r="U1259" s="50"/>
      <c r="V1259" s="50"/>
      <c r="W1259" s="50"/>
      <c r="X1259" s="50"/>
      <c r="Y1259" s="50"/>
      <c r="Z1259" s="50"/>
    </row>
    <row r="1260" spans="1:26" ht="12.75" x14ac:dyDescent="0.2">
      <c r="A1260" s="50"/>
      <c r="B1260" s="50"/>
      <c r="C1260" s="50"/>
      <c r="D1260" s="50"/>
      <c r="E1260" s="50"/>
      <c r="F1260" s="50"/>
      <c r="G1260" s="50"/>
      <c r="H1260" s="50"/>
      <c r="I1260" s="50"/>
      <c r="J1260" s="50"/>
      <c r="K1260" s="50"/>
      <c r="L1260" s="50"/>
      <c r="M1260" s="50"/>
      <c r="N1260" s="50"/>
      <c r="O1260" s="50"/>
      <c r="P1260" s="50"/>
      <c r="Q1260" s="50"/>
      <c r="R1260" s="50"/>
      <c r="S1260" s="50"/>
      <c r="T1260" s="50"/>
      <c r="U1260" s="50"/>
      <c r="V1260" s="50"/>
      <c r="W1260" s="50"/>
      <c r="X1260" s="50"/>
      <c r="Y1260" s="50"/>
      <c r="Z1260" s="50"/>
    </row>
    <row r="1261" spans="1:26" ht="12.75" x14ac:dyDescent="0.2">
      <c r="A1261" s="50"/>
      <c r="B1261" s="50"/>
      <c r="C1261" s="50"/>
      <c r="D1261" s="50"/>
      <c r="E1261" s="50"/>
      <c r="F1261" s="50"/>
      <c r="G1261" s="50"/>
      <c r="H1261" s="50"/>
      <c r="I1261" s="50"/>
      <c r="J1261" s="50"/>
      <c r="K1261" s="50"/>
      <c r="L1261" s="50"/>
      <c r="M1261" s="50"/>
      <c r="N1261" s="50"/>
      <c r="O1261" s="50"/>
      <c r="P1261" s="50"/>
      <c r="Q1261" s="50"/>
      <c r="R1261" s="50"/>
      <c r="S1261" s="50"/>
      <c r="T1261" s="50"/>
      <c r="U1261" s="50"/>
      <c r="V1261" s="50"/>
      <c r="W1261" s="50"/>
      <c r="X1261" s="50"/>
      <c r="Y1261" s="50"/>
      <c r="Z1261" s="50"/>
    </row>
    <row r="1262" spans="1:26" ht="12.75" x14ac:dyDescent="0.2">
      <c r="A1262" s="50"/>
      <c r="B1262" s="50"/>
      <c r="C1262" s="50"/>
      <c r="D1262" s="50"/>
      <c r="E1262" s="50"/>
      <c r="F1262" s="50"/>
      <c r="G1262" s="50"/>
      <c r="H1262" s="50"/>
      <c r="I1262" s="50"/>
      <c r="J1262" s="50"/>
      <c r="K1262" s="50"/>
      <c r="L1262" s="50"/>
      <c r="M1262" s="50"/>
      <c r="N1262" s="50"/>
      <c r="O1262" s="50"/>
      <c r="P1262" s="50"/>
      <c r="Q1262" s="50"/>
      <c r="R1262" s="50"/>
      <c r="S1262" s="50"/>
      <c r="T1262" s="50"/>
      <c r="U1262" s="50"/>
      <c r="V1262" s="50"/>
      <c r="W1262" s="50"/>
      <c r="X1262" s="50"/>
      <c r="Y1262" s="50"/>
      <c r="Z1262" s="50"/>
    </row>
    <row r="1263" spans="1:26" ht="12.75" x14ac:dyDescent="0.2">
      <c r="A1263" s="50"/>
      <c r="B1263" s="50"/>
      <c r="C1263" s="50"/>
      <c r="D1263" s="50"/>
      <c r="E1263" s="50"/>
      <c r="F1263" s="50"/>
      <c r="G1263" s="50"/>
      <c r="H1263" s="50"/>
      <c r="I1263" s="50"/>
      <c r="J1263" s="50"/>
      <c r="K1263" s="50"/>
      <c r="L1263" s="50"/>
      <c r="M1263" s="50"/>
      <c r="N1263" s="50"/>
      <c r="O1263" s="50"/>
      <c r="P1263" s="50"/>
      <c r="Q1263" s="50"/>
      <c r="R1263" s="50"/>
      <c r="S1263" s="50"/>
      <c r="T1263" s="50"/>
      <c r="U1263" s="50"/>
      <c r="V1263" s="50"/>
      <c r="W1263" s="50"/>
      <c r="X1263" s="50"/>
      <c r="Y1263" s="50"/>
      <c r="Z1263" s="50"/>
    </row>
    <row r="1264" spans="1:26" ht="12.75" x14ac:dyDescent="0.2">
      <c r="A1264" s="50"/>
      <c r="B1264" s="50"/>
      <c r="C1264" s="50"/>
      <c r="D1264" s="50"/>
      <c r="E1264" s="50"/>
      <c r="F1264" s="50"/>
      <c r="G1264" s="50"/>
      <c r="H1264" s="50"/>
      <c r="I1264" s="50"/>
      <c r="J1264" s="50"/>
      <c r="K1264" s="50"/>
      <c r="L1264" s="50"/>
      <c r="M1264" s="50"/>
      <c r="N1264" s="50"/>
      <c r="O1264" s="50"/>
      <c r="P1264" s="50"/>
      <c r="Q1264" s="50"/>
      <c r="R1264" s="50"/>
      <c r="S1264" s="50"/>
      <c r="T1264" s="50"/>
      <c r="U1264" s="50"/>
      <c r="V1264" s="50"/>
      <c r="W1264" s="50"/>
      <c r="X1264" s="50"/>
      <c r="Y1264" s="50"/>
      <c r="Z1264" s="50"/>
    </row>
    <row r="1265" spans="1:26" ht="12.75" x14ac:dyDescent="0.2">
      <c r="A1265" s="50"/>
      <c r="B1265" s="50"/>
      <c r="C1265" s="50"/>
      <c r="D1265" s="50"/>
      <c r="E1265" s="50"/>
      <c r="F1265" s="50"/>
      <c r="G1265" s="50"/>
      <c r="H1265" s="50"/>
      <c r="I1265" s="50"/>
      <c r="J1265" s="50"/>
      <c r="K1265" s="50"/>
      <c r="L1265" s="50"/>
      <c r="M1265" s="50"/>
      <c r="N1265" s="50"/>
      <c r="O1265" s="50"/>
      <c r="P1265" s="50"/>
      <c r="Q1265" s="50"/>
      <c r="R1265" s="50"/>
      <c r="S1265" s="50"/>
      <c r="T1265" s="50"/>
      <c r="U1265" s="50"/>
      <c r="V1265" s="50"/>
      <c r="W1265" s="50"/>
      <c r="X1265" s="50"/>
      <c r="Y1265" s="50"/>
      <c r="Z1265" s="50"/>
    </row>
    <row r="1266" spans="1:26" ht="12.75" x14ac:dyDescent="0.2">
      <c r="A1266" s="50"/>
      <c r="B1266" s="50"/>
      <c r="C1266" s="50"/>
      <c r="D1266" s="50"/>
      <c r="E1266" s="50"/>
      <c r="F1266" s="50"/>
      <c r="G1266" s="50"/>
      <c r="H1266" s="50"/>
      <c r="I1266" s="50"/>
      <c r="J1266" s="50"/>
      <c r="K1266" s="50"/>
      <c r="L1266" s="50"/>
      <c r="M1266" s="50"/>
      <c r="N1266" s="50"/>
      <c r="O1266" s="50"/>
      <c r="P1266" s="50"/>
      <c r="Q1266" s="50"/>
      <c r="R1266" s="50"/>
      <c r="S1266" s="50"/>
      <c r="T1266" s="50"/>
      <c r="U1266" s="50"/>
      <c r="V1266" s="50"/>
      <c r="W1266" s="50"/>
      <c r="X1266" s="50"/>
      <c r="Y1266" s="50"/>
      <c r="Z1266" s="50"/>
    </row>
    <row r="1267" spans="1:26" ht="12.75" x14ac:dyDescent="0.2">
      <c r="A1267" s="50"/>
      <c r="B1267" s="50"/>
      <c r="C1267" s="50"/>
      <c r="D1267" s="50"/>
      <c r="E1267" s="50"/>
      <c r="F1267" s="50"/>
      <c r="G1267" s="50"/>
      <c r="H1267" s="50"/>
      <c r="I1267" s="50"/>
      <c r="J1267" s="50"/>
      <c r="K1267" s="50"/>
      <c r="L1267" s="50"/>
      <c r="M1267" s="50"/>
      <c r="N1267" s="50"/>
      <c r="O1267" s="50"/>
      <c r="P1267" s="50"/>
      <c r="Q1267" s="50"/>
      <c r="R1267" s="50"/>
      <c r="S1267" s="50"/>
      <c r="T1267" s="50"/>
      <c r="U1267" s="50"/>
      <c r="V1267" s="50"/>
      <c r="W1267" s="50"/>
      <c r="X1267" s="50"/>
      <c r="Y1267" s="50"/>
      <c r="Z1267" s="50"/>
    </row>
    <row r="1268" spans="1:26" ht="12.75" x14ac:dyDescent="0.2">
      <c r="A1268" s="50"/>
      <c r="B1268" s="50"/>
      <c r="C1268" s="50"/>
      <c r="D1268" s="50"/>
      <c r="E1268" s="50"/>
      <c r="F1268" s="50"/>
      <c r="G1268" s="50"/>
      <c r="H1268" s="50"/>
      <c r="I1268" s="50"/>
      <c r="J1268" s="50"/>
      <c r="K1268" s="50"/>
      <c r="L1268" s="50"/>
      <c r="M1268" s="50"/>
      <c r="N1268" s="50"/>
      <c r="O1268" s="50"/>
      <c r="P1268" s="50"/>
      <c r="Q1268" s="50"/>
      <c r="R1268" s="50"/>
      <c r="S1268" s="50"/>
      <c r="T1268" s="50"/>
      <c r="U1268" s="50"/>
      <c r="V1268" s="50"/>
      <c r="W1268" s="50"/>
      <c r="X1268" s="50"/>
      <c r="Y1268" s="50"/>
      <c r="Z1268" s="50"/>
    </row>
    <row r="1269" spans="1:26" ht="12.75" x14ac:dyDescent="0.2">
      <c r="A1269" s="50"/>
      <c r="B1269" s="50"/>
      <c r="C1269" s="50"/>
      <c r="D1269" s="50"/>
      <c r="E1269" s="50"/>
      <c r="F1269" s="50"/>
      <c r="G1269" s="50"/>
      <c r="H1269" s="50"/>
      <c r="I1269" s="50"/>
      <c r="J1269" s="50"/>
      <c r="K1269" s="50"/>
      <c r="L1269" s="50"/>
      <c r="M1269" s="50"/>
      <c r="N1269" s="50"/>
      <c r="O1269" s="50"/>
      <c r="P1269" s="50"/>
      <c r="Q1269" s="50"/>
      <c r="R1269" s="50"/>
      <c r="S1269" s="50"/>
      <c r="T1269" s="50"/>
      <c r="U1269" s="50"/>
      <c r="V1269" s="50"/>
      <c r="W1269" s="50"/>
      <c r="X1269" s="50"/>
      <c r="Y1269" s="50"/>
      <c r="Z1269" s="50"/>
    </row>
    <row r="1270" spans="1:26" ht="12.75" x14ac:dyDescent="0.2">
      <c r="A1270" s="50"/>
      <c r="B1270" s="50"/>
      <c r="C1270" s="50"/>
      <c r="D1270" s="50"/>
      <c r="E1270" s="50"/>
      <c r="F1270" s="50"/>
      <c r="G1270" s="50"/>
      <c r="H1270" s="50"/>
      <c r="I1270" s="50"/>
      <c r="J1270" s="50"/>
      <c r="K1270" s="50"/>
      <c r="L1270" s="50"/>
      <c r="M1270" s="50"/>
      <c r="N1270" s="50"/>
      <c r="O1270" s="50"/>
      <c r="P1270" s="50"/>
      <c r="Q1270" s="50"/>
      <c r="R1270" s="50"/>
      <c r="S1270" s="50"/>
      <c r="T1270" s="50"/>
      <c r="U1270" s="50"/>
      <c r="V1270" s="50"/>
      <c r="W1270" s="50"/>
      <c r="X1270" s="50"/>
      <c r="Y1270" s="50"/>
      <c r="Z1270" s="50"/>
    </row>
    <row r="1271" spans="1:26" ht="12.75" x14ac:dyDescent="0.2">
      <c r="A1271" s="50"/>
      <c r="B1271" s="50"/>
      <c r="C1271" s="50"/>
      <c r="D1271" s="50"/>
      <c r="E1271" s="50"/>
      <c r="F1271" s="50"/>
      <c r="G1271" s="50"/>
      <c r="H1271" s="50"/>
      <c r="I1271" s="50"/>
      <c r="J1271" s="50"/>
      <c r="K1271" s="50"/>
      <c r="L1271" s="50"/>
      <c r="M1271" s="50"/>
      <c r="N1271" s="50"/>
      <c r="O1271" s="50"/>
      <c r="P1271" s="50"/>
      <c r="Q1271" s="50"/>
      <c r="R1271" s="50"/>
      <c r="S1271" s="50"/>
      <c r="T1271" s="50"/>
      <c r="U1271" s="50"/>
      <c r="V1271" s="50"/>
      <c r="W1271" s="50"/>
      <c r="X1271" s="50"/>
      <c r="Y1271" s="50"/>
      <c r="Z1271" s="50"/>
    </row>
    <row r="1272" spans="1:26" ht="12.75" x14ac:dyDescent="0.2">
      <c r="A1272" s="50"/>
      <c r="B1272" s="50"/>
      <c r="C1272" s="50"/>
      <c r="D1272" s="50"/>
      <c r="E1272" s="50"/>
      <c r="F1272" s="50"/>
      <c r="G1272" s="50"/>
      <c r="H1272" s="50"/>
      <c r="I1272" s="50"/>
      <c r="J1272" s="50"/>
      <c r="K1272" s="50"/>
      <c r="L1272" s="50"/>
      <c r="M1272" s="50"/>
      <c r="N1272" s="50"/>
      <c r="O1272" s="50"/>
      <c r="P1272" s="50"/>
      <c r="Q1272" s="50"/>
      <c r="R1272" s="50"/>
      <c r="S1272" s="50"/>
      <c r="T1272" s="50"/>
      <c r="U1272" s="50"/>
      <c r="V1272" s="50"/>
      <c r="W1272" s="50"/>
      <c r="X1272" s="50"/>
      <c r="Y1272" s="50"/>
      <c r="Z1272" s="50"/>
    </row>
    <row r="1273" spans="1:26" ht="12.75" x14ac:dyDescent="0.2">
      <c r="A1273" s="50"/>
      <c r="B1273" s="50"/>
      <c r="C1273" s="50"/>
      <c r="D1273" s="50"/>
      <c r="E1273" s="50"/>
      <c r="F1273" s="50"/>
      <c r="G1273" s="50"/>
      <c r="H1273" s="50"/>
      <c r="I1273" s="50"/>
      <c r="J1273" s="50"/>
      <c r="K1273" s="50"/>
      <c r="L1273" s="50"/>
      <c r="M1273" s="50"/>
      <c r="N1273" s="50"/>
      <c r="O1273" s="50"/>
      <c r="P1273" s="50"/>
      <c r="Q1273" s="50"/>
      <c r="R1273" s="50"/>
      <c r="S1273" s="50"/>
      <c r="T1273" s="50"/>
      <c r="U1273" s="50"/>
      <c r="V1273" s="50"/>
      <c r="W1273" s="50"/>
      <c r="X1273" s="50"/>
      <c r="Y1273" s="50"/>
      <c r="Z1273" s="50"/>
    </row>
    <row r="1274" spans="1:26" ht="12.75" x14ac:dyDescent="0.2">
      <c r="A1274" s="50"/>
      <c r="B1274" s="50"/>
      <c r="C1274" s="50"/>
      <c r="D1274" s="50"/>
      <c r="E1274" s="50"/>
      <c r="F1274" s="50"/>
      <c r="G1274" s="50"/>
      <c r="H1274" s="50"/>
      <c r="I1274" s="50"/>
      <c r="J1274" s="50"/>
      <c r="K1274" s="50"/>
      <c r="L1274" s="50"/>
      <c r="M1274" s="50"/>
      <c r="N1274" s="50"/>
      <c r="O1274" s="50"/>
      <c r="P1274" s="50"/>
      <c r="Q1274" s="50"/>
      <c r="R1274" s="50"/>
      <c r="S1274" s="50"/>
      <c r="T1274" s="50"/>
      <c r="U1274" s="50"/>
      <c r="V1274" s="50"/>
      <c r="W1274" s="50"/>
      <c r="X1274" s="50"/>
      <c r="Y1274" s="50"/>
      <c r="Z1274" s="50"/>
    </row>
    <row r="1275" spans="1:26" ht="12.75" x14ac:dyDescent="0.2">
      <c r="A1275" s="50"/>
      <c r="B1275" s="50"/>
      <c r="C1275" s="50"/>
      <c r="D1275" s="50"/>
      <c r="E1275" s="50"/>
      <c r="F1275" s="50"/>
      <c r="G1275" s="50"/>
      <c r="H1275" s="50"/>
      <c r="I1275" s="50"/>
      <c r="J1275" s="50"/>
      <c r="K1275" s="50"/>
      <c r="L1275" s="50"/>
      <c r="M1275" s="50"/>
      <c r="N1275" s="50"/>
      <c r="O1275" s="50"/>
      <c r="P1275" s="50"/>
      <c r="Q1275" s="50"/>
      <c r="R1275" s="50"/>
      <c r="S1275" s="50"/>
      <c r="T1275" s="50"/>
      <c r="U1275" s="50"/>
      <c r="V1275" s="50"/>
      <c r="W1275" s="50"/>
      <c r="X1275" s="50"/>
      <c r="Y1275" s="50"/>
      <c r="Z1275" s="50"/>
    </row>
    <row r="1276" spans="1:26" ht="12.75" x14ac:dyDescent="0.2">
      <c r="A1276" s="50"/>
      <c r="B1276" s="50"/>
      <c r="C1276" s="50"/>
      <c r="D1276" s="50"/>
      <c r="E1276" s="50"/>
      <c r="F1276" s="50"/>
      <c r="G1276" s="50"/>
      <c r="H1276" s="50"/>
      <c r="I1276" s="50"/>
      <c r="J1276" s="50"/>
      <c r="K1276" s="50"/>
      <c r="L1276" s="50"/>
      <c r="M1276" s="50"/>
      <c r="N1276" s="50"/>
      <c r="O1276" s="50"/>
      <c r="P1276" s="50"/>
      <c r="Q1276" s="50"/>
      <c r="R1276" s="50"/>
      <c r="S1276" s="50"/>
      <c r="T1276" s="50"/>
      <c r="U1276" s="50"/>
      <c r="V1276" s="50"/>
      <c r="W1276" s="50"/>
      <c r="X1276" s="50"/>
      <c r="Y1276" s="50"/>
      <c r="Z1276" s="50"/>
    </row>
    <row r="1277" spans="1:26" ht="12.75" x14ac:dyDescent="0.2">
      <c r="A1277" s="50"/>
      <c r="B1277" s="50"/>
      <c r="C1277" s="50"/>
      <c r="D1277" s="50"/>
      <c r="E1277" s="50"/>
      <c r="F1277" s="50"/>
      <c r="G1277" s="50"/>
      <c r="H1277" s="50"/>
      <c r="I1277" s="50"/>
      <c r="J1277" s="50"/>
      <c r="K1277" s="50"/>
      <c r="L1277" s="50"/>
      <c r="M1277" s="50"/>
      <c r="N1277" s="50"/>
      <c r="O1277" s="50"/>
      <c r="P1277" s="50"/>
      <c r="Q1277" s="50"/>
      <c r="R1277" s="50"/>
      <c r="S1277" s="50"/>
      <c r="T1277" s="50"/>
      <c r="U1277" s="50"/>
      <c r="V1277" s="50"/>
      <c r="W1277" s="50"/>
      <c r="X1277" s="50"/>
      <c r="Y1277" s="50"/>
      <c r="Z1277" s="50"/>
    </row>
    <row r="1278" spans="1:26" ht="12.75" x14ac:dyDescent="0.2">
      <c r="A1278" s="50"/>
      <c r="B1278" s="50"/>
      <c r="C1278" s="50"/>
      <c r="D1278" s="50"/>
      <c r="E1278" s="50"/>
      <c r="F1278" s="50"/>
      <c r="G1278" s="50"/>
      <c r="H1278" s="50"/>
      <c r="I1278" s="50"/>
      <c r="J1278" s="50"/>
      <c r="K1278" s="50"/>
      <c r="L1278" s="50"/>
      <c r="M1278" s="50"/>
      <c r="N1278" s="50"/>
      <c r="O1278" s="50"/>
      <c r="P1278" s="50"/>
      <c r="Q1278" s="50"/>
      <c r="R1278" s="50"/>
      <c r="S1278" s="50"/>
      <c r="T1278" s="50"/>
      <c r="U1278" s="50"/>
      <c r="V1278" s="50"/>
      <c r="W1278" s="50"/>
      <c r="X1278" s="50"/>
      <c r="Y1278" s="50"/>
      <c r="Z1278" s="50"/>
    </row>
    <row r="1279" spans="1:26" ht="12.75" x14ac:dyDescent="0.2">
      <c r="A1279" s="50"/>
      <c r="B1279" s="50"/>
      <c r="C1279" s="50"/>
      <c r="D1279" s="50"/>
      <c r="E1279" s="50"/>
      <c r="F1279" s="50"/>
      <c r="G1279" s="50"/>
      <c r="H1279" s="50"/>
      <c r="I1279" s="50"/>
      <c r="J1279" s="50"/>
      <c r="K1279" s="50"/>
      <c r="L1279" s="50"/>
      <c r="M1279" s="50"/>
      <c r="N1279" s="50"/>
      <c r="O1279" s="50"/>
      <c r="P1279" s="50"/>
      <c r="Q1279" s="50"/>
      <c r="R1279" s="50"/>
      <c r="S1279" s="50"/>
      <c r="T1279" s="50"/>
      <c r="U1279" s="50"/>
      <c r="V1279" s="50"/>
      <c r="W1279" s="50"/>
      <c r="X1279" s="50"/>
      <c r="Y1279" s="50"/>
      <c r="Z1279" s="50"/>
    </row>
    <row r="1280" spans="1:26" ht="12.75" x14ac:dyDescent="0.2">
      <c r="A1280" s="50"/>
      <c r="B1280" s="50"/>
      <c r="C1280" s="50"/>
      <c r="D1280" s="50"/>
      <c r="E1280" s="50"/>
      <c r="F1280" s="50"/>
      <c r="G1280" s="50"/>
      <c r="H1280" s="50"/>
      <c r="I1280" s="50"/>
      <c r="J1280" s="50"/>
      <c r="K1280" s="50"/>
      <c r="L1280" s="50"/>
      <c r="M1280" s="50"/>
      <c r="N1280" s="50"/>
      <c r="O1280" s="50"/>
      <c r="P1280" s="50"/>
      <c r="Q1280" s="50"/>
      <c r="R1280" s="50"/>
      <c r="S1280" s="50"/>
      <c r="T1280" s="50"/>
      <c r="U1280" s="50"/>
      <c r="V1280" s="50"/>
      <c r="W1280" s="50"/>
      <c r="X1280" s="50"/>
      <c r="Y1280" s="50"/>
      <c r="Z1280" s="50"/>
    </row>
    <row r="1281" spans="1:26" ht="12.75" x14ac:dyDescent="0.2">
      <c r="A1281" s="50"/>
      <c r="B1281" s="50"/>
      <c r="C1281" s="50"/>
      <c r="D1281" s="50"/>
      <c r="E1281" s="50"/>
      <c r="F1281" s="50"/>
      <c r="G1281" s="50"/>
      <c r="H1281" s="50"/>
      <c r="I1281" s="50"/>
      <c r="J1281" s="50"/>
      <c r="K1281" s="50"/>
      <c r="L1281" s="50"/>
      <c r="M1281" s="50"/>
      <c r="N1281" s="50"/>
      <c r="O1281" s="50"/>
      <c r="P1281" s="50"/>
      <c r="Q1281" s="50"/>
      <c r="R1281" s="50"/>
      <c r="S1281" s="50"/>
      <c r="T1281" s="50"/>
      <c r="U1281" s="50"/>
      <c r="V1281" s="50"/>
      <c r="W1281" s="50"/>
      <c r="X1281" s="50"/>
      <c r="Y1281" s="50"/>
      <c r="Z1281" s="50"/>
    </row>
    <row r="1282" spans="1:26" ht="12.75" x14ac:dyDescent="0.2">
      <c r="A1282" s="50"/>
      <c r="B1282" s="50"/>
      <c r="C1282" s="50"/>
      <c r="D1282" s="50"/>
      <c r="E1282" s="50"/>
      <c r="F1282" s="50"/>
      <c r="G1282" s="50"/>
      <c r="H1282" s="50"/>
      <c r="I1282" s="50"/>
      <c r="J1282" s="50"/>
      <c r="K1282" s="50"/>
      <c r="L1282" s="50"/>
      <c r="M1282" s="50"/>
      <c r="N1282" s="50"/>
      <c r="O1282" s="50"/>
      <c r="P1282" s="50"/>
      <c r="Q1282" s="50"/>
      <c r="R1282" s="50"/>
      <c r="S1282" s="50"/>
      <c r="T1282" s="50"/>
      <c r="U1282" s="50"/>
      <c r="V1282" s="50"/>
      <c r="W1282" s="50"/>
      <c r="X1282" s="50"/>
      <c r="Y1282" s="50"/>
      <c r="Z1282" s="50"/>
    </row>
    <row r="1283" spans="1:26" ht="12.75" x14ac:dyDescent="0.2">
      <c r="A1283" s="50"/>
      <c r="B1283" s="50"/>
      <c r="C1283" s="50"/>
      <c r="D1283" s="50"/>
      <c r="E1283" s="50"/>
      <c r="F1283" s="50"/>
      <c r="G1283" s="50"/>
      <c r="H1283" s="50"/>
      <c r="I1283" s="50"/>
      <c r="J1283" s="50"/>
      <c r="K1283" s="50"/>
      <c r="L1283" s="50"/>
      <c r="M1283" s="50"/>
      <c r="N1283" s="50"/>
      <c r="O1283" s="50"/>
      <c r="P1283" s="50"/>
      <c r="Q1283" s="50"/>
      <c r="R1283" s="50"/>
      <c r="S1283" s="50"/>
      <c r="T1283" s="50"/>
      <c r="U1283" s="50"/>
      <c r="V1283" s="50"/>
      <c r="W1283" s="50"/>
      <c r="X1283" s="50"/>
      <c r="Y1283" s="50"/>
      <c r="Z1283" s="50"/>
    </row>
    <row r="1284" spans="1:26" ht="12.75" x14ac:dyDescent="0.2">
      <c r="A1284" s="50"/>
      <c r="B1284" s="50"/>
      <c r="C1284" s="50"/>
      <c r="D1284" s="50"/>
      <c r="E1284" s="50"/>
      <c r="F1284" s="50"/>
      <c r="G1284" s="50"/>
      <c r="H1284" s="50"/>
      <c r="I1284" s="50"/>
      <c r="J1284" s="50"/>
      <c r="K1284" s="50"/>
      <c r="L1284" s="50"/>
      <c r="M1284" s="50"/>
      <c r="N1284" s="50"/>
      <c r="O1284" s="50"/>
      <c r="P1284" s="50"/>
      <c r="Q1284" s="50"/>
      <c r="R1284" s="50"/>
      <c r="S1284" s="50"/>
      <c r="T1284" s="50"/>
      <c r="U1284" s="50"/>
      <c r="V1284" s="50"/>
      <c r="W1284" s="50"/>
      <c r="X1284" s="50"/>
      <c r="Y1284" s="50"/>
      <c r="Z1284" s="50"/>
    </row>
    <row r="1285" spans="1:26" ht="12.75" x14ac:dyDescent="0.2">
      <c r="A1285" s="50"/>
      <c r="B1285" s="50"/>
      <c r="C1285" s="50"/>
      <c r="D1285" s="50"/>
      <c r="E1285" s="50"/>
      <c r="F1285" s="50"/>
      <c r="G1285" s="50"/>
      <c r="H1285" s="50"/>
      <c r="I1285" s="50"/>
      <c r="J1285" s="50"/>
      <c r="K1285" s="50"/>
      <c r="L1285" s="50"/>
      <c r="M1285" s="50"/>
      <c r="N1285" s="50"/>
      <c r="O1285" s="50"/>
      <c r="P1285" s="50"/>
      <c r="Q1285" s="50"/>
      <c r="R1285" s="50"/>
      <c r="S1285" s="50"/>
      <c r="T1285" s="50"/>
      <c r="U1285" s="50"/>
      <c r="V1285" s="50"/>
      <c r="W1285" s="50"/>
      <c r="X1285" s="50"/>
      <c r="Y1285" s="50"/>
      <c r="Z1285" s="50"/>
    </row>
    <row r="1286" spans="1:26" ht="12.75" x14ac:dyDescent="0.2">
      <c r="A1286" s="50"/>
      <c r="B1286" s="50"/>
      <c r="C1286" s="50"/>
      <c r="D1286" s="50"/>
      <c r="E1286" s="50"/>
      <c r="F1286" s="50"/>
      <c r="G1286" s="50"/>
      <c r="H1286" s="50"/>
      <c r="I1286" s="50"/>
      <c r="J1286" s="50"/>
      <c r="K1286" s="50"/>
      <c r="L1286" s="50"/>
      <c r="M1286" s="50"/>
      <c r="N1286" s="50"/>
      <c r="O1286" s="50"/>
      <c r="P1286" s="50"/>
      <c r="Q1286" s="50"/>
      <c r="R1286" s="50"/>
      <c r="S1286" s="50"/>
      <c r="T1286" s="50"/>
      <c r="U1286" s="50"/>
      <c r="V1286" s="50"/>
      <c r="W1286" s="50"/>
      <c r="X1286" s="50"/>
      <c r="Y1286" s="50"/>
      <c r="Z1286" s="50"/>
    </row>
    <row r="1287" spans="1:26" ht="12.75" x14ac:dyDescent="0.2">
      <c r="A1287" s="50"/>
      <c r="B1287" s="50"/>
      <c r="C1287" s="50"/>
      <c r="D1287" s="50"/>
      <c r="E1287" s="50"/>
      <c r="F1287" s="50"/>
      <c r="G1287" s="50"/>
      <c r="H1287" s="50"/>
      <c r="I1287" s="50"/>
      <c r="J1287" s="50"/>
      <c r="K1287" s="50"/>
      <c r="L1287" s="50"/>
      <c r="M1287" s="50"/>
      <c r="N1287" s="50"/>
      <c r="O1287" s="50"/>
      <c r="P1287" s="50"/>
      <c r="Q1287" s="50"/>
      <c r="R1287" s="50"/>
      <c r="S1287" s="50"/>
      <c r="T1287" s="50"/>
      <c r="U1287" s="50"/>
      <c r="V1287" s="50"/>
      <c r="W1287" s="50"/>
      <c r="X1287" s="50"/>
      <c r="Y1287" s="50"/>
      <c r="Z1287" s="50"/>
    </row>
    <row r="1288" spans="1:26" ht="12.75" x14ac:dyDescent="0.2">
      <c r="A1288" s="50"/>
      <c r="B1288" s="50"/>
      <c r="C1288" s="50"/>
      <c r="D1288" s="50"/>
      <c r="E1288" s="50"/>
      <c r="F1288" s="50"/>
      <c r="G1288" s="50"/>
      <c r="H1288" s="50"/>
      <c r="I1288" s="50"/>
      <c r="J1288" s="50"/>
      <c r="K1288" s="50"/>
      <c r="L1288" s="50"/>
      <c r="M1288" s="50"/>
      <c r="N1288" s="50"/>
      <c r="O1288" s="50"/>
      <c r="P1288" s="50"/>
      <c r="Q1288" s="50"/>
      <c r="R1288" s="50"/>
      <c r="S1288" s="50"/>
      <c r="T1288" s="50"/>
      <c r="U1288" s="50"/>
      <c r="V1288" s="50"/>
      <c r="W1288" s="50"/>
      <c r="X1288" s="50"/>
      <c r="Y1288" s="50"/>
      <c r="Z1288" s="50"/>
    </row>
    <row r="1289" spans="1:26" ht="12.75" x14ac:dyDescent="0.2">
      <c r="A1289" s="50"/>
      <c r="B1289" s="50"/>
      <c r="C1289" s="50"/>
      <c r="D1289" s="50"/>
      <c r="E1289" s="50"/>
      <c r="F1289" s="50"/>
      <c r="G1289" s="50"/>
      <c r="H1289" s="50"/>
      <c r="I1289" s="50"/>
      <c r="J1289" s="50"/>
      <c r="K1289" s="50"/>
      <c r="L1289" s="50"/>
      <c r="M1289" s="50"/>
      <c r="N1289" s="50"/>
      <c r="O1289" s="50"/>
      <c r="P1289" s="50"/>
      <c r="Q1289" s="50"/>
      <c r="R1289" s="50"/>
      <c r="S1289" s="50"/>
      <c r="T1289" s="50"/>
      <c r="U1289" s="50"/>
      <c r="V1289" s="50"/>
      <c r="W1289" s="50"/>
      <c r="X1289" s="50"/>
      <c r="Y1289" s="50"/>
      <c r="Z1289" s="50"/>
    </row>
    <row r="1290" spans="1:26" ht="12.75" x14ac:dyDescent="0.2">
      <c r="A1290" s="50"/>
      <c r="B1290" s="50"/>
      <c r="C1290" s="50"/>
      <c r="D1290" s="50"/>
      <c r="E1290" s="50"/>
      <c r="F1290" s="50"/>
      <c r="G1290" s="50"/>
      <c r="H1290" s="50"/>
      <c r="I1290" s="50"/>
      <c r="J1290" s="50"/>
      <c r="K1290" s="50"/>
      <c r="L1290" s="50"/>
      <c r="M1290" s="50"/>
      <c r="N1290" s="50"/>
      <c r="O1290" s="50"/>
      <c r="P1290" s="50"/>
      <c r="Q1290" s="50"/>
      <c r="R1290" s="50"/>
      <c r="S1290" s="50"/>
      <c r="T1290" s="50"/>
      <c r="U1290" s="50"/>
      <c r="V1290" s="50"/>
      <c r="W1290" s="50"/>
      <c r="X1290" s="50"/>
      <c r="Y1290" s="50"/>
      <c r="Z1290" s="50"/>
    </row>
    <row r="1291" spans="1:26" ht="12.75" x14ac:dyDescent="0.2">
      <c r="A1291" s="50"/>
      <c r="B1291" s="50"/>
      <c r="C1291" s="50"/>
      <c r="D1291" s="50"/>
      <c r="E1291" s="50"/>
      <c r="F1291" s="50"/>
      <c r="G1291" s="50"/>
      <c r="H1291" s="50"/>
      <c r="I1291" s="50"/>
      <c r="J1291" s="50"/>
      <c r="K1291" s="50"/>
      <c r="L1291" s="50"/>
      <c r="M1291" s="50"/>
      <c r="N1291" s="50"/>
      <c r="O1291" s="50"/>
      <c r="P1291" s="50"/>
      <c r="Q1291" s="50"/>
      <c r="R1291" s="50"/>
      <c r="S1291" s="50"/>
      <c r="T1291" s="50"/>
      <c r="U1291" s="50"/>
      <c r="V1291" s="50"/>
      <c r="W1291" s="50"/>
      <c r="X1291" s="50"/>
      <c r="Y1291" s="50"/>
      <c r="Z1291" s="50"/>
    </row>
    <row r="1292" spans="1:26" ht="12.75" x14ac:dyDescent="0.2">
      <c r="A1292" s="50"/>
      <c r="B1292" s="50"/>
      <c r="C1292" s="50"/>
      <c r="D1292" s="50"/>
      <c r="E1292" s="50"/>
      <c r="F1292" s="50"/>
      <c r="G1292" s="50"/>
      <c r="H1292" s="50"/>
      <c r="I1292" s="50"/>
      <c r="J1292" s="50"/>
      <c r="K1292" s="50"/>
      <c r="L1292" s="50"/>
      <c r="M1292" s="50"/>
      <c r="N1292" s="50"/>
      <c r="O1292" s="50"/>
      <c r="P1292" s="50"/>
      <c r="Q1292" s="50"/>
      <c r="R1292" s="50"/>
      <c r="S1292" s="50"/>
      <c r="T1292" s="50"/>
      <c r="U1292" s="50"/>
      <c r="V1292" s="50"/>
      <c r="W1292" s="50"/>
      <c r="X1292" s="50"/>
      <c r="Y1292" s="50"/>
      <c r="Z1292" s="50"/>
    </row>
    <row r="1293" spans="1:26" ht="12.75" x14ac:dyDescent="0.2">
      <c r="A1293" s="50"/>
      <c r="B1293" s="50"/>
      <c r="C1293" s="50"/>
      <c r="D1293" s="50"/>
      <c r="E1293" s="50"/>
      <c r="F1293" s="50"/>
      <c r="G1293" s="50"/>
      <c r="H1293" s="50"/>
      <c r="I1293" s="50"/>
      <c r="J1293" s="50"/>
      <c r="K1293" s="50"/>
      <c r="L1293" s="50"/>
      <c r="M1293" s="50"/>
      <c r="N1293" s="50"/>
      <c r="O1293" s="50"/>
      <c r="P1293" s="50"/>
      <c r="Q1293" s="50"/>
      <c r="R1293" s="50"/>
      <c r="S1293" s="50"/>
      <c r="T1293" s="50"/>
      <c r="U1293" s="50"/>
      <c r="V1293" s="50"/>
      <c r="W1293" s="50"/>
      <c r="X1293" s="50"/>
      <c r="Y1293" s="50"/>
      <c r="Z1293" s="50"/>
    </row>
    <row r="1294" spans="1:26" ht="12.75" x14ac:dyDescent="0.2">
      <c r="A1294" s="50"/>
      <c r="B1294" s="50"/>
      <c r="C1294" s="50"/>
      <c r="D1294" s="50"/>
      <c r="E1294" s="50"/>
      <c r="F1294" s="50"/>
      <c r="G1294" s="50"/>
      <c r="H1294" s="50"/>
      <c r="I1294" s="50"/>
      <c r="J1294" s="50"/>
      <c r="K1294" s="50"/>
      <c r="L1294" s="50"/>
      <c r="M1294" s="50"/>
      <c r="N1294" s="50"/>
      <c r="O1294" s="50"/>
      <c r="P1294" s="50"/>
      <c r="Q1294" s="50"/>
      <c r="R1294" s="50"/>
      <c r="S1294" s="50"/>
      <c r="T1294" s="50"/>
      <c r="U1294" s="50"/>
      <c r="V1294" s="50"/>
      <c r="W1294" s="50"/>
      <c r="X1294" s="50"/>
      <c r="Y1294" s="50"/>
      <c r="Z1294" s="50"/>
    </row>
    <row r="1295" spans="1:26" ht="12.75" x14ac:dyDescent="0.2">
      <c r="A1295" s="50"/>
      <c r="B1295" s="50"/>
      <c r="C1295" s="50"/>
      <c r="D1295" s="50"/>
      <c r="E1295" s="50"/>
      <c r="F1295" s="50"/>
      <c r="G1295" s="50"/>
      <c r="H1295" s="50"/>
      <c r="I1295" s="50"/>
      <c r="J1295" s="50"/>
      <c r="K1295" s="50"/>
      <c r="L1295" s="50"/>
      <c r="M1295" s="50"/>
      <c r="N1295" s="50"/>
      <c r="O1295" s="50"/>
      <c r="P1295" s="50"/>
      <c r="Q1295" s="50"/>
      <c r="R1295" s="50"/>
      <c r="S1295" s="50"/>
      <c r="T1295" s="50"/>
      <c r="U1295" s="50"/>
      <c r="V1295" s="50"/>
      <c r="W1295" s="50"/>
      <c r="X1295" s="50"/>
      <c r="Y1295" s="50"/>
      <c r="Z1295" s="50"/>
    </row>
    <row r="1296" spans="1:26" ht="12.75" x14ac:dyDescent="0.2">
      <c r="A1296" s="50"/>
      <c r="B1296" s="50"/>
      <c r="C1296" s="50"/>
      <c r="D1296" s="50"/>
      <c r="E1296" s="50"/>
      <c r="F1296" s="50"/>
      <c r="G1296" s="50"/>
      <c r="H1296" s="50"/>
      <c r="I1296" s="50"/>
      <c r="J1296" s="50"/>
      <c r="K1296" s="50"/>
      <c r="L1296" s="50"/>
      <c r="M1296" s="50"/>
      <c r="N1296" s="50"/>
      <c r="O1296" s="50"/>
      <c r="P1296" s="50"/>
      <c r="Q1296" s="50"/>
      <c r="R1296" s="50"/>
      <c r="S1296" s="50"/>
      <c r="T1296" s="50"/>
      <c r="U1296" s="50"/>
      <c r="V1296" s="50"/>
      <c r="W1296" s="50"/>
      <c r="X1296" s="50"/>
      <c r="Y1296" s="50"/>
      <c r="Z1296" s="50"/>
    </row>
    <row r="1297" spans="1:26" ht="12.75" x14ac:dyDescent="0.2">
      <c r="A1297" s="50"/>
      <c r="B1297" s="50"/>
      <c r="C1297" s="50"/>
      <c r="D1297" s="50"/>
      <c r="E1297" s="50"/>
      <c r="F1297" s="50"/>
      <c r="G1297" s="50"/>
      <c r="H1297" s="50"/>
      <c r="I1297" s="50"/>
      <c r="J1297" s="50"/>
      <c r="K1297" s="50"/>
      <c r="L1297" s="50"/>
      <c r="M1297" s="50"/>
      <c r="N1297" s="50"/>
      <c r="O1297" s="50"/>
      <c r="P1297" s="50"/>
      <c r="Q1297" s="50"/>
      <c r="R1297" s="50"/>
      <c r="S1297" s="50"/>
      <c r="T1297" s="50"/>
      <c r="U1297" s="50"/>
      <c r="V1297" s="50"/>
      <c r="W1297" s="50"/>
      <c r="X1297" s="50"/>
      <c r="Y1297" s="50"/>
      <c r="Z1297" s="50"/>
    </row>
    <row r="1298" spans="1:26" ht="12.75" x14ac:dyDescent="0.2">
      <c r="A1298" s="50"/>
      <c r="B1298" s="50"/>
      <c r="C1298" s="50"/>
      <c r="D1298" s="50"/>
      <c r="E1298" s="50"/>
      <c r="F1298" s="50"/>
      <c r="G1298" s="50"/>
      <c r="H1298" s="50"/>
      <c r="I1298" s="50"/>
      <c r="J1298" s="50"/>
      <c r="K1298" s="50"/>
      <c r="L1298" s="50"/>
      <c r="M1298" s="50"/>
      <c r="N1298" s="50"/>
      <c r="O1298" s="50"/>
      <c r="P1298" s="50"/>
      <c r="Q1298" s="50"/>
      <c r="R1298" s="50"/>
      <c r="S1298" s="50"/>
      <c r="T1298" s="50"/>
      <c r="U1298" s="50"/>
      <c r="V1298" s="50"/>
      <c r="W1298" s="50"/>
      <c r="X1298" s="50"/>
      <c r="Y1298" s="50"/>
      <c r="Z1298" s="50"/>
    </row>
    <row r="1299" spans="1:26" ht="12.75" x14ac:dyDescent="0.2">
      <c r="A1299" s="50"/>
      <c r="B1299" s="50"/>
      <c r="C1299" s="50"/>
      <c r="D1299" s="50"/>
      <c r="E1299" s="50"/>
      <c r="F1299" s="50"/>
      <c r="G1299" s="50"/>
      <c r="H1299" s="50"/>
      <c r="I1299" s="50"/>
      <c r="J1299" s="50"/>
      <c r="K1299" s="50"/>
      <c r="L1299" s="50"/>
      <c r="M1299" s="50"/>
      <c r="N1299" s="50"/>
      <c r="O1299" s="50"/>
      <c r="P1299" s="50"/>
      <c r="Q1299" s="50"/>
      <c r="R1299" s="50"/>
      <c r="S1299" s="50"/>
      <c r="T1299" s="50"/>
      <c r="U1299" s="50"/>
      <c r="V1299" s="50"/>
      <c r="W1299" s="50"/>
      <c r="X1299" s="50"/>
      <c r="Y1299" s="50"/>
      <c r="Z1299" s="50"/>
    </row>
    <row r="1300" spans="1:26" ht="12.75" x14ac:dyDescent="0.2">
      <c r="A1300" s="50"/>
      <c r="B1300" s="50"/>
      <c r="C1300" s="50"/>
      <c r="D1300" s="50"/>
      <c r="E1300" s="50"/>
      <c r="F1300" s="50"/>
      <c r="G1300" s="50"/>
      <c r="H1300" s="50"/>
      <c r="I1300" s="50"/>
      <c r="J1300" s="50"/>
      <c r="K1300" s="50"/>
      <c r="L1300" s="50"/>
      <c r="M1300" s="50"/>
      <c r="N1300" s="50"/>
      <c r="O1300" s="50"/>
      <c r="P1300" s="50"/>
      <c r="Q1300" s="50"/>
      <c r="R1300" s="50"/>
      <c r="S1300" s="50"/>
      <c r="T1300" s="50"/>
      <c r="U1300" s="50"/>
      <c r="V1300" s="50"/>
      <c r="W1300" s="50"/>
      <c r="X1300" s="50"/>
      <c r="Y1300" s="50"/>
      <c r="Z1300" s="50"/>
    </row>
    <row r="1301" spans="1:26" ht="12.75" x14ac:dyDescent="0.2">
      <c r="A1301" s="50"/>
      <c r="B1301" s="50"/>
      <c r="C1301" s="50"/>
      <c r="D1301" s="50"/>
      <c r="E1301" s="50"/>
      <c r="F1301" s="50"/>
      <c r="G1301" s="50"/>
      <c r="H1301" s="50"/>
      <c r="I1301" s="50"/>
      <c r="J1301" s="50"/>
      <c r="K1301" s="50"/>
      <c r="L1301" s="50"/>
      <c r="M1301" s="50"/>
      <c r="N1301" s="50"/>
      <c r="O1301" s="50"/>
      <c r="P1301" s="50"/>
      <c r="Q1301" s="50"/>
      <c r="R1301" s="50"/>
      <c r="S1301" s="50"/>
      <c r="T1301" s="50"/>
      <c r="U1301" s="50"/>
      <c r="V1301" s="50"/>
      <c r="W1301" s="50"/>
      <c r="X1301" s="50"/>
      <c r="Y1301" s="50"/>
      <c r="Z1301" s="50"/>
    </row>
    <row r="1302" spans="1:26" ht="12.75" x14ac:dyDescent="0.2">
      <c r="A1302" s="50"/>
      <c r="B1302" s="50"/>
      <c r="C1302" s="50"/>
      <c r="D1302" s="50"/>
      <c r="E1302" s="50"/>
      <c r="F1302" s="50"/>
      <c r="G1302" s="50"/>
      <c r="H1302" s="50"/>
      <c r="I1302" s="50"/>
      <c r="J1302" s="50"/>
      <c r="K1302" s="50"/>
      <c r="L1302" s="50"/>
      <c r="M1302" s="50"/>
      <c r="N1302" s="50"/>
      <c r="O1302" s="50"/>
      <c r="P1302" s="50"/>
      <c r="Q1302" s="50"/>
      <c r="R1302" s="50"/>
      <c r="S1302" s="50"/>
      <c r="T1302" s="50"/>
      <c r="U1302" s="50"/>
      <c r="V1302" s="50"/>
      <c r="W1302" s="50"/>
      <c r="X1302" s="50"/>
      <c r="Y1302" s="50"/>
      <c r="Z1302" s="50"/>
    </row>
    <row r="1303" spans="1:26" ht="12.75" x14ac:dyDescent="0.2">
      <c r="A1303" s="50"/>
      <c r="B1303" s="50"/>
      <c r="C1303" s="50"/>
      <c r="D1303" s="50"/>
      <c r="E1303" s="50"/>
      <c r="F1303" s="50"/>
      <c r="G1303" s="50"/>
      <c r="H1303" s="50"/>
      <c r="I1303" s="50"/>
      <c r="J1303" s="50"/>
      <c r="K1303" s="50"/>
      <c r="L1303" s="50"/>
      <c r="M1303" s="50"/>
      <c r="N1303" s="50"/>
      <c r="O1303" s="50"/>
      <c r="P1303" s="50"/>
      <c r="Q1303" s="50"/>
      <c r="R1303" s="50"/>
      <c r="S1303" s="50"/>
      <c r="T1303" s="50"/>
      <c r="U1303" s="50"/>
      <c r="V1303" s="50"/>
      <c r="W1303" s="50"/>
      <c r="X1303" s="50"/>
      <c r="Y1303" s="50"/>
      <c r="Z1303" s="50"/>
    </row>
    <row r="1304" spans="1:26" ht="12.75" x14ac:dyDescent="0.2">
      <c r="A1304" s="50"/>
      <c r="B1304" s="50"/>
      <c r="C1304" s="50"/>
      <c r="D1304" s="50"/>
      <c r="E1304" s="50"/>
      <c r="F1304" s="50"/>
      <c r="G1304" s="50"/>
      <c r="H1304" s="50"/>
      <c r="I1304" s="50"/>
      <c r="J1304" s="50"/>
      <c r="K1304" s="50"/>
      <c r="L1304" s="50"/>
      <c r="M1304" s="50"/>
      <c r="N1304" s="50"/>
      <c r="O1304" s="50"/>
      <c r="P1304" s="50"/>
      <c r="Q1304" s="50"/>
      <c r="R1304" s="50"/>
      <c r="S1304" s="50"/>
      <c r="T1304" s="50"/>
      <c r="U1304" s="50"/>
      <c r="V1304" s="50"/>
      <c r="W1304" s="50"/>
      <c r="X1304" s="50"/>
      <c r="Y1304" s="50"/>
      <c r="Z1304" s="50"/>
    </row>
    <row r="1305" spans="1:26" ht="12.75" x14ac:dyDescent="0.2">
      <c r="A1305" s="50"/>
      <c r="B1305" s="50"/>
      <c r="C1305" s="50"/>
      <c r="D1305" s="50"/>
      <c r="E1305" s="50"/>
      <c r="F1305" s="50"/>
      <c r="G1305" s="50"/>
      <c r="H1305" s="50"/>
      <c r="I1305" s="50"/>
      <c r="J1305" s="50"/>
      <c r="K1305" s="50"/>
      <c r="L1305" s="50"/>
      <c r="M1305" s="50"/>
      <c r="N1305" s="50"/>
      <c r="O1305" s="50"/>
      <c r="P1305" s="50"/>
      <c r="Q1305" s="50"/>
      <c r="R1305" s="50"/>
      <c r="S1305" s="50"/>
      <c r="T1305" s="50"/>
      <c r="U1305" s="50"/>
      <c r="V1305" s="50"/>
      <c r="W1305" s="50"/>
      <c r="X1305" s="50"/>
      <c r="Y1305" s="50"/>
      <c r="Z1305" s="50"/>
    </row>
    <row r="1306" spans="1:26" ht="12.75" x14ac:dyDescent="0.2">
      <c r="A1306" s="50"/>
      <c r="B1306" s="50"/>
      <c r="C1306" s="50"/>
      <c r="D1306" s="50"/>
      <c r="E1306" s="50"/>
      <c r="F1306" s="50"/>
      <c r="G1306" s="50"/>
      <c r="H1306" s="50"/>
      <c r="I1306" s="50"/>
      <c r="J1306" s="50"/>
      <c r="K1306" s="50"/>
      <c r="L1306" s="50"/>
      <c r="M1306" s="50"/>
      <c r="N1306" s="50"/>
      <c r="O1306" s="50"/>
      <c r="P1306" s="50"/>
      <c r="Q1306" s="50"/>
      <c r="R1306" s="50"/>
      <c r="S1306" s="50"/>
      <c r="T1306" s="50"/>
      <c r="U1306" s="50"/>
      <c r="V1306" s="50"/>
      <c r="W1306" s="50"/>
      <c r="X1306" s="50"/>
      <c r="Y1306" s="50"/>
      <c r="Z1306" s="50"/>
    </row>
    <row r="1307" spans="1:26" ht="12.75" x14ac:dyDescent="0.2">
      <c r="A1307" s="50"/>
      <c r="B1307" s="50"/>
      <c r="C1307" s="50"/>
      <c r="D1307" s="50"/>
      <c r="E1307" s="50"/>
      <c r="F1307" s="50"/>
      <c r="G1307" s="50"/>
      <c r="H1307" s="50"/>
      <c r="I1307" s="50"/>
      <c r="J1307" s="50"/>
      <c r="K1307" s="50"/>
      <c r="L1307" s="50"/>
      <c r="M1307" s="50"/>
      <c r="N1307" s="50"/>
      <c r="O1307" s="50"/>
      <c r="P1307" s="50"/>
      <c r="Q1307" s="50"/>
      <c r="R1307" s="50"/>
      <c r="S1307" s="50"/>
      <c r="T1307" s="50"/>
      <c r="U1307" s="50"/>
      <c r="V1307" s="50"/>
      <c r="W1307" s="50"/>
      <c r="X1307" s="50"/>
      <c r="Y1307" s="50"/>
      <c r="Z1307" s="50"/>
    </row>
    <row r="1308" spans="1:26" ht="12.75" x14ac:dyDescent="0.2">
      <c r="A1308" s="50"/>
      <c r="B1308" s="50"/>
      <c r="C1308" s="50"/>
      <c r="D1308" s="50"/>
      <c r="E1308" s="50"/>
      <c r="F1308" s="50"/>
      <c r="G1308" s="50"/>
      <c r="H1308" s="50"/>
      <c r="I1308" s="50"/>
      <c r="J1308" s="50"/>
      <c r="K1308" s="50"/>
      <c r="L1308" s="50"/>
      <c r="M1308" s="50"/>
      <c r="N1308" s="50"/>
      <c r="O1308" s="50"/>
      <c r="P1308" s="50"/>
      <c r="Q1308" s="50"/>
      <c r="R1308" s="50"/>
      <c r="S1308" s="50"/>
      <c r="T1308" s="50"/>
      <c r="U1308" s="50"/>
      <c r="V1308" s="50"/>
      <c r="W1308" s="50"/>
      <c r="X1308" s="50"/>
      <c r="Y1308" s="50"/>
      <c r="Z1308" s="50"/>
    </row>
    <row r="1309" spans="1:26" ht="12.75" x14ac:dyDescent="0.2">
      <c r="A1309" s="50"/>
      <c r="B1309" s="50"/>
      <c r="C1309" s="50"/>
      <c r="D1309" s="50"/>
      <c r="E1309" s="50"/>
      <c r="F1309" s="50"/>
      <c r="G1309" s="50"/>
      <c r="H1309" s="50"/>
      <c r="I1309" s="50"/>
      <c r="J1309" s="50"/>
      <c r="K1309" s="50"/>
      <c r="L1309" s="50"/>
      <c r="M1309" s="50"/>
      <c r="N1309" s="50"/>
      <c r="O1309" s="50"/>
      <c r="P1309" s="50"/>
      <c r="Q1309" s="50"/>
      <c r="R1309" s="50"/>
      <c r="S1309" s="50"/>
      <c r="T1309" s="50"/>
      <c r="U1309" s="50"/>
      <c r="V1309" s="50"/>
      <c r="W1309" s="50"/>
      <c r="X1309" s="50"/>
      <c r="Y1309" s="50"/>
      <c r="Z1309" s="50"/>
    </row>
    <row r="1310" spans="1:26" ht="12.75" x14ac:dyDescent="0.2">
      <c r="A1310" s="50"/>
      <c r="B1310" s="50"/>
      <c r="C1310" s="50"/>
      <c r="D1310" s="50"/>
      <c r="E1310" s="50"/>
      <c r="F1310" s="50"/>
      <c r="G1310" s="50"/>
      <c r="H1310" s="50"/>
      <c r="I1310" s="50"/>
      <c r="J1310" s="50"/>
      <c r="K1310" s="50"/>
      <c r="L1310" s="50"/>
      <c r="M1310" s="50"/>
      <c r="N1310" s="50"/>
      <c r="O1310" s="50"/>
      <c r="P1310" s="50"/>
      <c r="Q1310" s="50"/>
      <c r="R1310" s="50"/>
      <c r="S1310" s="50"/>
      <c r="T1310" s="50"/>
      <c r="U1310" s="50"/>
      <c r="V1310" s="50"/>
      <c r="W1310" s="50"/>
      <c r="X1310" s="50"/>
      <c r="Y1310" s="50"/>
      <c r="Z1310" s="50"/>
    </row>
    <row r="1311" spans="1:26" ht="12.75" x14ac:dyDescent="0.2">
      <c r="A1311" s="50"/>
      <c r="B1311" s="50"/>
      <c r="C1311" s="50"/>
      <c r="D1311" s="50"/>
      <c r="E1311" s="50"/>
      <c r="F1311" s="50"/>
      <c r="G1311" s="50"/>
      <c r="H1311" s="50"/>
      <c r="I1311" s="50"/>
      <c r="J1311" s="50"/>
      <c r="K1311" s="50"/>
      <c r="L1311" s="50"/>
      <c r="M1311" s="50"/>
      <c r="N1311" s="50"/>
      <c r="O1311" s="50"/>
      <c r="P1311" s="50"/>
      <c r="Q1311" s="50"/>
      <c r="R1311" s="50"/>
      <c r="S1311" s="50"/>
      <c r="T1311" s="50"/>
      <c r="U1311" s="50"/>
      <c r="V1311" s="50"/>
      <c r="W1311" s="50"/>
      <c r="X1311" s="50"/>
      <c r="Y1311" s="50"/>
      <c r="Z1311" s="50"/>
    </row>
    <row r="1312" spans="1:26" ht="12.75" x14ac:dyDescent="0.2">
      <c r="A1312" s="50"/>
      <c r="B1312" s="50"/>
      <c r="C1312" s="50"/>
      <c r="D1312" s="50"/>
      <c r="E1312" s="50"/>
      <c r="F1312" s="50"/>
      <c r="G1312" s="50"/>
      <c r="H1312" s="50"/>
      <c r="I1312" s="50"/>
      <c r="J1312" s="50"/>
      <c r="K1312" s="50"/>
      <c r="L1312" s="50"/>
      <c r="M1312" s="50"/>
      <c r="N1312" s="50"/>
      <c r="O1312" s="50"/>
      <c r="P1312" s="50"/>
      <c r="Q1312" s="50"/>
      <c r="R1312" s="50"/>
      <c r="S1312" s="50"/>
      <c r="T1312" s="50"/>
      <c r="U1312" s="50"/>
      <c r="V1312" s="50"/>
      <c r="W1312" s="50"/>
      <c r="X1312" s="50"/>
      <c r="Y1312" s="50"/>
      <c r="Z1312" s="50"/>
    </row>
    <row r="1313" spans="1:26" ht="12.75" x14ac:dyDescent="0.2">
      <c r="A1313" s="50"/>
      <c r="B1313" s="50"/>
      <c r="C1313" s="50"/>
      <c r="D1313" s="50"/>
      <c r="E1313" s="50"/>
      <c r="F1313" s="50"/>
      <c r="G1313" s="50"/>
      <c r="H1313" s="50"/>
      <c r="I1313" s="50"/>
      <c r="J1313" s="50"/>
      <c r="K1313" s="50"/>
      <c r="L1313" s="50"/>
      <c r="M1313" s="50"/>
      <c r="N1313" s="50"/>
      <c r="O1313" s="50"/>
      <c r="P1313" s="50"/>
      <c r="Q1313" s="50"/>
      <c r="R1313" s="50"/>
      <c r="S1313" s="50"/>
      <c r="T1313" s="50"/>
      <c r="U1313" s="50"/>
      <c r="V1313" s="50"/>
      <c r="W1313" s="50"/>
      <c r="X1313" s="50"/>
      <c r="Y1313" s="50"/>
      <c r="Z1313" s="50"/>
    </row>
    <row r="1314" spans="1:26" ht="12.75" x14ac:dyDescent="0.2">
      <c r="A1314" s="50"/>
      <c r="B1314" s="50"/>
      <c r="C1314" s="50"/>
      <c r="D1314" s="50"/>
      <c r="E1314" s="50"/>
      <c r="F1314" s="50"/>
      <c r="G1314" s="50"/>
      <c r="H1314" s="50"/>
      <c r="I1314" s="50"/>
      <c r="J1314" s="50"/>
      <c r="K1314" s="50"/>
      <c r="L1314" s="50"/>
      <c r="M1314" s="50"/>
      <c r="N1314" s="50"/>
      <c r="O1314" s="50"/>
      <c r="P1314" s="50"/>
      <c r="Q1314" s="50"/>
      <c r="R1314" s="50"/>
      <c r="S1314" s="50"/>
      <c r="T1314" s="50"/>
      <c r="U1314" s="50"/>
      <c r="V1314" s="50"/>
      <c r="W1314" s="50"/>
      <c r="X1314" s="50"/>
      <c r="Y1314" s="50"/>
      <c r="Z1314" s="50"/>
    </row>
    <row r="1315" spans="1:26" ht="12.75" x14ac:dyDescent="0.2">
      <c r="A1315" s="50"/>
      <c r="B1315" s="50"/>
      <c r="C1315" s="50"/>
      <c r="D1315" s="50"/>
      <c r="E1315" s="50"/>
      <c r="F1315" s="50"/>
      <c r="G1315" s="50"/>
      <c r="H1315" s="50"/>
      <c r="I1315" s="50"/>
      <c r="J1315" s="50"/>
      <c r="K1315" s="50"/>
      <c r="L1315" s="50"/>
      <c r="M1315" s="50"/>
      <c r="N1315" s="50"/>
      <c r="O1315" s="50"/>
      <c r="P1315" s="50"/>
      <c r="Q1315" s="50"/>
      <c r="R1315" s="50"/>
      <c r="S1315" s="50"/>
      <c r="T1315" s="50"/>
      <c r="U1315" s="50"/>
      <c r="V1315" s="50"/>
      <c r="W1315" s="50"/>
      <c r="X1315" s="50"/>
      <c r="Y1315" s="50"/>
      <c r="Z1315" s="50"/>
    </row>
    <row r="1316" spans="1:26" ht="12.75" x14ac:dyDescent="0.2">
      <c r="A1316" s="50"/>
      <c r="B1316" s="50"/>
      <c r="C1316" s="50"/>
      <c r="D1316" s="50"/>
      <c r="E1316" s="50"/>
      <c r="F1316" s="50"/>
      <c r="G1316" s="50"/>
      <c r="H1316" s="50"/>
      <c r="I1316" s="50"/>
      <c r="J1316" s="50"/>
      <c r="K1316" s="50"/>
      <c r="L1316" s="50"/>
      <c r="M1316" s="50"/>
      <c r="N1316" s="50"/>
      <c r="O1316" s="50"/>
      <c r="P1316" s="50"/>
      <c r="Q1316" s="50"/>
      <c r="R1316" s="50"/>
      <c r="S1316" s="50"/>
      <c r="T1316" s="50"/>
      <c r="U1316" s="50"/>
      <c r="V1316" s="50"/>
      <c r="W1316" s="50"/>
      <c r="X1316" s="50"/>
      <c r="Y1316" s="50"/>
      <c r="Z1316" s="50"/>
    </row>
    <row r="1317" spans="1:26" ht="12.75" x14ac:dyDescent="0.2">
      <c r="A1317" s="50"/>
      <c r="B1317" s="50"/>
      <c r="C1317" s="50"/>
      <c r="D1317" s="50"/>
      <c r="E1317" s="50"/>
      <c r="F1317" s="50"/>
      <c r="G1317" s="50"/>
      <c r="H1317" s="50"/>
      <c r="I1317" s="50"/>
      <c r="J1317" s="50"/>
      <c r="K1317" s="50"/>
      <c r="L1317" s="50"/>
      <c r="M1317" s="50"/>
      <c r="N1317" s="50"/>
      <c r="O1317" s="50"/>
      <c r="P1317" s="50"/>
      <c r="Q1317" s="50"/>
      <c r="R1317" s="50"/>
      <c r="S1317" s="50"/>
      <c r="T1317" s="50"/>
      <c r="U1317" s="50"/>
      <c r="V1317" s="50"/>
      <c r="W1317" s="50"/>
      <c r="X1317" s="50"/>
      <c r="Y1317" s="50"/>
      <c r="Z1317" s="50"/>
    </row>
    <row r="1318" spans="1:26" ht="12.75" x14ac:dyDescent="0.2">
      <c r="A1318" s="50"/>
      <c r="B1318" s="50"/>
      <c r="C1318" s="50"/>
      <c r="D1318" s="50"/>
      <c r="E1318" s="50"/>
      <c r="F1318" s="50"/>
      <c r="G1318" s="50"/>
      <c r="H1318" s="50"/>
      <c r="I1318" s="50"/>
      <c r="J1318" s="50"/>
      <c r="K1318" s="50"/>
      <c r="L1318" s="50"/>
      <c r="M1318" s="50"/>
      <c r="N1318" s="50"/>
      <c r="O1318" s="50"/>
      <c r="P1318" s="50"/>
      <c r="Q1318" s="50"/>
      <c r="R1318" s="50"/>
      <c r="S1318" s="50"/>
      <c r="T1318" s="50"/>
      <c r="U1318" s="50"/>
      <c r="V1318" s="50"/>
      <c r="W1318" s="50"/>
      <c r="X1318" s="50"/>
      <c r="Y1318" s="50"/>
      <c r="Z1318" s="50"/>
    </row>
    <row r="1319" spans="1:26" ht="12.75" x14ac:dyDescent="0.2">
      <c r="A1319" s="50"/>
      <c r="B1319" s="50"/>
      <c r="C1319" s="50"/>
      <c r="D1319" s="50"/>
      <c r="E1319" s="50"/>
      <c r="F1319" s="50"/>
      <c r="G1319" s="50"/>
      <c r="H1319" s="50"/>
      <c r="I1319" s="50"/>
      <c r="J1319" s="50"/>
      <c r="K1319" s="50"/>
      <c r="L1319" s="50"/>
      <c r="M1319" s="50"/>
      <c r="N1319" s="50"/>
      <c r="O1319" s="50"/>
      <c r="P1319" s="50"/>
      <c r="Q1319" s="50"/>
      <c r="R1319" s="50"/>
      <c r="S1319" s="50"/>
      <c r="T1319" s="50"/>
      <c r="U1319" s="50"/>
      <c r="V1319" s="50"/>
      <c r="W1319" s="50"/>
      <c r="X1319" s="50"/>
      <c r="Y1319" s="50"/>
      <c r="Z1319" s="50"/>
    </row>
    <row r="1320" spans="1:26" ht="12.75" x14ac:dyDescent="0.2">
      <c r="A1320" s="50"/>
      <c r="B1320" s="50"/>
      <c r="C1320" s="50"/>
      <c r="D1320" s="50"/>
      <c r="E1320" s="50"/>
      <c r="F1320" s="50"/>
      <c r="G1320" s="50"/>
      <c r="H1320" s="50"/>
      <c r="I1320" s="50"/>
      <c r="J1320" s="50"/>
      <c r="K1320" s="50"/>
      <c r="L1320" s="50"/>
      <c r="M1320" s="50"/>
      <c r="N1320" s="50"/>
      <c r="O1320" s="50"/>
      <c r="P1320" s="50"/>
      <c r="Q1320" s="50"/>
      <c r="R1320" s="50"/>
      <c r="S1320" s="50"/>
      <c r="T1320" s="50"/>
      <c r="U1320" s="50"/>
      <c r="V1320" s="50"/>
      <c r="W1320" s="50"/>
      <c r="X1320" s="50"/>
      <c r="Y1320" s="50"/>
      <c r="Z1320" s="50"/>
    </row>
    <row r="1321" spans="1:26" ht="12.75" x14ac:dyDescent="0.2">
      <c r="A1321" s="50"/>
      <c r="B1321" s="50"/>
      <c r="C1321" s="50"/>
      <c r="D1321" s="50"/>
      <c r="E1321" s="50"/>
      <c r="F1321" s="50"/>
      <c r="G1321" s="50"/>
      <c r="H1321" s="50"/>
      <c r="I1321" s="50"/>
      <c r="J1321" s="50"/>
      <c r="K1321" s="50"/>
      <c r="L1321" s="50"/>
      <c r="M1321" s="50"/>
      <c r="N1321" s="50"/>
      <c r="O1321" s="50"/>
      <c r="P1321" s="50"/>
      <c r="Q1321" s="50"/>
      <c r="R1321" s="50"/>
      <c r="S1321" s="50"/>
      <c r="T1321" s="50"/>
      <c r="U1321" s="50"/>
      <c r="V1321" s="50"/>
      <c r="W1321" s="50"/>
      <c r="X1321" s="50"/>
      <c r="Y1321" s="50"/>
      <c r="Z1321" s="50"/>
    </row>
    <row r="1322" spans="1:26" ht="12.75" x14ac:dyDescent="0.2">
      <c r="A1322" s="50"/>
      <c r="B1322" s="50"/>
      <c r="C1322" s="50"/>
      <c r="D1322" s="50"/>
      <c r="E1322" s="50"/>
      <c r="F1322" s="50"/>
      <c r="G1322" s="50"/>
      <c r="H1322" s="50"/>
      <c r="I1322" s="50"/>
      <c r="J1322" s="50"/>
      <c r="K1322" s="50"/>
      <c r="L1322" s="50"/>
      <c r="M1322" s="50"/>
      <c r="N1322" s="50"/>
      <c r="O1322" s="50"/>
      <c r="P1322" s="50"/>
      <c r="Q1322" s="50"/>
      <c r="R1322" s="50"/>
      <c r="S1322" s="50"/>
      <c r="T1322" s="50"/>
      <c r="U1322" s="50"/>
      <c r="V1322" s="50"/>
      <c r="W1322" s="50"/>
      <c r="X1322" s="50"/>
      <c r="Y1322" s="50"/>
      <c r="Z1322" s="50"/>
    </row>
    <row r="1323" spans="1:26" ht="12.75" x14ac:dyDescent="0.2">
      <c r="A1323" s="50"/>
      <c r="B1323" s="50"/>
      <c r="C1323" s="50"/>
      <c r="D1323" s="50"/>
      <c r="E1323" s="50"/>
      <c r="F1323" s="50"/>
      <c r="G1323" s="50"/>
      <c r="H1323" s="50"/>
      <c r="I1323" s="50"/>
      <c r="J1323" s="50"/>
      <c r="K1323" s="50"/>
      <c r="L1323" s="50"/>
      <c r="M1323" s="50"/>
      <c r="N1323" s="50"/>
      <c r="O1323" s="50"/>
      <c r="P1323" s="50"/>
      <c r="Q1323" s="50"/>
      <c r="R1323" s="50"/>
      <c r="S1323" s="50"/>
      <c r="T1323" s="50"/>
      <c r="U1323" s="50"/>
      <c r="V1323" s="50"/>
      <c r="W1323" s="50"/>
      <c r="X1323" s="50"/>
      <c r="Y1323" s="50"/>
      <c r="Z1323" s="50"/>
    </row>
    <row r="1324" spans="1:26" ht="12.75" x14ac:dyDescent="0.2">
      <c r="A1324" s="50"/>
      <c r="B1324" s="50"/>
      <c r="C1324" s="50"/>
      <c r="D1324" s="50"/>
      <c r="E1324" s="50"/>
      <c r="F1324" s="50"/>
      <c r="G1324" s="50"/>
      <c r="H1324" s="50"/>
      <c r="I1324" s="50"/>
      <c r="J1324" s="50"/>
      <c r="K1324" s="50"/>
      <c r="L1324" s="50"/>
      <c r="M1324" s="50"/>
      <c r="N1324" s="50"/>
      <c r="O1324" s="50"/>
      <c r="P1324" s="50"/>
      <c r="Q1324" s="50"/>
      <c r="R1324" s="50"/>
      <c r="S1324" s="50"/>
      <c r="T1324" s="50"/>
      <c r="U1324" s="50"/>
      <c r="V1324" s="50"/>
      <c r="W1324" s="50"/>
      <c r="X1324" s="50"/>
      <c r="Y1324" s="50"/>
      <c r="Z1324" s="50"/>
    </row>
    <row r="1325" spans="1:26" ht="12.75" x14ac:dyDescent="0.2">
      <c r="A1325" s="50"/>
      <c r="B1325" s="50"/>
      <c r="C1325" s="50"/>
      <c r="D1325" s="50"/>
      <c r="E1325" s="50"/>
      <c r="F1325" s="50"/>
      <c r="G1325" s="50"/>
      <c r="H1325" s="50"/>
      <c r="I1325" s="50"/>
      <c r="J1325" s="50"/>
      <c r="K1325" s="50"/>
      <c r="L1325" s="50"/>
      <c r="M1325" s="50"/>
      <c r="N1325" s="50"/>
      <c r="O1325" s="50"/>
      <c r="P1325" s="50"/>
      <c r="Q1325" s="50"/>
      <c r="R1325" s="50"/>
      <c r="S1325" s="50"/>
      <c r="T1325" s="50"/>
      <c r="U1325" s="50"/>
      <c r="V1325" s="50"/>
      <c r="W1325" s="50"/>
      <c r="X1325" s="50"/>
      <c r="Y1325" s="50"/>
      <c r="Z1325" s="50"/>
    </row>
    <row r="1326" spans="1:26" ht="12.75" x14ac:dyDescent="0.2">
      <c r="A1326" s="50"/>
      <c r="B1326" s="50"/>
      <c r="C1326" s="50"/>
      <c r="D1326" s="50"/>
      <c r="E1326" s="50"/>
      <c r="F1326" s="50"/>
      <c r="G1326" s="50"/>
      <c r="H1326" s="50"/>
      <c r="I1326" s="50"/>
      <c r="J1326" s="50"/>
      <c r="K1326" s="50"/>
      <c r="L1326" s="50"/>
      <c r="M1326" s="50"/>
      <c r="N1326" s="50"/>
      <c r="O1326" s="50"/>
      <c r="P1326" s="50"/>
      <c r="Q1326" s="50"/>
      <c r="R1326" s="50"/>
      <c r="S1326" s="50"/>
      <c r="T1326" s="50"/>
      <c r="U1326" s="50"/>
      <c r="V1326" s="50"/>
      <c r="W1326" s="50"/>
      <c r="X1326" s="50"/>
      <c r="Y1326" s="50"/>
      <c r="Z1326" s="50"/>
    </row>
    <row r="1327" spans="1:26" ht="12.75" x14ac:dyDescent="0.2">
      <c r="A1327" s="50"/>
      <c r="B1327" s="50"/>
      <c r="C1327" s="50"/>
      <c r="D1327" s="50"/>
      <c r="E1327" s="50"/>
      <c r="F1327" s="50"/>
      <c r="G1327" s="50"/>
      <c r="H1327" s="50"/>
      <c r="I1327" s="50"/>
      <c r="J1327" s="50"/>
      <c r="K1327" s="50"/>
      <c r="L1327" s="50"/>
      <c r="M1327" s="50"/>
      <c r="N1327" s="50"/>
      <c r="O1327" s="50"/>
      <c r="P1327" s="50"/>
      <c r="Q1327" s="50"/>
      <c r="R1327" s="50"/>
      <c r="S1327" s="50"/>
      <c r="T1327" s="50"/>
      <c r="U1327" s="50"/>
      <c r="V1327" s="50"/>
      <c r="W1327" s="50"/>
      <c r="X1327" s="50"/>
      <c r="Y1327" s="50"/>
      <c r="Z1327" s="50"/>
    </row>
    <row r="1328" spans="1:26" ht="12.75" x14ac:dyDescent="0.2">
      <c r="A1328" s="50"/>
      <c r="B1328" s="50"/>
      <c r="C1328" s="50"/>
      <c r="D1328" s="50"/>
      <c r="E1328" s="50"/>
      <c r="F1328" s="50"/>
      <c r="G1328" s="50"/>
      <c r="H1328" s="50"/>
      <c r="I1328" s="50"/>
      <c r="J1328" s="50"/>
      <c r="K1328" s="50"/>
      <c r="L1328" s="50"/>
      <c r="M1328" s="50"/>
      <c r="N1328" s="50"/>
      <c r="O1328" s="50"/>
      <c r="P1328" s="50"/>
      <c r="Q1328" s="50"/>
      <c r="R1328" s="50"/>
      <c r="S1328" s="50"/>
      <c r="T1328" s="50"/>
      <c r="U1328" s="50"/>
      <c r="V1328" s="50"/>
      <c r="W1328" s="50"/>
      <c r="X1328" s="50"/>
      <c r="Y1328" s="50"/>
      <c r="Z1328" s="50"/>
    </row>
    <row r="1329" spans="1:26" ht="12.75" x14ac:dyDescent="0.2">
      <c r="A1329" s="50"/>
      <c r="B1329" s="50"/>
      <c r="C1329" s="50"/>
      <c r="D1329" s="50"/>
      <c r="E1329" s="50"/>
      <c r="F1329" s="50"/>
      <c r="G1329" s="50"/>
      <c r="H1329" s="50"/>
      <c r="I1329" s="50"/>
      <c r="J1329" s="50"/>
      <c r="K1329" s="50"/>
      <c r="L1329" s="50"/>
      <c r="M1329" s="50"/>
      <c r="N1329" s="50"/>
      <c r="O1329" s="50"/>
      <c r="P1329" s="50"/>
      <c r="Q1329" s="50"/>
      <c r="R1329" s="50"/>
      <c r="S1329" s="50"/>
      <c r="T1329" s="50"/>
      <c r="U1329" s="50"/>
      <c r="V1329" s="50"/>
      <c r="W1329" s="50"/>
      <c r="X1329" s="50"/>
      <c r="Y1329" s="50"/>
      <c r="Z1329" s="50"/>
    </row>
    <row r="1330" spans="1:26" ht="12.75" x14ac:dyDescent="0.2">
      <c r="A1330" s="50"/>
      <c r="B1330" s="50"/>
      <c r="C1330" s="50"/>
      <c r="D1330" s="50"/>
      <c r="E1330" s="50"/>
      <c r="F1330" s="50"/>
      <c r="G1330" s="50"/>
      <c r="H1330" s="50"/>
      <c r="I1330" s="50"/>
      <c r="J1330" s="50"/>
      <c r="K1330" s="50"/>
      <c r="L1330" s="50"/>
      <c r="M1330" s="50"/>
      <c r="N1330" s="50"/>
      <c r="O1330" s="50"/>
      <c r="P1330" s="50"/>
      <c r="Q1330" s="50"/>
      <c r="R1330" s="50"/>
      <c r="S1330" s="50"/>
      <c r="T1330" s="50"/>
      <c r="U1330" s="50"/>
      <c r="V1330" s="50"/>
      <c r="W1330" s="50"/>
      <c r="X1330" s="50"/>
      <c r="Y1330" s="50"/>
      <c r="Z1330" s="50"/>
    </row>
    <row r="1331" spans="1:26" ht="12.75" x14ac:dyDescent="0.2">
      <c r="A1331" s="50"/>
      <c r="B1331" s="50"/>
      <c r="C1331" s="50"/>
      <c r="D1331" s="50"/>
      <c r="E1331" s="50"/>
      <c r="F1331" s="50"/>
      <c r="G1331" s="50"/>
      <c r="H1331" s="50"/>
      <c r="I1331" s="50"/>
      <c r="J1331" s="50"/>
      <c r="K1331" s="50"/>
      <c r="L1331" s="50"/>
      <c r="M1331" s="50"/>
      <c r="N1331" s="50"/>
      <c r="O1331" s="50"/>
      <c r="P1331" s="50"/>
      <c r="Q1331" s="50"/>
      <c r="R1331" s="50"/>
      <c r="S1331" s="50"/>
      <c r="T1331" s="50"/>
      <c r="U1331" s="50"/>
      <c r="V1331" s="50"/>
      <c r="W1331" s="50"/>
      <c r="X1331" s="50"/>
      <c r="Y1331" s="50"/>
      <c r="Z1331" s="50"/>
    </row>
    <row r="1332" spans="1:26" ht="12.75" x14ac:dyDescent="0.2">
      <c r="A1332" s="50"/>
      <c r="B1332" s="50"/>
      <c r="C1332" s="50"/>
      <c r="D1332" s="50"/>
      <c r="E1332" s="50"/>
      <c r="F1332" s="50"/>
      <c r="G1332" s="50"/>
      <c r="H1332" s="50"/>
      <c r="I1332" s="50"/>
      <c r="J1332" s="50"/>
      <c r="K1332" s="50"/>
      <c r="L1332" s="50"/>
      <c r="M1332" s="50"/>
      <c r="N1332" s="50"/>
      <c r="O1332" s="50"/>
      <c r="P1332" s="50"/>
      <c r="Q1332" s="50"/>
      <c r="R1332" s="50"/>
      <c r="S1332" s="50"/>
      <c r="T1332" s="50"/>
      <c r="U1332" s="50"/>
      <c r="V1332" s="50"/>
      <c r="W1332" s="50"/>
      <c r="X1332" s="50"/>
      <c r="Y1332" s="50"/>
      <c r="Z1332" s="50"/>
    </row>
    <row r="1333" spans="1:26" ht="12.75" x14ac:dyDescent="0.2">
      <c r="A1333" s="50"/>
      <c r="B1333" s="50"/>
      <c r="C1333" s="50"/>
      <c r="D1333" s="50"/>
      <c r="E1333" s="50"/>
      <c r="F1333" s="50"/>
      <c r="G1333" s="50"/>
      <c r="H1333" s="50"/>
      <c r="I1333" s="50"/>
      <c r="J1333" s="50"/>
      <c r="K1333" s="50"/>
      <c r="L1333" s="50"/>
      <c r="M1333" s="50"/>
      <c r="N1333" s="50"/>
      <c r="O1333" s="50"/>
      <c r="P1333" s="50"/>
      <c r="Q1333" s="50"/>
      <c r="R1333" s="50"/>
      <c r="S1333" s="50"/>
      <c r="T1333" s="50"/>
      <c r="U1333" s="50"/>
      <c r="V1333" s="50"/>
      <c r="W1333" s="50"/>
      <c r="X1333" s="50"/>
      <c r="Y1333" s="50"/>
      <c r="Z1333" s="50"/>
    </row>
    <row r="1334" spans="1:26" ht="12.75" x14ac:dyDescent="0.2">
      <c r="A1334" s="50"/>
      <c r="B1334" s="50"/>
      <c r="C1334" s="50"/>
      <c r="D1334" s="50"/>
      <c r="E1334" s="50"/>
      <c r="F1334" s="50"/>
      <c r="G1334" s="50"/>
      <c r="H1334" s="50"/>
      <c r="I1334" s="50"/>
      <c r="J1334" s="50"/>
      <c r="K1334" s="50"/>
      <c r="L1334" s="50"/>
      <c r="M1334" s="50"/>
      <c r="N1334" s="50"/>
      <c r="O1334" s="50"/>
      <c r="P1334" s="50"/>
      <c r="Q1334" s="50"/>
      <c r="R1334" s="50"/>
      <c r="S1334" s="50"/>
      <c r="T1334" s="50"/>
      <c r="U1334" s="50"/>
      <c r="V1334" s="50"/>
      <c r="W1334" s="50"/>
      <c r="X1334" s="50"/>
      <c r="Y1334" s="50"/>
      <c r="Z1334" s="50"/>
    </row>
    <row r="1335" spans="1:26" ht="12.75" x14ac:dyDescent="0.2">
      <c r="A1335" s="50"/>
      <c r="B1335" s="50"/>
      <c r="C1335" s="50"/>
      <c r="D1335" s="50"/>
      <c r="E1335" s="50"/>
      <c r="F1335" s="50"/>
      <c r="G1335" s="50"/>
      <c r="H1335" s="50"/>
      <c r="I1335" s="50"/>
      <c r="J1335" s="50"/>
      <c r="K1335" s="50"/>
      <c r="L1335" s="50"/>
      <c r="M1335" s="50"/>
      <c r="N1335" s="50"/>
      <c r="O1335" s="50"/>
      <c r="P1335" s="50"/>
      <c r="Q1335" s="50"/>
      <c r="R1335" s="50"/>
      <c r="S1335" s="50"/>
      <c r="T1335" s="50"/>
      <c r="U1335" s="50"/>
      <c r="V1335" s="50"/>
      <c r="W1335" s="50"/>
      <c r="X1335" s="50"/>
      <c r="Y1335" s="50"/>
      <c r="Z1335" s="50"/>
    </row>
    <row r="1336" spans="1:26" ht="12.75" x14ac:dyDescent="0.2">
      <c r="A1336" s="50"/>
      <c r="B1336" s="50"/>
      <c r="C1336" s="50"/>
      <c r="D1336" s="50"/>
      <c r="E1336" s="50"/>
      <c r="F1336" s="50"/>
      <c r="G1336" s="50"/>
      <c r="H1336" s="50"/>
      <c r="I1336" s="50"/>
      <c r="J1336" s="50"/>
      <c r="K1336" s="50"/>
      <c r="L1336" s="50"/>
      <c r="M1336" s="50"/>
      <c r="N1336" s="50"/>
      <c r="O1336" s="50"/>
      <c r="P1336" s="50"/>
      <c r="Q1336" s="50"/>
      <c r="R1336" s="50"/>
      <c r="S1336" s="50"/>
      <c r="T1336" s="50"/>
      <c r="U1336" s="50"/>
      <c r="V1336" s="50"/>
      <c r="W1336" s="50"/>
      <c r="X1336" s="50"/>
      <c r="Y1336" s="50"/>
      <c r="Z1336" s="50"/>
    </row>
    <row r="1337" spans="1:26" ht="12.75" x14ac:dyDescent="0.2">
      <c r="A1337" s="50"/>
      <c r="B1337" s="50"/>
      <c r="C1337" s="50"/>
      <c r="D1337" s="50"/>
      <c r="E1337" s="50"/>
      <c r="F1337" s="50"/>
      <c r="G1337" s="50"/>
      <c r="H1337" s="50"/>
      <c r="I1337" s="50"/>
      <c r="J1337" s="50"/>
      <c r="K1337" s="50"/>
      <c r="L1337" s="50"/>
      <c r="M1337" s="50"/>
      <c r="N1337" s="50"/>
      <c r="O1337" s="50"/>
      <c r="P1337" s="50"/>
      <c r="Q1337" s="50"/>
      <c r="R1337" s="50"/>
      <c r="S1337" s="50"/>
      <c r="T1337" s="50"/>
      <c r="U1337" s="50"/>
      <c r="V1337" s="50"/>
      <c r="W1337" s="50"/>
      <c r="X1337" s="50"/>
      <c r="Y1337" s="50"/>
      <c r="Z1337" s="50"/>
    </row>
    <row r="1338" spans="1:26" ht="12.75" x14ac:dyDescent="0.2">
      <c r="A1338" s="50"/>
      <c r="B1338" s="50"/>
      <c r="C1338" s="50"/>
      <c r="D1338" s="50"/>
      <c r="E1338" s="50"/>
      <c r="F1338" s="50"/>
      <c r="G1338" s="50"/>
      <c r="H1338" s="50"/>
      <c r="I1338" s="50"/>
      <c r="J1338" s="50"/>
      <c r="K1338" s="50"/>
      <c r="L1338" s="50"/>
      <c r="M1338" s="50"/>
      <c r="N1338" s="50"/>
      <c r="O1338" s="50"/>
      <c r="P1338" s="50"/>
      <c r="Q1338" s="50"/>
      <c r="R1338" s="50"/>
      <c r="S1338" s="50"/>
      <c r="T1338" s="50"/>
      <c r="U1338" s="50"/>
      <c r="V1338" s="50"/>
      <c r="W1338" s="50"/>
      <c r="X1338" s="50"/>
      <c r="Y1338" s="50"/>
      <c r="Z1338" s="50"/>
    </row>
    <row r="1339" spans="1:26" ht="12.75" x14ac:dyDescent="0.2">
      <c r="A1339" s="50"/>
      <c r="B1339" s="50"/>
      <c r="C1339" s="50"/>
      <c r="D1339" s="50"/>
      <c r="E1339" s="50"/>
      <c r="F1339" s="50"/>
      <c r="G1339" s="50"/>
      <c r="H1339" s="50"/>
      <c r="I1339" s="50"/>
      <c r="J1339" s="50"/>
      <c r="K1339" s="50"/>
      <c r="L1339" s="50"/>
      <c r="M1339" s="50"/>
      <c r="N1339" s="50"/>
      <c r="O1339" s="50"/>
      <c r="P1339" s="50"/>
      <c r="Q1339" s="50"/>
      <c r="R1339" s="50"/>
      <c r="S1339" s="50"/>
      <c r="T1339" s="50"/>
      <c r="U1339" s="50"/>
      <c r="V1339" s="50"/>
      <c r="W1339" s="50"/>
      <c r="X1339" s="50"/>
      <c r="Y1339" s="50"/>
      <c r="Z1339" s="50"/>
    </row>
    <row r="1340" spans="1:26" ht="12.75" x14ac:dyDescent="0.2">
      <c r="A1340" s="50"/>
      <c r="B1340" s="50"/>
      <c r="C1340" s="50"/>
      <c r="D1340" s="50"/>
      <c r="E1340" s="50"/>
      <c r="F1340" s="50"/>
      <c r="G1340" s="50"/>
      <c r="H1340" s="50"/>
      <c r="I1340" s="50"/>
      <c r="J1340" s="50"/>
      <c r="K1340" s="50"/>
      <c r="L1340" s="50"/>
      <c r="M1340" s="50"/>
      <c r="N1340" s="50"/>
      <c r="O1340" s="50"/>
      <c r="P1340" s="50"/>
      <c r="Q1340" s="50"/>
      <c r="R1340" s="50"/>
      <c r="S1340" s="50"/>
      <c r="T1340" s="50"/>
      <c r="U1340" s="50"/>
      <c r="V1340" s="50"/>
      <c r="W1340" s="50"/>
      <c r="X1340" s="50"/>
      <c r="Y1340" s="50"/>
      <c r="Z1340" s="50"/>
    </row>
    <row r="1341" spans="1:26" ht="12.75" x14ac:dyDescent="0.2">
      <c r="A1341" s="50"/>
      <c r="B1341" s="50"/>
      <c r="C1341" s="50"/>
      <c r="D1341" s="50"/>
      <c r="E1341" s="50"/>
      <c r="F1341" s="50"/>
      <c r="G1341" s="50"/>
      <c r="H1341" s="50"/>
      <c r="I1341" s="50"/>
      <c r="J1341" s="50"/>
      <c r="K1341" s="50"/>
      <c r="L1341" s="50"/>
      <c r="M1341" s="50"/>
      <c r="N1341" s="50"/>
      <c r="O1341" s="50"/>
      <c r="P1341" s="50"/>
      <c r="Q1341" s="50"/>
      <c r="R1341" s="50"/>
      <c r="S1341" s="50"/>
      <c r="T1341" s="50"/>
      <c r="U1341" s="50"/>
      <c r="V1341" s="50"/>
      <c r="W1341" s="50"/>
      <c r="X1341" s="50"/>
      <c r="Y1341" s="50"/>
      <c r="Z1341" s="50"/>
    </row>
    <row r="1342" spans="1:26" ht="12.75" x14ac:dyDescent="0.2">
      <c r="A1342" s="50"/>
      <c r="B1342" s="50"/>
      <c r="C1342" s="50"/>
      <c r="D1342" s="50"/>
      <c r="E1342" s="50"/>
      <c r="F1342" s="50"/>
      <c r="G1342" s="50"/>
      <c r="H1342" s="50"/>
      <c r="I1342" s="50"/>
      <c r="J1342" s="50"/>
      <c r="K1342" s="50"/>
      <c r="L1342" s="50"/>
      <c r="M1342" s="50"/>
      <c r="N1342" s="50"/>
      <c r="O1342" s="50"/>
      <c r="P1342" s="50"/>
      <c r="Q1342" s="50"/>
      <c r="R1342" s="50"/>
      <c r="S1342" s="50"/>
      <c r="T1342" s="50"/>
      <c r="U1342" s="50"/>
      <c r="V1342" s="50"/>
      <c r="W1342" s="50"/>
      <c r="X1342" s="50"/>
      <c r="Y1342" s="50"/>
      <c r="Z1342" s="50"/>
    </row>
    <row r="1343" spans="1:26" ht="12.75" x14ac:dyDescent="0.2">
      <c r="A1343" s="50"/>
      <c r="B1343" s="50"/>
      <c r="C1343" s="50"/>
      <c r="D1343" s="50"/>
      <c r="E1343" s="50"/>
      <c r="F1343" s="50"/>
      <c r="G1343" s="50"/>
      <c r="H1343" s="50"/>
      <c r="I1343" s="50"/>
      <c r="J1343" s="50"/>
      <c r="K1343" s="50"/>
      <c r="L1343" s="50"/>
      <c r="M1343" s="50"/>
      <c r="N1343" s="50"/>
      <c r="O1343" s="50"/>
      <c r="P1343" s="50"/>
      <c r="Q1343" s="50"/>
      <c r="R1343" s="50"/>
      <c r="S1343" s="50"/>
      <c r="T1343" s="50"/>
      <c r="U1343" s="50"/>
      <c r="V1343" s="50"/>
      <c r="W1343" s="50"/>
      <c r="X1343" s="50"/>
      <c r="Y1343" s="50"/>
      <c r="Z1343" s="50"/>
    </row>
    <row r="1344" spans="1:26" ht="12.75" x14ac:dyDescent="0.2">
      <c r="A1344" s="50"/>
      <c r="B1344" s="50"/>
      <c r="C1344" s="50"/>
      <c r="D1344" s="50"/>
      <c r="E1344" s="50"/>
      <c r="F1344" s="50"/>
      <c r="G1344" s="50"/>
      <c r="H1344" s="50"/>
      <c r="I1344" s="50"/>
      <c r="J1344" s="50"/>
      <c r="K1344" s="50"/>
      <c r="L1344" s="50"/>
      <c r="M1344" s="50"/>
      <c r="N1344" s="50"/>
      <c r="O1344" s="50"/>
      <c r="P1344" s="50"/>
      <c r="Q1344" s="50"/>
      <c r="R1344" s="50"/>
      <c r="S1344" s="50"/>
      <c r="T1344" s="50"/>
      <c r="U1344" s="50"/>
      <c r="V1344" s="50"/>
      <c r="W1344" s="50"/>
      <c r="X1344" s="50"/>
      <c r="Y1344" s="50"/>
      <c r="Z1344" s="50"/>
    </row>
    <row r="1345" spans="1:26" ht="12.75" x14ac:dyDescent="0.2">
      <c r="A1345" s="50"/>
      <c r="B1345" s="50"/>
      <c r="C1345" s="50"/>
      <c r="D1345" s="50"/>
      <c r="E1345" s="50"/>
      <c r="F1345" s="50"/>
      <c r="G1345" s="50"/>
      <c r="H1345" s="50"/>
      <c r="I1345" s="50"/>
      <c r="J1345" s="50"/>
      <c r="K1345" s="50"/>
      <c r="L1345" s="50"/>
      <c r="M1345" s="50"/>
      <c r="N1345" s="50"/>
      <c r="O1345" s="50"/>
      <c r="P1345" s="50"/>
      <c r="Q1345" s="50"/>
      <c r="R1345" s="50"/>
      <c r="S1345" s="50"/>
      <c r="T1345" s="50"/>
      <c r="U1345" s="50"/>
      <c r="V1345" s="50"/>
      <c r="W1345" s="50"/>
      <c r="X1345" s="50"/>
      <c r="Y1345" s="50"/>
      <c r="Z1345" s="50"/>
    </row>
    <row r="1346" spans="1:26" ht="12.75" x14ac:dyDescent="0.2">
      <c r="A1346" s="50"/>
      <c r="B1346" s="50"/>
      <c r="C1346" s="50"/>
      <c r="D1346" s="50"/>
      <c r="E1346" s="50"/>
      <c r="F1346" s="50"/>
      <c r="G1346" s="50"/>
      <c r="H1346" s="50"/>
      <c r="I1346" s="50"/>
      <c r="J1346" s="50"/>
      <c r="K1346" s="50"/>
      <c r="L1346" s="50"/>
      <c r="M1346" s="50"/>
      <c r="N1346" s="50"/>
      <c r="O1346" s="50"/>
      <c r="P1346" s="50"/>
      <c r="Q1346" s="50"/>
      <c r="R1346" s="50"/>
      <c r="S1346" s="50"/>
      <c r="T1346" s="50"/>
      <c r="U1346" s="50"/>
      <c r="V1346" s="50"/>
      <c r="W1346" s="50"/>
      <c r="X1346" s="50"/>
      <c r="Y1346" s="50"/>
      <c r="Z1346" s="50"/>
    </row>
    <row r="1347" spans="1:26" ht="12.75" x14ac:dyDescent="0.2">
      <c r="A1347" s="50"/>
      <c r="B1347" s="50"/>
      <c r="C1347" s="50"/>
      <c r="D1347" s="50"/>
      <c r="E1347" s="50"/>
      <c r="F1347" s="50"/>
      <c r="G1347" s="50"/>
      <c r="H1347" s="50"/>
      <c r="I1347" s="50"/>
      <c r="J1347" s="50"/>
      <c r="K1347" s="50"/>
      <c r="L1347" s="50"/>
      <c r="M1347" s="50"/>
      <c r="N1347" s="50"/>
      <c r="O1347" s="50"/>
      <c r="P1347" s="50"/>
      <c r="Q1347" s="50"/>
      <c r="R1347" s="50"/>
      <c r="S1347" s="50"/>
      <c r="T1347" s="50"/>
      <c r="U1347" s="50"/>
      <c r="V1347" s="50"/>
      <c r="W1347" s="50"/>
      <c r="X1347" s="50"/>
      <c r="Y1347" s="50"/>
      <c r="Z1347" s="50"/>
    </row>
    <row r="1348" spans="1:26" ht="12.75" x14ac:dyDescent="0.2">
      <c r="A1348" s="50"/>
      <c r="B1348" s="50"/>
      <c r="C1348" s="50"/>
      <c r="D1348" s="50"/>
      <c r="E1348" s="50"/>
      <c r="F1348" s="50"/>
      <c r="G1348" s="50"/>
      <c r="H1348" s="50"/>
      <c r="I1348" s="50"/>
      <c r="J1348" s="50"/>
      <c r="K1348" s="50"/>
      <c r="L1348" s="50"/>
      <c r="M1348" s="50"/>
      <c r="N1348" s="50"/>
      <c r="O1348" s="50"/>
      <c r="P1348" s="50"/>
      <c r="Q1348" s="50"/>
      <c r="R1348" s="50"/>
      <c r="S1348" s="50"/>
      <c r="T1348" s="50"/>
      <c r="U1348" s="50"/>
      <c r="V1348" s="50"/>
      <c r="W1348" s="50"/>
      <c r="X1348" s="50"/>
      <c r="Y1348" s="50"/>
      <c r="Z1348" s="50"/>
    </row>
    <row r="1349" spans="1:26" ht="12.75" x14ac:dyDescent="0.2">
      <c r="A1349" s="50"/>
      <c r="B1349" s="50"/>
      <c r="C1349" s="50"/>
      <c r="D1349" s="50"/>
      <c r="E1349" s="50"/>
      <c r="F1349" s="50"/>
      <c r="G1349" s="50"/>
      <c r="H1349" s="50"/>
      <c r="I1349" s="50"/>
      <c r="J1349" s="50"/>
      <c r="K1349" s="50"/>
      <c r="L1349" s="50"/>
      <c r="M1349" s="50"/>
      <c r="N1349" s="50"/>
      <c r="O1349" s="50"/>
      <c r="P1349" s="50"/>
      <c r="Q1349" s="50"/>
      <c r="R1349" s="50"/>
      <c r="S1349" s="50"/>
      <c r="T1349" s="50"/>
      <c r="U1349" s="50"/>
      <c r="V1349" s="50"/>
      <c r="W1349" s="50"/>
      <c r="X1349" s="50"/>
      <c r="Y1349" s="50"/>
      <c r="Z1349" s="50"/>
    </row>
    <row r="1350" spans="1:26" ht="12.75" x14ac:dyDescent="0.2">
      <c r="A1350" s="50"/>
      <c r="B1350" s="50"/>
      <c r="C1350" s="50"/>
      <c r="D1350" s="50"/>
      <c r="E1350" s="50"/>
      <c r="F1350" s="50"/>
      <c r="G1350" s="50"/>
      <c r="H1350" s="50"/>
      <c r="I1350" s="50"/>
      <c r="J1350" s="50"/>
      <c r="K1350" s="50"/>
      <c r="L1350" s="50"/>
      <c r="M1350" s="50"/>
      <c r="N1350" s="50"/>
      <c r="O1350" s="50"/>
      <c r="P1350" s="50"/>
      <c r="Q1350" s="50"/>
      <c r="R1350" s="50"/>
      <c r="S1350" s="50"/>
      <c r="T1350" s="50"/>
      <c r="U1350" s="50"/>
      <c r="V1350" s="50"/>
      <c r="W1350" s="50"/>
      <c r="X1350" s="50"/>
      <c r="Y1350" s="50"/>
      <c r="Z1350" s="50"/>
    </row>
    <row r="1351" spans="1:26" ht="12.75" x14ac:dyDescent="0.2">
      <c r="A1351" s="50"/>
      <c r="B1351" s="50"/>
      <c r="C1351" s="50"/>
      <c r="D1351" s="50"/>
      <c r="E1351" s="50"/>
      <c r="F1351" s="50"/>
      <c r="G1351" s="50"/>
      <c r="H1351" s="50"/>
      <c r="I1351" s="50"/>
      <c r="J1351" s="50"/>
      <c r="K1351" s="50"/>
      <c r="L1351" s="50"/>
      <c r="M1351" s="50"/>
      <c r="N1351" s="50"/>
      <c r="O1351" s="50"/>
      <c r="P1351" s="50"/>
      <c r="Q1351" s="50"/>
      <c r="R1351" s="50"/>
      <c r="S1351" s="50"/>
      <c r="T1351" s="50"/>
      <c r="U1351" s="50"/>
      <c r="V1351" s="50"/>
      <c r="W1351" s="50"/>
      <c r="X1351" s="50"/>
      <c r="Y1351" s="50"/>
      <c r="Z1351" s="50"/>
    </row>
    <row r="1352" spans="1:26" ht="12.75" x14ac:dyDescent="0.2">
      <c r="A1352" s="50"/>
      <c r="B1352" s="50"/>
      <c r="C1352" s="50"/>
      <c r="D1352" s="50"/>
      <c r="E1352" s="50"/>
      <c r="F1352" s="50"/>
      <c r="G1352" s="50"/>
      <c r="H1352" s="50"/>
      <c r="I1352" s="50"/>
      <c r="J1352" s="50"/>
      <c r="K1352" s="50"/>
      <c r="L1352" s="50"/>
      <c r="M1352" s="50"/>
      <c r="N1352" s="50"/>
      <c r="O1352" s="50"/>
      <c r="P1352" s="50"/>
      <c r="Q1352" s="50"/>
      <c r="R1352" s="50"/>
      <c r="S1352" s="50"/>
      <c r="T1352" s="50"/>
      <c r="U1352" s="50"/>
      <c r="V1352" s="50"/>
      <c r="W1352" s="50"/>
      <c r="X1352" s="50"/>
      <c r="Y1352" s="50"/>
      <c r="Z1352" s="50"/>
    </row>
    <row r="1353" spans="1:26" ht="12.75" x14ac:dyDescent="0.2">
      <c r="A1353" s="50"/>
      <c r="B1353" s="50"/>
      <c r="C1353" s="50"/>
      <c r="D1353" s="50"/>
      <c r="E1353" s="50"/>
      <c r="F1353" s="50"/>
      <c r="G1353" s="50"/>
      <c r="H1353" s="50"/>
      <c r="I1353" s="50"/>
      <c r="J1353" s="50"/>
      <c r="K1353" s="50"/>
      <c r="L1353" s="50"/>
      <c r="M1353" s="50"/>
      <c r="N1353" s="50"/>
      <c r="O1353" s="50"/>
      <c r="P1353" s="50"/>
      <c r="Q1353" s="50"/>
      <c r="R1353" s="50"/>
      <c r="S1353" s="50"/>
      <c r="T1353" s="50"/>
      <c r="U1353" s="50"/>
      <c r="V1353" s="50"/>
      <c r="W1353" s="50"/>
      <c r="X1353" s="50"/>
      <c r="Y1353" s="50"/>
      <c r="Z1353" s="50"/>
    </row>
    <row r="1354" spans="1:26" ht="12.75" x14ac:dyDescent="0.2">
      <c r="A1354" s="50"/>
      <c r="B1354" s="50"/>
      <c r="C1354" s="50"/>
      <c r="D1354" s="50"/>
      <c r="E1354" s="50"/>
      <c r="F1354" s="50"/>
      <c r="G1354" s="50"/>
      <c r="H1354" s="50"/>
      <c r="I1354" s="50"/>
      <c r="J1354" s="50"/>
      <c r="K1354" s="50"/>
      <c r="L1354" s="50"/>
      <c r="M1354" s="50"/>
      <c r="N1354" s="50"/>
      <c r="O1354" s="50"/>
      <c r="P1354" s="50"/>
      <c r="Q1354" s="50"/>
      <c r="R1354" s="50"/>
      <c r="S1354" s="50"/>
      <c r="T1354" s="50"/>
      <c r="U1354" s="50"/>
      <c r="V1354" s="50"/>
      <c r="W1354" s="50"/>
      <c r="X1354" s="50"/>
      <c r="Y1354" s="50"/>
      <c r="Z1354" s="50"/>
    </row>
    <row r="1355" spans="1:26" ht="12.75" x14ac:dyDescent="0.2">
      <c r="A1355" s="50"/>
      <c r="B1355" s="50"/>
      <c r="C1355" s="50"/>
      <c r="D1355" s="50"/>
      <c r="E1355" s="50"/>
      <c r="F1355" s="50"/>
      <c r="G1355" s="50"/>
      <c r="H1355" s="50"/>
      <c r="I1355" s="50"/>
      <c r="J1355" s="50"/>
      <c r="K1355" s="50"/>
      <c r="L1355" s="50"/>
      <c r="M1355" s="50"/>
      <c r="N1355" s="50"/>
      <c r="O1355" s="50"/>
      <c r="P1355" s="50"/>
      <c r="Q1355" s="50"/>
      <c r="R1355" s="50"/>
      <c r="S1355" s="50"/>
      <c r="T1355" s="50"/>
      <c r="U1355" s="50"/>
      <c r="V1355" s="50"/>
      <c r="W1355" s="50"/>
      <c r="X1355" s="50"/>
      <c r="Y1355" s="50"/>
      <c r="Z1355" s="50"/>
    </row>
    <row r="1356" spans="1:26" ht="12.75" x14ac:dyDescent="0.2">
      <c r="A1356" s="50"/>
      <c r="B1356" s="50"/>
      <c r="C1356" s="50"/>
      <c r="D1356" s="50"/>
      <c r="E1356" s="50"/>
      <c r="F1356" s="50"/>
      <c r="G1356" s="50"/>
      <c r="H1356" s="50"/>
      <c r="I1356" s="50"/>
      <c r="J1356" s="50"/>
      <c r="K1356" s="50"/>
      <c r="L1356" s="50"/>
      <c r="M1356" s="50"/>
      <c r="N1356" s="50"/>
      <c r="O1356" s="50"/>
      <c r="P1356" s="50"/>
      <c r="Q1356" s="50"/>
      <c r="R1356" s="50"/>
      <c r="S1356" s="50"/>
      <c r="T1356" s="50"/>
      <c r="U1356" s="50"/>
      <c r="V1356" s="50"/>
      <c r="W1356" s="50"/>
      <c r="X1356" s="50"/>
      <c r="Y1356" s="50"/>
      <c r="Z1356" s="50"/>
    </row>
    <row r="1357" spans="1:26" ht="12.75" x14ac:dyDescent="0.2">
      <c r="A1357" s="50"/>
      <c r="B1357" s="50"/>
      <c r="C1357" s="50"/>
      <c r="D1357" s="50"/>
      <c r="E1357" s="50"/>
      <c r="F1357" s="50"/>
      <c r="G1357" s="50"/>
      <c r="H1357" s="50"/>
      <c r="I1357" s="50"/>
      <c r="J1357" s="50"/>
      <c r="K1357" s="50"/>
      <c r="L1357" s="50"/>
      <c r="M1357" s="50"/>
      <c r="N1357" s="50"/>
      <c r="O1357" s="50"/>
      <c r="P1357" s="50"/>
      <c r="Q1357" s="50"/>
      <c r="R1357" s="50"/>
      <c r="S1357" s="50"/>
      <c r="T1357" s="50"/>
      <c r="U1357" s="50"/>
      <c r="V1357" s="50"/>
      <c r="W1357" s="50"/>
      <c r="X1357" s="50"/>
      <c r="Y1357" s="50"/>
      <c r="Z1357" s="50"/>
    </row>
    <row r="1358" spans="1:26" ht="12.75" x14ac:dyDescent="0.2">
      <c r="A1358" s="50"/>
      <c r="B1358" s="50"/>
      <c r="C1358" s="50"/>
      <c r="D1358" s="50"/>
      <c r="E1358" s="50"/>
      <c r="F1358" s="50"/>
      <c r="G1358" s="50"/>
      <c r="H1358" s="50"/>
      <c r="I1358" s="50"/>
      <c r="J1358" s="50"/>
      <c r="K1358" s="50"/>
      <c r="L1358" s="50"/>
      <c r="M1358" s="50"/>
      <c r="N1358" s="50"/>
      <c r="O1358" s="50"/>
      <c r="P1358" s="50"/>
      <c r="Q1358" s="50"/>
      <c r="R1358" s="50"/>
      <c r="S1358" s="50"/>
      <c r="T1358" s="50"/>
      <c r="U1358" s="50"/>
      <c r="V1358" s="50"/>
      <c r="W1358" s="50"/>
      <c r="X1358" s="50"/>
      <c r="Y1358" s="50"/>
      <c r="Z1358" s="50"/>
    </row>
    <row r="1359" spans="1:26" ht="12.75" x14ac:dyDescent="0.2">
      <c r="A1359" s="50"/>
      <c r="B1359" s="50"/>
      <c r="C1359" s="50"/>
      <c r="D1359" s="50"/>
      <c r="E1359" s="50"/>
      <c r="F1359" s="50"/>
      <c r="G1359" s="50"/>
      <c r="H1359" s="50"/>
      <c r="I1359" s="50"/>
      <c r="J1359" s="50"/>
      <c r="K1359" s="50"/>
      <c r="L1359" s="50"/>
      <c r="M1359" s="50"/>
      <c r="N1359" s="50"/>
      <c r="O1359" s="50"/>
      <c r="P1359" s="50"/>
      <c r="Q1359" s="50"/>
      <c r="R1359" s="50"/>
      <c r="S1359" s="50"/>
      <c r="T1359" s="50"/>
      <c r="U1359" s="50"/>
      <c r="V1359" s="50"/>
      <c r="W1359" s="50"/>
      <c r="X1359" s="50"/>
      <c r="Y1359" s="50"/>
      <c r="Z1359" s="50"/>
    </row>
    <row r="1360" spans="1:26" ht="12.75" x14ac:dyDescent="0.2">
      <c r="A1360" s="50"/>
      <c r="B1360" s="50"/>
      <c r="C1360" s="50"/>
      <c r="D1360" s="50"/>
      <c r="E1360" s="50"/>
      <c r="F1360" s="50"/>
      <c r="G1360" s="50"/>
      <c r="H1360" s="50"/>
      <c r="I1360" s="50"/>
      <c r="J1360" s="50"/>
      <c r="K1360" s="50"/>
      <c r="L1360" s="50"/>
      <c r="M1360" s="50"/>
      <c r="N1360" s="50"/>
      <c r="O1360" s="50"/>
      <c r="P1360" s="50"/>
      <c r="Q1360" s="50"/>
      <c r="R1360" s="50"/>
      <c r="S1360" s="50"/>
      <c r="T1360" s="50"/>
      <c r="U1360" s="50"/>
      <c r="V1360" s="50"/>
      <c r="W1360" s="50"/>
      <c r="X1360" s="50"/>
      <c r="Y1360" s="50"/>
      <c r="Z1360" s="50"/>
    </row>
    <row r="1361" spans="1:26" ht="12.75" x14ac:dyDescent="0.2">
      <c r="A1361" s="50"/>
      <c r="B1361" s="50"/>
      <c r="C1361" s="50"/>
      <c r="D1361" s="50"/>
      <c r="E1361" s="50"/>
      <c r="F1361" s="50"/>
      <c r="G1361" s="50"/>
      <c r="H1361" s="50"/>
      <c r="I1361" s="50"/>
      <c r="J1361" s="50"/>
      <c r="K1361" s="50"/>
      <c r="L1361" s="50"/>
      <c r="M1361" s="50"/>
      <c r="N1361" s="50"/>
      <c r="O1361" s="50"/>
      <c r="P1361" s="50"/>
      <c r="Q1361" s="50"/>
      <c r="R1361" s="50"/>
      <c r="S1361" s="50"/>
      <c r="T1361" s="50"/>
      <c r="U1361" s="50"/>
      <c r="V1361" s="50"/>
      <c r="W1361" s="50"/>
      <c r="X1361" s="50"/>
      <c r="Y1361" s="50"/>
      <c r="Z1361" s="50"/>
    </row>
    <row r="1362" spans="1:26" ht="12.75" x14ac:dyDescent="0.2">
      <c r="A1362" s="50"/>
      <c r="B1362" s="50"/>
      <c r="C1362" s="50"/>
      <c r="D1362" s="50"/>
      <c r="E1362" s="50"/>
      <c r="F1362" s="50"/>
      <c r="G1362" s="50"/>
      <c r="H1362" s="50"/>
      <c r="I1362" s="50"/>
      <c r="J1362" s="50"/>
      <c r="K1362" s="50"/>
      <c r="L1362" s="50"/>
      <c r="M1362" s="50"/>
      <c r="N1362" s="50"/>
      <c r="O1362" s="50"/>
      <c r="P1362" s="50"/>
      <c r="Q1362" s="50"/>
      <c r="R1362" s="50"/>
      <c r="S1362" s="50"/>
      <c r="T1362" s="50"/>
      <c r="U1362" s="50"/>
      <c r="V1362" s="50"/>
      <c r="W1362" s="50"/>
      <c r="X1362" s="50"/>
      <c r="Y1362" s="50"/>
      <c r="Z1362" s="50"/>
    </row>
    <row r="1363" spans="1:26" ht="12.75" x14ac:dyDescent="0.2">
      <c r="A1363" s="50"/>
      <c r="B1363" s="50"/>
      <c r="C1363" s="50"/>
      <c r="D1363" s="50"/>
      <c r="E1363" s="50"/>
      <c r="F1363" s="50"/>
      <c r="G1363" s="50"/>
      <c r="H1363" s="50"/>
      <c r="I1363" s="50"/>
      <c r="J1363" s="50"/>
      <c r="K1363" s="50"/>
      <c r="L1363" s="50"/>
      <c r="M1363" s="50"/>
      <c r="N1363" s="50"/>
      <c r="O1363" s="50"/>
      <c r="P1363" s="50"/>
      <c r="Q1363" s="50"/>
      <c r="R1363" s="50"/>
      <c r="S1363" s="50"/>
      <c r="T1363" s="50"/>
      <c r="U1363" s="50"/>
      <c r="V1363" s="50"/>
      <c r="W1363" s="50"/>
      <c r="X1363" s="50"/>
      <c r="Y1363" s="50"/>
      <c r="Z1363" s="50"/>
    </row>
    <row r="1364" spans="1:26" ht="12.75" x14ac:dyDescent="0.2">
      <c r="A1364" s="50"/>
      <c r="B1364" s="50"/>
      <c r="C1364" s="50"/>
      <c r="D1364" s="50"/>
      <c r="E1364" s="50"/>
      <c r="F1364" s="50"/>
      <c r="G1364" s="50"/>
      <c r="H1364" s="50"/>
      <c r="I1364" s="50"/>
      <c r="J1364" s="50"/>
      <c r="K1364" s="50"/>
      <c r="L1364" s="50"/>
      <c r="M1364" s="50"/>
      <c r="N1364" s="50"/>
      <c r="O1364" s="50"/>
      <c r="P1364" s="50"/>
      <c r="Q1364" s="50"/>
      <c r="R1364" s="50"/>
      <c r="S1364" s="50"/>
      <c r="T1364" s="50"/>
      <c r="U1364" s="50"/>
      <c r="V1364" s="50"/>
      <c r="W1364" s="50"/>
      <c r="X1364" s="50"/>
      <c r="Y1364" s="50"/>
      <c r="Z1364" s="50"/>
    </row>
    <row r="1365" spans="1:26" ht="12.75" x14ac:dyDescent="0.2">
      <c r="A1365" s="50"/>
      <c r="B1365" s="50"/>
      <c r="C1365" s="50"/>
      <c r="D1365" s="50"/>
      <c r="E1365" s="50"/>
      <c r="F1365" s="50"/>
      <c r="G1365" s="50"/>
      <c r="H1365" s="50"/>
      <c r="I1365" s="50"/>
      <c r="J1365" s="50"/>
      <c r="K1365" s="50"/>
      <c r="L1365" s="50"/>
      <c r="M1365" s="50"/>
      <c r="N1365" s="50"/>
      <c r="O1365" s="50"/>
      <c r="P1365" s="50"/>
      <c r="Q1365" s="50"/>
      <c r="R1365" s="50"/>
      <c r="S1365" s="50"/>
      <c r="T1365" s="50"/>
      <c r="U1365" s="50"/>
      <c r="V1365" s="50"/>
      <c r="W1365" s="50"/>
      <c r="X1365" s="50"/>
      <c r="Y1365" s="50"/>
      <c r="Z1365" s="50"/>
    </row>
    <row r="1366" spans="1:26" ht="12.75" x14ac:dyDescent="0.2">
      <c r="A1366" s="50"/>
      <c r="B1366" s="50"/>
      <c r="C1366" s="50"/>
      <c r="D1366" s="50"/>
      <c r="E1366" s="50"/>
      <c r="F1366" s="50"/>
      <c r="G1366" s="50"/>
      <c r="H1366" s="50"/>
      <c r="I1366" s="50"/>
      <c r="J1366" s="50"/>
      <c r="K1366" s="50"/>
      <c r="L1366" s="50"/>
      <c r="M1366" s="50"/>
      <c r="N1366" s="50"/>
      <c r="O1366" s="50"/>
      <c r="P1366" s="50"/>
      <c r="Q1366" s="50"/>
      <c r="R1366" s="50"/>
      <c r="S1366" s="50"/>
      <c r="T1366" s="50"/>
      <c r="U1366" s="50"/>
      <c r="V1366" s="50"/>
      <c r="W1366" s="50"/>
      <c r="X1366" s="50"/>
      <c r="Y1366" s="50"/>
      <c r="Z1366" s="50"/>
    </row>
    <row r="1367" spans="1:26" ht="12.75" x14ac:dyDescent="0.2">
      <c r="A1367" s="50"/>
      <c r="B1367" s="50"/>
      <c r="C1367" s="50"/>
      <c r="D1367" s="50"/>
      <c r="E1367" s="50"/>
      <c r="F1367" s="50"/>
      <c r="G1367" s="50"/>
      <c r="H1367" s="50"/>
      <c r="I1367" s="50"/>
      <c r="J1367" s="50"/>
      <c r="K1367" s="50"/>
      <c r="L1367" s="50"/>
      <c r="M1367" s="50"/>
      <c r="N1367" s="50"/>
      <c r="O1367" s="50"/>
      <c r="P1367" s="50"/>
      <c r="Q1367" s="50"/>
      <c r="R1367" s="50"/>
      <c r="S1367" s="50"/>
      <c r="T1367" s="50"/>
      <c r="U1367" s="50"/>
      <c r="V1367" s="50"/>
      <c r="W1367" s="50"/>
      <c r="X1367" s="50"/>
      <c r="Y1367" s="50"/>
      <c r="Z1367" s="50"/>
    </row>
    <row r="1368" spans="1:26" ht="12.75" x14ac:dyDescent="0.2">
      <c r="A1368" s="50"/>
      <c r="B1368" s="50"/>
      <c r="C1368" s="50"/>
      <c r="D1368" s="50"/>
      <c r="E1368" s="50"/>
      <c r="F1368" s="50"/>
      <c r="G1368" s="50"/>
      <c r="H1368" s="50"/>
      <c r="I1368" s="50"/>
      <c r="J1368" s="50"/>
      <c r="K1368" s="50"/>
      <c r="L1368" s="50"/>
      <c r="M1368" s="50"/>
      <c r="N1368" s="50"/>
      <c r="O1368" s="50"/>
      <c r="P1368" s="50"/>
      <c r="Q1368" s="50"/>
      <c r="R1368" s="50"/>
      <c r="S1368" s="50"/>
      <c r="T1368" s="50"/>
      <c r="U1368" s="50"/>
      <c r="V1368" s="50"/>
      <c r="W1368" s="50"/>
      <c r="X1368" s="50"/>
      <c r="Y1368" s="50"/>
      <c r="Z1368" s="50"/>
    </row>
    <row r="1369" spans="1:26" ht="12.75" x14ac:dyDescent="0.2">
      <c r="A1369" s="50"/>
      <c r="B1369" s="50"/>
      <c r="C1369" s="50"/>
      <c r="D1369" s="50"/>
      <c r="E1369" s="50"/>
      <c r="F1369" s="50"/>
      <c r="G1369" s="50"/>
      <c r="H1369" s="50"/>
      <c r="I1369" s="50"/>
      <c r="J1369" s="50"/>
      <c r="K1369" s="50"/>
      <c r="L1369" s="50"/>
      <c r="M1369" s="50"/>
      <c r="N1369" s="50"/>
      <c r="O1369" s="50"/>
      <c r="P1369" s="50"/>
      <c r="Q1369" s="50"/>
      <c r="R1369" s="50"/>
      <c r="S1369" s="50"/>
      <c r="T1369" s="50"/>
      <c r="U1369" s="50"/>
      <c r="V1369" s="50"/>
      <c r="W1369" s="50"/>
      <c r="X1369" s="50"/>
      <c r="Y1369" s="50"/>
      <c r="Z1369" s="50"/>
    </row>
    <row r="1370" spans="1:26" ht="12.75" x14ac:dyDescent="0.2">
      <c r="A1370" s="50"/>
      <c r="B1370" s="50"/>
      <c r="C1370" s="50"/>
      <c r="D1370" s="50"/>
      <c r="E1370" s="50"/>
      <c r="F1370" s="50"/>
      <c r="G1370" s="50"/>
      <c r="H1370" s="50"/>
      <c r="I1370" s="50"/>
      <c r="J1370" s="50"/>
      <c r="K1370" s="50"/>
      <c r="L1370" s="50"/>
      <c r="M1370" s="50"/>
      <c r="N1370" s="50"/>
      <c r="O1370" s="50"/>
      <c r="P1370" s="50"/>
      <c r="Q1370" s="50"/>
      <c r="R1370" s="50"/>
      <c r="S1370" s="50"/>
      <c r="T1370" s="50"/>
      <c r="U1370" s="50"/>
      <c r="V1370" s="50"/>
      <c r="W1370" s="50"/>
      <c r="X1370" s="50"/>
      <c r="Y1370" s="50"/>
      <c r="Z1370" s="50"/>
    </row>
    <row r="1371" spans="1:26" ht="12.75" x14ac:dyDescent="0.2">
      <c r="A1371" s="50"/>
      <c r="B1371" s="50"/>
      <c r="C1371" s="50"/>
      <c r="D1371" s="50"/>
      <c r="E1371" s="50"/>
      <c r="F1371" s="50"/>
      <c r="G1371" s="50"/>
      <c r="H1371" s="50"/>
      <c r="I1371" s="50"/>
      <c r="J1371" s="50"/>
      <c r="K1371" s="50"/>
      <c r="L1371" s="50"/>
      <c r="M1371" s="50"/>
      <c r="N1371" s="50"/>
      <c r="O1371" s="50"/>
      <c r="P1371" s="50"/>
      <c r="Q1371" s="50"/>
      <c r="R1371" s="50"/>
      <c r="S1371" s="50"/>
      <c r="T1371" s="50"/>
      <c r="U1371" s="50"/>
      <c r="V1371" s="50"/>
      <c r="W1371" s="50"/>
      <c r="X1371" s="50"/>
      <c r="Y1371" s="50"/>
      <c r="Z1371" s="50"/>
    </row>
    <row r="1372" spans="1:26" ht="12.75" x14ac:dyDescent="0.2">
      <c r="A1372" s="50"/>
      <c r="B1372" s="50"/>
      <c r="C1372" s="50"/>
      <c r="D1372" s="50"/>
      <c r="E1372" s="50"/>
      <c r="F1372" s="50"/>
      <c r="G1372" s="50"/>
      <c r="H1372" s="50"/>
      <c r="I1372" s="50"/>
      <c r="J1372" s="50"/>
      <c r="K1372" s="50"/>
      <c r="L1372" s="50"/>
      <c r="M1372" s="50"/>
      <c r="N1372" s="50"/>
      <c r="O1372" s="50"/>
      <c r="P1372" s="50"/>
      <c r="Q1372" s="50"/>
      <c r="R1372" s="50"/>
      <c r="S1372" s="50"/>
      <c r="T1372" s="50"/>
      <c r="U1372" s="50"/>
      <c r="V1372" s="50"/>
      <c r="W1372" s="50"/>
      <c r="X1372" s="50"/>
      <c r="Y1372" s="50"/>
      <c r="Z1372" s="50"/>
    </row>
    <row r="1373" spans="1:26" ht="12.75" x14ac:dyDescent="0.2">
      <c r="A1373" s="50"/>
      <c r="B1373" s="50"/>
      <c r="C1373" s="50"/>
      <c r="D1373" s="50"/>
      <c r="E1373" s="50"/>
      <c r="F1373" s="50"/>
      <c r="G1373" s="50"/>
      <c r="H1373" s="50"/>
      <c r="I1373" s="50"/>
      <c r="J1373" s="50"/>
      <c r="K1373" s="50"/>
      <c r="L1373" s="50"/>
      <c r="M1373" s="50"/>
      <c r="N1373" s="50"/>
      <c r="O1373" s="50"/>
      <c r="P1373" s="50"/>
      <c r="Q1373" s="50"/>
      <c r="R1373" s="50"/>
      <c r="S1373" s="50"/>
      <c r="T1373" s="50"/>
      <c r="U1373" s="50"/>
      <c r="V1373" s="50"/>
      <c r="W1373" s="50"/>
      <c r="X1373" s="50"/>
      <c r="Y1373" s="50"/>
      <c r="Z1373" s="50"/>
    </row>
    <row r="1374" spans="1:26" ht="12.75" x14ac:dyDescent="0.2">
      <c r="A1374" s="50"/>
      <c r="B1374" s="50"/>
      <c r="C1374" s="50"/>
      <c r="D1374" s="50"/>
      <c r="E1374" s="50"/>
      <c r="F1374" s="50"/>
      <c r="G1374" s="50"/>
      <c r="H1374" s="50"/>
      <c r="I1374" s="50"/>
      <c r="J1374" s="50"/>
      <c r="K1374" s="50"/>
      <c r="L1374" s="50"/>
      <c r="M1374" s="50"/>
      <c r="N1374" s="50"/>
      <c r="O1374" s="50"/>
      <c r="P1374" s="50"/>
      <c r="Q1374" s="50"/>
      <c r="R1374" s="50"/>
      <c r="S1374" s="50"/>
      <c r="T1374" s="50"/>
      <c r="U1374" s="50"/>
      <c r="V1374" s="50"/>
      <c r="W1374" s="50"/>
      <c r="X1374" s="50"/>
      <c r="Y1374" s="50"/>
      <c r="Z1374" s="50"/>
    </row>
    <row r="1375" spans="1:26" ht="12.75" x14ac:dyDescent="0.2">
      <c r="A1375" s="50"/>
      <c r="B1375" s="50"/>
      <c r="C1375" s="50"/>
      <c r="D1375" s="50"/>
      <c r="E1375" s="50"/>
      <c r="F1375" s="50"/>
      <c r="G1375" s="50"/>
      <c r="H1375" s="50"/>
      <c r="I1375" s="50"/>
      <c r="J1375" s="50"/>
      <c r="K1375" s="50"/>
      <c r="L1375" s="50"/>
      <c r="M1375" s="50"/>
      <c r="N1375" s="50"/>
      <c r="O1375" s="50"/>
      <c r="P1375" s="50"/>
      <c r="Q1375" s="50"/>
      <c r="R1375" s="50"/>
      <c r="S1375" s="50"/>
      <c r="T1375" s="50"/>
      <c r="U1375" s="50"/>
      <c r="V1375" s="50"/>
      <c r="W1375" s="50"/>
      <c r="X1375" s="50"/>
      <c r="Y1375" s="50"/>
      <c r="Z1375" s="50"/>
    </row>
    <row r="1376" spans="1:26" ht="12.75" x14ac:dyDescent="0.2">
      <c r="A1376" s="50"/>
      <c r="B1376" s="50"/>
      <c r="C1376" s="50"/>
      <c r="D1376" s="50"/>
      <c r="E1376" s="50"/>
      <c r="F1376" s="50"/>
      <c r="G1376" s="50"/>
      <c r="H1376" s="50"/>
      <c r="I1376" s="50"/>
      <c r="J1376" s="50"/>
      <c r="K1376" s="50"/>
      <c r="L1376" s="50"/>
      <c r="M1376" s="50"/>
      <c r="N1376" s="50"/>
      <c r="O1376" s="50"/>
      <c r="P1376" s="50"/>
      <c r="Q1376" s="50"/>
      <c r="R1376" s="50"/>
      <c r="S1376" s="50"/>
      <c r="T1376" s="50"/>
      <c r="U1376" s="50"/>
      <c r="V1376" s="50"/>
      <c r="W1376" s="50"/>
      <c r="X1376" s="50"/>
      <c r="Y1376" s="50"/>
      <c r="Z1376" s="50"/>
    </row>
    <row r="1377" spans="1:26" ht="12.75" x14ac:dyDescent="0.2">
      <c r="A1377" s="50"/>
      <c r="B1377" s="50"/>
      <c r="C1377" s="50"/>
      <c r="D1377" s="50"/>
      <c r="E1377" s="50"/>
      <c r="F1377" s="50"/>
      <c r="G1377" s="50"/>
      <c r="H1377" s="50"/>
      <c r="I1377" s="50"/>
      <c r="J1377" s="50"/>
      <c r="K1377" s="50"/>
      <c r="L1377" s="50"/>
      <c r="M1377" s="50"/>
      <c r="N1377" s="50"/>
      <c r="O1377" s="50"/>
      <c r="P1377" s="50"/>
      <c r="Q1377" s="50"/>
      <c r="R1377" s="50"/>
      <c r="S1377" s="50"/>
      <c r="T1377" s="50"/>
      <c r="U1377" s="50"/>
      <c r="V1377" s="50"/>
      <c r="W1377" s="50"/>
      <c r="X1377" s="50"/>
      <c r="Y1377" s="50"/>
      <c r="Z1377" s="50"/>
    </row>
    <row r="1378" spans="1:26" ht="12.75" x14ac:dyDescent="0.2">
      <c r="A1378" s="50"/>
      <c r="B1378" s="50"/>
      <c r="C1378" s="50"/>
      <c r="D1378" s="50"/>
      <c r="E1378" s="50"/>
      <c r="F1378" s="50"/>
      <c r="G1378" s="50"/>
      <c r="H1378" s="50"/>
      <c r="I1378" s="50"/>
      <c r="J1378" s="50"/>
      <c r="K1378" s="50"/>
      <c r="L1378" s="50"/>
      <c r="M1378" s="50"/>
      <c r="N1378" s="50"/>
      <c r="O1378" s="50"/>
      <c r="P1378" s="50"/>
      <c r="Q1378" s="50"/>
      <c r="R1378" s="50"/>
      <c r="S1378" s="50"/>
      <c r="T1378" s="50"/>
      <c r="U1378" s="50"/>
      <c r="V1378" s="50"/>
      <c r="W1378" s="50"/>
      <c r="X1378" s="50"/>
      <c r="Y1378" s="50"/>
      <c r="Z1378" s="50"/>
    </row>
    <row r="1379" spans="1:26" ht="12.75" x14ac:dyDescent="0.2">
      <c r="A1379" s="50"/>
      <c r="B1379" s="50"/>
      <c r="C1379" s="50"/>
      <c r="D1379" s="50"/>
      <c r="E1379" s="50"/>
      <c r="F1379" s="50"/>
      <c r="G1379" s="50"/>
      <c r="H1379" s="50"/>
      <c r="I1379" s="50"/>
      <c r="J1379" s="50"/>
      <c r="K1379" s="50"/>
      <c r="L1379" s="50"/>
      <c r="M1379" s="50"/>
      <c r="N1379" s="50"/>
      <c r="O1379" s="50"/>
      <c r="P1379" s="50"/>
      <c r="Q1379" s="50"/>
      <c r="R1379" s="50"/>
      <c r="S1379" s="50"/>
      <c r="T1379" s="50"/>
      <c r="U1379" s="50"/>
      <c r="V1379" s="50"/>
      <c r="W1379" s="50"/>
      <c r="X1379" s="50"/>
      <c r="Y1379" s="50"/>
      <c r="Z1379" s="50"/>
    </row>
    <row r="1380" spans="1:26" ht="12.75" x14ac:dyDescent="0.2">
      <c r="A1380" s="50"/>
      <c r="B1380" s="50"/>
      <c r="C1380" s="50"/>
      <c r="D1380" s="50"/>
      <c r="E1380" s="50"/>
      <c r="F1380" s="50"/>
      <c r="G1380" s="50"/>
      <c r="H1380" s="50"/>
      <c r="I1380" s="50"/>
      <c r="J1380" s="50"/>
      <c r="K1380" s="50"/>
      <c r="L1380" s="50"/>
      <c r="M1380" s="50"/>
      <c r="N1380" s="50"/>
      <c r="O1380" s="50"/>
      <c r="P1380" s="50"/>
      <c r="Q1380" s="50"/>
      <c r="R1380" s="50"/>
      <c r="S1380" s="50"/>
      <c r="T1380" s="50"/>
      <c r="U1380" s="50"/>
      <c r="V1380" s="50"/>
      <c r="W1380" s="50"/>
      <c r="X1380" s="50"/>
      <c r="Y1380" s="50"/>
      <c r="Z1380" s="50"/>
    </row>
    <row r="1381" spans="1:26" ht="12.75" x14ac:dyDescent="0.2">
      <c r="A1381" s="50"/>
      <c r="B1381" s="50"/>
      <c r="C1381" s="50"/>
      <c r="D1381" s="50"/>
      <c r="E1381" s="50"/>
      <c r="F1381" s="50"/>
      <c r="G1381" s="50"/>
      <c r="H1381" s="50"/>
      <c r="I1381" s="50"/>
      <c r="J1381" s="50"/>
      <c r="K1381" s="50"/>
      <c r="L1381" s="50"/>
      <c r="M1381" s="50"/>
      <c r="N1381" s="50"/>
      <c r="O1381" s="50"/>
      <c r="P1381" s="50"/>
      <c r="Q1381" s="50"/>
      <c r="R1381" s="50"/>
      <c r="S1381" s="50"/>
      <c r="T1381" s="50"/>
      <c r="U1381" s="50"/>
      <c r="V1381" s="50"/>
      <c r="W1381" s="50"/>
      <c r="X1381" s="50"/>
      <c r="Y1381" s="50"/>
      <c r="Z1381" s="50"/>
    </row>
    <row r="1382" spans="1:26" ht="12.75" x14ac:dyDescent="0.2">
      <c r="A1382" s="50"/>
      <c r="B1382" s="50"/>
      <c r="C1382" s="50"/>
      <c r="D1382" s="50"/>
      <c r="E1382" s="50"/>
      <c r="F1382" s="50"/>
      <c r="G1382" s="50"/>
      <c r="H1382" s="50"/>
      <c r="I1382" s="50"/>
      <c r="J1382" s="50"/>
      <c r="K1382" s="50"/>
      <c r="L1382" s="50"/>
      <c r="M1382" s="50"/>
      <c r="N1382" s="50"/>
      <c r="O1382" s="50"/>
      <c r="P1382" s="50"/>
      <c r="Q1382" s="50"/>
      <c r="R1382" s="50"/>
      <c r="S1382" s="50"/>
      <c r="T1382" s="50"/>
      <c r="U1382" s="50"/>
      <c r="V1382" s="50"/>
      <c r="W1382" s="50"/>
      <c r="X1382" s="50"/>
      <c r="Y1382" s="50"/>
      <c r="Z1382" s="50"/>
    </row>
    <row r="1383" spans="1:26" ht="12.75" x14ac:dyDescent="0.2">
      <c r="A1383" s="50"/>
      <c r="B1383" s="50"/>
      <c r="C1383" s="50"/>
      <c r="D1383" s="50"/>
      <c r="E1383" s="50"/>
      <c r="F1383" s="50"/>
      <c r="G1383" s="50"/>
      <c r="H1383" s="50"/>
      <c r="I1383" s="50"/>
      <c r="J1383" s="50"/>
      <c r="K1383" s="50"/>
      <c r="L1383" s="50"/>
      <c r="M1383" s="50"/>
      <c r="N1383" s="50"/>
      <c r="O1383" s="50"/>
      <c r="P1383" s="50"/>
      <c r="Q1383" s="50"/>
      <c r="R1383" s="50"/>
      <c r="S1383" s="50"/>
      <c r="T1383" s="50"/>
      <c r="U1383" s="50"/>
      <c r="V1383" s="50"/>
      <c r="W1383" s="50"/>
      <c r="X1383" s="50"/>
      <c r="Y1383" s="50"/>
      <c r="Z1383" s="50"/>
    </row>
    <row r="1384" spans="1:26" ht="12.75" x14ac:dyDescent="0.2">
      <c r="A1384" s="50"/>
      <c r="B1384" s="50"/>
      <c r="C1384" s="50"/>
      <c r="D1384" s="50"/>
      <c r="E1384" s="50"/>
      <c r="F1384" s="50"/>
      <c r="G1384" s="50"/>
      <c r="H1384" s="50"/>
      <c r="I1384" s="50"/>
      <c r="J1384" s="50"/>
      <c r="K1384" s="50"/>
      <c r="L1384" s="50"/>
      <c r="M1384" s="50"/>
      <c r="N1384" s="50"/>
      <c r="O1384" s="50"/>
      <c r="P1384" s="50"/>
      <c r="Q1384" s="50"/>
      <c r="R1384" s="50"/>
      <c r="S1384" s="50"/>
      <c r="T1384" s="50"/>
      <c r="U1384" s="50"/>
      <c r="V1384" s="50"/>
      <c r="W1384" s="50"/>
      <c r="X1384" s="50"/>
      <c r="Y1384" s="50"/>
      <c r="Z1384" s="50"/>
    </row>
    <row r="1385" spans="1:26" ht="12.75" x14ac:dyDescent="0.2">
      <c r="A1385" s="50"/>
      <c r="B1385" s="50"/>
      <c r="C1385" s="50"/>
      <c r="D1385" s="50"/>
      <c r="E1385" s="50"/>
      <c r="F1385" s="50"/>
      <c r="G1385" s="50"/>
      <c r="H1385" s="50"/>
      <c r="I1385" s="50"/>
      <c r="J1385" s="50"/>
      <c r="K1385" s="50"/>
      <c r="L1385" s="50"/>
      <c r="M1385" s="50"/>
      <c r="N1385" s="50"/>
      <c r="O1385" s="50"/>
      <c r="P1385" s="50"/>
      <c r="Q1385" s="50"/>
      <c r="R1385" s="50"/>
      <c r="S1385" s="50"/>
      <c r="T1385" s="50"/>
      <c r="U1385" s="50"/>
      <c r="V1385" s="50"/>
      <c r="W1385" s="50"/>
      <c r="X1385" s="50"/>
      <c r="Y1385" s="50"/>
      <c r="Z1385" s="50"/>
    </row>
    <row r="1386" spans="1:26" ht="12.75" x14ac:dyDescent="0.2">
      <c r="A1386" s="50"/>
      <c r="B1386" s="50"/>
      <c r="C1386" s="50"/>
      <c r="D1386" s="50"/>
      <c r="E1386" s="50"/>
      <c r="F1386" s="50"/>
      <c r="G1386" s="50"/>
      <c r="H1386" s="50"/>
      <c r="I1386" s="50"/>
      <c r="J1386" s="50"/>
      <c r="K1386" s="50"/>
      <c r="L1386" s="50"/>
      <c r="M1386" s="50"/>
      <c r="N1386" s="50"/>
      <c r="O1386" s="50"/>
      <c r="P1386" s="50"/>
      <c r="Q1386" s="50"/>
      <c r="R1386" s="50"/>
      <c r="S1386" s="50"/>
      <c r="T1386" s="50"/>
      <c r="U1386" s="50"/>
      <c r="V1386" s="50"/>
      <c r="W1386" s="50"/>
      <c r="X1386" s="50"/>
      <c r="Y1386" s="50"/>
      <c r="Z1386" s="50"/>
    </row>
    <row r="1387" spans="1:26" ht="12.75" x14ac:dyDescent="0.2">
      <c r="A1387" s="50"/>
      <c r="B1387" s="50"/>
      <c r="C1387" s="50"/>
      <c r="D1387" s="50"/>
      <c r="E1387" s="50"/>
      <c r="F1387" s="50"/>
      <c r="G1387" s="50"/>
      <c r="H1387" s="50"/>
      <c r="I1387" s="50"/>
      <c r="J1387" s="50"/>
      <c r="K1387" s="50"/>
      <c r="L1387" s="50"/>
      <c r="M1387" s="50"/>
      <c r="N1387" s="50"/>
      <c r="O1387" s="50"/>
      <c r="P1387" s="50"/>
      <c r="Q1387" s="50"/>
      <c r="R1387" s="50"/>
      <c r="S1387" s="50"/>
      <c r="T1387" s="50"/>
      <c r="U1387" s="50"/>
      <c r="V1387" s="50"/>
      <c r="W1387" s="50"/>
      <c r="X1387" s="50"/>
      <c r="Y1387" s="50"/>
      <c r="Z1387" s="50"/>
    </row>
    <row r="1388" spans="1:26" ht="12.75" x14ac:dyDescent="0.2">
      <c r="A1388" s="50"/>
      <c r="B1388" s="50"/>
      <c r="C1388" s="50"/>
      <c r="D1388" s="50"/>
      <c r="E1388" s="50"/>
      <c r="F1388" s="50"/>
      <c r="G1388" s="50"/>
      <c r="H1388" s="50"/>
      <c r="I1388" s="50"/>
      <c r="J1388" s="50"/>
      <c r="K1388" s="50"/>
      <c r="L1388" s="50"/>
      <c r="M1388" s="50"/>
      <c r="N1388" s="50"/>
      <c r="O1388" s="50"/>
      <c r="P1388" s="50"/>
      <c r="Q1388" s="50"/>
      <c r="R1388" s="50"/>
      <c r="S1388" s="50"/>
      <c r="T1388" s="50"/>
      <c r="U1388" s="50"/>
      <c r="V1388" s="50"/>
      <c r="W1388" s="50"/>
      <c r="X1388" s="50"/>
      <c r="Y1388" s="50"/>
      <c r="Z1388" s="50"/>
    </row>
    <row r="1389" spans="1:26" ht="12.75" x14ac:dyDescent="0.2">
      <c r="A1389" s="50"/>
      <c r="B1389" s="50"/>
      <c r="C1389" s="50"/>
      <c r="D1389" s="50"/>
      <c r="E1389" s="50"/>
      <c r="F1389" s="50"/>
      <c r="G1389" s="50"/>
      <c r="H1389" s="50"/>
      <c r="I1389" s="50"/>
      <c r="J1389" s="50"/>
      <c r="K1389" s="50"/>
      <c r="L1389" s="50"/>
      <c r="M1389" s="50"/>
      <c r="N1389" s="50"/>
      <c r="O1389" s="50"/>
      <c r="P1389" s="50"/>
      <c r="Q1389" s="50"/>
      <c r="R1389" s="50"/>
      <c r="S1389" s="50"/>
      <c r="T1389" s="50"/>
      <c r="U1389" s="50"/>
      <c r="V1389" s="50"/>
      <c r="W1389" s="50"/>
      <c r="X1389" s="50"/>
      <c r="Y1389" s="50"/>
      <c r="Z1389" s="50"/>
    </row>
    <row r="1390" spans="1:26" ht="12.75" x14ac:dyDescent="0.2">
      <c r="A1390" s="50"/>
      <c r="B1390" s="50"/>
      <c r="C1390" s="50"/>
      <c r="D1390" s="50"/>
      <c r="E1390" s="50"/>
      <c r="F1390" s="50"/>
      <c r="G1390" s="50"/>
      <c r="H1390" s="50"/>
      <c r="I1390" s="50"/>
      <c r="J1390" s="50"/>
      <c r="K1390" s="50"/>
      <c r="L1390" s="50"/>
      <c r="M1390" s="50"/>
      <c r="N1390" s="50"/>
      <c r="O1390" s="50"/>
      <c r="P1390" s="50"/>
      <c r="Q1390" s="50"/>
      <c r="R1390" s="50"/>
      <c r="S1390" s="50"/>
      <c r="T1390" s="50"/>
      <c r="U1390" s="50"/>
      <c r="V1390" s="50"/>
      <c r="W1390" s="50"/>
      <c r="X1390" s="50"/>
      <c r="Y1390" s="50"/>
      <c r="Z1390" s="50"/>
    </row>
    <row r="1391" spans="1:26" ht="12.75" x14ac:dyDescent="0.2">
      <c r="A1391" s="50"/>
      <c r="B1391" s="50"/>
      <c r="C1391" s="50"/>
      <c r="D1391" s="50"/>
      <c r="E1391" s="50"/>
      <c r="F1391" s="50"/>
      <c r="G1391" s="50"/>
      <c r="H1391" s="50"/>
      <c r="I1391" s="50"/>
      <c r="J1391" s="50"/>
      <c r="K1391" s="50"/>
      <c r="L1391" s="50"/>
      <c r="M1391" s="50"/>
      <c r="N1391" s="50"/>
      <c r="O1391" s="50"/>
      <c r="P1391" s="50"/>
      <c r="Q1391" s="50"/>
      <c r="R1391" s="50"/>
      <c r="S1391" s="50"/>
      <c r="T1391" s="50"/>
      <c r="U1391" s="50"/>
      <c r="V1391" s="50"/>
      <c r="W1391" s="50"/>
      <c r="X1391" s="50"/>
      <c r="Y1391" s="50"/>
      <c r="Z1391" s="50"/>
    </row>
    <row r="1392" spans="1:26" ht="12.75" x14ac:dyDescent="0.2">
      <c r="A1392" s="50"/>
      <c r="B1392" s="50"/>
      <c r="C1392" s="50"/>
      <c r="D1392" s="50"/>
      <c r="E1392" s="50"/>
      <c r="F1392" s="50"/>
      <c r="G1392" s="50"/>
      <c r="H1392" s="50"/>
      <c r="I1392" s="50"/>
      <c r="J1392" s="50"/>
      <c r="K1392" s="50"/>
      <c r="L1392" s="50"/>
      <c r="M1392" s="50"/>
      <c r="N1392" s="50"/>
      <c r="O1392" s="50"/>
      <c r="P1392" s="50"/>
      <c r="Q1392" s="50"/>
      <c r="R1392" s="50"/>
      <c r="S1392" s="50"/>
      <c r="T1392" s="50"/>
      <c r="U1392" s="50"/>
      <c r="V1392" s="50"/>
      <c r="W1392" s="50"/>
      <c r="X1392" s="50"/>
      <c r="Y1392" s="50"/>
      <c r="Z1392" s="50"/>
    </row>
    <row r="1393" spans="1:26" ht="12.75" x14ac:dyDescent="0.2">
      <c r="A1393" s="50"/>
      <c r="B1393" s="50"/>
      <c r="C1393" s="50"/>
      <c r="D1393" s="50"/>
      <c r="E1393" s="50"/>
      <c r="F1393" s="50"/>
      <c r="G1393" s="50"/>
      <c r="H1393" s="50"/>
      <c r="I1393" s="50"/>
      <c r="J1393" s="50"/>
      <c r="K1393" s="50"/>
      <c r="L1393" s="50"/>
      <c r="M1393" s="50"/>
      <c r="N1393" s="50"/>
      <c r="O1393" s="50"/>
      <c r="P1393" s="50"/>
      <c r="Q1393" s="50"/>
      <c r="R1393" s="50"/>
      <c r="S1393" s="50"/>
      <c r="T1393" s="50"/>
      <c r="U1393" s="50"/>
      <c r="V1393" s="50"/>
      <c r="W1393" s="50"/>
      <c r="X1393" s="50"/>
      <c r="Y1393" s="50"/>
      <c r="Z1393" s="50"/>
    </row>
    <row r="1394" spans="1:26" ht="12.75" x14ac:dyDescent="0.2">
      <c r="A1394" s="50"/>
      <c r="B1394" s="50"/>
      <c r="C1394" s="50"/>
      <c r="D1394" s="50"/>
      <c r="E1394" s="50"/>
      <c r="F1394" s="50"/>
      <c r="G1394" s="50"/>
      <c r="H1394" s="50"/>
      <c r="I1394" s="50"/>
      <c r="J1394" s="50"/>
      <c r="K1394" s="50"/>
      <c r="L1394" s="50"/>
      <c r="M1394" s="50"/>
      <c r="N1394" s="50"/>
      <c r="O1394" s="50"/>
      <c r="P1394" s="50"/>
      <c r="Q1394" s="50"/>
      <c r="R1394" s="50"/>
      <c r="S1394" s="50"/>
      <c r="T1394" s="50"/>
      <c r="U1394" s="50"/>
      <c r="V1394" s="50"/>
      <c r="W1394" s="50"/>
      <c r="X1394" s="50"/>
      <c r="Y1394" s="50"/>
      <c r="Z1394" s="50"/>
    </row>
    <row r="1395" spans="1:26" ht="12.75" x14ac:dyDescent="0.2">
      <c r="A1395" s="50"/>
      <c r="B1395" s="50"/>
      <c r="C1395" s="50"/>
      <c r="D1395" s="50"/>
      <c r="E1395" s="50"/>
      <c r="F1395" s="50"/>
      <c r="G1395" s="50"/>
      <c r="H1395" s="50"/>
      <c r="I1395" s="50"/>
      <c r="J1395" s="50"/>
      <c r="K1395" s="50"/>
      <c r="L1395" s="50"/>
      <c r="M1395" s="50"/>
      <c r="N1395" s="50"/>
      <c r="O1395" s="50"/>
      <c r="P1395" s="50"/>
      <c r="Q1395" s="50"/>
      <c r="R1395" s="50"/>
      <c r="S1395" s="50"/>
      <c r="T1395" s="50"/>
      <c r="U1395" s="50"/>
      <c r="V1395" s="50"/>
      <c r="W1395" s="50"/>
      <c r="X1395" s="50"/>
      <c r="Y1395" s="50"/>
      <c r="Z1395" s="50"/>
    </row>
    <row r="1396" spans="1:26" ht="12.75" x14ac:dyDescent="0.2">
      <c r="A1396" s="50"/>
      <c r="B1396" s="50"/>
      <c r="C1396" s="50"/>
      <c r="D1396" s="50"/>
      <c r="E1396" s="50"/>
      <c r="F1396" s="50"/>
      <c r="G1396" s="50"/>
      <c r="H1396" s="50"/>
      <c r="I1396" s="50"/>
      <c r="J1396" s="50"/>
      <c r="K1396" s="50"/>
      <c r="L1396" s="50"/>
      <c r="M1396" s="50"/>
      <c r="N1396" s="50"/>
      <c r="O1396" s="50"/>
      <c r="P1396" s="50"/>
      <c r="Q1396" s="50"/>
      <c r="R1396" s="50"/>
      <c r="S1396" s="50"/>
      <c r="T1396" s="50"/>
      <c r="U1396" s="50"/>
      <c r="V1396" s="50"/>
      <c r="W1396" s="50"/>
      <c r="X1396" s="50"/>
      <c r="Y1396" s="50"/>
      <c r="Z1396" s="50"/>
    </row>
    <row r="1397" spans="1:26" ht="12.75" x14ac:dyDescent="0.2">
      <c r="A1397" s="50"/>
      <c r="B1397" s="50"/>
      <c r="C1397" s="50"/>
      <c r="D1397" s="50"/>
      <c r="E1397" s="50"/>
      <c r="F1397" s="50"/>
      <c r="G1397" s="50"/>
      <c r="H1397" s="50"/>
      <c r="I1397" s="50"/>
      <c r="J1397" s="50"/>
      <c r="K1397" s="50"/>
      <c r="L1397" s="50"/>
      <c r="M1397" s="50"/>
      <c r="N1397" s="50"/>
      <c r="O1397" s="50"/>
      <c r="P1397" s="50"/>
      <c r="Q1397" s="50"/>
      <c r="R1397" s="50"/>
      <c r="S1397" s="50"/>
      <c r="T1397" s="50"/>
      <c r="U1397" s="50"/>
      <c r="V1397" s="50"/>
      <c r="W1397" s="50"/>
      <c r="X1397" s="50"/>
      <c r="Y1397" s="50"/>
      <c r="Z1397" s="50"/>
    </row>
    <row r="1398" spans="1:26" ht="12.75" x14ac:dyDescent="0.2">
      <c r="A1398" s="50"/>
      <c r="B1398" s="50"/>
      <c r="C1398" s="50"/>
      <c r="D1398" s="50"/>
      <c r="E1398" s="50"/>
      <c r="F1398" s="50"/>
      <c r="G1398" s="50"/>
      <c r="H1398" s="50"/>
      <c r="I1398" s="50"/>
      <c r="J1398" s="50"/>
      <c r="K1398" s="50"/>
      <c r="L1398" s="50"/>
      <c r="M1398" s="50"/>
      <c r="N1398" s="50"/>
      <c r="O1398" s="50"/>
      <c r="P1398" s="50"/>
      <c r="Q1398" s="50"/>
      <c r="R1398" s="50"/>
      <c r="S1398" s="50"/>
      <c r="T1398" s="50"/>
      <c r="U1398" s="50"/>
      <c r="V1398" s="50"/>
      <c r="W1398" s="50"/>
      <c r="X1398" s="50"/>
      <c r="Y1398" s="50"/>
      <c r="Z1398" s="50"/>
    </row>
    <row r="1399" spans="1:26" ht="12.75" x14ac:dyDescent="0.2">
      <c r="A1399" s="50"/>
      <c r="B1399" s="50"/>
      <c r="C1399" s="50"/>
      <c r="D1399" s="50"/>
      <c r="E1399" s="50"/>
      <c r="F1399" s="50"/>
      <c r="G1399" s="50"/>
      <c r="H1399" s="50"/>
      <c r="I1399" s="50"/>
      <c r="J1399" s="50"/>
      <c r="K1399" s="50"/>
      <c r="L1399" s="50"/>
      <c r="M1399" s="50"/>
      <c r="N1399" s="50"/>
      <c r="O1399" s="50"/>
      <c r="P1399" s="50"/>
      <c r="Q1399" s="50"/>
      <c r="R1399" s="50"/>
      <c r="S1399" s="50"/>
      <c r="T1399" s="50"/>
      <c r="U1399" s="50"/>
      <c r="V1399" s="50"/>
      <c r="W1399" s="50"/>
      <c r="X1399" s="50"/>
      <c r="Y1399" s="50"/>
      <c r="Z1399" s="50"/>
    </row>
    <row r="1400" spans="1:26" ht="12.75" x14ac:dyDescent="0.2">
      <c r="A1400" s="50"/>
      <c r="B1400" s="50"/>
      <c r="C1400" s="50"/>
      <c r="D1400" s="50"/>
      <c r="E1400" s="50"/>
      <c r="F1400" s="50"/>
      <c r="G1400" s="50"/>
      <c r="H1400" s="50"/>
      <c r="I1400" s="50"/>
      <c r="J1400" s="50"/>
      <c r="K1400" s="50"/>
      <c r="L1400" s="50"/>
      <c r="M1400" s="50"/>
      <c r="N1400" s="50"/>
      <c r="O1400" s="50"/>
      <c r="P1400" s="50"/>
      <c r="Q1400" s="50"/>
      <c r="R1400" s="50"/>
      <c r="S1400" s="50"/>
      <c r="T1400" s="50"/>
      <c r="U1400" s="50"/>
      <c r="V1400" s="50"/>
      <c r="W1400" s="50"/>
      <c r="X1400" s="50"/>
      <c r="Y1400" s="50"/>
      <c r="Z1400" s="50"/>
    </row>
    <row r="1401" spans="1:26" ht="12.75" x14ac:dyDescent="0.2">
      <c r="A1401" s="50"/>
      <c r="B1401" s="50"/>
      <c r="C1401" s="50"/>
      <c r="D1401" s="50"/>
      <c r="E1401" s="50"/>
      <c r="F1401" s="50"/>
      <c r="G1401" s="50"/>
      <c r="H1401" s="50"/>
      <c r="I1401" s="50"/>
      <c r="J1401" s="50"/>
      <c r="K1401" s="50"/>
      <c r="L1401" s="50"/>
      <c r="M1401" s="50"/>
      <c r="N1401" s="50"/>
      <c r="O1401" s="50"/>
      <c r="P1401" s="50"/>
      <c r="Q1401" s="50"/>
      <c r="R1401" s="50"/>
      <c r="S1401" s="50"/>
      <c r="T1401" s="50"/>
      <c r="U1401" s="50"/>
      <c r="V1401" s="50"/>
      <c r="W1401" s="50"/>
      <c r="X1401" s="50"/>
      <c r="Y1401" s="50"/>
      <c r="Z1401" s="50"/>
    </row>
    <row r="1402" spans="1:26" ht="12.75" x14ac:dyDescent="0.2">
      <c r="A1402" s="50"/>
      <c r="B1402" s="50"/>
      <c r="C1402" s="50"/>
      <c r="D1402" s="50"/>
      <c r="E1402" s="50"/>
      <c r="F1402" s="50"/>
      <c r="G1402" s="50"/>
      <c r="H1402" s="50"/>
      <c r="I1402" s="50"/>
      <c r="J1402" s="50"/>
      <c r="K1402" s="50"/>
      <c r="L1402" s="50"/>
      <c r="M1402" s="50"/>
      <c r="N1402" s="50"/>
      <c r="O1402" s="50"/>
      <c r="P1402" s="50"/>
      <c r="Q1402" s="50"/>
      <c r="R1402" s="50"/>
      <c r="S1402" s="50"/>
      <c r="T1402" s="50"/>
      <c r="U1402" s="50"/>
      <c r="V1402" s="50"/>
      <c r="W1402" s="50"/>
      <c r="X1402" s="50"/>
      <c r="Y1402" s="50"/>
      <c r="Z1402" s="50"/>
    </row>
    <row r="1403" spans="1:26" ht="12.75" x14ac:dyDescent="0.2">
      <c r="A1403" s="50"/>
      <c r="B1403" s="50"/>
      <c r="C1403" s="50"/>
      <c r="D1403" s="50"/>
      <c r="E1403" s="50"/>
      <c r="F1403" s="50"/>
      <c r="G1403" s="50"/>
      <c r="H1403" s="50"/>
      <c r="I1403" s="50"/>
      <c r="J1403" s="50"/>
      <c r="K1403" s="50"/>
      <c r="L1403" s="50"/>
      <c r="M1403" s="50"/>
      <c r="N1403" s="50"/>
      <c r="O1403" s="50"/>
      <c r="P1403" s="50"/>
      <c r="Q1403" s="50"/>
      <c r="R1403" s="50"/>
      <c r="S1403" s="50"/>
      <c r="T1403" s="50"/>
      <c r="U1403" s="50"/>
      <c r="V1403" s="50"/>
      <c r="W1403" s="50"/>
      <c r="X1403" s="50"/>
      <c r="Y1403" s="50"/>
      <c r="Z1403" s="50"/>
    </row>
    <row r="1404" spans="1:26" ht="12.75" x14ac:dyDescent="0.2">
      <c r="A1404" s="50"/>
      <c r="B1404" s="50"/>
      <c r="C1404" s="50"/>
      <c r="D1404" s="50"/>
      <c r="E1404" s="50"/>
      <c r="F1404" s="50"/>
      <c r="G1404" s="50"/>
      <c r="H1404" s="50"/>
      <c r="I1404" s="50"/>
      <c r="J1404" s="50"/>
      <c r="K1404" s="50"/>
      <c r="L1404" s="50"/>
      <c r="M1404" s="50"/>
      <c r="N1404" s="50"/>
      <c r="O1404" s="50"/>
      <c r="P1404" s="50"/>
      <c r="Q1404" s="50"/>
      <c r="R1404" s="50"/>
      <c r="S1404" s="50"/>
      <c r="T1404" s="50"/>
      <c r="U1404" s="50"/>
      <c r="V1404" s="50"/>
      <c r="W1404" s="50"/>
      <c r="X1404" s="50"/>
      <c r="Y1404" s="50"/>
      <c r="Z1404" s="50"/>
    </row>
    <row r="1405" spans="1:26" ht="12.75" x14ac:dyDescent="0.2">
      <c r="A1405" s="50"/>
      <c r="B1405" s="50"/>
      <c r="C1405" s="50"/>
      <c r="D1405" s="50"/>
      <c r="E1405" s="50"/>
      <c r="F1405" s="50"/>
      <c r="G1405" s="50"/>
      <c r="H1405" s="50"/>
      <c r="I1405" s="50"/>
      <c r="J1405" s="50"/>
      <c r="K1405" s="50"/>
      <c r="L1405" s="50"/>
      <c r="M1405" s="50"/>
      <c r="N1405" s="50"/>
      <c r="O1405" s="50"/>
      <c r="P1405" s="50"/>
      <c r="Q1405" s="50"/>
      <c r="R1405" s="50"/>
      <c r="S1405" s="50"/>
      <c r="T1405" s="50"/>
      <c r="U1405" s="50"/>
      <c r="V1405" s="50"/>
      <c r="W1405" s="50"/>
      <c r="X1405" s="50"/>
      <c r="Y1405" s="50"/>
      <c r="Z1405" s="50"/>
    </row>
    <row r="1406" spans="1:26" ht="12.75" x14ac:dyDescent="0.2">
      <c r="A1406" s="50"/>
      <c r="B1406" s="50"/>
      <c r="C1406" s="50"/>
      <c r="D1406" s="50"/>
      <c r="E1406" s="50"/>
      <c r="F1406" s="50"/>
      <c r="G1406" s="50"/>
      <c r="H1406" s="50"/>
      <c r="I1406" s="50"/>
      <c r="J1406" s="50"/>
      <c r="K1406" s="50"/>
      <c r="L1406" s="50"/>
      <c r="M1406" s="50"/>
      <c r="N1406" s="50"/>
      <c r="O1406" s="50"/>
      <c r="P1406" s="50"/>
      <c r="Q1406" s="50"/>
      <c r="R1406" s="50"/>
      <c r="S1406" s="50"/>
      <c r="T1406" s="50"/>
      <c r="U1406" s="50"/>
      <c r="V1406" s="50"/>
      <c r="W1406" s="50"/>
      <c r="X1406" s="50"/>
      <c r="Y1406" s="50"/>
      <c r="Z1406" s="50"/>
    </row>
    <row r="1407" spans="1:26" ht="12.75" x14ac:dyDescent="0.2">
      <c r="A1407" s="50"/>
      <c r="B1407" s="50"/>
      <c r="C1407" s="50"/>
      <c r="D1407" s="50"/>
      <c r="E1407" s="50"/>
      <c r="F1407" s="50"/>
      <c r="G1407" s="50"/>
      <c r="H1407" s="50"/>
      <c r="I1407" s="50"/>
      <c r="J1407" s="50"/>
      <c r="K1407" s="50"/>
      <c r="L1407" s="50"/>
      <c r="M1407" s="50"/>
      <c r="N1407" s="50"/>
      <c r="O1407" s="50"/>
      <c r="P1407" s="50"/>
      <c r="Q1407" s="50"/>
      <c r="R1407" s="50"/>
      <c r="S1407" s="50"/>
      <c r="T1407" s="50"/>
      <c r="U1407" s="50"/>
      <c r="V1407" s="50"/>
      <c r="W1407" s="50"/>
      <c r="X1407" s="50"/>
      <c r="Y1407" s="50"/>
      <c r="Z1407" s="50"/>
    </row>
    <row r="1408" spans="1:26" ht="12.75" x14ac:dyDescent="0.2">
      <c r="A1408" s="50"/>
      <c r="B1408" s="50"/>
      <c r="C1408" s="50"/>
      <c r="D1408" s="50"/>
      <c r="E1408" s="50"/>
      <c r="F1408" s="50"/>
      <c r="G1408" s="50"/>
      <c r="H1408" s="50"/>
      <c r="I1408" s="50"/>
      <c r="J1408" s="50"/>
      <c r="K1408" s="50"/>
      <c r="L1408" s="50"/>
      <c r="M1408" s="50"/>
      <c r="N1408" s="50"/>
      <c r="O1408" s="50"/>
      <c r="P1408" s="50"/>
      <c r="Q1408" s="50"/>
      <c r="R1408" s="50"/>
      <c r="S1408" s="50"/>
      <c r="T1408" s="50"/>
      <c r="U1408" s="50"/>
      <c r="V1408" s="50"/>
      <c r="W1408" s="50"/>
      <c r="X1408" s="50"/>
      <c r="Y1408" s="50"/>
      <c r="Z1408" s="50"/>
    </row>
    <row r="1409" spans="1:26" ht="12.75" x14ac:dyDescent="0.2">
      <c r="A1409" s="50"/>
      <c r="B1409" s="50"/>
      <c r="C1409" s="50"/>
      <c r="D1409" s="50"/>
      <c r="E1409" s="50"/>
      <c r="F1409" s="50"/>
      <c r="G1409" s="50"/>
      <c r="H1409" s="50"/>
      <c r="I1409" s="50"/>
      <c r="J1409" s="50"/>
      <c r="K1409" s="50"/>
      <c r="L1409" s="50"/>
      <c r="M1409" s="50"/>
      <c r="N1409" s="50"/>
      <c r="O1409" s="50"/>
      <c r="P1409" s="50"/>
      <c r="Q1409" s="50"/>
      <c r="R1409" s="50"/>
      <c r="S1409" s="50"/>
      <c r="T1409" s="50"/>
      <c r="U1409" s="50"/>
      <c r="V1409" s="50"/>
      <c r="W1409" s="50"/>
      <c r="X1409" s="50"/>
      <c r="Y1409" s="50"/>
      <c r="Z1409" s="50"/>
    </row>
    <row r="1410" spans="1:26" ht="12.75" x14ac:dyDescent="0.2">
      <c r="A1410" s="50"/>
      <c r="B1410" s="50"/>
      <c r="C1410" s="50"/>
      <c r="D1410" s="50"/>
      <c r="E1410" s="50"/>
      <c r="F1410" s="50"/>
      <c r="G1410" s="50"/>
      <c r="H1410" s="50"/>
      <c r="I1410" s="50"/>
      <c r="J1410" s="50"/>
      <c r="K1410" s="50"/>
      <c r="L1410" s="50"/>
      <c r="M1410" s="50"/>
      <c r="N1410" s="50"/>
      <c r="O1410" s="50"/>
      <c r="P1410" s="50"/>
      <c r="Q1410" s="50"/>
      <c r="R1410" s="50"/>
      <c r="S1410" s="50"/>
      <c r="T1410" s="50"/>
      <c r="U1410" s="50"/>
      <c r="V1410" s="50"/>
      <c r="W1410" s="50"/>
      <c r="X1410" s="50"/>
      <c r="Y1410" s="50"/>
      <c r="Z1410" s="50"/>
    </row>
    <row r="1411" spans="1:26" ht="12.75" x14ac:dyDescent="0.2">
      <c r="A1411" s="50"/>
      <c r="B1411" s="50"/>
      <c r="C1411" s="50"/>
      <c r="D1411" s="50"/>
      <c r="E1411" s="50"/>
      <c r="F1411" s="50"/>
      <c r="G1411" s="50"/>
      <c r="H1411" s="50"/>
      <c r="I1411" s="50"/>
      <c r="J1411" s="50"/>
      <c r="K1411" s="50"/>
      <c r="L1411" s="50"/>
      <c r="M1411" s="50"/>
      <c r="N1411" s="50"/>
      <c r="O1411" s="50"/>
      <c r="P1411" s="50"/>
      <c r="Q1411" s="50"/>
      <c r="R1411" s="50"/>
      <c r="S1411" s="50"/>
      <c r="T1411" s="50"/>
      <c r="U1411" s="50"/>
      <c r="V1411" s="50"/>
      <c r="W1411" s="50"/>
      <c r="X1411" s="50"/>
      <c r="Y1411" s="50"/>
      <c r="Z1411" s="50"/>
    </row>
    <row r="1412" spans="1:26" ht="12.75" x14ac:dyDescent="0.2">
      <c r="A1412" s="50"/>
      <c r="B1412" s="50"/>
      <c r="C1412" s="50"/>
      <c r="D1412" s="50"/>
      <c r="E1412" s="50"/>
      <c r="F1412" s="50"/>
      <c r="G1412" s="50"/>
      <c r="H1412" s="50"/>
      <c r="I1412" s="50"/>
      <c r="J1412" s="50"/>
      <c r="K1412" s="50"/>
      <c r="L1412" s="50"/>
      <c r="M1412" s="50"/>
      <c r="N1412" s="50"/>
      <c r="O1412" s="50"/>
      <c r="P1412" s="50"/>
      <c r="Q1412" s="50"/>
      <c r="R1412" s="50"/>
      <c r="S1412" s="50"/>
      <c r="T1412" s="50"/>
      <c r="U1412" s="50"/>
      <c r="V1412" s="50"/>
      <c r="W1412" s="50"/>
      <c r="X1412" s="50"/>
      <c r="Y1412" s="50"/>
      <c r="Z1412" s="50"/>
    </row>
    <row r="1413" spans="1:26" ht="12.75" x14ac:dyDescent="0.2">
      <c r="A1413" s="50"/>
      <c r="B1413" s="50"/>
      <c r="C1413" s="50"/>
      <c r="D1413" s="50"/>
      <c r="E1413" s="50"/>
      <c r="F1413" s="50"/>
      <c r="G1413" s="50"/>
      <c r="H1413" s="50"/>
      <c r="I1413" s="50"/>
      <c r="J1413" s="50"/>
      <c r="K1413" s="50"/>
      <c r="L1413" s="50"/>
      <c r="M1413" s="50"/>
      <c r="N1413" s="50"/>
      <c r="O1413" s="50"/>
      <c r="P1413" s="50"/>
      <c r="Q1413" s="50"/>
      <c r="R1413" s="50"/>
      <c r="S1413" s="50"/>
      <c r="T1413" s="50"/>
      <c r="U1413" s="50"/>
      <c r="V1413" s="50"/>
      <c r="W1413" s="50"/>
      <c r="X1413" s="50"/>
      <c r="Y1413" s="50"/>
      <c r="Z1413" s="50"/>
    </row>
    <row r="1414" spans="1:26" ht="12.75" x14ac:dyDescent="0.2">
      <c r="A1414" s="50"/>
      <c r="B1414" s="50"/>
      <c r="C1414" s="50"/>
      <c r="D1414" s="50"/>
      <c r="E1414" s="50"/>
      <c r="F1414" s="50"/>
      <c r="G1414" s="50"/>
      <c r="H1414" s="50"/>
      <c r="I1414" s="50"/>
      <c r="J1414" s="50"/>
      <c r="K1414" s="50"/>
      <c r="L1414" s="50"/>
      <c r="M1414" s="50"/>
      <c r="N1414" s="50"/>
      <c r="O1414" s="50"/>
      <c r="P1414" s="50"/>
      <c r="Q1414" s="50"/>
      <c r="R1414" s="50"/>
      <c r="S1414" s="50"/>
      <c r="T1414" s="50"/>
      <c r="U1414" s="50"/>
      <c r="V1414" s="50"/>
      <c r="W1414" s="50"/>
      <c r="X1414" s="50"/>
      <c r="Y1414" s="50"/>
      <c r="Z1414" s="50"/>
    </row>
    <row r="1415" spans="1:26" ht="12.75" x14ac:dyDescent="0.2">
      <c r="A1415" s="50"/>
      <c r="B1415" s="50"/>
      <c r="C1415" s="50"/>
      <c r="D1415" s="50"/>
      <c r="E1415" s="50"/>
      <c r="F1415" s="50"/>
      <c r="G1415" s="50"/>
      <c r="H1415" s="50"/>
      <c r="I1415" s="50"/>
      <c r="J1415" s="50"/>
      <c r="K1415" s="50"/>
      <c r="L1415" s="50"/>
      <c r="M1415" s="50"/>
      <c r="N1415" s="50"/>
      <c r="O1415" s="50"/>
      <c r="P1415" s="50"/>
      <c r="Q1415" s="50"/>
      <c r="R1415" s="50"/>
      <c r="S1415" s="50"/>
      <c r="T1415" s="50"/>
      <c r="U1415" s="50"/>
      <c r="V1415" s="50"/>
      <c r="W1415" s="50"/>
      <c r="X1415" s="50"/>
      <c r="Y1415" s="50"/>
      <c r="Z1415" s="50"/>
    </row>
    <row r="1416" spans="1:26" ht="12.75" x14ac:dyDescent="0.2">
      <c r="A1416" s="50"/>
      <c r="B1416" s="50"/>
      <c r="C1416" s="50"/>
      <c r="D1416" s="50"/>
      <c r="E1416" s="50"/>
      <c r="F1416" s="50"/>
      <c r="G1416" s="50"/>
      <c r="H1416" s="50"/>
      <c r="I1416" s="50"/>
      <c r="J1416" s="50"/>
      <c r="K1416" s="50"/>
      <c r="L1416" s="50"/>
      <c r="M1416" s="50"/>
      <c r="N1416" s="50"/>
      <c r="O1416" s="50"/>
      <c r="P1416" s="50"/>
      <c r="Q1416" s="50"/>
      <c r="R1416" s="50"/>
      <c r="S1416" s="50"/>
      <c r="T1416" s="50"/>
      <c r="U1416" s="50"/>
      <c r="V1416" s="50"/>
      <c r="W1416" s="50"/>
      <c r="X1416" s="50"/>
      <c r="Y1416" s="50"/>
      <c r="Z1416" s="50"/>
    </row>
    <row r="1417" spans="1:26" ht="12.75" x14ac:dyDescent="0.2">
      <c r="A1417" s="50"/>
      <c r="B1417" s="50"/>
      <c r="C1417" s="50"/>
      <c r="D1417" s="50"/>
      <c r="E1417" s="50"/>
      <c r="F1417" s="50"/>
      <c r="G1417" s="50"/>
      <c r="H1417" s="50"/>
      <c r="I1417" s="50"/>
      <c r="J1417" s="50"/>
      <c r="K1417" s="50"/>
      <c r="L1417" s="50"/>
      <c r="M1417" s="50"/>
      <c r="N1417" s="50"/>
      <c r="O1417" s="50"/>
      <c r="P1417" s="50"/>
      <c r="Q1417" s="50"/>
      <c r="R1417" s="50"/>
      <c r="S1417" s="50"/>
      <c r="T1417" s="50"/>
      <c r="U1417" s="50"/>
      <c r="V1417" s="50"/>
      <c r="W1417" s="50"/>
      <c r="X1417" s="50"/>
      <c r="Y1417" s="50"/>
      <c r="Z1417" s="50"/>
    </row>
    <row r="1418" spans="1:26" ht="12.75" x14ac:dyDescent="0.2">
      <c r="A1418" s="50"/>
      <c r="B1418" s="50"/>
      <c r="C1418" s="50"/>
      <c r="D1418" s="50"/>
      <c r="E1418" s="50"/>
      <c r="F1418" s="50"/>
      <c r="G1418" s="50"/>
      <c r="H1418" s="50"/>
      <c r="I1418" s="50"/>
      <c r="J1418" s="50"/>
      <c r="K1418" s="50"/>
      <c r="L1418" s="50"/>
      <c r="M1418" s="50"/>
      <c r="N1418" s="50"/>
      <c r="O1418" s="50"/>
      <c r="P1418" s="50"/>
      <c r="Q1418" s="50"/>
      <c r="R1418" s="50"/>
      <c r="S1418" s="50"/>
      <c r="T1418" s="50"/>
      <c r="U1418" s="50"/>
      <c r="V1418" s="50"/>
      <c r="W1418" s="50"/>
      <c r="X1418" s="50"/>
      <c r="Y1418" s="50"/>
      <c r="Z1418" s="50"/>
    </row>
    <row r="1419" spans="1:26" ht="12.75" x14ac:dyDescent="0.2">
      <c r="A1419" s="50"/>
      <c r="B1419" s="50"/>
      <c r="C1419" s="50"/>
      <c r="D1419" s="50"/>
      <c r="E1419" s="50"/>
      <c r="F1419" s="50"/>
      <c r="G1419" s="50"/>
      <c r="H1419" s="50"/>
      <c r="I1419" s="50"/>
      <c r="J1419" s="50"/>
      <c r="K1419" s="50"/>
      <c r="L1419" s="50"/>
      <c r="M1419" s="50"/>
      <c r="N1419" s="50"/>
      <c r="O1419" s="50"/>
      <c r="P1419" s="50"/>
      <c r="Q1419" s="50"/>
      <c r="R1419" s="50"/>
      <c r="S1419" s="50"/>
      <c r="T1419" s="50"/>
      <c r="U1419" s="50"/>
      <c r="V1419" s="50"/>
      <c r="W1419" s="50"/>
      <c r="X1419" s="50"/>
      <c r="Y1419" s="50"/>
      <c r="Z1419" s="50"/>
    </row>
    <row r="1420" spans="1:26" ht="12.75" x14ac:dyDescent="0.2">
      <c r="A1420" s="50"/>
      <c r="B1420" s="50"/>
      <c r="C1420" s="50"/>
      <c r="D1420" s="50"/>
      <c r="E1420" s="50"/>
      <c r="F1420" s="50"/>
      <c r="G1420" s="50"/>
      <c r="H1420" s="50"/>
      <c r="I1420" s="50"/>
      <c r="J1420" s="50"/>
      <c r="K1420" s="50"/>
      <c r="L1420" s="50"/>
      <c r="M1420" s="50"/>
      <c r="N1420" s="50"/>
      <c r="O1420" s="50"/>
      <c r="P1420" s="50"/>
      <c r="Q1420" s="50"/>
      <c r="R1420" s="50"/>
      <c r="S1420" s="50"/>
      <c r="T1420" s="50"/>
      <c r="U1420" s="50"/>
      <c r="V1420" s="50"/>
      <c r="W1420" s="50"/>
      <c r="X1420" s="50"/>
      <c r="Y1420" s="50"/>
      <c r="Z1420" s="50"/>
    </row>
    <row r="1421" spans="1:26" ht="12.75" x14ac:dyDescent="0.2">
      <c r="A1421" s="50"/>
      <c r="B1421" s="50"/>
      <c r="C1421" s="50"/>
      <c r="D1421" s="50"/>
      <c r="E1421" s="50"/>
      <c r="F1421" s="50"/>
      <c r="G1421" s="50"/>
      <c r="H1421" s="50"/>
      <c r="I1421" s="50"/>
      <c r="J1421" s="50"/>
      <c r="K1421" s="50"/>
      <c r="L1421" s="50"/>
      <c r="M1421" s="50"/>
      <c r="N1421" s="50"/>
      <c r="O1421" s="50"/>
      <c r="P1421" s="50"/>
      <c r="Q1421" s="50"/>
      <c r="R1421" s="50"/>
      <c r="S1421" s="50"/>
      <c r="T1421" s="50"/>
      <c r="U1421" s="50"/>
      <c r="V1421" s="50"/>
      <c r="W1421" s="50"/>
      <c r="X1421" s="50"/>
      <c r="Y1421" s="50"/>
      <c r="Z1421" s="50"/>
    </row>
    <row r="1422" spans="1:26" ht="12.75" x14ac:dyDescent="0.2">
      <c r="A1422" s="50"/>
      <c r="B1422" s="50"/>
      <c r="C1422" s="50"/>
      <c r="D1422" s="50"/>
      <c r="E1422" s="50"/>
      <c r="F1422" s="50"/>
      <c r="G1422" s="50"/>
      <c r="H1422" s="50"/>
      <c r="I1422" s="50"/>
      <c r="J1422" s="50"/>
      <c r="K1422" s="50"/>
      <c r="L1422" s="50"/>
      <c r="M1422" s="50"/>
      <c r="N1422" s="50"/>
      <c r="O1422" s="50"/>
      <c r="P1422" s="50"/>
      <c r="Q1422" s="50"/>
      <c r="R1422" s="50"/>
      <c r="S1422" s="50"/>
      <c r="T1422" s="50"/>
      <c r="U1422" s="50"/>
      <c r="V1422" s="50"/>
      <c r="W1422" s="50"/>
      <c r="X1422" s="50"/>
      <c r="Y1422" s="50"/>
      <c r="Z1422" s="50"/>
    </row>
    <row r="1423" spans="1:26" ht="12.75" x14ac:dyDescent="0.2">
      <c r="A1423" s="50"/>
      <c r="B1423" s="50"/>
      <c r="C1423" s="50"/>
      <c r="D1423" s="50"/>
      <c r="E1423" s="50"/>
      <c r="F1423" s="50"/>
      <c r="G1423" s="50"/>
      <c r="H1423" s="50"/>
      <c r="I1423" s="50"/>
      <c r="J1423" s="50"/>
      <c r="K1423" s="50"/>
      <c r="L1423" s="50"/>
      <c r="M1423" s="50"/>
      <c r="N1423" s="50"/>
      <c r="O1423" s="50"/>
      <c r="P1423" s="50"/>
      <c r="Q1423" s="50"/>
      <c r="R1423" s="50"/>
      <c r="S1423" s="50"/>
      <c r="T1423" s="50"/>
      <c r="U1423" s="50"/>
      <c r="V1423" s="50"/>
      <c r="W1423" s="50"/>
      <c r="X1423" s="50"/>
      <c r="Y1423" s="50"/>
      <c r="Z1423" s="50"/>
    </row>
    <row r="1424" spans="1:26" ht="12.75" x14ac:dyDescent="0.2">
      <c r="A1424" s="50"/>
      <c r="B1424" s="50"/>
      <c r="C1424" s="50"/>
      <c r="D1424" s="50"/>
      <c r="E1424" s="50"/>
      <c r="F1424" s="50"/>
      <c r="G1424" s="50"/>
      <c r="H1424" s="50"/>
      <c r="I1424" s="50"/>
      <c r="J1424" s="50"/>
      <c r="K1424" s="50"/>
      <c r="L1424" s="50"/>
      <c r="M1424" s="50"/>
      <c r="N1424" s="50"/>
      <c r="O1424" s="50"/>
      <c r="P1424" s="50"/>
      <c r="Q1424" s="50"/>
      <c r="R1424" s="50"/>
      <c r="S1424" s="50"/>
      <c r="T1424" s="50"/>
      <c r="U1424" s="50"/>
      <c r="V1424" s="50"/>
      <c r="W1424" s="50"/>
      <c r="X1424" s="50"/>
      <c r="Y1424" s="50"/>
      <c r="Z1424" s="50"/>
    </row>
    <row r="1425" spans="1:26" ht="12.75" x14ac:dyDescent="0.2">
      <c r="A1425" s="50"/>
      <c r="B1425" s="50"/>
      <c r="C1425" s="50"/>
      <c r="D1425" s="50"/>
      <c r="E1425" s="50"/>
      <c r="F1425" s="50"/>
      <c r="G1425" s="50"/>
      <c r="H1425" s="50"/>
      <c r="I1425" s="50"/>
      <c r="J1425" s="50"/>
      <c r="K1425" s="50"/>
      <c r="L1425" s="50"/>
      <c r="M1425" s="50"/>
      <c r="N1425" s="50"/>
      <c r="O1425" s="50"/>
      <c r="P1425" s="50"/>
      <c r="Q1425" s="50"/>
      <c r="R1425" s="50"/>
      <c r="S1425" s="50"/>
      <c r="T1425" s="50"/>
      <c r="U1425" s="50"/>
      <c r="V1425" s="50"/>
      <c r="W1425" s="50"/>
      <c r="X1425" s="50"/>
      <c r="Y1425" s="50"/>
      <c r="Z1425" s="50"/>
    </row>
    <row r="1426" spans="1:26" ht="12.75" x14ac:dyDescent="0.2">
      <c r="A1426" s="50"/>
      <c r="B1426" s="50"/>
      <c r="C1426" s="50"/>
      <c r="D1426" s="50"/>
      <c r="E1426" s="50"/>
      <c r="F1426" s="50"/>
      <c r="G1426" s="50"/>
      <c r="H1426" s="50"/>
      <c r="I1426" s="50"/>
      <c r="J1426" s="50"/>
      <c r="K1426" s="50"/>
      <c r="L1426" s="50"/>
      <c r="M1426" s="50"/>
      <c r="N1426" s="50"/>
      <c r="O1426" s="50"/>
      <c r="P1426" s="50"/>
      <c r="Q1426" s="50"/>
      <c r="R1426" s="50"/>
      <c r="S1426" s="50"/>
      <c r="T1426" s="50"/>
      <c r="U1426" s="50"/>
      <c r="V1426" s="50"/>
      <c r="W1426" s="50"/>
      <c r="X1426" s="50"/>
      <c r="Y1426" s="50"/>
      <c r="Z1426" s="50"/>
    </row>
    <row r="1427" spans="1:26" ht="12.75" x14ac:dyDescent="0.2">
      <c r="A1427" s="50"/>
      <c r="B1427" s="50"/>
      <c r="C1427" s="50"/>
      <c r="D1427" s="50"/>
      <c r="E1427" s="50"/>
      <c r="F1427" s="50"/>
      <c r="G1427" s="50"/>
      <c r="H1427" s="50"/>
      <c r="I1427" s="50"/>
      <c r="J1427" s="50"/>
      <c r="K1427" s="50"/>
      <c r="L1427" s="50"/>
      <c r="M1427" s="50"/>
      <c r="N1427" s="50"/>
      <c r="O1427" s="50"/>
      <c r="P1427" s="50"/>
      <c r="Q1427" s="50"/>
      <c r="R1427" s="50"/>
      <c r="S1427" s="50"/>
      <c r="T1427" s="50"/>
      <c r="U1427" s="50"/>
      <c r="V1427" s="50"/>
      <c r="W1427" s="50"/>
      <c r="X1427" s="50"/>
      <c r="Y1427" s="50"/>
      <c r="Z1427" s="50"/>
    </row>
    <row r="1428" spans="1:26" ht="12.75" x14ac:dyDescent="0.2">
      <c r="A1428" s="50"/>
      <c r="B1428" s="50"/>
      <c r="C1428" s="50"/>
      <c r="D1428" s="50"/>
      <c r="E1428" s="50"/>
      <c r="F1428" s="50"/>
      <c r="G1428" s="50"/>
      <c r="H1428" s="50"/>
      <c r="I1428" s="50"/>
      <c r="J1428" s="50"/>
      <c r="K1428" s="50"/>
      <c r="L1428" s="50"/>
      <c r="M1428" s="50"/>
      <c r="N1428" s="50"/>
      <c r="O1428" s="50"/>
      <c r="P1428" s="50"/>
      <c r="Q1428" s="50"/>
      <c r="R1428" s="50"/>
      <c r="S1428" s="50"/>
      <c r="T1428" s="50"/>
      <c r="U1428" s="50"/>
      <c r="V1428" s="50"/>
      <c r="W1428" s="50"/>
      <c r="X1428" s="50"/>
      <c r="Y1428" s="50"/>
      <c r="Z1428" s="50"/>
    </row>
    <row r="1429" spans="1:26" ht="12.75" x14ac:dyDescent="0.2">
      <c r="A1429" s="50"/>
      <c r="B1429" s="50"/>
      <c r="C1429" s="50"/>
      <c r="D1429" s="50"/>
      <c r="E1429" s="50"/>
      <c r="F1429" s="50"/>
      <c r="G1429" s="50"/>
      <c r="H1429" s="50"/>
      <c r="I1429" s="50"/>
      <c r="J1429" s="50"/>
      <c r="K1429" s="50"/>
      <c r="L1429" s="50"/>
      <c r="M1429" s="50"/>
      <c r="N1429" s="50"/>
      <c r="O1429" s="50"/>
      <c r="P1429" s="50"/>
      <c r="Q1429" s="50"/>
      <c r="R1429" s="50"/>
      <c r="S1429" s="50"/>
      <c r="T1429" s="50"/>
      <c r="U1429" s="50"/>
      <c r="V1429" s="50"/>
      <c r="W1429" s="50"/>
      <c r="X1429" s="50"/>
      <c r="Y1429" s="50"/>
      <c r="Z1429" s="50"/>
    </row>
    <row r="1430" spans="1:26" ht="12.75" x14ac:dyDescent="0.2">
      <c r="A1430" s="50"/>
      <c r="B1430" s="50"/>
      <c r="C1430" s="50"/>
      <c r="D1430" s="50"/>
      <c r="E1430" s="50"/>
      <c r="F1430" s="50"/>
      <c r="G1430" s="50"/>
      <c r="H1430" s="50"/>
      <c r="I1430" s="50"/>
      <c r="J1430" s="50"/>
      <c r="K1430" s="50"/>
      <c r="L1430" s="50"/>
      <c r="M1430" s="50"/>
      <c r="N1430" s="50"/>
      <c r="O1430" s="50"/>
      <c r="P1430" s="50"/>
      <c r="Q1430" s="50"/>
      <c r="R1430" s="50"/>
      <c r="S1430" s="50"/>
      <c r="T1430" s="50"/>
      <c r="U1430" s="50"/>
      <c r="V1430" s="50"/>
      <c r="W1430" s="50"/>
      <c r="X1430" s="50"/>
      <c r="Y1430" s="50"/>
      <c r="Z1430" s="50"/>
    </row>
    <row r="1431" spans="1:26" ht="12.75" x14ac:dyDescent="0.2">
      <c r="A1431" s="50"/>
      <c r="B1431" s="50"/>
      <c r="C1431" s="50"/>
      <c r="D1431" s="50"/>
      <c r="E1431" s="50"/>
      <c r="F1431" s="50"/>
      <c r="G1431" s="50"/>
      <c r="H1431" s="50"/>
      <c r="I1431" s="50"/>
      <c r="J1431" s="50"/>
      <c r="K1431" s="50"/>
      <c r="L1431" s="50"/>
      <c r="M1431" s="50"/>
      <c r="N1431" s="50"/>
      <c r="O1431" s="50"/>
      <c r="P1431" s="50"/>
      <c r="Q1431" s="50"/>
      <c r="R1431" s="50"/>
      <c r="S1431" s="50"/>
      <c r="T1431" s="50"/>
      <c r="U1431" s="50"/>
      <c r="V1431" s="50"/>
      <c r="W1431" s="50"/>
      <c r="X1431" s="50"/>
      <c r="Y1431" s="50"/>
      <c r="Z1431" s="50"/>
    </row>
    <row r="1432" spans="1:26" ht="12.75" x14ac:dyDescent="0.2">
      <c r="A1432" s="50"/>
      <c r="B1432" s="50"/>
      <c r="C1432" s="50"/>
      <c r="D1432" s="50"/>
      <c r="E1432" s="50"/>
      <c r="F1432" s="50"/>
      <c r="G1432" s="50"/>
      <c r="H1432" s="50"/>
      <c r="I1432" s="50"/>
      <c r="J1432" s="50"/>
      <c r="K1432" s="50"/>
      <c r="L1432" s="50"/>
      <c r="M1432" s="50"/>
      <c r="N1432" s="50"/>
      <c r="O1432" s="50"/>
      <c r="P1432" s="50"/>
      <c r="Q1432" s="50"/>
      <c r="R1432" s="50"/>
      <c r="S1432" s="50"/>
      <c r="T1432" s="50"/>
      <c r="U1432" s="50"/>
      <c r="V1432" s="50"/>
      <c r="W1432" s="50"/>
      <c r="X1432" s="50"/>
      <c r="Y1432" s="50"/>
      <c r="Z1432" s="50"/>
    </row>
    <row r="1433" spans="1:26" ht="12.75" x14ac:dyDescent="0.2">
      <c r="A1433" s="50"/>
      <c r="B1433" s="50"/>
      <c r="C1433" s="50"/>
      <c r="D1433" s="50"/>
      <c r="E1433" s="50"/>
      <c r="F1433" s="50"/>
      <c r="G1433" s="50"/>
      <c r="H1433" s="50"/>
      <c r="I1433" s="50"/>
      <c r="J1433" s="50"/>
      <c r="K1433" s="50"/>
      <c r="L1433" s="50"/>
      <c r="M1433" s="50"/>
      <c r="N1433" s="50"/>
      <c r="O1433" s="50"/>
      <c r="P1433" s="50"/>
      <c r="Q1433" s="50"/>
      <c r="R1433" s="50"/>
      <c r="S1433" s="50"/>
      <c r="T1433" s="50"/>
      <c r="U1433" s="50"/>
      <c r="V1433" s="50"/>
      <c r="W1433" s="50"/>
      <c r="X1433" s="50"/>
      <c r="Y1433" s="50"/>
      <c r="Z1433" s="50"/>
    </row>
    <row r="1434" spans="1:26" ht="12.75" x14ac:dyDescent="0.2">
      <c r="A1434" s="50"/>
      <c r="B1434" s="50"/>
      <c r="C1434" s="50"/>
      <c r="D1434" s="50"/>
      <c r="E1434" s="50"/>
      <c r="F1434" s="50"/>
      <c r="G1434" s="50"/>
      <c r="H1434" s="50"/>
      <c r="I1434" s="50"/>
      <c r="J1434" s="50"/>
      <c r="K1434" s="50"/>
      <c r="L1434" s="50"/>
      <c r="M1434" s="50"/>
      <c r="N1434" s="50"/>
      <c r="O1434" s="50"/>
      <c r="P1434" s="50"/>
      <c r="Q1434" s="50"/>
      <c r="R1434" s="50"/>
      <c r="S1434" s="50"/>
      <c r="T1434" s="50"/>
      <c r="U1434" s="50"/>
      <c r="V1434" s="50"/>
      <c r="W1434" s="50"/>
      <c r="X1434" s="50"/>
      <c r="Y1434" s="50"/>
      <c r="Z1434" s="50"/>
    </row>
    <row r="1435" spans="1:26" ht="12.75" x14ac:dyDescent="0.2">
      <c r="A1435" s="50"/>
      <c r="B1435" s="50"/>
      <c r="C1435" s="50"/>
      <c r="D1435" s="50"/>
      <c r="E1435" s="50"/>
      <c r="F1435" s="50"/>
      <c r="G1435" s="50"/>
      <c r="H1435" s="50"/>
      <c r="I1435" s="50"/>
      <c r="J1435" s="50"/>
      <c r="K1435" s="50"/>
      <c r="L1435" s="50"/>
      <c r="M1435" s="50"/>
      <c r="N1435" s="50"/>
      <c r="O1435" s="50"/>
      <c r="P1435" s="50"/>
      <c r="Q1435" s="50"/>
      <c r="R1435" s="50"/>
      <c r="S1435" s="50"/>
      <c r="T1435" s="50"/>
      <c r="U1435" s="50"/>
      <c r="V1435" s="50"/>
      <c r="W1435" s="50"/>
      <c r="X1435" s="50"/>
      <c r="Y1435" s="50"/>
      <c r="Z1435" s="50"/>
    </row>
    <row r="1436" spans="1:26" ht="12.75" x14ac:dyDescent="0.2">
      <c r="A1436" s="50"/>
      <c r="B1436" s="50"/>
      <c r="C1436" s="50"/>
      <c r="D1436" s="50"/>
      <c r="E1436" s="50"/>
      <c r="F1436" s="50"/>
      <c r="G1436" s="50"/>
      <c r="H1436" s="50"/>
      <c r="I1436" s="50"/>
      <c r="J1436" s="50"/>
      <c r="K1436" s="50"/>
      <c r="L1436" s="50"/>
      <c r="M1436" s="50"/>
      <c r="N1436" s="50"/>
      <c r="O1436" s="50"/>
      <c r="P1436" s="50"/>
      <c r="Q1436" s="50"/>
      <c r="R1436" s="50"/>
      <c r="S1436" s="50"/>
      <c r="T1436" s="50"/>
      <c r="U1436" s="50"/>
      <c r="V1436" s="50"/>
      <c r="W1436" s="50"/>
      <c r="X1436" s="50"/>
      <c r="Y1436" s="50"/>
      <c r="Z1436" s="50"/>
    </row>
    <row r="1437" spans="1:26" ht="12.75" x14ac:dyDescent="0.2">
      <c r="A1437" s="50"/>
      <c r="B1437" s="50"/>
      <c r="C1437" s="50"/>
      <c r="D1437" s="50"/>
      <c r="E1437" s="50"/>
      <c r="F1437" s="50"/>
      <c r="G1437" s="50"/>
      <c r="H1437" s="50"/>
      <c r="I1437" s="50"/>
      <c r="J1437" s="50"/>
      <c r="K1437" s="50"/>
      <c r="L1437" s="50"/>
      <c r="M1437" s="50"/>
      <c r="N1437" s="50"/>
      <c r="O1437" s="50"/>
      <c r="P1437" s="50"/>
      <c r="Q1437" s="50"/>
      <c r="R1437" s="50"/>
      <c r="S1437" s="50"/>
      <c r="T1437" s="50"/>
      <c r="U1437" s="50"/>
      <c r="V1437" s="50"/>
      <c r="W1437" s="50"/>
      <c r="X1437" s="50"/>
      <c r="Y1437" s="50"/>
      <c r="Z1437" s="50"/>
    </row>
    <row r="1438" spans="1:26" ht="12.75" x14ac:dyDescent="0.2">
      <c r="A1438" s="50"/>
      <c r="B1438" s="50"/>
      <c r="C1438" s="50"/>
      <c r="D1438" s="50"/>
      <c r="E1438" s="50"/>
      <c r="F1438" s="50"/>
      <c r="G1438" s="50"/>
      <c r="H1438" s="50"/>
      <c r="I1438" s="50"/>
      <c r="J1438" s="50"/>
      <c r="K1438" s="50"/>
      <c r="L1438" s="50"/>
      <c r="M1438" s="50"/>
      <c r="N1438" s="50"/>
      <c r="O1438" s="50"/>
      <c r="P1438" s="50"/>
      <c r="Q1438" s="50"/>
      <c r="R1438" s="50"/>
      <c r="S1438" s="50"/>
      <c r="T1438" s="50"/>
      <c r="U1438" s="50"/>
      <c r="V1438" s="50"/>
      <c r="W1438" s="50"/>
      <c r="X1438" s="50"/>
      <c r="Y1438" s="50"/>
      <c r="Z1438" s="50"/>
    </row>
    <row r="1439" spans="1:26" ht="12.75" x14ac:dyDescent="0.2">
      <c r="A1439" s="50"/>
      <c r="B1439" s="50"/>
      <c r="C1439" s="50"/>
      <c r="D1439" s="50"/>
      <c r="E1439" s="50"/>
      <c r="F1439" s="50"/>
      <c r="G1439" s="50"/>
      <c r="H1439" s="50"/>
      <c r="I1439" s="50"/>
      <c r="J1439" s="50"/>
      <c r="K1439" s="50"/>
      <c r="L1439" s="50"/>
      <c r="M1439" s="50"/>
      <c r="N1439" s="50"/>
      <c r="O1439" s="50"/>
      <c r="P1439" s="50"/>
      <c r="Q1439" s="50"/>
      <c r="R1439" s="50"/>
      <c r="S1439" s="50"/>
      <c r="T1439" s="50"/>
      <c r="U1439" s="50"/>
      <c r="V1439" s="50"/>
      <c r="W1439" s="50"/>
      <c r="X1439" s="50"/>
      <c r="Y1439" s="50"/>
      <c r="Z1439" s="50"/>
    </row>
    <row r="1440" spans="1:26" ht="12.75" x14ac:dyDescent="0.2">
      <c r="A1440" s="50"/>
      <c r="B1440" s="50"/>
      <c r="C1440" s="50"/>
      <c r="D1440" s="50"/>
      <c r="E1440" s="50"/>
      <c r="F1440" s="50"/>
      <c r="G1440" s="50"/>
      <c r="H1440" s="50"/>
      <c r="I1440" s="50"/>
      <c r="J1440" s="50"/>
      <c r="K1440" s="50"/>
      <c r="L1440" s="50"/>
      <c r="M1440" s="50"/>
      <c r="N1440" s="50"/>
      <c r="O1440" s="50"/>
      <c r="P1440" s="50"/>
      <c r="Q1440" s="50"/>
      <c r="R1440" s="50"/>
      <c r="S1440" s="50"/>
      <c r="T1440" s="50"/>
      <c r="U1440" s="50"/>
      <c r="V1440" s="50"/>
      <c r="W1440" s="50"/>
      <c r="X1440" s="50"/>
      <c r="Y1440" s="50"/>
      <c r="Z1440" s="50"/>
    </row>
    <row r="1441" spans="1:26" ht="12.75" x14ac:dyDescent="0.2">
      <c r="A1441" s="50"/>
      <c r="B1441" s="50"/>
      <c r="C1441" s="50"/>
      <c r="D1441" s="50"/>
      <c r="E1441" s="50"/>
      <c r="F1441" s="50"/>
      <c r="G1441" s="50"/>
      <c r="H1441" s="50"/>
      <c r="I1441" s="50"/>
      <c r="J1441" s="50"/>
      <c r="K1441" s="50"/>
      <c r="L1441" s="50"/>
      <c r="M1441" s="50"/>
      <c r="N1441" s="50"/>
      <c r="O1441" s="50"/>
      <c r="P1441" s="50"/>
      <c r="Q1441" s="50"/>
      <c r="R1441" s="50"/>
      <c r="S1441" s="50"/>
      <c r="T1441" s="50"/>
      <c r="U1441" s="50"/>
      <c r="V1441" s="50"/>
      <c r="W1441" s="50"/>
      <c r="X1441" s="50"/>
      <c r="Y1441" s="50"/>
      <c r="Z1441" s="50"/>
    </row>
    <row r="1442" spans="1:26" ht="12.75" x14ac:dyDescent="0.2">
      <c r="A1442" s="50"/>
      <c r="B1442" s="50"/>
      <c r="C1442" s="50"/>
      <c r="D1442" s="50"/>
      <c r="E1442" s="50"/>
      <c r="F1442" s="50"/>
      <c r="G1442" s="50"/>
      <c r="H1442" s="50"/>
      <c r="I1442" s="50"/>
      <c r="J1442" s="50"/>
      <c r="K1442" s="50"/>
      <c r="L1442" s="50"/>
      <c r="M1442" s="50"/>
      <c r="N1442" s="50"/>
      <c r="O1442" s="50"/>
      <c r="P1442" s="50"/>
      <c r="Q1442" s="50"/>
      <c r="R1442" s="50"/>
      <c r="S1442" s="50"/>
      <c r="T1442" s="50"/>
      <c r="U1442" s="50"/>
      <c r="V1442" s="50"/>
      <c r="W1442" s="50"/>
      <c r="X1442" s="50"/>
      <c r="Y1442" s="50"/>
      <c r="Z1442" s="50"/>
    </row>
    <row r="1443" spans="1:26" ht="12.75" x14ac:dyDescent="0.2">
      <c r="A1443" s="50"/>
      <c r="B1443" s="50"/>
      <c r="C1443" s="50"/>
      <c r="D1443" s="50"/>
      <c r="E1443" s="50"/>
      <c r="F1443" s="50"/>
      <c r="G1443" s="50"/>
      <c r="H1443" s="50"/>
      <c r="I1443" s="50"/>
      <c r="J1443" s="50"/>
      <c r="K1443" s="50"/>
      <c r="L1443" s="50"/>
      <c r="M1443" s="50"/>
      <c r="N1443" s="50"/>
      <c r="O1443" s="50"/>
      <c r="P1443" s="50"/>
      <c r="Q1443" s="50"/>
      <c r="R1443" s="50"/>
      <c r="S1443" s="50"/>
      <c r="T1443" s="50"/>
      <c r="U1443" s="50"/>
      <c r="V1443" s="50"/>
      <c r="W1443" s="50"/>
      <c r="X1443" s="50"/>
      <c r="Y1443" s="50"/>
      <c r="Z1443" s="50"/>
    </row>
    <row r="1444" spans="1:26" ht="12.75" x14ac:dyDescent="0.2">
      <c r="A1444" s="50"/>
      <c r="B1444" s="50"/>
      <c r="C1444" s="50"/>
      <c r="D1444" s="50"/>
      <c r="E1444" s="50"/>
      <c r="F1444" s="50"/>
      <c r="G1444" s="50"/>
      <c r="H1444" s="50"/>
      <c r="I1444" s="50"/>
      <c r="J1444" s="50"/>
      <c r="K1444" s="50"/>
      <c r="L1444" s="50"/>
      <c r="M1444" s="50"/>
      <c r="N1444" s="50"/>
      <c r="O1444" s="50"/>
      <c r="P1444" s="50"/>
      <c r="Q1444" s="50"/>
      <c r="R1444" s="50"/>
      <c r="S1444" s="50"/>
      <c r="T1444" s="50"/>
      <c r="U1444" s="50"/>
      <c r="V1444" s="50"/>
      <c r="W1444" s="50"/>
      <c r="X1444" s="50"/>
      <c r="Y1444" s="50"/>
      <c r="Z1444" s="50"/>
    </row>
    <row r="1445" spans="1:26" ht="12.75" x14ac:dyDescent="0.2">
      <c r="A1445" s="50"/>
      <c r="B1445" s="50"/>
      <c r="C1445" s="50"/>
      <c r="D1445" s="50"/>
      <c r="E1445" s="50"/>
      <c r="F1445" s="50"/>
      <c r="G1445" s="50"/>
      <c r="H1445" s="50"/>
      <c r="I1445" s="50"/>
      <c r="J1445" s="50"/>
      <c r="K1445" s="50"/>
      <c r="L1445" s="50"/>
      <c r="M1445" s="50"/>
      <c r="N1445" s="50"/>
      <c r="O1445" s="50"/>
      <c r="P1445" s="50"/>
      <c r="Q1445" s="50"/>
      <c r="R1445" s="50"/>
      <c r="S1445" s="50"/>
      <c r="T1445" s="50"/>
      <c r="U1445" s="50"/>
      <c r="V1445" s="50"/>
      <c r="W1445" s="50"/>
      <c r="X1445" s="50"/>
      <c r="Y1445" s="50"/>
      <c r="Z1445" s="50"/>
    </row>
    <row r="1446" spans="1:26" ht="12.75" x14ac:dyDescent="0.2">
      <c r="A1446" s="50"/>
      <c r="B1446" s="50"/>
      <c r="C1446" s="50"/>
      <c r="D1446" s="50"/>
      <c r="E1446" s="50"/>
      <c r="F1446" s="50"/>
      <c r="G1446" s="50"/>
      <c r="H1446" s="50"/>
      <c r="I1446" s="50"/>
      <c r="J1446" s="50"/>
      <c r="K1446" s="50"/>
      <c r="L1446" s="50"/>
      <c r="M1446" s="50"/>
      <c r="N1446" s="50"/>
      <c r="O1446" s="50"/>
      <c r="P1446" s="50"/>
      <c r="Q1446" s="50"/>
      <c r="R1446" s="50"/>
      <c r="S1446" s="50"/>
      <c r="T1446" s="50"/>
      <c r="U1446" s="50"/>
      <c r="V1446" s="50"/>
      <c r="W1446" s="50"/>
      <c r="X1446" s="50"/>
      <c r="Y1446" s="50"/>
      <c r="Z1446" s="50"/>
    </row>
    <row r="1447" spans="1:26" ht="12.75" x14ac:dyDescent="0.2">
      <c r="A1447" s="50"/>
      <c r="B1447" s="50"/>
      <c r="C1447" s="50"/>
      <c r="D1447" s="50"/>
      <c r="E1447" s="50"/>
      <c r="F1447" s="50"/>
      <c r="G1447" s="50"/>
      <c r="H1447" s="50"/>
      <c r="I1447" s="50"/>
      <c r="J1447" s="50"/>
      <c r="K1447" s="50"/>
      <c r="L1447" s="50"/>
      <c r="M1447" s="50"/>
      <c r="N1447" s="50"/>
      <c r="O1447" s="50"/>
      <c r="P1447" s="50"/>
      <c r="Q1447" s="50"/>
      <c r="R1447" s="50"/>
      <c r="S1447" s="50"/>
      <c r="T1447" s="50"/>
      <c r="U1447" s="50"/>
      <c r="V1447" s="50"/>
      <c r="W1447" s="50"/>
      <c r="X1447" s="50"/>
      <c r="Y1447" s="50"/>
      <c r="Z1447" s="50"/>
    </row>
    <row r="1448" spans="1:26" ht="12.75" x14ac:dyDescent="0.2">
      <c r="A1448" s="50"/>
      <c r="B1448" s="50"/>
      <c r="C1448" s="50"/>
      <c r="D1448" s="50"/>
      <c r="E1448" s="50"/>
      <c r="F1448" s="50"/>
      <c r="G1448" s="50"/>
      <c r="H1448" s="50"/>
      <c r="I1448" s="50"/>
      <c r="J1448" s="50"/>
      <c r="K1448" s="50"/>
      <c r="L1448" s="50"/>
      <c r="M1448" s="50"/>
      <c r="N1448" s="50"/>
      <c r="O1448" s="50"/>
      <c r="P1448" s="50"/>
      <c r="Q1448" s="50"/>
      <c r="R1448" s="50"/>
      <c r="S1448" s="50"/>
      <c r="T1448" s="50"/>
      <c r="U1448" s="50"/>
      <c r="V1448" s="50"/>
      <c r="W1448" s="50"/>
      <c r="X1448" s="50"/>
      <c r="Y1448" s="50"/>
      <c r="Z1448" s="50"/>
    </row>
    <row r="1449" spans="1:26" ht="12.75" x14ac:dyDescent="0.2">
      <c r="A1449" s="50"/>
      <c r="B1449" s="50"/>
      <c r="C1449" s="50"/>
      <c r="D1449" s="50"/>
      <c r="E1449" s="50"/>
      <c r="F1449" s="50"/>
      <c r="G1449" s="50"/>
      <c r="H1449" s="50"/>
      <c r="I1449" s="50"/>
      <c r="J1449" s="50"/>
      <c r="K1449" s="50"/>
      <c r="L1449" s="50"/>
      <c r="M1449" s="50"/>
      <c r="N1449" s="50"/>
      <c r="O1449" s="50"/>
      <c r="P1449" s="50"/>
      <c r="Q1449" s="50"/>
      <c r="R1449" s="50"/>
      <c r="S1449" s="50"/>
      <c r="T1449" s="50"/>
      <c r="U1449" s="50"/>
      <c r="V1449" s="50"/>
      <c r="W1449" s="50"/>
      <c r="X1449" s="50"/>
      <c r="Y1449" s="50"/>
      <c r="Z1449" s="50"/>
    </row>
    <row r="1450" spans="1:26" ht="12.75" x14ac:dyDescent="0.2">
      <c r="A1450" s="50"/>
      <c r="B1450" s="50"/>
      <c r="C1450" s="50"/>
      <c r="D1450" s="50"/>
      <c r="E1450" s="50"/>
      <c r="F1450" s="50"/>
      <c r="G1450" s="50"/>
      <c r="H1450" s="50"/>
      <c r="I1450" s="50"/>
      <c r="J1450" s="50"/>
      <c r="K1450" s="50"/>
      <c r="L1450" s="50"/>
      <c r="M1450" s="50"/>
      <c r="N1450" s="50"/>
      <c r="O1450" s="50"/>
      <c r="P1450" s="50"/>
      <c r="Q1450" s="50"/>
      <c r="R1450" s="50"/>
      <c r="S1450" s="50"/>
      <c r="T1450" s="50"/>
      <c r="U1450" s="50"/>
      <c r="V1450" s="50"/>
      <c r="W1450" s="50"/>
      <c r="X1450" s="50"/>
      <c r="Y1450" s="50"/>
      <c r="Z1450" s="50"/>
    </row>
    <row r="1451" spans="1:26" ht="12.75" x14ac:dyDescent="0.2">
      <c r="A1451" s="50"/>
      <c r="B1451" s="50"/>
      <c r="C1451" s="50"/>
      <c r="D1451" s="50"/>
      <c r="E1451" s="50"/>
      <c r="F1451" s="50"/>
      <c r="G1451" s="50"/>
      <c r="H1451" s="50"/>
      <c r="I1451" s="50"/>
      <c r="J1451" s="50"/>
      <c r="K1451" s="50"/>
      <c r="L1451" s="50"/>
      <c r="M1451" s="50"/>
      <c r="N1451" s="50"/>
      <c r="O1451" s="50"/>
      <c r="P1451" s="50"/>
      <c r="Q1451" s="50"/>
      <c r="R1451" s="50"/>
      <c r="S1451" s="50"/>
      <c r="T1451" s="50"/>
      <c r="U1451" s="50"/>
      <c r="V1451" s="50"/>
      <c r="W1451" s="50"/>
      <c r="X1451" s="50"/>
      <c r="Y1451" s="50"/>
      <c r="Z1451" s="50"/>
    </row>
    <row r="1452" spans="1:26" ht="12.75" x14ac:dyDescent="0.2">
      <c r="A1452" s="50"/>
      <c r="B1452" s="50"/>
      <c r="C1452" s="50"/>
      <c r="D1452" s="50"/>
      <c r="E1452" s="50"/>
      <c r="F1452" s="50"/>
      <c r="G1452" s="50"/>
      <c r="H1452" s="50"/>
      <c r="I1452" s="50"/>
      <c r="J1452" s="50"/>
      <c r="K1452" s="50"/>
      <c r="L1452" s="50"/>
      <c r="M1452" s="50"/>
      <c r="N1452" s="50"/>
      <c r="O1452" s="50"/>
      <c r="P1452" s="50"/>
      <c r="Q1452" s="50"/>
      <c r="R1452" s="50"/>
      <c r="S1452" s="50"/>
      <c r="T1452" s="50"/>
      <c r="U1452" s="50"/>
      <c r="V1452" s="50"/>
      <c r="W1452" s="50"/>
      <c r="X1452" s="50"/>
      <c r="Y1452" s="50"/>
      <c r="Z1452" s="50"/>
    </row>
    <row r="1453" spans="1:26" ht="12.75" x14ac:dyDescent="0.2">
      <c r="A1453" s="50"/>
      <c r="B1453" s="50"/>
      <c r="C1453" s="50"/>
      <c r="D1453" s="50"/>
      <c r="E1453" s="50"/>
      <c r="F1453" s="50"/>
      <c r="G1453" s="50"/>
      <c r="H1453" s="50"/>
      <c r="I1453" s="50"/>
      <c r="J1453" s="50"/>
      <c r="K1453" s="50"/>
      <c r="L1453" s="50"/>
      <c r="M1453" s="50"/>
      <c r="N1453" s="50"/>
      <c r="O1453" s="50"/>
      <c r="P1453" s="50"/>
      <c r="Q1453" s="50"/>
      <c r="R1453" s="50"/>
      <c r="S1453" s="50"/>
      <c r="T1453" s="50"/>
      <c r="U1453" s="50"/>
      <c r="V1453" s="50"/>
      <c r="W1453" s="50"/>
      <c r="X1453" s="50"/>
      <c r="Y1453" s="50"/>
      <c r="Z1453" s="50"/>
    </row>
    <row r="1454" spans="1:26" ht="12.75" x14ac:dyDescent="0.2">
      <c r="A1454" s="50"/>
      <c r="B1454" s="50"/>
      <c r="C1454" s="50"/>
      <c r="D1454" s="50"/>
      <c r="E1454" s="50"/>
      <c r="F1454" s="50"/>
      <c r="G1454" s="50"/>
      <c r="H1454" s="50"/>
      <c r="I1454" s="50"/>
      <c r="J1454" s="50"/>
      <c r="K1454" s="50"/>
      <c r="L1454" s="50"/>
      <c r="M1454" s="50"/>
      <c r="N1454" s="50"/>
      <c r="O1454" s="50"/>
      <c r="P1454" s="50"/>
      <c r="Q1454" s="50"/>
      <c r="R1454" s="50"/>
      <c r="S1454" s="50"/>
      <c r="T1454" s="50"/>
      <c r="U1454" s="50"/>
      <c r="V1454" s="50"/>
      <c r="W1454" s="50"/>
      <c r="X1454" s="50"/>
      <c r="Y1454" s="50"/>
      <c r="Z1454" s="50"/>
    </row>
    <row r="1455" spans="1:26" ht="12.75" x14ac:dyDescent="0.2">
      <c r="A1455" s="50"/>
      <c r="B1455" s="50"/>
      <c r="C1455" s="50"/>
      <c r="D1455" s="50"/>
      <c r="E1455" s="50"/>
      <c r="F1455" s="50"/>
      <c r="G1455" s="50"/>
      <c r="H1455" s="50"/>
      <c r="I1455" s="50"/>
      <c r="J1455" s="50"/>
      <c r="K1455" s="50"/>
      <c r="L1455" s="50"/>
      <c r="M1455" s="50"/>
      <c r="N1455" s="50"/>
      <c r="O1455" s="50"/>
      <c r="P1455" s="50"/>
      <c r="Q1455" s="50"/>
      <c r="R1455" s="50"/>
      <c r="S1455" s="50"/>
      <c r="T1455" s="50"/>
      <c r="U1455" s="50"/>
      <c r="V1455" s="50"/>
      <c r="W1455" s="50"/>
      <c r="X1455" s="50"/>
      <c r="Y1455" s="50"/>
      <c r="Z1455" s="50"/>
    </row>
    <row r="1456" spans="1:26" ht="12.75" x14ac:dyDescent="0.2">
      <c r="A1456" s="50"/>
      <c r="B1456" s="50"/>
      <c r="C1456" s="50"/>
      <c r="D1456" s="50"/>
      <c r="E1456" s="50"/>
      <c r="F1456" s="50"/>
      <c r="G1456" s="50"/>
      <c r="H1456" s="50"/>
      <c r="I1456" s="50"/>
      <c r="J1456" s="50"/>
      <c r="K1456" s="50"/>
      <c r="L1456" s="50"/>
      <c r="M1456" s="50"/>
      <c r="N1456" s="50"/>
      <c r="O1456" s="50"/>
      <c r="P1456" s="50"/>
      <c r="Q1456" s="50"/>
      <c r="R1456" s="50"/>
      <c r="S1456" s="50"/>
      <c r="T1456" s="50"/>
      <c r="U1456" s="50"/>
      <c r="V1456" s="50"/>
      <c r="W1456" s="50"/>
      <c r="X1456" s="50"/>
      <c r="Y1456" s="50"/>
      <c r="Z1456" s="50"/>
    </row>
    <row r="1457" spans="1:26" ht="12.75" x14ac:dyDescent="0.2">
      <c r="A1457" s="50"/>
      <c r="B1457" s="50"/>
      <c r="C1457" s="50"/>
      <c r="D1457" s="50"/>
      <c r="E1457" s="50"/>
      <c r="F1457" s="50"/>
      <c r="G1457" s="50"/>
      <c r="H1457" s="50"/>
      <c r="I1457" s="50"/>
      <c r="J1457" s="50"/>
      <c r="K1457" s="50"/>
      <c r="L1457" s="50"/>
      <c r="M1457" s="50"/>
      <c r="N1457" s="50"/>
      <c r="O1457" s="50"/>
      <c r="P1457" s="50"/>
      <c r="Q1457" s="50"/>
      <c r="R1457" s="50"/>
      <c r="S1457" s="50"/>
      <c r="T1457" s="50"/>
      <c r="U1457" s="50"/>
      <c r="V1457" s="50"/>
      <c r="W1457" s="50"/>
      <c r="X1457" s="50"/>
      <c r="Y1457" s="50"/>
      <c r="Z1457" s="50"/>
    </row>
    <row r="1458" spans="1:26" ht="12.75" x14ac:dyDescent="0.2">
      <c r="A1458" s="50"/>
      <c r="B1458" s="50"/>
      <c r="C1458" s="50"/>
      <c r="D1458" s="50"/>
      <c r="E1458" s="50"/>
      <c r="F1458" s="50"/>
      <c r="G1458" s="50"/>
      <c r="H1458" s="50"/>
      <c r="I1458" s="50"/>
      <c r="J1458" s="50"/>
      <c r="K1458" s="50"/>
      <c r="L1458" s="50"/>
      <c r="M1458" s="50"/>
      <c r="N1458" s="50"/>
      <c r="O1458" s="50"/>
      <c r="P1458" s="50"/>
      <c r="Q1458" s="50"/>
      <c r="R1458" s="50"/>
      <c r="S1458" s="50"/>
      <c r="T1458" s="50"/>
      <c r="U1458" s="50"/>
      <c r="V1458" s="50"/>
      <c r="W1458" s="50"/>
      <c r="X1458" s="50"/>
      <c r="Y1458" s="50"/>
      <c r="Z1458" s="50"/>
    </row>
    <row r="1459" spans="1:26" ht="12.75" x14ac:dyDescent="0.2">
      <c r="A1459" s="50"/>
      <c r="B1459" s="50"/>
      <c r="C1459" s="50"/>
      <c r="D1459" s="50"/>
      <c r="E1459" s="50"/>
      <c r="F1459" s="50"/>
      <c r="G1459" s="50"/>
      <c r="H1459" s="50"/>
      <c r="I1459" s="50"/>
      <c r="J1459" s="50"/>
      <c r="K1459" s="50"/>
      <c r="L1459" s="50"/>
      <c r="M1459" s="50"/>
      <c r="N1459" s="50"/>
      <c r="O1459" s="50"/>
      <c r="P1459" s="50"/>
      <c r="Q1459" s="50"/>
      <c r="R1459" s="50"/>
      <c r="S1459" s="50"/>
      <c r="T1459" s="50"/>
      <c r="U1459" s="50"/>
      <c r="V1459" s="50"/>
      <c r="W1459" s="50"/>
      <c r="X1459" s="50"/>
      <c r="Y1459" s="50"/>
      <c r="Z1459" s="50"/>
    </row>
    <row r="1460" spans="1:26" ht="12.75" x14ac:dyDescent="0.2">
      <c r="A1460" s="50"/>
      <c r="B1460" s="50"/>
      <c r="C1460" s="50"/>
      <c r="D1460" s="50"/>
      <c r="E1460" s="50"/>
      <c r="F1460" s="50"/>
      <c r="G1460" s="50"/>
      <c r="H1460" s="50"/>
      <c r="I1460" s="50"/>
      <c r="J1460" s="50"/>
      <c r="K1460" s="50"/>
      <c r="L1460" s="50"/>
      <c r="M1460" s="50"/>
      <c r="N1460" s="50"/>
      <c r="O1460" s="50"/>
      <c r="P1460" s="50"/>
      <c r="Q1460" s="50"/>
      <c r="R1460" s="50"/>
      <c r="S1460" s="50"/>
      <c r="T1460" s="50"/>
      <c r="U1460" s="50"/>
      <c r="V1460" s="50"/>
      <c r="W1460" s="50"/>
      <c r="X1460" s="50"/>
      <c r="Y1460" s="50"/>
      <c r="Z1460" s="50"/>
    </row>
    <row r="1461" spans="1:26" ht="12.75" x14ac:dyDescent="0.2">
      <c r="A1461" s="50"/>
      <c r="B1461" s="50"/>
      <c r="C1461" s="50"/>
      <c r="D1461" s="50"/>
      <c r="E1461" s="50"/>
      <c r="F1461" s="50"/>
      <c r="G1461" s="50"/>
      <c r="H1461" s="50"/>
      <c r="I1461" s="50"/>
      <c r="J1461" s="50"/>
      <c r="K1461" s="50"/>
      <c r="L1461" s="50"/>
      <c r="M1461" s="50"/>
      <c r="N1461" s="50"/>
      <c r="O1461" s="50"/>
      <c r="P1461" s="50"/>
      <c r="Q1461" s="50"/>
      <c r="R1461" s="50"/>
      <c r="S1461" s="50"/>
      <c r="T1461" s="50"/>
      <c r="U1461" s="50"/>
      <c r="V1461" s="50"/>
      <c r="W1461" s="50"/>
      <c r="X1461" s="50"/>
      <c r="Y1461" s="50"/>
      <c r="Z1461" s="50"/>
    </row>
    <row r="1462" spans="1:26" ht="12.75" x14ac:dyDescent="0.2">
      <c r="A1462" s="50"/>
      <c r="B1462" s="50"/>
      <c r="C1462" s="50"/>
      <c r="D1462" s="50"/>
      <c r="E1462" s="50"/>
      <c r="F1462" s="50"/>
      <c r="G1462" s="50"/>
      <c r="H1462" s="50"/>
      <c r="I1462" s="50"/>
      <c r="J1462" s="50"/>
      <c r="K1462" s="50"/>
      <c r="L1462" s="50"/>
      <c r="M1462" s="50"/>
      <c r="N1462" s="50"/>
      <c r="O1462" s="50"/>
      <c r="P1462" s="50"/>
      <c r="Q1462" s="50"/>
      <c r="R1462" s="50"/>
      <c r="S1462" s="50"/>
      <c r="T1462" s="50"/>
      <c r="U1462" s="50"/>
      <c r="V1462" s="50"/>
      <c r="W1462" s="50"/>
      <c r="X1462" s="50"/>
      <c r="Y1462" s="50"/>
      <c r="Z1462" s="50"/>
    </row>
    <row r="1463" spans="1:26" ht="12.75" x14ac:dyDescent="0.2">
      <c r="A1463" s="50"/>
      <c r="B1463" s="50"/>
      <c r="C1463" s="50"/>
      <c r="D1463" s="50"/>
      <c r="E1463" s="50"/>
      <c r="F1463" s="50"/>
      <c r="G1463" s="50"/>
      <c r="H1463" s="50"/>
      <c r="I1463" s="50"/>
      <c r="J1463" s="50"/>
      <c r="K1463" s="50"/>
      <c r="L1463" s="50"/>
      <c r="M1463" s="50"/>
      <c r="N1463" s="50"/>
      <c r="O1463" s="50"/>
      <c r="P1463" s="50"/>
      <c r="Q1463" s="50"/>
      <c r="R1463" s="50"/>
      <c r="S1463" s="50"/>
      <c r="T1463" s="50"/>
      <c r="U1463" s="50"/>
      <c r="V1463" s="50"/>
      <c r="W1463" s="50"/>
      <c r="X1463" s="50"/>
      <c r="Y1463" s="50"/>
      <c r="Z1463" s="50"/>
    </row>
    <row r="1464" spans="1:26" ht="12.75" x14ac:dyDescent="0.2">
      <c r="A1464" s="50"/>
      <c r="B1464" s="50"/>
      <c r="C1464" s="50"/>
      <c r="D1464" s="50"/>
      <c r="E1464" s="50"/>
      <c r="F1464" s="50"/>
      <c r="G1464" s="50"/>
      <c r="H1464" s="50"/>
      <c r="I1464" s="50"/>
      <c r="J1464" s="50"/>
      <c r="K1464" s="50"/>
      <c r="L1464" s="50"/>
      <c r="M1464" s="50"/>
      <c r="N1464" s="50"/>
      <c r="O1464" s="50"/>
      <c r="P1464" s="50"/>
      <c r="Q1464" s="50"/>
      <c r="R1464" s="50"/>
      <c r="S1464" s="50"/>
      <c r="T1464" s="50"/>
      <c r="U1464" s="50"/>
      <c r="V1464" s="50"/>
      <c r="W1464" s="50"/>
      <c r="X1464" s="50"/>
      <c r="Y1464" s="50"/>
      <c r="Z1464" s="50"/>
    </row>
    <row r="1465" spans="1:26" ht="12.75" x14ac:dyDescent="0.2">
      <c r="A1465" s="50"/>
      <c r="B1465" s="50"/>
      <c r="C1465" s="50"/>
      <c r="D1465" s="50"/>
      <c r="E1465" s="50"/>
      <c r="F1465" s="50"/>
      <c r="G1465" s="50"/>
      <c r="H1465" s="50"/>
      <c r="I1465" s="50"/>
      <c r="J1465" s="50"/>
      <c r="K1465" s="50"/>
      <c r="L1465" s="50"/>
      <c r="M1465" s="50"/>
      <c r="N1465" s="50"/>
      <c r="O1465" s="50"/>
      <c r="P1465" s="50"/>
      <c r="Q1465" s="50"/>
      <c r="R1465" s="50"/>
      <c r="S1465" s="50"/>
      <c r="T1465" s="50"/>
      <c r="U1465" s="50"/>
      <c r="V1465" s="50"/>
      <c r="W1465" s="50"/>
      <c r="X1465" s="50"/>
      <c r="Y1465" s="50"/>
      <c r="Z1465" s="50"/>
    </row>
    <row r="1466" spans="1:26" ht="12.75" x14ac:dyDescent="0.2">
      <c r="A1466" s="50"/>
      <c r="B1466" s="50"/>
      <c r="C1466" s="50"/>
      <c r="D1466" s="50"/>
      <c r="E1466" s="50"/>
      <c r="F1466" s="50"/>
      <c r="G1466" s="50"/>
      <c r="H1466" s="50"/>
      <c r="I1466" s="50"/>
      <c r="J1466" s="50"/>
      <c r="K1466" s="50"/>
      <c r="L1466" s="50"/>
      <c r="M1466" s="50"/>
      <c r="N1466" s="50"/>
      <c r="O1466" s="50"/>
      <c r="P1466" s="50"/>
      <c r="Q1466" s="50"/>
      <c r="R1466" s="50"/>
      <c r="S1466" s="50"/>
      <c r="T1466" s="50"/>
      <c r="U1466" s="50"/>
      <c r="V1466" s="50"/>
      <c r="W1466" s="50"/>
      <c r="X1466" s="50"/>
      <c r="Y1466" s="50"/>
      <c r="Z1466" s="50"/>
    </row>
    <row r="1467" spans="1:26" ht="12.75" x14ac:dyDescent="0.2">
      <c r="A1467" s="50"/>
      <c r="B1467" s="50"/>
      <c r="C1467" s="50"/>
      <c r="D1467" s="50"/>
      <c r="E1467" s="50"/>
      <c r="F1467" s="50"/>
      <c r="G1467" s="50"/>
      <c r="H1467" s="50"/>
      <c r="I1467" s="50"/>
      <c r="J1467" s="50"/>
      <c r="K1467" s="50"/>
      <c r="L1467" s="50"/>
      <c r="M1467" s="50"/>
      <c r="N1467" s="50"/>
      <c r="O1467" s="50"/>
      <c r="P1467" s="50"/>
      <c r="Q1467" s="50"/>
      <c r="R1467" s="50"/>
      <c r="S1467" s="50"/>
      <c r="T1467" s="50"/>
      <c r="U1467" s="50"/>
      <c r="V1467" s="50"/>
      <c r="W1467" s="50"/>
      <c r="X1467" s="50"/>
      <c r="Y1467" s="50"/>
      <c r="Z1467" s="50"/>
    </row>
    <row r="1468" spans="1:26" ht="12.75" x14ac:dyDescent="0.2">
      <c r="A1468" s="50"/>
      <c r="B1468" s="50"/>
      <c r="C1468" s="50"/>
      <c r="D1468" s="50"/>
      <c r="E1468" s="50"/>
      <c r="F1468" s="50"/>
      <c r="G1468" s="50"/>
      <c r="H1468" s="50"/>
      <c r="I1468" s="50"/>
      <c r="J1468" s="50"/>
      <c r="K1468" s="50"/>
      <c r="L1468" s="50"/>
      <c r="M1468" s="50"/>
      <c r="N1468" s="50"/>
      <c r="O1468" s="50"/>
      <c r="P1468" s="50"/>
      <c r="Q1468" s="50"/>
      <c r="R1468" s="50"/>
      <c r="S1468" s="50"/>
      <c r="T1468" s="50"/>
      <c r="U1468" s="50"/>
      <c r="V1468" s="50"/>
      <c r="W1468" s="50"/>
      <c r="X1468" s="50"/>
      <c r="Y1468" s="50"/>
      <c r="Z1468" s="50"/>
    </row>
    <row r="1469" spans="1:26" ht="12.75" x14ac:dyDescent="0.2">
      <c r="A1469" s="50"/>
      <c r="B1469" s="50"/>
      <c r="C1469" s="50"/>
      <c r="D1469" s="50"/>
      <c r="E1469" s="50"/>
      <c r="F1469" s="50"/>
      <c r="G1469" s="50"/>
      <c r="H1469" s="50"/>
      <c r="I1469" s="50"/>
      <c r="J1469" s="50"/>
      <c r="K1469" s="50"/>
      <c r="L1469" s="50"/>
      <c r="M1469" s="50"/>
      <c r="N1469" s="50"/>
      <c r="O1469" s="50"/>
      <c r="P1469" s="50"/>
      <c r="Q1469" s="50"/>
      <c r="R1469" s="50"/>
      <c r="S1469" s="50"/>
      <c r="T1469" s="50"/>
      <c r="U1469" s="50"/>
      <c r="V1469" s="50"/>
      <c r="W1469" s="50"/>
      <c r="X1469" s="50"/>
      <c r="Y1469" s="50"/>
      <c r="Z1469" s="50"/>
    </row>
    <row r="1470" spans="1:26" ht="12.75" x14ac:dyDescent="0.2">
      <c r="A1470" s="50"/>
      <c r="B1470" s="50"/>
      <c r="C1470" s="50"/>
      <c r="D1470" s="50"/>
      <c r="E1470" s="50"/>
      <c r="F1470" s="50"/>
      <c r="G1470" s="50"/>
      <c r="H1470" s="50"/>
      <c r="I1470" s="50"/>
      <c r="J1470" s="50"/>
      <c r="K1470" s="50"/>
      <c r="L1470" s="50"/>
      <c r="M1470" s="50"/>
      <c r="N1470" s="50"/>
      <c r="O1470" s="50"/>
      <c r="P1470" s="50"/>
      <c r="Q1470" s="50"/>
      <c r="R1470" s="50"/>
      <c r="S1470" s="50"/>
      <c r="T1470" s="50"/>
      <c r="U1470" s="50"/>
      <c r="V1470" s="50"/>
      <c r="W1470" s="50"/>
      <c r="X1470" s="50"/>
      <c r="Y1470" s="50"/>
      <c r="Z1470" s="50"/>
    </row>
    <row r="1471" spans="1:26" ht="12.75" x14ac:dyDescent="0.2">
      <c r="A1471" s="50"/>
      <c r="B1471" s="50"/>
      <c r="C1471" s="50"/>
      <c r="D1471" s="50"/>
      <c r="E1471" s="50"/>
      <c r="F1471" s="50"/>
      <c r="G1471" s="50"/>
      <c r="H1471" s="50"/>
      <c r="I1471" s="50"/>
      <c r="J1471" s="50"/>
      <c r="K1471" s="50"/>
      <c r="L1471" s="50"/>
      <c r="M1471" s="50"/>
      <c r="N1471" s="50"/>
      <c r="O1471" s="50"/>
      <c r="P1471" s="50"/>
      <c r="Q1471" s="50"/>
      <c r="R1471" s="50"/>
      <c r="S1471" s="50"/>
      <c r="T1471" s="50"/>
      <c r="U1471" s="50"/>
      <c r="V1471" s="50"/>
      <c r="W1471" s="50"/>
      <c r="X1471" s="50"/>
      <c r="Y1471" s="50"/>
      <c r="Z1471" s="50"/>
    </row>
    <row r="1472" spans="1:26" ht="12.75" x14ac:dyDescent="0.2">
      <c r="A1472" s="50"/>
      <c r="B1472" s="50"/>
      <c r="C1472" s="50"/>
      <c r="D1472" s="50"/>
      <c r="E1472" s="50"/>
      <c r="F1472" s="50"/>
      <c r="G1472" s="50"/>
      <c r="H1472" s="50"/>
      <c r="I1472" s="50"/>
      <c r="J1472" s="50"/>
      <c r="K1472" s="50"/>
      <c r="L1472" s="50"/>
      <c r="M1472" s="50"/>
      <c r="N1472" s="50"/>
      <c r="O1472" s="50"/>
      <c r="P1472" s="50"/>
      <c r="Q1472" s="50"/>
      <c r="R1472" s="50"/>
      <c r="S1472" s="50"/>
      <c r="T1472" s="50"/>
      <c r="U1472" s="50"/>
      <c r="V1472" s="50"/>
      <c r="W1472" s="50"/>
      <c r="X1472" s="50"/>
      <c r="Y1472" s="50"/>
      <c r="Z1472" s="50"/>
    </row>
    <row r="1473" spans="1:26" ht="12.75" x14ac:dyDescent="0.2">
      <c r="A1473" s="50"/>
      <c r="B1473" s="50"/>
      <c r="C1473" s="50"/>
      <c r="D1473" s="50"/>
      <c r="E1473" s="50"/>
      <c r="F1473" s="50"/>
      <c r="G1473" s="50"/>
      <c r="H1473" s="50"/>
      <c r="I1473" s="50"/>
      <c r="J1473" s="50"/>
      <c r="K1473" s="50"/>
      <c r="L1473" s="50"/>
      <c r="M1473" s="50"/>
      <c r="N1473" s="50"/>
      <c r="O1473" s="50"/>
      <c r="P1473" s="50"/>
      <c r="Q1473" s="50"/>
      <c r="R1473" s="50"/>
      <c r="S1473" s="50"/>
      <c r="T1473" s="50"/>
      <c r="U1473" s="50"/>
      <c r="V1473" s="50"/>
      <c r="W1473" s="50"/>
      <c r="X1473" s="50"/>
      <c r="Y1473" s="50"/>
      <c r="Z1473" s="50"/>
    </row>
    <row r="1474" spans="1:26" ht="12.75" x14ac:dyDescent="0.2">
      <c r="A1474" s="50"/>
      <c r="B1474" s="50"/>
      <c r="C1474" s="50"/>
      <c r="D1474" s="50"/>
      <c r="E1474" s="50"/>
      <c r="F1474" s="50"/>
      <c r="G1474" s="50"/>
      <c r="H1474" s="50"/>
      <c r="I1474" s="50"/>
      <c r="J1474" s="50"/>
      <c r="K1474" s="50"/>
      <c r="L1474" s="50"/>
      <c r="M1474" s="50"/>
      <c r="N1474" s="50"/>
      <c r="O1474" s="50"/>
      <c r="P1474" s="50"/>
      <c r="Q1474" s="50"/>
      <c r="R1474" s="50"/>
      <c r="S1474" s="50"/>
      <c r="T1474" s="50"/>
      <c r="U1474" s="50"/>
      <c r="V1474" s="50"/>
      <c r="W1474" s="50"/>
      <c r="X1474" s="50"/>
      <c r="Y1474" s="50"/>
      <c r="Z1474" s="50"/>
    </row>
    <row r="1475" spans="1:26" ht="12.75" x14ac:dyDescent="0.2">
      <c r="A1475" s="50"/>
      <c r="B1475" s="50"/>
      <c r="C1475" s="50"/>
      <c r="D1475" s="50"/>
      <c r="E1475" s="50"/>
      <c r="F1475" s="50"/>
      <c r="G1475" s="50"/>
      <c r="H1475" s="50"/>
      <c r="I1475" s="50"/>
      <c r="J1475" s="50"/>
      <c r="K1475" s="50"/>
      <c r="L1475" s="50"/>
      <c r="M1475" s="50"/>
      <c r="N1475" s="50"/>
      <c r="O1475" s="50"/>
      <c r="P1475" s="50"/>
      <c r="Q1475" s="50"/>
      <c r="R1475" s="50"/>
      <c r="S1475" s="50"/>
      <c r="T1475" s="50"/>
      <c r="U1475" s="50"/>
      <c r="V1475" s="50"/>
      <c r="W1475" s="50"/>
      <c r="X1475" s="50"/>
      <c r="Y1475" s="50"/>
      <c r="Z1475" s="50"/>
    </row>
    <row r="1476" spans="1:26" ht="12.75" x14ac:dyDescent="0.2">
      <c r="A1476" s="50"/>
      <c r="B1476" s="50"/>
      <c r="C1476" s="50"/>
      <c r="D1476" s="50"/>
      <c r="E1476" s="50"/>
      <c r="F1476" s="50"/>
      <c r="G1476" s="50"/>
      <c r="H1476" s="50"/>
      <c r="I1476" s="50"/>
      <c r="J1476" s="50"/>
      <c r="K1476" s="50"/>
      <c r="L1476" s="50"/>
      <c r="M1476" s="50"/>
      <c r="N1476" s="50"/>
      <c r="O1476" s="50"/>
      <c r="P1476" s="50"/>
      <c r="Q1476" s="50"/>
      <c r="R1476" s="50"/>
      <c r="S1476" s="50"/>
      <c r="T1476" s="50"/>
      <c r="U1476" s="50"/>
      <c r="V1476" s="50"/>
      <c r="W1476" s="50"/>
      <c r="X1476" s="50"/>
      <c r="Y1476" s="50"/>
      <c r="Z1476" s="50"/>
    </row>
    <row r="1477" spans="1:26" ht="12.75" x14ac:dyDescent="0.2">
      <c r="A1477" s="50"/>
      <c r="B1477" s="50"/>
      <c r="C1477" s="50"/>
      <c r="D1477" s="50"/>
      <c r="E1477" s="50"/>
      <c r="F1477" s="50"/>
      <c r="G1477" s="50"/>
      <c r="H1477" s="50"/>
      <c r="I1477" s="50"/>
      <c r="J1477" s="50"/>
      <c r="K1477" s="50"/>
      <c r="L1477" s="50"/>
      <c r="M1477" s="50"/>
      <c r="N1477" s="50"/>
      <c r="O1477" s="50"/>
      <c r="P1477" s="50"/>
      <c r="Q1477" s="50"/>
      <c r="R1477" s="50"/>
      <c r="S1477" s="50"/>
      <c r="T1477" s="50"/>
      <c r="U1477" s="50"/>
      <c r="V1477" s="50"/>
      <c r="W1477" s="50"/>
      <c r="X1477" s="50"/>
      <c r="Y1477" s="50"/>
      <c r="Z1477" s="50"/>
    </row>
    <row r="1478" spans="1:26" ht="12.75" x14ac:dyDescent="0.2">
      <c r="A1478" s="50"/>
      <c r="B1478" s="50"/>
      <c r="C1478" s="50"/>
      <c r="D1478" s="50"/>
      <c r="E1478" s="50"/>
      <c r="F1478" s="50"/>
      <c r="G1478" s="50"/>
      <c r="H1478" s="50"/>
      <c r="I1478" s="50"/>
      <c r="J1478" s="50"/>
      <c r="K1478" s="50"/>
      <c r="L1478" s="50"/>
      <c r="M1478" s="50"/>
      <c r="N1478" s="50"/>
      <c r="O1478" s="50"/>
      <c r="P1478" s="50"/>
      <c r="Q1478" s="50"/>
      <c r="R1478" s="50"/>
      <c r="S1478" s="50"/>
      <c r="T1478" s="50"/>
      <c r="U1478" s="50"/>
      <c r="V1478" s="50"/>
      <c r="W1478" s="50"/>
      <c r="X1478" s="50"/>
      <c r="Y1478" s="50"/>
      <c r="Z1478" s="50"/>
    </row>
    <row r="1479" spans="1:26" ht="12.75" x14ac:dyDescent="0.2">
      <c r="A1479" s="50"/>
      <c r="B1479" s="50"/>
      <c r="C1479" s="50"/>
      <c r="D1479" s="50"/>
      <c r="E1479" s="50"/>
      <c r="F1479" s="50"/>
      <c r="G1479" s="50"/>
      <c r="H1479" s="50"/>
      <c r="I1479" s="50"/>
      <c r="J1479" s="50"/>
      <c r="K1479" s="50"/>
      <c r="L1479" s="50"/>
      <c r="M1479" s="50"/>
      <c r="N1479" s="50"/>
      <c r="O1479" s="50"/>
      <c r="P1479" s="50"/>
      <c r="Q1479" s="50"/>
      <c r="R1479" s="50"/>
      <c r="S1479" s="50"/>
      <c r="T1479" s="50"/>
      <c r="U1479" s="50"/>
      <c r="V1479" s="50"/>
      <c r="W1479" s="50"/>
      <c r="X1479" s="50"/>
      <c r="Y1479" s="50"/>
      <c r="Z1479" s="50"/>
    </row>
    <row r="1480" spans="1:26" ht="12.75" x14ac:dyDescent="0.2">
      <c r="A1480" s="50"/>
      <c r="B1480" s="50"/>
      <c r="C1480" s="50"/>
      <c r="D1480" s="50"/>
      <c r="E1480" s="50"/>
      <c r="F1480" s="50"/>
      <c r="G1480" s="50"/>
      <c r="H1480" s="50"/>
      <c r="I1480" s="50"/>
      <c r="J1480" s="50"/>
      <c r="K1480" s="50"/>
      <c r="L1480" s="50"/>
      <c r="M1480" s="50"/>
      <c r="N1480" s="50"/>
      <c r="O1480" s="50"/>
      <c r="P1480" s="50"/>
      <c r="Q1480" s="50"/>
      <c r="R1480" s="50"/>
      <c r="S1480" s="50"/>
      <c r="T1480" s="50"/>
      <c r="U1480" s="50"/>
      <c r="V1480" s="50"/>
      <c r="W1480" s="50"/>
      <c r="X1480" s="50"/>
      <c r="Y1480" s="50"/>
      <c r="Z1480" s="50"/>
    </row>
    <row r="1481" spans="1:26" ht="12.75" x14ac:dyDescent="0.2">
      <c r="A1481" s="50"/>
      <c r="B1481" s="50"/>
      <c r="C1481" s="50"/>
      <c r="D1481" s="50"/>
      <c r="E1481" s="50"/>
      <c r="F1481" s="50"/>
      <c r="G1481" s="50"/>
      <c r="H1481" s="50"/>
      <c r="I1481" s="50"/>
      <c r="J1481" s="50"/>
      <c r="K1481" s="50"/>
      <c r="L1481" s="50"/>
      <c r="M1481" s="50"/>
      <c r="N1481" s="50"/>
      <c r="O1481" s="50"/>
      <c r="P1481" s="50"/>
      <c r="Q1481" s="50"/>
      <c r="R1481" s="50"/>
      <c r="S1481" s="50"/>
      <c r="T1481" s="50"/>
      <c r="U1481" s="50"/>
      <c r="V1481" s="50"/>
      <c r="W1481" s="50"/>
      <c r="X1481" s="50"/>
      <c r="Y1481" s="50"/>
      <c r="Z1481" s="50"/>
    </row>
    <row r="1482" spans="1:26" ht="12.75" x14ac:dyDescent="0.2">
      <c r="A1482" s="50"/>
      <c r="B1482" s="50"/>
      <c r="C1482" s="50"/>
      <c r="D1482" s="50"/>
      <c r="E1482" s="50"/>
      <c r="F1482" s="50"/>
      <c r="G1482" s="50"/>
      <c r="H1482" s="50"/>
      <c r="I1482" s="50"/>
      <c r="J1482" s="50"/>
      <c r="K1482" s="50"/>
      <c r="L1482" s="50"/>
      <c r="M1482" s="50"/>
      <c r="N1482" s="50"/>
      <c r="O1482" s="50"/>
      <c r="P1482" s="50"/>
      <c r="Q1482" s="50"/>
      <c r="R1482" s="50"/>
      <c r="S1482" s="50"/>
      <c r="T1482" s="50"/>
      <c r="U1482" s="50"/>
      <c r="V1482" s="50"/>
      <c r="W1482" s="50"/>
      <c r="X1482" s="50"/>
      <c r="Y1482" s="50"/>
      <c r="Z1482" s="50"/>
    </row>
    <row r="1483" spans="1:26" ht="12.75" x14ac:dyDescent="0.2">
      <c r="A1483" s="50"/>
      <c r="B1483" s="50"/>
      <c r="C1483" s="50"/>
      <c r="D1483" s="50"/>
      <c r="E1483" s="50"/>
      <c r="F1483" s="50"/>
      <c r="G1483" s="50"/>
      <c r="H1483" s="50"/>
      <c r="I1483" s="50"/>
      <c r="J1483" s="50"/>
      <c r="K1483" s="50"/>
      <c r="L1483" s="50"/>
      <c r="M1483" s="50"/>
      <c r="N1483" s="50"/>
      <c r="O1483" s="50"/>
      <c r="P1483" s="50"/>
      <c r="Q1483" s="50"/>
      <c r="R1483" s="50"/>
      <c r="S1483" s="50"/>
      <c r="T1483" s="50"/>
      <c r="U1483" s="50"/>
      <c r="V1483" s="50"/>
      <c r="W1483" s="50"/>
      <c r="X1483" s="50"/>
      <c r="Y1483" s="50"/>
      <c r="Z1483" s="50"/>
    </row>
    <row r="1484" spans="1:26" ht="12.75" x14ac:dyDescent="0.2">
      <c r="A1484" s="50"/>
      <c r="B1484" s="50"/>
      <c r="C1484" s="50"/>
      <c r="D1484" s="50"/>
      <c r="E1484" s="50"/>
      <c r="F1484" s="50"/>
      <c r="G1484" s="50"/>
      <c r="H1484" s="50"/>
      <c r="I1484" s="50"/>
      <c r="J1484" s="50"/>
      <c r="K1484" s="50"/>
      <c r="L1484" s="50"/>
      <c r="M1484" s="50"/>
      <c r="N1484" s="50"/>
      <c r="O1484" s="50"/>
      <c r="P1484" s="50"/>
      <c r="Q1484" s="50"/>
      <c r="R1484" s="50"/>
      <c r="S1484" s="50"/>
      <c r="T1484" s="50"/>
      <c r="U1484" s="50"/>
      <c r="V1484" s="50"/>
      <c r="W1484" s="50"/>
      <c r="X1484" s="50"/>
      <c r="Y1484" s="50"/>
      <c r="Z1484" s="50"/>
    </row>
    <row r="1485" spans="1:26" ht="12.75" x14ac:dyDescent="0.2">
      <c r="A1485" s="50"/>
      <c r="B1485" s="50"/>
      <c r="C1485" s="50"/>
      <c r="D1485" s="50"/>
      <c r="E1485" s="50"/>
      <c r="F1485" s="50"/>
      <c r="G1485" s="50"/>
      <c r="H1485" s="50"/>
      <c r="I1485" s="50"/>
      <c r="J1485" s="50"/>
      <c r="K1485" s="50"/>
      <c r="L1485" s="50"/>
      <c r="M1485" s="50"/>
      <c r="N1485" s="50"/>
      <c r="O1485" s="50"/>
      <c r="P1485" s="50"/>
      <c r="Q1485" s="50"/>
      <c r="R1485" s="50"/>
      <c r="S1485" s="50"/>
      <c r="T1485" s="50"/>
      <c r="U1485" s="50"/>
      <c r="V1485" s="50"/>
      <c r="W1485" s="50"/>
      <c r="X1485" s="50"/>
      <c r="Y1485" s="50"/>
      <c r="Z1485" s="50"/>
    </row>
    <row r="1486" spans="1:26" ht="12.75" x14ac:dyDescent="0.2">
      <c r="A1486" s="50"/>
      <c r="B1486" s="50"/>
      <c r="C1486" s="50"/>
      <c r="D1486" s="50"/>
      <c r="E1486" s="50"/>
      <c r="F1486" s="50"/>
      <c r="G1486" s="50"/>
      <c r="H1486" s="50"/>
      <c r="I1486" s="50"/>
      <c r="J1486" s="50"/>
      <c r="K1486" s="50"/>
      <c r="L1486" s="50"/>
      <c r="M1486" s="50"/>
      <c r="N1486" s="50"/>
      <c r="O1486" s="50"/>
      <c r="P1486" s="50"/>
      <c r="Q1486" s="50"/>
      <c r="R1486" s="50"/>
      <c r="S1486" s="50"/>
      <c r="T1486" s="50"/>
      <c r="U1486" s="50"/>
      <c r="V1486" s="50"/>
      <c r="W1486" s="50"/>
      <c r="X1486" s="50"/>
      <c r="Y1486" s="50"/>
      <c r="Z1486" s="50"/>
    </row>
    <row r="1487" spans="1:26" ht="12.75" x14ac:dyDescent="0.2">
      <c r="A1487" s="50"/>
      <c r="B1487" s="50"/>
      <c r="C1487" s="50"/>
      <c r="D1487" s="50"/>
      <c r="E1487" s="50"/>
      <c r="F1487" s="50"/>
      <c r="G1487" s="50"/>
      <c r="H1487" s="50"/>
      <c r="I1487" s="50"/>
      <c r="J1487" s="50"/>
      <c r="K1487" s="50"/>
      <c r="L1487" s="50"/>
      <c r="M1487" s="50"/>
      <c r="N1487" s="50"/>
      <c r="O1487" s="50"/>
      <c r="P1487" s="50"/>
      <c r="Q1487" s="50"/>
      <c r="R1487" s="50"/>
      <c r="S1487" s="50"/>
      <c r="T1487" s="50"/>
      <c r="U1487" s="50"/>
      <c r="V1487" s="50"/>
      <c r="W1487" s="50"/>
      <c r="X1487" s="50"/>
      <c r="Y1487" s="50"/>
      <c r="Z1487" s="50"/>
    </row>
    <row r="1488" spans="1:26" ht="12.75" x14ac:dyDescent="0.2">
      <c r="A1488" s="50"/>
      <c r="B1488" s="50"/>
      <c r="C1488" s="50"/>
      <c r="D1488" s="50"/>
      <c r="E1488" s="50"/>
      <c r="F1488" s="50"/>
      <c r="G1488" s="50"/>
      <c r="H1488" s="50"/>
      <c r="I1488" s="50"/>
      <c r="J1488" s="50"/>
      <c r="K1488" s="50"/>
      <c r="L1488" s="50"/>
      <c r="M1488" s="50"/>
      <c r="N1488" s="50"/>
      <c r="O1488" s="50"/>
      <c r="P1488" s="50"/>
      <c r="Q1488" s="50"/>
      <c r="R1488" s="50"/>
      <c r="S1488" s="50"/>
      <c r="T1488" s="50"/>
      <c r="U1488" s="50"/>
      <c r="V1488" s="50"/>
      <c r="W1488" s="50"/>
      <c r="X1488" s="50"/>
      <c r="Y1488" s="50"/>
      <c r="Z1488" s="50"/>
    </row>
    <row r="1489" spans="1:26" ht="12.75" x14ac:dyDescent="0.2">
      <c r="A1489" s="50"/>
      <c r="B1489" s="50"/>
      <c r="C1489" s="50"/>
      <c r="D1489" s="50"/>
      <c r="E1489" s="50"/>
      <c r="F1489" s="50"/>
      <c r="G1489" s="50"/>
      <c r="H1489" s="50"/>
      <c r="I1489" s="50"/>
      <c r="J1489" s="50"/>
      <c r="K1489" s="50"/>
      <c r="L1489" s="50"/>
      <c r="M1489" s="50"/>
      <c r="N1489" s="50"/>
      <c r="O1489" s="50"/>
      <c r="P1489" s="50"/>
      <c r="Q1489" s="50"/>
      <c r="R1489" s="50"/>
      <c r="S1489" s="50"/>
      <c r="T1489" s="50"/>
      <c r="U1489" s="50"/>
      <c r="V1489" s="50"/>
      <c r="W1489" s="50"/>
      <c r="X1489" s="50"/>
      <c r="Y1489" s="50"/>
      <c r="Z1489" s="50"/>
    </row>
    <row r="1490" spans="1:26" ht="12.75" x14ac:dyDescent="0.2">
      <c r="A1490" s="50"/>
      <c r="B1490" s="50"/>
      <c r="C1490" s="50"/>
      <c r="D1490" s="50"/>
      <c r="E1490" s="50"/>
      <c r="F1490" s="50"/>
      <c r="G1490" s="50"/>
      <c r="H1490" s="50"/>
      <c r="I1490" s="50"/>
      <c r="J1490" s="50"/>
      <c r="K1490" s="50"/>
      <c r="L1490" s="50"/>
      <c r="M1490" s="50"/>
      <c r="N1490" s="50"/>
      <c r="O1490" s="50"/>
      <c r="P1490" s="50"/>
      <c r="Q1490" s="50"/>
      <c r="R1490" s="50"/>
      <c r="S1490" s="50"/>
      <c r="T1490" s="50"/>
      <c r="U1490" s="50"/>
      <c r="V1490" s="50"/>
      <c r="W1490" s="50"/>
      <c r="X1490" s="50"/>
      <c r="Y1490" s="50"/>
      <c r="Z1490" s="50"/>
    </row>
    <row r="1491" spans="1:26" ht="12.75" x14ac:dyDescent="0.2">
      <c r="A1491" s="50"/>
      <c r="B1491" s="50"/>
      <c r="C1491" s="50"/>
      <c r="D1491" s="50"/>
      <c r="E1491" s="50"/>
      <c r="F1491" s="50"/>
      <c r="G1491" s="50"/>
      <c r="H1491" s="50"/>
      <c r="I1491" s="50"/>
      <c r="J1491" s="50"/>
      <c r="K1491" s="50"/>
      <c r="L1491" s="50"/>
      <c r="M1491" s="50"/>
      <c r="N1491" s="50"/>
      <c r="O1491" s="50"/>
      <c r="P1491" s="50"/>
      <c r="Q1491" s="50"/>
      <c r="R1491" s="50"/>
      <c r="S1491" s="50"/>
      <c r="T1491" s="50"/>
      <c r="U1491" s="50"/>
      <c r="V1491" s="50"/>
      <c r="W1491" s="50"/>
      <c r="X1491" s="50"/>
      <c r="Y1491" s="50"/>
      <c r="Z1491" s="50"/>
    </row>
    <row r="1492" spans="1:26" ht="12.75" x14ac:dyDescent="0.2">
      <c r="A1492" s="50"/>
      <c r="B1492" s="50"/>
      <c r="C1492" s="50"/>
      <c r="D1492" s="50"/>
      <c r="E1492" s="50"/>
      <c r="F1492" s="50"/>
      <c r="G1492" s="50"/>
      <c r="H1492" s="50"/>
      <c r="I1492" s="50"/>
      <c r="J1492" s="50"/>
      <c r="K1492" s="50"/>
      <c r="L1492" s="50"/>
      <c r="M1492" s="50"/>
      <c r="N1492" s="50"/>
      <c r="O1492" s="50"/>
      <c r="P1492" s="50"/>
      <c r="Q1492" s="50"/>
      <c r="R1492" s="50"/>
      <c r="S1492" s="50"/>
      <c r="T1492" s="50"/>
      <c r="U1492" s="50"/>
      <c r="V1492" s="50"/>
      <c r="W1492" s="50"/>
      <c r="X1492" s="50"/>
      <c r="Y1492" s="50"/>
      <c r="Z1492" s="50"/>
    </row>
    <row r="1493" spans="1:26" ht="12.75" x14ac:dyDescent="0.2">
      <c r="A1493" s="50"/>
      <c r="B1493" s="50"/>
      <c r="C1493" s="50"/>
      <c r="D1493" s="50"/>
      <c r="E1493" s="50"/>
      <c r="F1493" s="50"/>
      <c r="G1493" s="50"/>
      <c r="H1493" s="50"/>
      <c r="I1493" s="50"/>
      <c r="J1493" s="50"/>
      <c r="K1493" s="50"/>
      <c r="L1493" s="50"/>
      <c r="M1493" s="50"/>
      <c r="N1493" s="50"/>
      <c r="O1493" s="50"/>
      <c r="P1493" s="50"/>
      <c r="Q1493" s="50"/>
      <c r="R1493" s="50"/>
      <c r="S1493" s="50"/>
      <c r="T1493" s="50"/>
      <c r="U1493" s="50"/>
      <c r="V1493" s="50"/>
      <c r="W1493" s="50"/>
      <c r="X1493" s="50"/>
      <c r="Y1493" s="50"/>
      <c r="Z1493" s="50"/>
    </row>
    <row r="1494" spans="1:26" ht="12.75" x14ac:dyDescent="0.2">
      <c r="A1494" s="50"/>
      <c r="B1494" s="50"/>
      <c r="C1494" s="50"/>
      <c r="D1494" s="50"/>
      <c r="E1494" s="50"/>
      <c r="F1494" s="50"/>
      <c r="G1494" s="50"/>
      <c r="H1494" s="50"/>
      <c r="I1494" s="50"/>
      <c r="J1494" s="50"/>
      <c r="K1494" s="50"/>
      <c r="L1494" s="50"/>
      <c r="M1494" s="50"/>
      <c r="N1494" s="50"/>
      <c r="O1494" s="50"/>
      <c r="P1494" s="50"/>
      <c r="Q1494" s="50"/>
      <c r="R1494" s="50"/>
      <c r="S1494" s="50"/>
      <c r="T1494" s="50"/>
      <c r="U1494" s="50"/>
      <c r="V1494" s="50"/>
      <c r="W1494" s="50"/>
      <c r="X1494" s="50"/>
      <c r="Y1494" s="50"/>
      <c r="Z1494" s="50"/>
    </row>
    <row r="1495" spans="1:26" ht="12.75" x14ac:dyDescent="0.2">
      <c r="A1495" s="50"/>
      <c r="B1495" s="50"/>
      <c r="C1495" s="50"/>
      <c r="D1495" s="50"/>
      <c r="E1495" s="50"/>
      <c r="F1495" s="50"/>
      <c r="G1495" s="50"/>
      <c r="H1495" s="50"/>
      <c r="I1495" s="50"/>
      <c r="J1495" s="50"/>
      <c r="K1495" s="50"/>
      <c r="L1495" s="50"/>
      <c r="M1495" s="50"/>
      <c r="N1495" s="50"/>
      <c r="O1495" s="50"/>
      <c r="P1495" s="50"/>
      <c r="Q1495" s="50"/>
      <c r="R1495" s="50"/>
      <c r="S1495" s="50"/>
      <c r="T1495" s="50"/>
      <c r="U1495" s="50"/>
      <c r="V1495" s="50"/>
      <c r="W1495" s="50"/>
      <c r="X1495" s="50"/>
      <c r="Y1495" s="50"/>
      <c r="Z1495" s="50"/>
    </row>
    <row r="1496" spans="1:26" ht="12.75" x14ac:dyDescent="0.2">
      <c r="A1496" s="50"/>
      <c r="B1496" s="50"/>
      <c r="C1496" s="50"/>
      <c r="D1496" s="50"/>
      <c r="E1496" s="50"/>
      <c r="F1496" s="50"/>
      <c r="G1496" s="50"/>
      <c r="H1496" s="50"/>
      <c r="I1496" s="50"/>
      <c r="J1496" s="50"/>
      <c r="K1496" s="50"/>
      <c r="L1496" s="50"/>
      <c r="M1496" s="50"/>
      <c r="N1496" s="50"/>
      <c r="O1496" s="50"/>
      <c r="P1496" s="50"/>
      <c r="Q1496" s="50"/>
      <c r="R1496" s="50"/>
      <c r="S1496" s="50"/>
      <c r="T1496" s="50"/>
      <c r="U1496" s="50"/>
      <c r="V1496" s="50"/>
      <c r="W1496" s="50"/>
      <c r="X1496" s="50"/>
      <c r="Y1496" s="50"/>
      <c r="Z1496" s="50"/>
    </row>
    <row r="1497" spans="1:26" ht="12.75" x14ac:dyDescent="0.2">
      <c r="A1497" s="50"/>
      <c r="B1497" s="50"/>
      <c r="C1497" s="50"/>
      <c r="D1497" s="50"/>
      <c r="E1497" s="50"/>
      <c r="F1497" s="50"/>
      <c r="G1497" s="50"/>
      <c r="H1497" s="50"/>
      <c r="I1497" s="50"/>
      <c r="J1497" s="50"/>
      <c r="K1497" s="50"/>
      <c r="L1497" s="50"/>
      <c r="M1497" s="50"/>
      <c r="N1497" s="50"/>
      <c r="O1497" s="50"/>
      <c r="P1497" s="50"/>
      <c r="Q1497" s="50"/>
      <c r="R1497" s="50"/>
      <c r="S1497" s="50"/>
      <c r="T1497" s="50"/>
      <c r="U1497" s="50"/>
      <c r="V1497" s="50"/>
      <c r="W1497" s="50"/>
      <c r="X1497" s="50"/>
      <c r="Y1497" s="50"/>
      <c r="Z1497" s="50"/>
    </row>
    <row r="1498" spans="1:26" ht="12.75" x14ac:dyDescent="0.2">
      <c r="A1498" s="50"/>
      <c r="B1498" s="50"/>
      <c r="C1498" s="50"/>
      <c r="D1498" s="50"/>
      <c r="E1498" s="50"/>
      <c r="F1498" s="50"/>
      <c r="G1498" s="50"/>
      <c r="H1498" s="50"/>
      <c r="I1498" s="50"/>
      <c r="J1498" s="50"/>
      <c r="K1498" s="50"/>
      <c r="L1498" s="50"/>
      <c r="M1498" s="50"/>
      <c r="N1498" s="50"/>
      <c r="O1498" s="50"/>
      <c r="P1498" s="50"/>
      <c r="Q1498" s="50"/>
      <c r="R1498" s="50"/>
      <c r="S1498" s="50"/>
      <c r="T1498" s="50"/>
      <c r="U1498" s="50"/>
      <c r="V1498" s="50"/>
      <c r="W1498" s="50"/>
      <c r="X1498" s="50"/>
      <c r="Y1498" s="50"/>
      <c r="Z1498" s="50"/>
    </row>
    <row r="1499" spans="1:26" ht="12.75" x14ac:dyDescent="0.2">
      <c r="A1499" s="50"/>
      <c r="B1499" s="50"/>
      <c r="C1499" s="50"/>
      <c r="D1499" s="50"/>
      <c r="E1499" s="50"/>
      <c r="F1499" s="50"/>
      <c r="G1499" s="50"/>
      <c r="H1499" s="50"/>
      <c r="I1499" s="50"/>
      <c r="J1499" s="50"/>
      <c r="K1499" s="50"/>
      <c r="L1499" s="50"/>
      <c r="M1499" s="50"/>
      <c r="N1499" s="50"/>
      <c r="O1499" s="50"/>
      <c r="P1499" s="50"/>
      <c r="Q1499" s="50"/>
      <c r="R1499" s="50"/>
      <c r="S1499" s="50"/>
      <c r="T1499" s="50"/>
      <c r="U1499" s="50"/>
      <c r="V1499" s="50"/>
      <c r="W1499" s="50"/>
      <c r="X1499" s="50"/>
      <c r="Y1499" s="50"/>
      <c r="Z1499" s="50"/>
    </row>
    <row r="1500" spans="1:26" ht="12.75" x14ac:dyDescent="0.2">
      <c r="A1500" s="50"/>
      <c r="B1500" s="50"/>
      <c r="C1500" s="50"/>
      <c r="D1500" s="50"/>
      <c r="E1500" s="50"/>
      <c r="F1500" s="50"/>
      <c r="G1500" s="50"/>
      <c r="H1500" s="50"/>
      <c r="I1500" s="50"/>
      <c r="J1500" s="50"/>
      <c r="K1500" s="50"/>
      <c r="L1500" s="50"/>
      <c r="M1500" s="50"/>
      <c r="N1500" s="50"/>
      <c r="O1500" s="50"/>
      <c r="P1500" s="50"/>
      <c r="Q1500" s="50"/>
      <c r="R1500" s="50"/>
      <c r="S1500" s="50"/>
      <c r="T1500" s="50"/>
      <c r="U1500" s="50"/>
      <c r="V1500" s="50"/>
      <c r="W1500" s="50"/>
      <c r="X1500" s="50"/>
      <c r="Y1500" s="50"/>
      <c r="Z1500" s="50"/>
    </row>
    <row r="1501" spans="1:26" ht="12.75" x14ac:dyDescent="0.2">
      <c r="A1501" s="50"/>
      <c r="B1501" s="50"/>
      <c r="C1501" s="50"/>
      <c r="D1501" s="50"/>
      <c r="E1501" s="50"/>
      <c r="F1501" s="50"/>
      <c r="G1501" s="50"/>
      <c r="H1501" s="50"/>
      <c r="I1501" s="50"/>
      <c r="J1501" s="50"/>
      <c r="K1501" s="50"/>
      <c r="L1501" s="50"/>
      <c r="M1501" s="50"/>
      <c r="N1501" s="50"/>
      <c r="O1501" s="50"/>
      <c r="P1501" s="50"/>
      <c r="Q1501" s="50"/>
      <c r="R1501" s="50"/>
      <c r="S1501" s="50"/>
      <c r="T1501" s="50"/>
      <c r="U1501" s="50"/>
      <c r="V1501" s="50"/>
      <c r="W1501" s="50"/>
      <c r="X1501" s="50"/>
      <c r="Y1501" s="50"/>
      <c r="Z1501" s="50"/>
    </row>
    <row r="1502" spans="1:26" ht="12.75" x14ac:dyDescent="0.2">
      <c r="A1502" s="50"/>
      <c r="B1502" s="50"/>
      <c r="C1502" s="50"/>
      <c r="D1502" s="50"/>
      <c r="E1502" s="50"/>
      <c r="F1502" s="50"/>
      <c r="G1502" s="50"/>
      <c r="H1502" s="50"/>
      <c r="I1502" s="50"/>
      <c r="J1502" s="50"/>
      <c r="K1502" s="50"/>
      <c r="L1502" s="50"/>
      <c r="M1502" s="50"/>
      <c r="N1502" s="50"/>
      <c r="O1502" s="50"/>
      <c r="P1502" s="50"/>
      <c r="Q1502" s="50"/>
      <c r="R1502" s="50"/>
      <c r="S1502" s="50"/>
      <c r="T1502" s="50"/>
      <c r="U1502" s="50"/>
      <c r="V1502" s="50"/>
      <c r="W1502" s="50"/>
      <c r="X1502" s="50"/>
      <c r="Y1502" s="50"/>
      <c r="Z1502" s="50"/>
    </row>
    <row r="1503" spans="1:26" ht="12.75" x14ac:dyDescent="0.2">
      <c r="A1503" s="50"/>
      <c r="B1503" s="50"/>
      <c r="C1503" s="50"/>
      <c r="D1503" s="50"/>
      <c r="E1503" s="50"/>
      <c r="F1503" s="50"/>
      <c r="G1503" s="50"/>
      <c r="H1503" s="50"/>
      <c r="I1503" s="50"/>
      <c r="J1503" s="50"/>
      <c r="K1503" s="50"/>
      <c r="L1503" s="50"/>
      <c r="M1503" s="50"/>
      <c r="N1503" s="50"/>
      <c r="O1503" s="50"/>
      <c r="P1503" s="50"/>
      <c r="Q1503" s="50"/>
      <c r="R1503" s="50"/>
      <c r="S1503" s="50"/>
      <c r="T1503" s="50"/>
      <c r="U1503" s="50"/>
      <c r="V1503" s="50"/>
      <c r="W1503" s="50"/>
      <c r="X1503" s="50"/>
      <c r="Y1503" s="50"/>
      <c r="Z1503" s="50"/>
    </row>
    <row r="1504" spans="1:26" ht="12.75" x14ac:dyDescent="0.2">
      <c r="A1504" s="50"/>
      <c r="B1504" s="50"/>
      <c r="C1504" s="50"/>
      <c r="D1504" s="50"/>
      <c r="E1504" s="50"/>
      <c r="F1504" s="50"/>
      <c r="G1504" s="50"/>
      <c r="H1504" s="50"/>
      <c r="I1504" s="50"/>
      <c r="J1504" s="50"/>
      <c r="K1504" s="50"/>
      <c r="L1504" s="50"/>
      <c r="M1504" s="50"/>
      <c r="N1504" s="50"/>
      <c r="O1504" s="50"/>
      <c r="P1504" s="50"/>
      <c r="Q1504" s="50"/>
      <c r="R1504" s="50"/>
      <c r="S1504" s="50"/>
      <c r="T1504" s="50"/>
      <c r="U1504" s="50"/>
      <c r="V1504" s="50"/>
      <c r="W1504" s="50"/>
      <c r="X1504" s="50"/>
      <c r="Y1504" s="50"/>
      <c r="Z1504" s="50"/>
    </row>
    <row r="1505" spans="1:26" ht="12.75" x14ac:dyDescent="0.2">
      <c r="A1505" s="50"/>
      <c r="B1505" s="50"/>
      <c r="C1505" s="50"/>
      <c r="D1505" s="50"/>
      <c r="E1505" s="50"/>
      <c r="F1505" s="50"/>
      <c r="G1505" s="50"/>
      <c r="H1505" s="50"/>
      <c r="I1505" s="50"/>
      <c r="J1505" s="50"/>
      <c r="K1505" s="50"/>
      <c r="L1505" s="50"/>
      <c r="M1505" s="50"/>
      <c r="N1505" s="50"/>
      <c r="O1505" s="50"/>
      <c r="P1505" s="50"/>
      <c r="Q1505" s="50"/>
      <c r="R1505" s="50"/>
      <c r="S1505" s="50"/>
      <c r="T1505" s="50"/>
      <c r="U1505" s="50"/>
      <c r="V1505" s="50"/>
      <c r="W1505" s="50"/>
      <c r="X1505" s="50"/>
      <c r="Y1505" s="50"/>
      <c r="Z1505" s="50"/>
    </row>
    <row r="1506" spans="1:26" ht="12.75" x14ac:dyDescent="0.2">
      <c r="A1506" s="50"/>
      <c r="B1506" s="50"/>
      <c r="C1506" s="50"/>
      <c r="D1506" s="50"/>
      <c r="E1506" s="50"/>
      <c r="F1506" s="50"/>
      <c r="G1506" s="50"/>
      <c r="H1506" s="50"/>
      <c r="I1506" s="50"/>
      <c r="J1506" s="50"/>
      <c r="K1506" s="50"/>
      <c r="L1506" s="50"/>
      <c r="M1506" s="50"/>
      <c r="N1506" s="50"/>
      <c r="O1506" s="50"/>
      <c r="P1506" s="50"/>
      <c r="Q1506" s="50"/>
      <c r="R1506" s="50"/>
      <c r="S1506" s="50"/>
      <c r="T1506" s="50"/>
      <c r="U1506" s="50"/>
      <c r="V1506" s="50"/>
      <c r="W1506" s="50"/>
      <c r="X1506" s="50"/>
      <c r="Y1506" s="50"/>
      <c r="Z1506" s="50"/>
    </row>
    <row r="1507" spans="1:26" ht="12.75" x14ac:dyDescent="0.2">
      <c r="A1507" s="50"/>
      <c r="B1507" s="50"/>
      <c r="C1507" s="50"/>
      <c r="D1507" s="50"/>
      <c r="E1507" s="50"/>
      <c r="F1507" s="50"/>
      <c r="G1507" s="50"/>
      <c r="H1507" s="50"/>
      <c r="I1507" s="50"/>
      <c r="J1507" s="50"/>
      <c r="K1507" s="50"/>
      <c r="L1507" s="50"/>
      <c r="M1507" s="50"/>
      <c r="N1507" s="50"/>
      <c r="O1507" s="50"/>
      <c r="P1507" s="50"/>
      <c r="Q1507" s="50"/>
      <c r="R1507" s="50"/>
      <c r="S1507" s="50"/>
      <c r="T1507" s="50"/>
      <c r="U1507" s="50"/>
      <c r="V1507" s="50"/>
      <c r="W1507" s="50"/>
      <c r="X1507" s="50"/>
      <c r="Y1507" s="50"/>
      <c r="Z1507" s="50"/>
    </row>
    <row r="1508" spans="1:26" ht="12.75" x14ac:dyDescent="0.2">
      <c r="A1508" s="50"/>
      <c r="B1508" s="50"/>
      <c r="C1508" s="50"/>
      <c r="D1508" s="50"/>
      <c r="E1508" s="50"/>
      <c r="F1508" s="50"/>
      <c r="G1508" s="50"/>
      <c r="H1508" s="50"/>
      <c r="I1508" s="50"/>
      <c r="J1508" s="50"/>
      <c r="K1508" s="50"/>
      <c r="L1508" s="50"/>
      <c r="M1508" s="50"/>
      <c r="N1508" s="50"/>
      <c r="O1508" s="50"/>
      <c r="P1508" s="50"/>
      <c r="Q1508" s="50"/>
      <c r="R1508" s="50"/>
      <c r="S1508" s="50"/>
      <c r="T1508" s="50"/>
      <c r="U1508" s="50"/>
      <c r="V1508" s="50"/>
      <c r="W1508" s="50"/>
      <c r="X1508" s="50"/>
      <c r="Y1508" s="50"/>
      <c r="Z1508" s="50"/>
    </row>
    <row r="1509" spans="1:26" ht="12.75" x14ac:dyDescent="0.2">
      <c r="A1509" s="50"/>
      <c r="B1509" s="50"/>
      <c r="C1509" s="50"/>
      <c r="D1509" s="50"/>
      <c r="E1509" s="50"/>
      <c r="F1509" s="50"/>
      <c r="G1509" s="50"/>
      <c r="H1509" s="50"/>
      <c r="I1509" s="50"/>
      <c r="J1509" s="50"/>
      <c r="K1509" s="50"/>
      <c r="L1509" s="50"/>
      <c r="M1509" s="50"/>
      <c r="N1509" s="50"/>
      <c r="O1509" s="50"/>
      <c r="P1509" s="50"/>
      <c r="Q1509" s="50"/>
      <c r="R1509" s="50"/>
      <c r="S1509" s="50"/>
      <c r="T1509" s="50"/>
      <c r="U1509" s="50"/>
      <c r="V1509" s="50"/>
      <c r="W1509" s="50"/>
      <c r="X1509" s="50"/>
      <c r="Y1509" s="50"/>
      <c r="Z1509" s="50"/>
    </row>
    <row r="1510" spans="1:26" ht="12.75" x14ac:dyDescent="0.2">
      <c r="A1510" s="50"/>
      <c r="B1510" s="50"/>
      <c r="C1510" s="50"/>
      <c r="D1510" s="50"/>
      <c r="E1510" s="50"/>
      <c r="F1510" s="50"/>
      <c r="G1510" s="50"/>
      <c r="H1510" s="50"/>
      <c r="I1510" s="50"/>
      <c r="J1510" s="50"/>
      <c r="K1510" s="50"/>
      <c r="L1510" s="50"/>
      <c r="M1510" s="50"/>
      <c r="N1510" s="50"/>
      <c r="O1510" s="50"/>
      <c r="P1510" s="50"/>
      <c r="Q1510" s="50"/>
      <c r="R1510" s="50"/>
      <c r="S1510" s="50"/>
      <c r="T1510" s="50"/>
      <c r="U1510" s="50"/>
      <c r="V1510" s="50"/>
      <c r="W1510" s="50"/>
      <c r="X1510" s="50"/>
      <c r="Y1510" s="50"/>
      <c r="Z1510" s="50"/>
    </row>
    <row r="1511" spans="1:26" ht="12.75" x14ac:dyDescent="0.2">
      <c r="A1511" s="50"/>
      <c r="B1511" s="50"/>
      <c r="C1511" s="50"/>
      <c r="D1511" s="50"/>
      <c r="E1511" s="50"/>
      <c r="F1511" s="50"/>
      <c r="G1511" s="50"/>
      <c r="H1511" s="50"/>
      <c r="I1511" s="50"/>
      <c r="J1511" s="50"/>
      <c r="K1511" s="50"/>
      <c r="L1511" s="50"/>
      <c r="M1511" s="50"/>
      <c r="N1511" s="50"/>
      <c r="O1511" s="50"/>
      <c r="P1511" s="50"/>
      <c r="Q1511" s="50"/>
      <c r="R1511" s="50"/>
      <c r="S1511" s="50"/>
      <c r="T1511" s="50"/>
      <c r="U1511" s="50"/>
      <c r="V1511" s="50"/>
      <c r="W1511" s="50"/>
      <c r="X1511" s="50"/>
      <c r="Y1511" s="50"/>
      <c r="Z1511" s="50"/>
    </row>
    <row r="1512" spans="1:26" ht="12.75" x14ac:dyDescent="0.2">
      <c r="A1512" s="50"/>
      <c r="B1512" s="50"/>
      <c r="C1512" s="50"/>
      <c r="D1512" s="50"/>
      <c r="E1512" s="50"/>
      <c r="F1512" s="50"/>
      <c r="G1512" s="50"/>
      <c r="H1512" s="50"/>
      <c r="I1512" s="50"/>
      <c r="J1512" s="50"/>
      <c r="K1512" s="50"/>
      <c r="L1512" s="50"/>
      <c r="M1512" s="50"/>
      <c r="N1512" s="50"/>
      <c r="O1512" s="50"/>
      <c r="P1512" s="50"/>
      <c r="Q1512" s="50"/>
      <c r="R1512" s="50"/>
      <c r="S1512" s="50"/>
      <c r="T1512" s="50"/>
      <c r="U1512" s="50"/>
      <c r="V1512" s="50"/>
      <c r="W1512" s="50"/>
      <c r="X1512" s="50"/>
      <c r="Y1512" s="50"/>
      <c r="Z1512" s="50"/>
    </row>
    <row r="1513" spans="1:26" ht="12.75" x14ac:dyDescent="0.2">
      <c r="A1513" s="50"/>
      <c r="B1513" s="50"/>
      <c r="C1513" s="50"/>
      <c r="D1513" s="50"/>
      <c r="E1513" s="50"/>
      <c r="F1513" s="50"/>
      <c r="G1513" s="50"/>
      <c r="H1513" s="50"/>
      <c r="I1513" s="50"/>
      <c r="J1513" s="50"/>
      <c r="K1513" s="50"/>
      <c r="L1513" s="50"/>
      <c r="M1513" s="50"/>
      <c r="N1513" s="50"/>
      <c r="O1513" s="50"/>
      <c r="P1513" s="50"/>
      <c r="Q1513" s="50"/>
      <c r="R1513" s="50"/>
      <c r="S1513" s="50"/>
      <c r="T1513" s="50"/>
      <c r="U1513" s="50"/>
      <c r="V1513" s="50"/>
      <c r="W1513" s="50"/>
      <c r="X1513" s="50"/>
      <c r="Y1513" s="50"/>
      <c r="Z1513" s="50"/>
    </row>
    <row r="1514" spans="1:26" ht="12.75" x14ac:dyDescent="0.2">
      <c r="A1514" s="50"/>
      <c r="B1514" s="50"/>
      <c r="C1514" s="50"/>
      <c r="D1514" s="50"/>
      <c r="E1514" s="50"/>
      <c r="F1514" s="50"/>
      <c r="G1514" s="50"/>
      <c r="H1514" s="50"/>
      <c r="I1514" s="50"/>
      <c r="J1514" s="50"/>
      <c r="K1514" s="50"/>
      <c r="L1514" s="50"/>
      <c r="M1514" s="50"/>
      <c r="N1514" s="50"/>
      <c r="O1514" s="50"/>
      <c r="P1514" s="50"/>
      <c r="Q1514" s="50"/>
      <c r="R1514" s="50"/>
      <c r="S1514" s="50"/>
      <c r="T1514" s="50"/>
      <c r="U1514" s="50"/>
      <c r="V1514" s="50"/>
      <c r="W1514" s="50"/>
      <c r="X1514" s="50"/>
      <c r="Y1514" s="50"/>
      <c r="Z1514" s="50"/>
    </row>
    <row r="1515" spans="1:26" ht="12.75" x14ac:dyDescent="0.2">
      <c r="A1515" s="50"/>
      <c r="B1515" s="50"/>
      <c r="C1515" s="50"/>
      <c r="D1515" s="50"/>
      <c r="E1515" s="50"/>
      <c r="F1515" s="50"/>
      <c r="G1515" s="50"/>
      <c r="H1515" s="50"/>
      <c r="I1515" s="50"/>
      <c r="J1515" s="50"/>
      <c r="K1515" s="50"/>
      <c r="L1515" s="50"/>
      <c r="M1515" s="50"/>
      <c r="N1515" s="50"/>
      <c r="O1515" s="50"/>
      <c r="P1515" s="50"/>
      <c r="Q1515" s="50"/>
      <c r="R1515" s="50"/>
      <c r="S1515" s="50"/>
      <c r="T1515" s="50"/>
      <c r="U1515" s="50"/>
      <c r="V1515" s="50"/>
      <c r="W1515" s="50"/>
      <c r="X1515" s="50"/>
      <c r="Y1515" s="50"/>
      <c r="Z1515" s="50"/>
    </row>
    <row r="1516" spans="1:26" ht="12.75" x14ac:dyDescent="0.2">
      <c r="A1516" s="50"/>
      <c r="B1516" s="50"/>
      <c r="C1516" s="50"/>
      <c r="D1516" s="50"/>
      <c r="E1516" s="50"/>
      <c r="F1516" s="50"/>
      <c r="G1516" s="50"/>
      <c r="H1516" s="50"/>
      <c r="I1516" s="50"/>
      <c r="J1516" s="50"/>
      <c r="K1516" s="50"/>
      <c r="L1516" s="50"/>
      <c r="M1516" s="50"/>
      <c r="N1516" s="50"/>
      <c r="O1516" s="50"/>
      <c r="P1516" s="50"/>
      <c r="Q1516" s="50"/>
      <c r="R1516" s="50"/>
      <c r="S1516" s="50"/>
      <c r="T1516" s="50"/>
      <c r="U1516" s="50"/>
      <c r="V1516" s="50"/>
      <c r="W1516" s="50"/>
      <c r="X1516" s="50"/>
      <c r="Y1516" s="50"/>
      <c r="Z1516" s="50"/>
    </row>
    <row r="1517" spans="1:26" ht="12.75" x14ac:dyDescent="0.2">
      <c r="A1517" s="50"/>
      <c r="B1517" s="50"/>
      <c r="C1517" s="50"/>
      <c r="D1517" s="50"/>
      <c r="E1517" s="50"/>
      <c r="F1517" s="50"/>
      <c r="G1517" s="50"/>
      <c r="H1517" s="50"/>
      <c r="I1517" s="50"/>
      <c r="J1517" s="50"/>
      <c r="K1517" s="50"/>
      <c r="L1517" s="50"/>
      <c r="M1517" s="50"/>
      <c r="N1517" s="50"/>
      <c r="O1517" s="50"/>
      <c r="P1517" s="50"/>
      <c r="Q1517" s="50"/>
      <c r="R1517" s="50"/>
      <c r="S1517" s="50"/>
      <c r="T1517" s="50"/>
      <c r="U1517" s="50"/>
      <c r="V1517" s="50"/>
      <c r="W1517" s="50"/>
      <c r="X1517" s="50"/>
      <c r="Y1517" s="50"/>
      <c r="Z1517" s="50"/>
    </row>
    <row r="1518" spans="1:26" ht="12.75" x14ac:dyDescent="0.2">
      <c r="A1518" s="50"/>
      <c r="B1518" s="50"/>
      <c r="C1518" s="50"/>
      <c r="D1518" s="50"/>
      <c r="E1518" s="50"/>
      <c r="F1518" s="50"/>
      <c r="G1518" s="50"/>
      <c r="H1518" s="50"/>
      <c r="I1518" s="50"/>
      <c r="J1518" s="50"/>
      <c r="K1518" s="50"/>
      <c r="L1518" s="50"/>
      <c r="M1518" s="50"/>
      <c r="N1518" s="50"/>
      <c r="O1518" s="50"/>
      <c r="P1518" s="50"/>
      <c r="Q1518" s="50"/>
      <c r="R1518" s="50"/>
      <c r="S1518" s="50"/>
      <c r="T1518" s="50"/>
      <c r="U1518" s="50"/>
      <c r="V1518" s="50"/>
      <c r="W1518" s="50"/>
      <c r="X1518" s="50"/>
      <c r="Y1518" s="50"/>
      <c r="Z1518" s="50"/>
    </row>
    <row r="1519" spans="1:26" ht="12.75" x14ac:dyDescent="0.2">
      <c r="A1519" s="50"/>
      <c r="B1519" s="50"/>
      <c r="C1519" s="50"/>
      <c r="D1519" s="50"/>
      <c r="E1519" s="50"/>
      <c r="F1519" s="50"/>
      <c r="G1519" s="50"/>
      <c r="H1519" s="50"/>
      <c r="I1519" s="50"/>
      <c r="J1519" s="50"/>
      <c r="K1519" s="50"/>
      <c r="L1519" s="50"/>
      <c r="M1519" s="50"/>
      <c r="N1519" s="50"/>
      <c r="O1519" s="50"/>
      <c r="P1519" s="50"/>
      <c r="Q1519" s="50"/>
      <c r="R1519" s="50"/>
      <c r="S1519" s="50"/>
      <c r="T1519" s="50"/>
      <c r="U1519" s="50"/>
      <c r="V1519" s="50"/>
      <c r="W1519" s="50"/>
      <c r="X1519" s="50"/>
      <c r="Y1519" s="50"/>
      <c r="Z1519" s="50"/>
    </row>
    <row r="1520" spans="1:26" ht="12.75" x14ac:dyDescent="0.2">
      <c r="A1520" s="50"/>
      <c r="B1520" s="50"/>
      <c r="C1520" s="50"/>
      <c r="D1520" s="50"/>
      <c r="E1520" s="50"/>
      <c r="F1520" s="50"/>
      <c r="G1520" s="50"/>
      <c r="H1520" s="50"/>
      <c r="I1520" s="50"/>
      <c r="J1520" s="50"/>
      <c r="K1520" s="50"/>
      <c r="L1520" s="50"/>
      <c r="M1520" s="50"/>
      <c r="N1520" s="50"/>
      <c r="O1520" s="50"/>
      <c r="P1520" s="50"/>
      <c r="Q1520" s="50"/>
      <c r="R1520" s="50"/>
      <c r="S1520" s="50"/>
      <c r="T1520" s="50"/>
      <c r="U1520" s="50"/>
      <c r="V1520" s="50"/>
      <c r="W1520" s="50"/>
      <c r="X1520" s="50"/>
      <c r="Y1520" s="50"/>
      <c r="Z1520" s="50"/>
    </row>
    <row r="1521" spans="1:26" ht="12.75" x14ac:dyDescent="0.2">
      <c r="A1521" s="50"/>
      <c r="B1521" s="50"/>
      <c r="C1521" s="50"/>
      <c r="D1521" s="50"/>
      <c r="E1521" s="50"/>
      <c r="F1521" s="50"/>
      <c r="G1521" s="50"/>
      <c r="H1521" s="50"/>
      <c r="I1521" s="50"/>
      <c r="J1521" s="50"/>
      <c r="K1521" s="50"/>
      <c r="L1521" s="50"/>
      <c r="M1521" s="50"/>
      <c r="N1521" s="50"/>
      <c r="O1521" s="50"/>
      <c r="P1521" s="50"/>
      <c r="Q1521" s="50"/>
      <c r="R1521" s="50"/>
      <c r="S1521" s="50"/>
      <c r="T1521" s="50"/>
      <c r="U1521" s="50"/>
      <c r="V1521" s="50"/>
      <c r="W1521" s="50"/>
      <c r="X1521" s="50"/>
      <c r="Y1521" s="50"/>
      <c r="Z1521" s="50"/>
    </row>
    <row r="1522" spans="1:26" ht="12.75" x14ac:dyDescent="0.2">
      <c r="A1522" s="50"/>
      <c r="B1522" s="50"/>
      <c r="C1522" s="50"/>
      <c r="D1522" s="50"/>
      <c r="E1522" s="50"/>
      <c r="F1522" s="50"/>
      <c r="G1522" s="50"/>
      <c r="H1522" s="50"/>
      <c r="I1522" s="50"/>
      <c r="J1522" s="50"/>
      <c r="K1522" s="50"/>
      <c r="L1522" s="50"/>
      <c r="M1522" s="50"/>
      <c r="N1522" s="50"/>
      <c r="O1522" s="50"/>
      <c r="P1522" s="50"/>
      <c r="Q1522" s="50"/>
      <c r="R1522" s="50"/>
      <c r="S1522" s="50"/>
      <c r="T1522" s="50"/>
      <c r="U1522" s="50"/>
      <c r="V1522" s="50"/>
      <c r="W1522" s="50"/>
      <c r="X1522" s="50"/>
      <c r="Y1522" s="50"/>
      <c r="Z1522" s="50"/>
    </row>
    <row r="1523" spans="1:26" ht="12.75" x14ac:dyDescent="0.2">
      <c r="A1523" s="50"/>
      <c r="B1523" s="50"/>
      <c r="C1523" s="50"/>
      <c r="D1523" s="50"/>
      <c r="E1523" s="50"/>
      <c r="F1523" s="50"/>
      <c r="G1523" s="50"/>
      <c r="H1523" s="50"/>
      <c r="I1523" s="50"/>
      <c r="J1523" s="50"/>
      <c r="K1523" s="50"/>
      <c r="L1523" s="50"/>
      <c r="M1523" s="50"/>
      <c r="N1523" s="50"/>
      <c r="O1523" s="50"/>
      <c r="P1523" s="50"/>
      <c r="Q1523" s="50"/>
      <c r="R1523" s="50"/>
      <c r="S1523" s="50"/>
      <c r="T1523" s="50"/>
      <c r="U1523" s="50"/>
      <c r="V1523" s="50"/>
      <c r="W1523" s="50"/>
      <c r="X1523" s="50"/>
      <c r="Y1523" s="50"/>
      <c r="Z1523" s="50"/>
    </row>
    <row r="1524" spans="1:26" ht="12.75" x14ac:dyDescent="0.2">
      <c r="A1524" s="50"/>
      <c r="B1524" s="50"/>
      <c r="C1524" s="50"/>
      <c r="D1524" s="50"/>
      <c r="E1524" s="50"/>
      <c r="F1524" s="50"/>
      <c r="G1524" s="50"/>
      <c r="H1524" s="50"/>
      <c r="I1524" s="50"/>
      <c r="J1524" s="50"/>
      <c r="K1524" s="50"/>
      <c r="L1524" s="50"/>
      <c r="M1524" s="50"/>
      <c r="N1524" s="50"/>
      <c r="O1524" s="50"/>
      <c r="P1524" s="50"/>
      <c r="Q1524" s="50"/>
      <c r="R1524" s="50"/>
      <c r="S1524" s="50"/>
      <c r="T1524" s="50"/>
      <c r="U1524" s="50"/>
      <c r="V1524" s="50"/>
      <c r="W1524" s="50"/>
      <c r="X1524" s="50"/>
      <c r="Y1524" s="50"/>
      <c r="Z1524" s="50"/>
    </row>
    <row r="1525" spans="1:26" ht="12.75" x14ac:dyDescent="0.2">
      <c r="A1525" s="50"/>
      <c r="B1525" s="50"/>
      <c r="C1525" s="50"/>
      <c r="D1525" s="50"/>
      <c r="E1525" s="50"/>
      <c r="F1525" s="50"/>
      <c r="G1525" s="50"/>
      <c r="H1525" s="50"/>
      <c r="I1525" s="50"/>
      <c r="J1525" s="50"/>
      <c r="K1525" s="50"/>
      <c r="L1525" s="50"/>
      <c r="M1525" s="50"/>
      <c r="N1525" s="50"/>
      <c r="O1525" s="50"/>
      <c r="P1525" s="50"/>
      <c r="Q1525" s="50"/>
      <c r="R1525" s="50"/>
      <c r="S1525" s="50"/>
      <c r="T1525" s="50"/>
      <c r="U1525" s="50"/>
      <c r="V1525" s="50"/>
      <c r="W1525" s="50"/>
      <c r="X1525" s="50"/>
      <c r="Y1525" s="50"/>
      <c r="Z1525" s="50"/>
    </row>
    <row r="1526" spans="1:26" ht="12.75" x14ac:dyDescent="0.2">
      <c r="A1526" s="50"/>
      <c r="B1526" s="50"/>
      <c r="C1526" s="50"/>
      <c r="D1526" s="50"/>
      <c r="E1526" s="50"/>
      <c r="F1526" s="50"/>
      <c r="G1526" s="50"/>
      <c r="H1526" s="50"/>
      <c r="I1526" s="50"/>
      <c r="J1526" s="50"/>
      <c r="K1526" s="50"/>
      <c r="L1526" s="50"/>
      <c r="M1526" s="50"/>
      <c r="N1526" s="50"/>
      <c r="O1526" s="50"/>
      <c r="P1526" s="50"/>
      <c r="Q1526" s="50"/>
      <c r="R1526" s="50"/>
      <c r="S1526" s="50"/>
      <c r="T1526" s="50"/>
      <c r="U1526" s="50"/>
      <c r="V1526" s="50"/>
      <c r="W1526" s="50"/>
      <c r="X1526" s="50"/>
      <c r="Y1526" s="50"/>
      <c r="Z1526" s="50"/>
    </row>
    <row r="1527" spans="1:26" ht="12.75" x14ac:dyDescent="0.2">
      <c r="A1527" s="50"/>
      <c r="B1527" s="50"/>
      <c r="C1527" s="50"/>
      <c r="D1527" s="50"/>
      <c r="E1527" s="50"/>
      <c r="F1527" s="50"/>
      <c r="G1527" s="50"/>
      <c r="H1527" s="50"/>
      <c r="I1527" s="50"/>
      <c r="J1527" s="50"/>
      <c r="K1527" s="50"/>
      <c r="L1527" s="50"/>
      <c r="M1527" s="50"/>
      <c r="N1527" s="50"/>
      <c r="O1527" s="50"/>
      <c r="P1527" s="50"/>
      <c r="Q1527" s="50"/>
      <c r="R1527" s="50"/>
      <c r="S1527" s="50"/>
      <c r="T1527" s="50"/>
      <c r="U1527" s="50"/>
      <c r="V1527" s="50"/>
      <c r="W1527" s="50"/>
      <c r="X1527" s="50"/>
      <c r="Y1527" s="50"/>
      <c r="Z1527" s="50"/>
    </row>
    <row r="1528" spans="1:26" ht="12.75" x14ac:dyDescent="0.2">
      <c r="A1528" s="50"/>
      <c r="B1528" s="50"/>
      <c r="C1528" s="50"/>
      <c r="D1528" s="50"/>
      <c r="E1528" s="50"/>
      <c r="F1528" s="50"/>
      <c r="G1528" s="50"/>
      <c r="H1528" s="50"/>
      <c r="I1528" s="50"/>
      <c r="J1528" s="50"/>
      <c r="K1528" s="50"/>
      <c r="L1528" s="50"/>
      <c r="M1528" s="50"/>
      <c r="N1528" s="50"/>
      <c r="O1528" s="50"/>
      <c r="P1528" s="50"/>
      <c r="Q1528" s="50"/>
      <c r="R1528" s="50"/>
      <c r="S1528" s="50"/>
      <c r="T1528" s="50"/>
      <c r="U1528" s="50"/>
      <c r="V1528" s="50"/>
      <c r="W1528" s="50"/>
      <c r="X1528" s="50"/>
      <c r="Y1528" s="50"/>
      <c r="Z1528" s="50"/>
    </row>
    <row r="1529" spans="1:26" ht="12.75" x14ac:dyDescent="0.2">
      <c r="A1529" s="50"/>
      <c r="B1529" s="50"/>
      <c r="C1529" s="50"/>
      <c r="D1529" s="50"/>
      <c r="E1529" s="50"/>
      <c r="F1529" s="50"/>
      <c r="G1529" s="50"/>
      <c r="H1529" s="50"/>
      <c r="I1529" s="50"/>
      <c r="J1529" s="50"/>
      <c r="K1529" s="50"/>
      <c r="L1529" s="50"/>
      <c r="M1529" s="50"/>
      <c r="N1529" s="50"/>
      <c r="O1529" s="50"/>
      <c r="P1529" s="50"/>
      <c r="Q1529" s="50"/>
      <c r="R1529" s="50"/>
      <c r="S1529" s="50"/>
      <c r="T1529" s="50"/>
      <c r="U1529" s="50"/>
      <c r="V1529" s="50"/>
      <c r="W1529" s="50"/>
      <c r="X1529" s="50"/>
      <c r="Y1529" s="50"/>
      <c r="Z1529" s="50"/>
    </row>
    <row r="1530" spans="1:26" ht="12.75" x14ac:dyDescent="0.2">
      <c r="A1530" s="50"/>
      <c r="B1530" s="50"/>
      <c r="C1530" s="50"/>
      <c r="D1530" s="50"/>
      <c r="E1530" s="50"/>
      <c r="F1530" s="50"/>
      <c r="G1530" s="50"/>
      <c r="H1530" s="50"/>
      <c r="I1530" s="50"/>
      <c r="J1530" s="50"/>
      <c r="K1530" s="50"/>
      <c r="L1530" s="50"/>
      <c r="M1530" s="50"/>
      <c r="N1530" s="50"/>
      <c r="O1530" s="50"/>
      <c r="P1530" s="50"/>
      <c r="Q1530" s="50"/>
      <c r="R1530" s="50"/>
      <c r="S1530" s="50"/>
      <c r="T1530" s="50"/>
      <c r="U1530" s="50"/>
      <c r="V1530" s="50"/>
      <c r="W1530" s="50"/>
      <c r="X1530" s="50"/>
      <c r="Y1530" s="50"/>
      <c r="Z1530" s="50"/>
    </row>
    <row r="1531" spans="1:26" ht="12.75" x14ac:dyDescent="0.2">
      <c r="A1531" s="50"/>
      <c r="B1531" s="50"/>
      <c r="C1531" s="50"/>
      <c r="D1531" s="50"/>
      <c r="E1531" s="50"/>
      <c r="F1531" s="50"/>
      <c r="G1531" s="50"/>
      <c r="H1531" s="50"/>
      <c r="I1531" s="50"/>
      <c r="J1531" s="50"/>
      <c r="K1531" s="50"/>
      <c r="L1531" s="50"/>
      <c r="M1531" s="50"/>
      <c r="N1531" s="50"/>
      <c r="O1531" s="50"/>
      <c r="P1531" s="50"/>
      <c r="Q1531" s="50"/>
      <c r="R1531" s="50"/>
      <c r="S1531" s="50"/>
      <c r="T1531" s="50"/>
      <c r="U1531" s="50"/>
      <c r="V1531" s="50"/>
      <c r="W1531" s="50"/>
      <c r="X1531" s="50"/>
      <c r="Y1531" s="50"/>
      <c r="Z1531" s="50"/>
    </row>
    <row r="1532" spans="1:26" ht="12.75" x14ac:dyDescent="0.2">
      <c r="A1532" s="50"/>
      <c r="B1532" s="50"/>
      <c r="C1532" s="50"/>
      <c r="D1532" s="50"/>
      <c r="E1532" s="50"/>
      <c r="F1532" s="50"/>
      <c r="G1532" s="50"/>
      <c r="H1532" s="50"/>
      <c r="I1532" s="50"/>
      <c r="J1532" s="50"/>
      <c r="K1532" s="50"/>
      <c r="L1532" s="50"/>
      <c r="M1532" s="50"/>
      <c r="N1532" s="50"/>
      <c r="O1532" s="50"/>
      <c r="P1532" s="50"/>
      <c r="Q1532" s="50"/>
      <c r="R1532" s="50"/>
      <c r="S1532" s="50"/>
      <c r="T1532" s="50"/>
      <c r="U1532" s="50"/>
      <c r="V1532" s="50"/>
      <c r="W1532" s="50"/>
      <c r="X1532" s="50"/>
      <c r="Y1532" s="50"/>
      <c r="Z1532" s="50"/>
    </row>
    <row r="1533" spans="1:26" ht="12.75" x14ac:dyDescent="0.2">
      <c r="A1533" s="50"/>
      <c r="B1533" s="50"/>
      <c r="C1533" s="50"/>
      <c r="D1533" s="50"/>
      <c r="E1533" s="50"/>
      <c r="F1533" s="50"/>
      <c r="G1533" s="50"/>
      <c r="H1533" s="50"/>
      <c r="I1533" s="50"/>
      <c r="J1533" s="50"/>
      <c r="K1533" s="50"/>
      <c r="L1533" s="50"/>
      <c r="M1533" s="50"/>
      <c r="N1533" s="50"/>
      <c r="O1533" s="50"/>
      <c r="P1533" s="50"/>
      <c r="Q1533" s="50"/>
      <c r="R1533" s="50"/>
      <c r="S1533" s="50"/>
      <c r="T1533" s="50"/>
      <c r="U1533" s="50"/>
      <c r="V1533" s="50"/>
      <c r="W1533" s="50"/>
      <c r="X1533" s="50"/>
      <c r="Y1533" s="50"/>
      <c r="Z1533" s="50"/>
    </row>
    <row r="1534" spans="1:26" ht="12.75" x14ac:dyDescent="0.2">
      <c r="A1534" s="50"/>
      <c r="B1534" s="50"/>
      <c r="C1534" s="50"/>
      <c r="D1534" s="50"/>
      <c r="E1534" s="50"/>
      <c r="F1534" s="50"/>
      <c r="G1534" s="50"/>
      <c r="H1534" s="50"/>
      <c r="I1534" s="50"/>
      <c r="J1534" s="50"/>
      <c r="K1534" s="50"/>
      <c r="L1534" s="50"/>
      <c r="M1534" s="50"/>
      <c r="N1534" s="50"/>
      <c r="O1534" s="50"/>
      <c r="P1534" s="50"/>
      <c r="Q1534" s="50"/>
      <c r="R1534" s="50"/>
      <c r="S1534" s="50"/>
      <c r="T1534" s="50"/>
      <c r="U1534" s="50"/>
      <c r="V1534" s="50"/>
      <c r="W1534" s="50"/>
      <c r="X1534" s="50"/>
      <c r="Y1534" s="50"/>
      <c r="Z1534" s="50"/>
    </row>
    <row r="1535" spans="1:26" ht="12.75" x14ac:dyDescent="0.2">
      <c r="A1535" s="50"/>
      <c r="B1535" s="50"/>
      <c r="C1535" s="50"/>
      <c r="D1535" s="50"/>
      <c r="E1535" s="50"/>
      <c r="F1535" s="50"/>
      <c r="G1535" s="50"/>
      <c r="H1535" s="50"/>
      <c r="I1535" s="50"/>
      <c r="J1535" s="50"/>
      <c r="K1535" s="50"/>
      <c r="L1535" s="50"/>
      <c r="M1535" s="50"/>
      <c r="N1535" s="50"/>
      <c r="O1535" s="50"/>
      <c r="P1535" s="50"/>
      <c r="Q1535" s="50"/>
      <c r="R1535" s="50"/>
      <c r="S1535" s="50"/>
      <c r="T1535" s="50"/>
      <c r="U1535" s="50"/>
      <c r="V1535" s="50"/>
      <c r="W1535" s="50"/>
      <c r="X1535" s="50"/>
      <c r="Y1535" s="50"/>
      <c r="Z1535" s="50"/>
    </row>
    <row r="1536" spans="1:26" ht="12.75" x14ac:dyDescent="0.2">
      <c r="A1536" s="50"/>
      <c r="B1536" s="50"/>
      <c r="C1536" s="50"/>
      <c r="D1536" s="50"/>
      <c r="E1536" s="50"/>
      <c r="F1536" s="50"/>
      <c r="G1536" s="50"/>
      <c r="H1536" s="50"/>
      <c r="I1536" s="50"/>
      <c r="J1536" s="50"/>
      <c r="K1536" s="50"/>
      <c r="L1536" s="50"/>
      <c r="M1536" s="50"/>
      <c r="N1536" s="50"/>
      <c r="O1536" s="50"/>
      <c r="P1536" s="50"/>
      <c r="Q1536" s="50"/>
      <c r="R1536" s="50"/>
      <c r="S1536" s="50"/>
      <c r="T1536" s="50"/>
      <c r="U1536" s="50"/>
      <c r="V1536" s="50"/>
      <c r="W1536" s="50"/>
      <c r="X1536" s="50"/>
      <c r="Y1536" s="50"/>
      <c r="Z1536" s="50"/>
    </row>
    <row r="1537" spans="1:26" ht="12.75" x14ac:dyDescent="0.2">
      <c r="A1537" s="50"/>
      <c r="B1537" s="50"/>
      <c r="C1537" s="50"/>
      <c r="D1537" s="50"/>
      <c r="E1537" s="50"/>
      <c r="F1537" s="50"/>
      <c r="G1537" s="50"/>
      <c r="H1537" s="50"/>
      <c r="I1537" s="50"/>
      <c r="J1537" s="50"/>
      <c r="K1537" s="50"/>
      <c r="L1537" s="50"/>
      <c r="M1537" s="50"/>
      <c r="N1537" s="50"/>
      <c r="O1537" s="50"/>
      <c r="P1537" s="50"/>
      <c r="Q1537" s="50"/>
      <c r="R1537" s="50"/>
      <c r="S1537" s="50"/>
      <c r="T1537" s="50"/>
      <c r="U1537" s="50"/>
      <c r="V1537" s="50"/>
      <c r="W1537" s="50"/>
      <c r="X1537" s="50"/>
      <c r="Y1537" s="50"/>
      <c r="Z1537" s="50"/>
    </row>
    <row r="1538" spans="1:26" ht="12.75" x14ac:dyDescent="0.2">
      <c r="A1538" s="50"/>
      <c r="B1538" s="50"/>
      <c r="C1538" s="50"/>
      <c r="D1538" s="50"/>
      <c r="E1538" s="50"/>
      <c r="F1538" s="50"/>
      <c r="G1538" s="50"/>
      <c r="H1538" s="50"/>
      <c r="I1538" s="50"/>
      <c r="J1538" s="50"/>
      <c r="K1538" s="50"/>
      <c r="L1538" s="50"/>
      <c r="M1538" s="50"/>
      <c r="N1538" s="50"/>
      <c r="O1538" s="50"/>
      <c r="P1538" s="50"/>
      <c r="Q1538" s="50"/>
      <c r="R1538" s="50"/>
      <c r="S1538" s="50"/>
      <c r="T1538" s="50"/>
      <c r="U1538" s="50"/>
      <c r="V1538" s="50"/>
      <c r="W1538" s="50"/>
      <c r="X1538" s="50"/>
      <c r="Y1538" s="50"/>
      <c r="Z1538" s="50"/>
    </row>
  </sheetData>
  <mergeCells count="19">
    <mergeCell ref="V10:W10"/>
    <mergeCell ref="X10:Y10"/>
    <mergeCell ref="F5:I5"/>
    <mergeCell ref="K5:N5"/>
    <mergeCell ref="F7:I7"/>
    <mergeCell ref="K7:N7"/>
    <mergeCell ref="F8:H8"/>
    <mergeCell ref="K8:M8"/>
    <mergeCell ref="K9:N9"/>
    <mergeCell ref="F4:H4"/>
    <mergeCell ref="K4:M4"/>
    <mergeCell ref="F9:I9"/>
    <mergeCell ref="D10:I10"/>
    <mergeCell ref="L10:S10"/>
    <mergeCell ref="A1:B1"/>
    <mergeCell ref="A2:B2"/>
    <mergeCell ref="C2:W2"/>
    <mergeCell ref="F3:I3"/>
    <mergeCell ref="K3:N3"/>
  </mergeCells>
  <conditionalFormatting sqref="C5 F5:I5 K5:N5 C9">
    <cfRule type="cellIs" dxfId="39" priority="1" operator="greaterThanOrEqual">
      <formula>0</formula>
    </cfRule>
    <cfRule type="cellIs" dxfId="38" priority="2" operator="lessThanOrEqual">
      <formula>0</formula>
    </cfRule>
  </conditionalFormatting>
  <conditionalFormatting sqref="F9:N9">
    <cfRule type="cellIs" dxfId="37" priority="3" operator="lessThanOrEqual">
      <formula>0</formula>
    </cfRule>
    <cfRule type="cellIs" dxfId="36" priority="4" operator="greaterThanOrEqual">
      <formula>0</formula>
    </cfRule>
  </conditionalFormatting>
  <conditionalFormatting sqref="T12:Y838">
    <cfRule type="cellIs" dxfId="35" priority="5" operator="greaterThanOrEqual">
      <formula>0</formula>
    </cfRule>
    <cfRule type="cellIs" dxfId="34" priority="6" operator="lessThan">
      <formula>0</formula>
    </cfRule>
  </conditionalFormatting>
  <conditionalFormatting sqref="V12:W838">
    <cfRule type="cellIs" dxfId="33" priority="7" operator="greaterThanOrEqual">
      <formula>0</formula>
    </cfRule>
    <cfRule type="cellIs" dxfId="32" priority="8" operator="lessThan">
      <formula>0</formula>
    </cfRule>
  </conditionalFormatting>
  <dataValidations count="1">
    <dataValidation type="list" allowBlank="1" sqref="B12 B31 B50 B69 B88 B107 B126 B145 B164 B183 B202 B221 B240 B259 B278 B297 B316 B335 B354 B373 B392 B411 B430 B447 B464 B481 B498 B515 B532 B549 B566 B583 B600 B617 B634 B651 B668 B686 B705 B724 B743 B762 B781 B800 B819 B838" xr:uid="{00000000-0002-0000-0200-000000000000}">
      <formula1>"Previous Week,Current Week"</formula1>
    </dataValidation>
  </dataValidations>
  <hyperlinks>
    <hyperlink ref="A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Right="0"/>
  </sheetPr>
  <dimension ref="A1:Z154"/>
  <sheetViews>
    <sheetView workbookViewId="0">
      <pane ySplit="11" topLeftCell="A12" activePane="bottomLeft" state="frozen"/>
      <selection pane="bottomLeft" activeCell="B13" sqref="B13"/>
    </sheetView>
  </sheetViews>
  <sheetFormatPr defaultColWidth="12.5703125" defaultRowHeight="15.75" customHeight="1" outlineLevelRow="1" x14ac:dyDescent="0.2"/>
  <cols>
    <col min="2" max="2" width="13.85546875" customWidth="1"/>
    <col min="3" max="3" width="40" customWidth="1"/>
  </cols>
  <sheetData>
    <row r="1" spans="1:26" ht="93.75" customHeight="1" x14ac:dyDescent="0.2">
      <c r="A1" s="315" t="s">
        <v>110</v>
      </c>
      <c r="B1" s="316"/>
      <c r="C1" s="1"/>
      <c r="D1" s="2"/>
      <c r="E1" s="2"/>
      <c r="F1" s="2"/>
      <c r="G1" s="2"/>
      <c r="H1" s="2"/>
      <c r="I1" s="2"/>
      <c r="J1" s="2"/>
      <c r="K1" s="2"/>
      <c r="L1" s="3"/>
      <c r="M1" s="2"/>
      <c r="N1" s="2"/>
      <c r="O1" s="2"/>
      <c r="P1" s="2"/>
      <c r="Q1" s="2"/>
      <c r="R1" s="2"/>
      <c r="S1" s="2"/>
      <c r="T1" s="4"/>
      <c r="U1" s="4"/>
      <c r="V1" s="2"/>
      <c r="W1" s="2"/>
      <c r="X1" s="2"/>
      <c r="Y1" s="2"/>
      <c r="Z1" s="2"/>
    </row>
    <row r="2" spans="1:26" ht="12.75" x14ac:dyDescent="0.2">
      <c r="A2" s="317"/>
      <c r="B2" s="318"/>
      <c r="C2" s="319" t="s">
        <v>1</v>
      </c>
      <c r="D2" s="320"/>
      <c r="E2" s="320"/>
      <c r="F2" s="320"/>
      <c r="G2" s="320"/>
      <c r="H2" s="320"/>
      <c r="I2" s="320"/>
      <c r="J2" s="320"/>
      <c r="K2" s="320"/>
      <c r="L2" s="320"/>
      <c r="M2" s="320"/>
      <c r="N2" s="320"/>
      <c r="O2" s="320"/>
      <c r="P2" s="320"/>
      <c r="Q2" s="320"/>
      <c r="R2" s="320"/>
      <c r="S2" s="320"/>
      <c r="T2" s="320"/>
      <c r="U2" s="320"/>
      <c r="V2" s="320"/>
      <c r="W2" s="318"/>
      <c r="X2" s="5" t="e">
        <f>(#REF!+#REF!+#REF!+#REF!)-([1]monthly_reporting_2021!D17+[1]monthly_reporting_2021!D23+[1]monthly_reporting_2021!D29+[1]monthly_reporting_2021!D35)</f>
        <v>#REF!</v>
      </c>
      <c r="Y2" s="6" t="e">
        <f>((#REF!+#REF!+#REF!+#REF!)-([1]monthly_reporting_2021!E17+[1]monthly_reporting_2021!E23+[1]monthly_reporting_2021!E29+[1]monthly_reporting_2021!E35))/(#REF!+#REF!+#REF!+#REF!)</f>
        <v>#REF!</v>
      </c>
      <c r="Z2" s="1"/>
    </row>
    <row r="3" spans="1:26" ht="21" customHeight="1" x14ac:dyDescent="0.3">
      <c r="A3" s="14"/>
      <c r="B3" s="15"/>
      <c r="C3" s="27"/>
      <c r="D3" s="17"/>
      <c r="E3" s="17"/>
      <c r="F3" s="346"/>
      <c r="G3" s="320"/>
      <c r="H3" s="320"/>
      <c r="I3" s="318"/>
      <c r="J3" s="17"/>
      <c r="K3" s="27" t="s">
        <v>2</v>
      </c>
      <c r="L3" s="17"/>
      <c r="M3" s="17"/>
      <c r="N3" s="346" t="s">
        <v>3</v>
      </c>
      <c r="O3" s="320"/>
      <c r="P3" s="320"/>
      <c r="Q3" s="318"/>
      <c r="R3" s="17"/>
      <c r="S3" s="345" t="s">
        <v>4</v>
      </c>
      <c r="T3" s="320"/>
      <c r="U3" s="320"/>
      <c r="V3" s="318"/>
      <c r="W3" s="19"/>
      <c r="X3" s="19"/>
      <c r="Y3" s="19"/>
      <c r="Z3" s="19"/>
    </row>
    <row r="4" spans="1:26" ht="21" customHeight="1" x14ac:dyDescent="0.3">
      <c r="A4" s="14"/>
      <c r="B4" s="15"/>
      <c r="C4" s="16"/>
      <c r="D4" s="17"/>
      <c r="E4" s="17"/>
      <c r="F4" s="323"/>
      <c r="G4" s="320"/>
      <c r="H4" s="318"/>
      <c r="I4" s="19"/>
      <c r="J4" s="17"/>
      <c r="K4" s="16">
        <f>VLOOKUP("Current Week",$B$11:$X$163,MATCH("SALES",$B$11:$X$11,0),FALSE)</f>
        <v>0</v>
      </c>
      <c r="L4" s="17"/>
      <c r="M4" s="17"/>
      <c r="N4" s="323">
        <f>VLOOKUP("Current Week",$B$11:$X$163,MATCH("Units Sold",$B$11:$X$11,0),FALSE)</f>
        <v>0</v>
      </c>
      <c r="O4" s="320"/>
      <c r="P4" s="318"/>
      <c r="Q4" s="19"/>
      <c r="R4" s="17"/>
      <c r="S4" s="323">
        <f>VLOOKUP("Current Week",$B$11:$X$163,MATCH("Ordered Items",$B$11:$X$11,0),FALSE)</f>
        <v>0</v>
      </c>
      <c r="T4" s="320"/>
      <c r="U4" s="318"/>
      <c r="V4" s="19"/>
      <c r="W4" s="19"/>
      <c r="X4" s="19"/>
      <c r="Y4" s="19"/>
      <c r="Z4" s="19"/>
    </row>
    <row r="5" spans="1:26" ht="17.25" x14ac:dyDescent="0.3">
      <c r="A5" s="21"/>
      <c r="B5" s="22"/>
      <c r="C5" s="187"/>
      <c r="D5" s="195"/>
      <c r="E5" s="195"/>
      <c r="F5" s="341"/>
      <c r="G5" s="320"/>
      <c r="H5" s="320"/>
      <c r="I5" s="318"/>
      <c r="J5" s="195"/>
      <c r="K5" s="187" t="e">
        <f>(K4-(VLOOKUP("Previous Week",$B$11:$X$168,MATCH("SALES",$B$11:$X$11,0),FALSE)))/K4</f>
        <v>#DIV/0!</v>
      </c>
      <c r="L5" s="195"/>
      <c r="M5" s="195"/>
      <c r="N5" s="341" t="e">
        <f>(N4-(VLOOKUP("Previous Week",$B$11:$X$168,MATCH("Units Sold",$B$11:$X$11,0),FALSE)))/N4</f>
        <v>#DIV/0!</v>
      </c>
      <c r="O5" s="320"/>
      <c r="P5" s="320"/>
      <c r="Q5" s="318"/>
      <c r="R5" s="195"/>
      <c r="S5" s="341" t="e">
        <f>(S4-(VLOOKUP("Previous Week",$B$11:$X$168,MATCH("Ordered Items",$B$11:$X$11,0),FALSE)))/S4</f>
        <v>#DIV/0!</v>
      </c>
      <c r="T5" s="320"/>
      <c r="U5" s="320"/>
      <c r="V5" s="318"/>
      <c r="W5" s="26"/>
      <c r="X5" s="26"/>
      <c r="Y5" s="26"/>
      <c r="Z5" s="26"/>
    </row>
    <row r="6" spans="1:26" ht="6" customHeight="1" x14ac:dyDescent="0.3">
      <c r="A6" s="14"/>
      <c r="B6" s="15"/>
      <c r="C6" s="27"/>
      <c r="D6" s="17"/>
      <c r="E6" s="17"/>
      <c r="F6" s="19"/>
      <c r="G6" s="19"/>
      <c r="H6" s="19"/>
      <c r="I6" s="19"/>
      <c r="J6" s="17"/>
      <c r="K6" s="27"/>
      <c r="L6" s="17"/>
      <c r="M6" s="17"/>
      <c r="N6" s="19"/>
      <c r="O6" s="19"/>
      <c r="P6" s="19"/>
      <c r="Q6" s="19"/>
      <c r="R6" s="17"/>
      <c r="S6" s="19"/>
      <c r="T6" s="19"/>
      <c r="U6" s="19"/>
      <c r="V6" s="19"/>
      <c r="W6" s="19"/>
      <c r="X6" s="19"/>
      <c r="Y6" s="19"/>
      <c r="Z6" s="19"/>
    </row>
    <row r="7" spans="1:26" ht="22.5" customHeight="1" x14ac:dyDescent="0.3">
      <c r="A7" s="14"/>
      <c r="B7" s="15"/>
      <c r="C7" s="27"/>
      <c r="D7" s="17"/>
      <c r="E7" s="17"/>
      <c r="F7" s="345"/>
      <c r="G7" s="320"/>
      <c r="H7" s="320"/>
      <c r="I7" s="318"/>
      <c r="J7" s="17"/>
      <c r="K7" s="27" t="s">
        <v>5</v>
      </c>
      <c r="L7" s="17"/>
      <c r="M7" s="17"/>
      <c r="N7" s="345" t="s">
        <v>6</v>
      </c>
      <c r="O7" s="320"/>
      <c r="P7" s="320"/>
      <c r="Q7" s="318"/>
      <c r="R7" s="17"/>
      <c r="S7" s="345" t="s">
        <v>7</v>
      </c>
      <c r="T7" s="320"/>
      <c r="U7" s="320"/>
      <c r="V7" s="318"/>
      <c r="W7" s="19"/>
      <c r="X7" s="19"/>
      <c r="Y7" s="19"/>
      <c r="Z7" s="19"/>
    </row>
    <row r="8" spans="1:26" ht="21" customHeight="1" x14ac:dyDescent="0.3">
      <c r="A8" s="14"/>
      <c r="B8" s="15"/>
      <c r="C8" s="16"/>
      <c r="D8" s="17"/>
      <c r="E8" s="17"/>
      <c r="F8" s="333"/>
      <c r="G8" s="320"/>
      <c r="H8" s="318"/>
      <c r="I8" s="19"/>
      <c r="J8" s="17"/>
      <c r="K8" s="16">
        <f>VLOOKUP("Current Week",$B$11:$X$163,MATCH("AD SALES",$B$11:$X$11,0),FALSE)</f>
        <v>11090.530000000002</v>
      </c>
      <c r="L8" s="17"/>
      <c r="M8" s="17"/>
      <c r="N8" s="333">
        <f>VLOOKUP("Current Week",$B$11:$X$163,MATCH("SP AD SPEND",$B$11:$X$11,0),FALSE)</f>
        <v>6547.41</v>
      </c>
      <c r="O8" s="320"/>
      <c r="P8" s="318"/>
      <c r="Q8" s="19"/>
      <c r="R8" s="17"/>
      <c r="S8" s="334">
        <f>N8/K8</f>
        <v>0.59036042461451332</v>
      </c>
      <c r="T8" s="320"/>
      <c r="U8" s="318"/>
      <c r="V8" s="19"/>
      <c r="W8" s="19"/>
      <c r="X8" s="19"/>
      <c r="Y8" s="19"/>
      <c r="Z8" s="19"/>
    </row>
    <row r="9" spans="1:26" ht="19.5" customHeight="1" x14ac:dyDescent="0.3">
      <c r="A9" s="28"/>
      <c r="B9" s="29"/>
      <c r="C9" s="194"/>
      <c r="D9" s="195"/>
      <c r="E9" s="195"/>
      <c r="F9" s="339"/>
      <c r="G9" s="325"/>
      <c r="H9" s="325"/>
      <c r="I9" s="326"/>
      <c r="J9" s="195"/>
      <c r="K9" s="194">
        <f>(K8-(VLOOKUP("Previous Week",$B$11:$X$168,MATCH("AD SALES",$B$11:$X$11,0),FALSE)))/K8</f>
        <v>7.7969222390634418E-2</v>
      </c>
      <c r="L9" s="195"/>
      <c r="M9" s="195"/>
      <c r="N9" s="339">
        <f>(N8-(VLOOKUP("Previous Week",$B$11:$X$168,MATCH("SP AD SPEND",$B$11:$X$11,0),FALSE)))/N8</f>
        <v>1.5688646350236101E-2</v>
      </c>
      <c r="O9" s="325"/>
      <c r="P9" s="325"/>
      <c r="Q9" s="326"/>
      <c r="R9" s="195"/>
      <c r="S9" s="344">
        <f>(S8-(VLOOKUP("Previous Week",$B$11:$X$168,MATCH("ACOS",$B$11:$X$11,0),FALSE)))/S8</f>
        <v>-6.7547176897802583E-2</v>
      </c>
      <c r="T9" s="325"/>
      <c r="U9" s="325"/>
      <c r="V9" s="326"/>
      <c r="W9" s="31"/>
      <c r="X9" s="31"/>
      <c r="Y9" s="31"/>
      <c r="Z9" s="33"/>
    </row>
    <row r="10" spans="1:26" ht="15" customHeight="1" x14ac:dyDescent="0.3">
      <c r="A10" s="14"/>
      <c r="B10" s="276"/>
      <c r="C10" s="277"/>
      <c r="D10" s="347" t="s">
        <v>8</v>
      </c>
      <c r="E10" s="328"/>
      <c r="F10" s="328"/>
      <c r="G10" s="328"/>
      <c r="H10" s="328"/>
      <c r="I10" s="329"/>
      <c r="J10" s="278"/>
      <c r="K10" s="279"/>
      <c r="L10" s="348" t="s">
        <v>9</v>
      </c>
      <c r="M10" s="328"/>
      <c r="N10" s="328"/>
      <c r="O10" s="328"/>
      <c r="P10" s="328"/>
      <c r="Q10" s="328"/>
      <c r="R10" s="328"/>
      <c r="S10" s="329"/>
      <c r="T10" s="280"/>
      <c r="U10" s="281"/>
      <c r="V10" s="349" t="s">
        <v>10</v>
      </c>
      <c r="W10" s="329"/>
      <c r="X10" s="347" t="s">
        <v>11</v>
      </c>
      <c r="Y10" s="329"/>
      <c r="Z10" s="19"/>
    </row>
    <row r="11" spans="1:26" ht="37.5" customHeight="1" x14ac:dyDescent="0.2">
      <c r="A11" s="41" t="s">
        <v>12</v>
      </c>
      <c r="B11" s="42" t="s">
        <v>13</v>
      </c>
      <c r="C11" s="43" t="s">
        <v>111</v>
      </c>
      <c r="D11" s="43" t="s">
        <v>15</v>
      </c>
      <c r="E11" s="45" t="s">
        <v>17</v>
      </c>
      <c r="F11" s="45" t="s">
        <v>18</v>
      </c>
      <c r="G11" s="45" t="s">
        <v>19</v>
      </c>
      <c r="H11" s="45" t="s">
        <v>20</v>
      </c>
      <c r="I11" s="41" t="s">
        <v>21</v>
      </c>
      <c r="J11" s="46" t="s">
        <v>22</v>
      </c>
      <c r="K11" s="45" t="s">
        <v>23</v>
      </c>
      <c r="L11" s="45" t="s">
        <v>24</v>
      </c>
      <c r="M11" s="45" t="s">
        <v>25</v>
      </c>
      <c r="N11" s="45" t="s">
        <v>7</v>
      </c>
      <c r="O11" s="45" t="s">
        <v>26</v>
      </c>
      <c r="P11" s="41" t="s">
        <v>27</v>
      </c>
      <c r="Q11" s="47" t="s">
        <v>28</v>
      </c>
      <c r="R11" s="48" t="s">
        <v>29</v>
      </c>
      <c r="S11" s="41" t="s">
        <v>30</v>
      </c>
      <c r="T11" s="49" t="s">
        <v>15</v>
      </c>
      <c r="U11" s="47" t="s">
        <v>31</v>
      </c>
      <c r="V11" s="49" t="s">
        <v>15</v>
      </c>
      <c r="W11" s="47" t="s">
        <v>31</v>
      </c>
      <c r="X11" s="45"/>
    </row>
    <row r="12" spans="1:26" ht="12.75" x14ac:dyDescent="0.2">
      <c r="A12" s="51"/>
      <c r="B12" s="52"/>
      <c r="C12" s="53"/>
      <c r="D12" s="54"/>
      <c r="E12" s="56"/>
      <c r="F12" s="56"/>
      <c r="G12" s="57"/>
      <c r="H12" s="55"/>
      <c r="I12" s="58"/>
      <c r="J12" s="54"/>
      <c r="K12" s="56"/>
      <c r="L12" s="56"/>
      <c r="M12" s="59"/>
      <c r="N12" s="60"/>
      <c r="O12" s="61"/>
      <c r="P12" s="60"/>
      <c r="Q12" s="62"/>
      <c r="R12" s="63"/>
      <c r="S12" s="64"/>
      <c r="T12" s="65"/>
      <c r="U12" s="65"/>
      <c r="V12" s="66"/>
      <c r="W12" s="66"/>
      <c r="X12" s="67"/>
    </row>
    <row r="13" spans="1:26" ht="12.75" hidden="1" outlineLevel="1" x14ac:dyDescent="0.2">
      <c r="A13" s="68"/>
      <c r="B13" s="69">
        <v>46012</v>
      </c>
      <c r="C13" s="70" t="s">
        <v>112</v>
      </c>
      <c r="D13" s="282"/>
      <c r="E13" s="283"/>
      <c r="F13" s="283"/>
      <c r="G13" s="74" t="e">
        <f t="shared" ref="G13:G22" si="0">E13/F13</f>
        <v>#DIV/0!</v>
      </c>
      <c r="H13" s="75" t="e">
        <f t="shared" ref="H13:H22" si="1">D13/E13</f>
        <v>#DIV/0!</v>
      </c>
      <c r="I13" s="76" t="e">
        <f t="shared" ref="I13:I22" si="2">H13/G13</f>
        <v>#DIV/0!</v>
      </c>
      <c r="J13" s="77">
        <v>2974.57</v>
      </c>
      <c r="K13" s="199">
        <v>115078</v>
      </c>
      <c r="L13" s="283"/>
      <c r="M13" s="78">
        <v>10437.51</v>
      </c>
      <c r="N13" s="79">
        <f t="shared" ref="N13:N14" si="3">J13/M13</f>
        <v>0.28498846947212508</v>
      </c>
      <c r="O13" s="80">
        <f t="shared" ref="O13:O154" si="4">M13/J13</f>
        <v>3.5089138934366981</v>
      </c>
      <c r="P13" s="79" t="e">
        <f t="shared" ref="P13:P154" si="5">J13/D13</f>
        <v>#DIV/0!</v>
      </c>
      <c r="Q13" s="81" t="e">
        <f t="shared" ref="Q13:Q154" si="6">M13/D13</f>
        <v>#DIV/0!</v>
      </c>
      <c r="R13" s="82">
        <f t="shared" ref="R13:R24" si="7">D13-M13</f>
        <v>-10437.51</v>
      </c>
      <c r="S13" s="83" t="e">
        <f t="shared" ref="S13:S154" si="8">J13/L13</f>
        <v>#DIV/0!</v>
      </c>
      <c r="T13" s="84"/>
      <c r="U13" s="84"/>
      <c r="V13" s="84"/>
      <c r="W13" s="84"/>
      <c r="X13" s="85"/>
      <c r="Y13" s="68"/>
      <c r="Z13" s="68"/>
    </row>
    <row r="14" spans="1:26" ht="12.75" hidden="1" outlineLevel="1" x14ac:dyDescent="0.2">
      <c r="A14" s="68"/>
      <c r="B14" s="86"/>
      <c r="C14" s="70" t="s">
        <v>113</v>
      </c>
      <c r="D14" s="284"/>
      <c r="E14" s="283"/>
      <c r="F14" s="283"/>
      <c r="G14" s="74" t="e">
        <f t="shared" si="0"/>
        <v>#DIV/0!</v>
      </c>
      <c r="H14" s="75" t="e">
        <f t="shared" si="1"/>
        <v>#DIV/0!</v>
      </c>
      <c r="I14" s="76" t="e">
        <f t="shared" si="2"/>
        <v>#DIV/0!</v>
      </c>
      <c r="J14" s="87">
        <v>145.63999999999999</v>
      </c>
      <c r="K14" s="199">
        <v>19906</v>
      </c>
      <c r="L14" s="283"/>
      <c r="M14" s="88">
        <v>319.75</v>
      </c>
      <c r="N14" s="79">
        <f t="shared" si="3"/>
        <v>0.45548084440969505</v>
      </c>
      <c r="O14" s="80">
        <f t="shared" si="4"/>
        <v>2.1954820104366934</v>
      </c>
      <c r="P14" s="79" t="e">
        <f t="shared" si="5"/>
        <v>#DIV/0!</v>
      </c>
      <c r="Q14" s="81" t="e">
        <f t="shared" si="6"/>
        <v>#DIV/0!</v>
      </c>
      <c r="R14" s="89">
        <f t="shared" si="7"/>
        <v>-319.75</v>
      </c>
      <c r="S14" s="83" t="e">
        <f t="shared" si="8"/>
        <v>#DIV/0!</v>
      </c>
      <c r="T14" s="84"/>
      <c r="U14" s="84"/>
      <c r="V14" s="84"/>
      <c r="W14" s="84"/>
      <c r="X14" s="85"/>
      <c r="Y14" s="68"/>
      <c r="Z14" s="68"/>
    </row>
    <row r="15" spans="1:26" ht="12.75" hidden="1" outlineLevel="1" x14ac:dyDescent="0.2">
      <c r="A15" s="68"/>
      <c r="B15" s="86"/>
      <c r="C15" s="70" t="s">
        <v>114</v>
      </c>
      <c r="D15" s="285"/>
      <c r="E15" s="283"/>
      <c r="F15" s="283"/>
      <c r="G15" s="74" t="e">
        <f t="shared" si="0"/>
        <v>#DIV/0!</v>
      </c>
      <c r="H15" s="75" t="e">
        <f t="shared" si="1"/>
        <v>#DIV/0!</v>
      </c>
      <c r="I15" s="76" t="e">
        <f t="shared" si="2"/>
        <v>#DIV/0!</v>
      </c>
      <c r="J15" s="90">
        <v>161.15</v>
      </c>
      <c r="K15" s="199">
        <v>19653</v>
      </c>
      <c r="L15" s="283"/>
      <c r="M15" s="91">
        <v>993.57</v>
      </c>
      <c r="N15" s="79">
        <f>(J15/M15)</f>
        <v>0.16219290034924563</v>
      </c>
      <c r="O15" s="80">
        <f t="shared" si="4"/>
        <v>6.165497983245424</v>
      </c>
      <c r="P15" s="79" t="e">
        <f t="shared" si="5"/>
        <v>#DIV/0!</v>
      </c>
      <c r="Q15" s="81" t="e">
        <f t="shared" si="6"/>
        <v>#DIV/0!</v>
      </c>
      <c r="R15" s="92">
        <f t="shared" si="7"/>
        <v>-993.57</v>
      </c>
      <c r="S15" s="83" t="e">
        <f t="shared" si="8"/>
        <v>#DIV/0!</v>
      </c>
      <c r="T15" s="84"/>
      <c r="U15" s="84"/>
      <c r="V15" s="84"/>
      <c r="W15" s="84"/>
      <c r="X15" s="85"/>
      <c r="Y15" s="68"/>
      <c r="Z15" s="68"/>
    </row>
    <row r="16" spans="1:26" ht="12.75" hidden="1" outlineLevel="1" x14ac:dyDescent="0.2">
      <c r="A16" s="68"/>
      <c r="B16" s="86"/>
      <c r="C16" s="70" t="s">
        <v>115</v>
      </c>
      <c r="D16" s="285"/>
      <c r="E16" s="283"/>
      <c r="F16" s="283"/>
      <c r="G16" s="74" t="e">
        <f t="shared" si="0"/>
        <v>#DIV/0!</v>
      </c>
      <c r="H16" s="75" t="e">
        <f t="shared" si="1"/>
        <v>#DIV/0!</v>
      </c>
      <c r="I16" s="76" t="e">
        <f t="shared" si="2"/>
        <v>#DIV/0!</v>
      </c>
      <c r="J16" s="90">
        <v>195.37</v>
      </c>
      <c r="K16" s="199">
        <v>28885</v>
      </c>
      <c r="L16" s="283"/>
      <c r="M16" s="91">
        <v>359.7</v>
      </c>
      <c r="N16" s="79">
        <f t="shared" ref="N16:N27" si="9">J16/M16</f>
        <v>0.54314706700027804</v>
      </c>
      <c r="O16" s="80">
        <f t="shared" si="4"/>
        <v>1.8411219736909452</v>
      </c>
      <c r="P16" s="79" t="e">
        <f t="shared" si="5"/>
        <v>#DIV/0!</v>
      </c>
      <c r="Q16" s="81" t="e">
        <f t="shared" si="6"/>
        <v>#DIV/0!</v>
      </c>
      <c r="R16" s="92">
        <f t="shared" si="7"/>
        <v>-359.7</v>
      </c>
      <c r="S16" s="83" t="e">
        <f t="shared" si="8"/>
        <v>#DIV/0!</v>
      </c>
      <c r="T16" s="84"/>
      <c r="U16" s="84"/>
      <c r="V16" s="84"/>
      <c r="W16" s="84"/>
      <c r="X16" s="85"/>
      <c r="Y16" s="68"/>
      <c r="Z16" s="68"/>
    </row>
    <row r="17" spans="1:26" ht="12.75" hidden="1" outlineLevel="1" x14ac:dyDescent="0.2">
      <c r="A17" s="68"/>
      <c r="B17" s="86"/>
      <c r="C17" s="70" t="s">
        <v>116</v>
      </c>
      <c r="D17" s="286"/>
      <c r="E17" s="283"/>
      <c r="F17" s="283"/>
      <c r="G17" s="74" t="e">
        <f t="shared" si="0"/>
        <v>#DIV/0!</v>
      </c>
      <c r="H17" s="75" t="e">
        <f t="shared" si="1"/>
        <v>#DIV/0!</v>
      </c>
      <c r="I17" s="76" t="e">
        <f t="shared" si="2"/>
        <v>#DIV/0!</v>
      </c>
      <c r="J17" s="200">
        <v>11.15</v>
      </c>
      <c r="K17" s="199">
        <v>1607</v>
      </c>
      <c r="L17" s="283"/>
      <c r="M17" s="200">
        <v>0</v>
      </c>
      <c r="N17" s="79" t="e">
        <f t="shared" si="9"/>
        <v>#DIV/0!</v>
      </c>
      <c r="O17" s="80">
        <f t="shared" si="4"/>
        <v>0</v>
      </c>
      <c r="P17" s="79" t="e">
        <f t="shared" si="5"/>
        <v>#DIV/0!</v>
      </c>
      <c r="Q17" s="81" t="e">
        <f t="shared" si="6"/>
        <v>#DIV/0!</v>
      </c>
      <c r="R17" s="92">
        <f t="shared" si="7"/>
        <v>0</v>
      </c>
      <c r="S17" s="83" t="e">
        <f t="shared" si="8"/>
        <v>#DIV/0!</v>
      </c>
      <c r="T17" s="84"/>
      <c r="U17" s="84"/>
      <c r="V17" s="84"/>
      <c r="W17" s="84"/>
      <c r="X17" s="85"/>
      <c r="Y17" s="68"/>
      <c r="Z17" s="68"/>
    </row>
    <row r="18" spans="1:26" ht="12.75" hidden="1" outlineLevel="1" x14ac:dyDescent="0.2">
      <c r="A18" s="68"/>
      <c r="B18" s="86"/>
      <c r="C18" s="70" t="s">
        <v>117</v>
      </c>
      <c r="D18" s="287"/>
      <c r="E18" s="283"/>
      <c r="F18" s="283"/>
      <c r="G18" s="74" t="e">
        <f t="shared" si="0"/>
        <v>#DIV/0!</v>
      </c>
      <c r="H18" s="75" t="e">
        <f t="shared" si="1"/>
        <v>#DIV/0!</v>
      </c>
      <c r="I18" s="76" t="e">
        <f t="shared" si="2"/>
        <v>#DIV/0!</v>
      </c>
      <c r="J18" s="201">
        <v>215.11</v>
      </c>
      <c r="K18" s="199">
        <v>27058</v>
      </c>
      <c r="L18" s="283"/>
      <c r="M18" s="202">
        <v>22.48</v>
      </c>
      <c r="N18" s="79">
        <f t="shared" si="9"/>
        <v>9.5689501779359443</v>
      </c>
      <c r="O18" s="80">
        <f t="shared" si="4"/>
        <v>0.10450467202826461</v>
      </c>
      <c r="P18" s="79" t="e">
        <f t="shared" si="5"/>
        <v>#DIV/0!</v>
      </c>
      <c r="Q18" s="81" t="e">
        <f t="shared" si="6"/>
        <v>#DIV/0!</v>
      </c>
      <c r="R18" s="203">
        <f t="shared" si="7"/>
        <v>-22.48</v>
      </c>
      <c r="S18" s="83" t="e">
        <f t="shared" si="8"/>
        <v>#DIV/0!</v>
      </c>
      <c r="T18" s="84"/>
      <c r="U18" s="84"/>
      <c r="V18" s="84"/>
      <c r="W18" s="84"/>
      <c r="X18" s="85"/>
      <c r="Y18" s="68"/>
      <c r="Z18" s="68"/>
    </row>
    <row r="19" spans="1:26" ht="12.75" hidden="1" outlineLevel="1" x14ac:dyDescent="0.2">
      <c r="A19" s="68"/>
      <c r="B19" s="86"/>
      <c r="C19" s="70" t="s">
        <v>118</v>
      </c>
      <c r="D19" s="285"/>
      <c r="E19" s="283"/>
      <c r="F19" s="283"/>
      <c r="G19" s="74" t="e">
        <f t="shared" si="0"/>
        <v>#DIV/0!</v>
      </c>
      <c r="H19" s="75" t="e">
        <f t="shared" si="1"/>
        <v>#DIV/0!</v>
      </c>
      <c r="I19" s="76" t="e">
        <f t="shared" si="2"/>
        <v>#DIV/0!</v>
      </c>
      <c r="J19" s="90">
        <v>452.36</v>
      </c>
      <c r="K19" s="199">
        <v>16814</v>
      </c>
      <c r="L19" s="283"/>
      <c r="M19" s="91">
        <v>1418.79</v>
      </c>
      <c r="N19" s="79">
        <f t="shared" si="9"/>
        <v>0.31883506368102399</v>
      </c>
      <c r="O19" s="80">
        <f t="shared" si="4"/>
        <v>3.1364178972499777</v>
      </c>
      <c r="P19" s="79" t="e">
        <f t="shared" si="5"/>
        <v>#DIV/0!</v>
      </c>
      <c r="Q19" s="81" t="e">
        <f t="shared" si="6"/>
        <v>#DIV/0!</v>
      </c>
      <c r="R19" s="92">
        <f t="shared" si="7"/>
        <v>-1418.79</v>
      </c>
      <c r="S19" s="83" t="e">
        <f t="shared" si="8"/>
        <v>#DIV/0!</v>
      </c>
      <c r="T19" s="84"/>
      <c r="U19" s="84"/>
      <c r="V19" s="84"/>
      <c r="W19" s="84"/>
      <c r="X19" s="85"/>
      <c r="Y19" s="68"/>
      <c r="Z19" s="68"/>
    </row>
    <row r="20" spans="1:26" ht="12.75" hidden="1" outlineLevel="1" x14ac:dyDescent="0.2">
      <c r="A20" s="68"/>
      <c r="B20" s="69" t="s">
        <v>37</v>
      </c>
      <c r="C20" s="70" t="s">
        <v>119</v>
      </c>
      <c r="D20" s="288"/>
      <c r="E20" s="283"/>
      <c r="F20" s="283"/>
      <c r="G20" s="74" t="e">
        <f t="shared" si="0"/>
        <v>#DIV/0!</v>
      </c>
      <c r="H20" s="75" t="e">
        <f t="shared" si="1"/>
        <v>#DIV/0!</v>
      </c>
      <c r="I20" s="76" t="e">
        <f t="shared" si="2"/>
        <v>#DIV/0!</v>
      </c>
      <c r="J20" s="93">
        <v>147.77000000000001</v>
      </c>
      <c r="K20" s="199">
        <v>6193</v>
      </c>
      <c r="L20" s="283"/>
      <c r="M20" s="94">
        <v>217.13</v>
      </c>
      <c r="N20" s="79">
        <f t="shared" si="9"/>
        <v>0.68056003315985825</v>
      </c>
      <c r="O20" s="80">
        <f t="shared" si="4"/>
        <v>1.4693780875685185</v>
      </c>
      <c r="P20" s="79" t="e">
        <f t="shared" si="5"/>
        <v>#DIV/0!</v>
      </c>
      <c r="Q20" s="81" t="e">
        <f t="shared" si="6"/>
        <v>#DIV/0!</v>
      </c>
      <c r="R20" s="95">
        <f t="shared" si="7"/>
        <v>-217.13</v>
      </c>
      <c r="S20" s="83" t="e">
        <f t="shared" si="8"/>
        <v>#DIV/0!</v>
      </c>
      <c r="T20" s="84"/>
      <c r="U20" s="84"/>
      <c r="V20" s="84"/>
      <c r="W20" s="84"/>
      <c r="X20" s="85"/>
      <c r="Y20" s="68"/>
      <c r="Z20" s="68"/>
    </row>
    <row r="21" spans="1:26" ht="12.75" hidden="1" outlineLevel="1" x14ac:dyDescent="0.2">
      <c r="A21" s="68"/>
      <c r="B21" s="86"/>
      <c r="C21" s="70" t="s">
        <v>120</v>
      </c>
      <c r="D21" s="289"/>
      <c r="E21" s="283"/>
      <c r="F21" s="283"/>
      <c r="G21" s="74" t="e">
        <f t="shared" si="0"/>
        <v>#DIV/0!</v>
      </c>
      <c r="H21" s="75" t="e">
        <f t="shared" si="1"/>
        <v>#DIV/0!</v>
      </c>
      <c r="I21" s="76" t="e">
        <f t="shared" si="2"/>
        <v>#DIV/0!</v>
      </c>
      <c r="J21" s="96">
        <v>1782.88</v>
      </c>
      <c r="K21" s="199">
        <v>165168</v>
      </c>
      <c r="L21" s="283"/>
      <c r="M21" s="97">
        <v>1677.74</v>
      </c>
      <c r="N21" s="79">
        <f t="shared" si="9"/>
        <v>1.0626676362249217</v>
      </c>
      <c r="O21" s="80">
        <f t="shared" si="4"/>
        <v>0.94102799964103023</v>
      </c>
      <c r="P21" s="79" t="e">
        <f t="shared" si="5"/>
        <v>#DIV/0!</v>
      </c>
      <c r="Q21" s="81" t="e">
        <f t="shared" si="6"/>
        <v>#DIV/0!</v>
      </c>
      <c r="R21" s="98">
        <f t="shared" si="7"/>
        <v>-1677.74</v>
      </c>
      <c r="S21" s="83" t="e">
        <f t="shared" si="8"/>
        <v>#DIV/0!</v>
      </c>
      <c r="T21" s="84"/>
      <c r="U21" s="84"/>
      <c r="V21" s="84"/>
      <c r="W21" s="84"/>
      <c r="X21" s="85"/>
      <c r="Y21" s="68"/>
      <c r="Z21" s="68"/>
    </row>
    <row r="22" spans="1:26" ht="12.75" hidden="1" outlineLevel="1" x14ac:dyDescent="0.2">
      <c r="A22" s="68"/>
      <c r="B22" s="86"/>
      <c r="C22" s="70" t="s">
        <v>121</v>
      </c>
      <c r="D22" s="290"/>
      <c r="E22" s="283"/>
      <c r="F22" s="283"/>
      <c r="G22" s="74" t="e">
        <f t="shared" si="0"/>
        <v>#DIV/0!</v>
      </c>
      <c r="H22" s="75" t="e">
        <f t="shared" si="1"/>
        <v>#DIV/0!</v>
      </c>
      <c r="I22" s="76" t="e">
        <f t="shared" si="2"/>
        <v>#DIV/0!</v>
      </c>
      <c r="J22" s="99">
        <v>128.19999999999999</v>
      </c>
      <c r="K22" s="199">
        <v>23119</v>
      </c>
      <c r="L22" s="283"/>
      <c r="M22" s="100">
        <v>427.86</v>
      </c>
      <c r="N22" s="79">
        <f t="shared" si="9"/>
        <v>0.29963072032907956</v>
      </c>
      <c r="O22" s="80">
        <f t="shared" si="4"/>
        <v>3.3374414976599067</v>
      </c>
      <c r="P22" s="79" t="e">
        <f t="shared" si="5"/>
        <v>#DIV/0!</v>
      </c>
      <c r="Q22" s="81" t="e">
        <f t="shared" si="6"/>
        <v>#DIV/0!</v>
      </c>
      <c r="R22" s="101">
        <f t="shared" si="7"/>
        <v>-427.86</v>
      </c>
      <c r="S22" s="83" t="e">
        <f t="shared" si="8"/>
        <v>#DIV/0!</v>
      </c>
      <c r="T22" s="84"/>
      <c r="U22" s="84"/>
      <c r="V22" s="84"/>
      <c r="W22" s="84"/>
      <c r="X22" s="85"/>
      <c r="Y22" s="68"/>
      <c r="Z22" s="68"/>
    </row>
    <row r="23" spans="1:26" ht="12.75" hidden="1" outlineLevel="1" x14ac:dyDescent="0.2">
      <c r="A23" s="68"/>
      <c r="B23" s="86"/>
      <c r="C23" s="70" t="s">
        <v>122</v>
      </c>
      <c r="D23" s="290"/>
      <c r="E23" s="283"/>
      <c r="F23" s="283"/>
      <c r="G23" s="291"/>
      <c r="H23" s="72"/>
      <c r="I23" s="292"/>
      <c r="J23" s="105">
        <v>440.24</v>
      </c>
      <c r="K23" s="199">
        <v>41970</v>
      </c>
      <c r="L23" s="283"/>
      <c r="M23" s="106">
        <v>3015.09</v>
      </c>
      <c r="N23" s="79">
        <f t="shared" si="9"/>
        <v>0.14601222517404122</v>
      </c>
      <c r="O23" s="80">
        <f t="shared" si="4"/>
        <v>6.848741595493367</v>
      </c>
      <c r="P23" s="79" t="e">
        <f t="shared" si="5"/>
        <v>#DIV/0!</v>
      </c>
      <c r="Q23" s="81" t="e">
        <f t="shared" si="6"/>
        <v>#DIV/0!</v>
      </c>
      <c r="R23" s="107">
        <f t="shared" si="7"/>
        <v>-3015.09</v>
      </c>
      <c r="S23" s="83" t="e">
        <f t="shared" si="8"/>
        <v>#DIV/0!</v>
      </c>
      <c r="T23" s="84"/>
      <c r="U23" s="84"/>
      <c r="V23" s="84"/>
      <c r="W23" s="84"/>
      <c r="X23" s="85"/>
      <c r="Y23" s="68"/>
      <c r="Z23" s="68"/>
    </row>
    <row r="24" spans="1:26" ht="12.75" hidden="1" outlineLevel="1" x14ac:dyDescent="0.2">
      <c r="A24" s="118" t="str">
        <f t="shared" ref="A24:A25" si="10">IFERROR(IF(B24&gt;0,MONTH(B24)&amp;"-"&amp;YEAR(B24),B24),)</f>
        <v>12-2025</v>
      </c>
      <c r="B24" s="69">
        <v>46018</v>
      </c>
      <c r="C24" s="70" t="s">
        <v>123</v>
      </c>
      <c r="D24" s="293"/>
      <c r="E24" s="283"/>
      <c r="F24" s="283"/>
      <c r="G24" s="74" t="e">
        <f t="shared" ref="G24:G35" si="11">E24/F24</f>
        <v>#DIV/0!</v>
      </c>
      <c r="H24" s="75" t="e">
        <f t="shared" ref="H24:H35" si="12">D24/E24</f>
        <v>#DIV/0!</v>
      </c>
      <c r="I24" s="76" t="e">
        <f t="shared" ref="I24:I35" si="13">H24/G24</f>
        <v>#DIV/0!</v>
      </c>
      <c r="J24" s="87">
        <v>0</v>
      </c>
      <c r="K24" s="199">
        <v>0</v>
      </c>
      <c r="L24" s="283"/>
      <c r="M24" s="88">
        <v>0</v>
      </c>
      <c r="N24" s="79" t="e">
        <f t="shared" si="9"/>
        <v>#DIV/0!</v>
      </c>
      <c r="O24" s="80" t="e">
        <f t="shared" si="4"/>
        <v>#DIV/0!</v>
      </c>
      <c r="P24" s="79" t="e">
        <f t="shared" si="5"/>
        <v>#DIV/0!</v>
      </c>
      <c r="Q24" s="81" t="e">
        <f t="shared" si="6"/>
        <v>#DIV/0!</v>
      </c>
      <c r="R24" s="82">
        <f t="shared" si="7"/>
        <v>0</v>
      </c>
      <c r="S24" s="83" t="e">
        <f t="shared" si="8"/>
        <v>#DIV/0!</v>
      </c>
      <c r="T24" s="84"/>
      <c r="U24" s="84"/>
      <c r="V24" s="84"/>
      <c r="W24" s="84"/>
      <c r="X24" s="85"/>
      <c r="Y24" s="68"/>
      <c r="Z24" s="68"/>
    </row>
    <row r="25" spans="1:26" ht="12.75" collapsed="1" x14ac:dyDescent="0.2">
      <c r="A25" s="68">
        <f t="shared" si="10"/>
        <v>0</v>
      </c>
      <c r="B25" s="119" t="s">
        <v>50</v>
      </c>
      <c r="C25" s="120"/>
      <c r="D25" s="121">
        <f t="shared" ref="D25:F25" si="14">SUM(D13:D24)</f>
        <v>0</v>
      </c>
      <c r="E25" s="123">
        <f t="shared" si="14"/>
        <v>0</v>
      </c>
      <c r="F25" s="123">
        <f t="shared" si="14"/>
        <v>0</v>
      </c>
      <c r="G25" s="124" t="e">
        <f t="shared" si="11"/>
        <v>#DIV/0!</v>
      </c>
      <c r="H25" s="125" t="e">
        <f t="shared" si="12"/>
        <v>#DIV/0!</v>
      </c>
      <c r="I25" s="126" t="e">
        <f t="shared" si="13"/>
        <v>#DIV/0!</v>
      </c>
      <c r="J25" s="121">
        <f t="shared" ref="J25:M25" si="15">SUM(J13:J24)</f>
        <v>6654.4400000000005</v>
      </c>
      <c r="K25" s="294">
        <f t="shared" si="15"/>
        <v>465451</v>
      </c>
      <c r="L25" s="123">
        <f t="shared" si="15"/>
        <v>0</v>
      </c>
      <c r="M25" s="127">
        <f t="shared" si="15"/>
        <v>18889.62</v>
      </c>
      <c r="N25" s="128">
        <f t="shared" si="9"/>
        <v>0.35228024703514421</v>
      </c>
      <c r="O25" s="129">
        <f t="shared" si="4"/>
        <v>2.8386490824171529</v>
      </c>
      <c r="P25" s="128" t="e">
        <f t="shared" si="5"/>
        <v>#DIV/0!</v>
      </c>
      <c r="Q25" s="130" t="e">
        <f t="shared" si="6"/>
        <v>#DIV/0!</v>
      </c>
      <c r="R25" s="131">
        <f>SUM(R13:R24)</f>
        <v>-18889.62</v>
      </c>
      <c r="S25" s="132" t="e">
        <f t="shared" si="8"/>
        <v>#DIV/0!</v>
      </c>
      <c r="T25" s="134">
        <f t="shared" ref="T25:U25" si="16">IFERROR((D25-#REF!)/D25,)</f>
        <v>0</v>
      </c>
      <c r="U25" s="134">
        <f t="shared" si="16"/>
        <v>0</v>
      </c>
      <c r="V25" s="134">
        <f t="shared" ref="V25:W25" si="17">IFERROR((D25-#REF!)/D25, )</f>
        <v>0</v>
      </c>
      <c r="W25" s="134">
        <f t="shared" si="17"/>
        <v>0</v>
      </c>
      <c r="X25" s="68"/>
      <c r="Y25" s="68"/>
      <c r="Z25" s="68"/>
    </row>
    <row r="26" spans="1:26" ht="12.75" hidden="1" outlineLevel="1" x14ac:dyDescent="0.2">
      <c r="A26" s="68"/>
      <c r="B26" s="69">
        <v>46019</v>
      </c>
      <c r="C26" s="70" t="s">
        <v>112</v>
      </c>
      <c r="D26" s="282"/>
      <c r="E26" s="283"/>
      <c r="F26" s="283"/>
      <c r="G26" s="74" t="e">
        <f t="shared" si="11"/>
        <v>#DIV/0!</v>
      </c>
      <c r="H26" s="75" t="e">
        <f t="shared" si="12"/>
        <v>#DIV/0!</v>
      </c>
      <c r="I26" s="76" t="e">
        <f t="shared" si="13"/>
        <v>#DIV/0!</v>
      </c>
      <c r="J26" s="77">
        <v>1881.73</v>
      </c>
      <c r="K26" s="199">
        <v>105735</v>
      </c>
      <c r="L26" s="283"/>
      <c r="M26" s="78">
        <v>7796.98</v>
      </c>
      <c r="N26" s="79">
        <f t="shared" si="9"/>
        <v>0.24134087813486763</v>
      </c>
      <c r="O26" s="80">
        <f t="shared" si="4"/>
        <v>4.1435168701142029</v>
      </c>
      <c r="P26" s="79" t="e">
        <f t="shared" si="5"/>
        <v>#DIV/0!</v>
      </c>
      <c r="Q26" s="81" t="e">
        <f t="shared" si="6"/>
        <v>#DIV/0!</v>
      </c>
      <c r="R26" s="82">
        <f t="shared" ref="R26:R37" si="18">D26-M26</f>
        <v>-7796.98</v>
      </c>
      <c r="S26" s="83" t="e">
        <f t="shared" si="8"/>
        <v>#DIV/0!</v>
      </c>
      <c r="T26" s="84"/>
      <c r="U26" s="84"/>
      <c r="V26" s="84"/>
      <c r="W26" s="84"/>
      <c r="X26" s="85"/>
      <c r="Y26" s="68"/>
      <c r="Z26" s="68"/>
    </row>
    <row r="27" spans="1:26" ht="12.75" hidden="1" outlineLevel="1" x14ac:dyDescent="0.2">
      <c r="A27" s="68"/>
      <c r="B27" s="86"/>
      <c r="C27" s="70" t="s">
        <v>113</v>
      </c>
      <c r="D27" s="284"/>
      <c r="E27" s="283"/>
      <c r="F27" s="283"/>
      <c r="G27" s="74" t="e">
        <f t="shared" si="11"/>
        <v>#DIV/0!</v>
      </c>
      <c r="H27" s="75" t="e">
        <f t="shared" si="12"/>
        <v>#DIV/0!</v>
      </c>
      <c r="I27" s="76" t="e">
        <f t="shared" si="13"/>
        <v>#DIV/0!</v>
      </c>
      <c r="J27" s="87">
        <v>121.46</v>
      </c>
      <c r="K27" s="199">
        <v>15074</v>
      </c>
      <c r="L27" s="283"/>
      <c r="M27" s="88">
        <v>509.6</v>
      </c>
      <c r="N27" s="79">
        <f t="shared" si="9"/>
        <v>0.23834379905808475</v>
      </c>
      <c r="O27" s="80">
        <f t="shared" si="4"/>
        <v>4.1956199571875521</v>
      </c>
      <c r="P27" s="79" t="e">
        <f t="shared" si="5"/>
        <v>#DIV/0!</v>
      </c>
      <c r="Q27" s="81" t="e">
        <f t="shared" si="6"/>
        <v>#DIV/0!</v>
      </c>
      <c r="R27" s="89">
        <f t="shared" si="18"/>
        <v>-509.6</v>
      </c>
      <c r="S27" s="83" t="e">
        <f t="shared" si="8"/>
        <v>#DIV/0!</v>
      </c>
      <c r="T27" s="84"/>
      <c r="U27" s="84"/>
      <c r="V27" s="84"/>
      <c r="W27" s="84"/>
      <c r="X27" s="85"/>
      <c r="Y27" s="68"/>
      <c r="Z27" s="68"/>
    </row>
    <row r="28" spans="1:26" ht="12.75" hidden="1" outlineLevel="1" x14ac:dyDescent="0.2">
      <c r="A28" s="68"/>
      <c r="B28" s="86"/>
      <c r="C28" s="70" t="s">
        <v>114</v>
      </c>
      <c r="D28" s="285"/>
      <c r="E28" s="283"/>
      <c r="F28" s="283"/>
      <c r="G28" s="74" t="e">
        <f t="shared" si="11"/>
        <v>#DIV/0!</v>
      </c>
      <c r="H28" s="75" t="e">
        <f t="shared" si="12"/>
        <v>#DIV/0!</v>
      </c>
      <c r="I28" s="76" t="e">
        <f t="shared" si="13"/>
        <v>#DIV/0!</v>
      </c>
      <c r="J28" s="90">
        <v>424.73</v>
      </c>
      <c r="K28" s="199">
        <v>66686</v>
      </c>
      <c r="L28" s="283"/>
      <c r="M28" s="91">
        <v>1592.61</v>
      </c>
      <c r="N28" s="79">
        <f>(J28/M28)</f>
        <v>0.26668801527053076</v>
      </c>
      <c r="O28" s="80">
        <f t="shared" si="4"/>
        <v>3.7496998092906075</v>
      </c>
      <c r="P28" s="79" t="e">
        <f t="shared" si="5"/>
        <v>#DIV/0!</v>
      </c>
      <c r="Q28" s="81" t="e">
        <f t="shared" si="6"/>
        <v>#DIV/0!</v>
      </c>
      <c r="R28" s="92">
        <f t="shared" si="18"/>
        <v>-1592.61</v>
      </c>
      <c r="S28" s="83" t="e">
        <f t="shared" si="8"/>
        <v>#DIV/0!</v>
      </c>
      <c r="T28" s="84"/>
      <c r="U28" s="84"/>
      <c r="V28" s="84"/>
      <c r="W28" s="84"/>
      <c r="X28" s="85"/>
      <c r="Y28" s="68"/>
      <c r="Z28" s="68"/>
    </row>
    <row r="29" spans="1:26" ht="12.75" hidden="1" outlineLevel="1" x14ac:dyDescent="0.2">
      <c r="A29" s="68"/>
      <c r="B29" s="86"/>
      <c r="C29" s="70" t="s">
        <v>115</v>
      </c>
      <c r="D29" s="285"/>
      <c r="E29" s="283"/>
      <c r="F29" s="283"/>
      <c r="G29" s="74" t="e">
        <f t="shared" si="11"/>
        <v>#DIV/0!</v>
      </c>
      <c r="H29" s="75" t="e">
        <f t="shared" si="12"/>
        <v>#DIV/0!</v>
      </c>
      <c r="I29" s="76" t="e">
        <f t="shared" si="13"/>
        <v>#DIV/0!</v>
      </c>
      <c r="J29" s="90">
        <v>78.849999999999994</v>
      </c>
      <c r="K29" s="199">
        <v>48745</v>
      </c>
      <c r="L29" s="283"/>
      <c r="M29" s="91">
        <v>182.85</v>
      </c>
      <c r="N29" s="79">
        <f t="shared" ref="N29:N40" si="19">J29/M29</f>
        <v>0.43122778233524744</v>
      </c>
      <c r="O29" s="80">
        <f t="shared" si="4"/>
        <v>2.3189600507292329</v>
      </c>
      <c r="P29" s="79" t="e">
        <f t="shared" si="5"/>
        <v>#DIV/0!</v>
      </c>
      <c r="Q29" s="81" t="e">
        <f t="shared" si="6"/>
        <v>#DIV/0!</v>
      </c>
      <c r="R29" s="92">
        <f t="shared" si="18"/>
        <v>-182.85</v>
      </c>
      <c r="S29" s="83" t="e">
        <f t="shared" si="8"/>
        <v>#DIV/0!</v>
      </c>
      <c r="T29" s="84"/>
      <c r="U29" s="84"/>
      <c r="V29" s="84"/>
      <c r="W29" s="84"/>
      <c r="X29" s="85"/>
      <c r="Y29" s="68"/>
      <c r="Z29" s="68"/>
    </row>
    <row r="30" spans="1:26" ht="12.75" hidden="1" outlineLevel="1" x14ac:dyDescent="0.2">
      <c r="A30" s="68"/>
      <c r="B30" s="86"/>
      <c r="C30" s="70" t="s">
        <v>116</v>
      </c>
      <c r="D30" s="286"/>
      <c r="E30" s="283"/>
      <c r="F30" s="283"/>
      <c r="G30" s="74" t="e">
        <f t="shared" si="11"/>
        <v>#DIV/0!</v>
      </c>
      <c r="H30" s="75" t="e">
        <f t="shared" si="12"/>
        <v>#DIV/0!</v>
      </c>
      <c r="I30" s="76" t="e">
        <f t="shared" si="13"/>
        <v>#DIV/0!</v>
      </c>
      <c r="J30" s="200">
        <v>228.46</v>
      </c>
      <c r="K30" s="199">
        <v>24816</v>
      </c>
      <c r="L30" s="283"/>
      <c r="M30" s="200">
        <v>959.68</v>
      </c>
      <c r="N30" s="79">
        <f t="shared" si="19"/>
        <v>0.2380585195065022</v>
      </c>
      <c r="O30" s="80">
        <f t="shared" si="4"/>
        <v>4.200647815810207</v>
      </c>
      <c r="P30" s="79" t="e">
        <f t="shared" si="5"/>
        <v>#DIV/0!</v>
      </c>
      <c r="Q30" s="81" t="e">
        <f t="shared" si="6"/>
        <v>#DIV/0!</v>
      </c>
      <c r="R30" s="92">
        <f t="shared" si="18"/>
        <v>-959.68</v>
      </c>
      <c r="S30" s="83" t="e">
        <f t="shared" si="8"/>
        <v>#DIV/0!</v>
      </c>
      <c r="T30" s="84"/>
      <c r="U30" s="84"/>
      <c r="V30" s="84"/>
      <c r="W30" s="84"/>
      <c r="X30" s="85"/>
      <c r="Y30" s="68"/>
      <c r="Z30" s="68"/>
    </row>
    <row r="31" spans="1:26" ht="12.75" hidden="1" outlineLevel="1" x14ac:dyDescent="0.2">
      <c r="A31" s="68"/>
      <c r="B31" s="86"/>
      <c r="C31" s="70" t="s">
        <v>117</v>
      </c>
      <c r="D31" s="287"/>
      <c r="E31" s="283"/>
      <c r="F31" s="283"/>
      <c r="G31" s="74" t="e">
        <f t="shared" si="11"/>
        <v>#DIV/0!</v>
      </c>
      <c r="H31" s="75" t="e">
        <f t="shared" si="12"/>
        <v>#DIV/0!</v>
      </c>
      <c r="I31" s="76" t="e">
        <f t="shared" si="13"/>
        <v>#DIV/0!</v>
      </c>
      <c r="J31" s="201">
        <v>33.909999999999997</v>
      </c>
      <c r="K31" s="199">
        <v>21585</v>
      </c>
      <c r="L31" s="283"/>
      <c r="M31" s="202">
        <v>22.48</v>
      </c>
      <c r="N31" s="79">
        <f t="shared" si="19"/>
        <v>1.5084519572953734</v>
      </c>
      <c r="O31" s="80">
        <f t="shared" si="4"/>
        <v>0.66293128870539675</v>
      </c>
      <c r="P31" s="79" t="e">
        <f t="shared" si="5"/>
        <v>#DIV/0!</v>
      </c>
      <c r="Q31" s="81" t="e">
        <f t="shared" si="6"/>
        <v>#DIV/0!</v>
      </c>
      <c r="R31" s="203">
        <f t="shared" si="18"/>
        <v>-22.48</v>
      </c>
      <c r="S31" s="83" t="e">
        <f t="shared" si="8"/>
        <v>#DIV/0!</v>
      </c>
      <c r="T31" s="84"/>
      <c r="U31" s="84"/>
      <c r="V31" s="84"/>
      <c r="W31" s="84"/>
      <c r="X31" s="85"/>
      <c r="Y31" s="68"/>
      <c r="Z31" s="68"/>
    </row>
    <row r="32" spans="1:26" ht="12.75" hidden="1" outlineLevel="1" x14ac:dyDescent="0.2">
      <c r="A32" s="68"/>
      <c r="B32" s="86"/>
      <c r="C32" s="70" t="s">
        <v>118</v>
      </c>
      <c r="D32" s="285"/>
      <c r="E32" s="283"/>
      <c r="F32" s="283"/>
      <c r="G32" s="74" t="e">
        <f t="shared" si="11"/>
        <v>#DIV/0!</v>
      </c>
      <c r="H32" s="75" t="e">
        <f t="shared" si="12"/>
        <v>#DIV/0!</v>
      </c>
      <c r="I32" s="76" t="e">
        <f t="shared" si="13"/>
        <v>#DIV/0!</v>
      </c>
      <c r="J32" s="90">
        <v>651.49</v>
      </c>
      <c r="K32" s="199">
        <v>29812</v>
      </c>
      <c r="L32" s="283"/>
      <c r="M32" s="91">
        <v>3259.38</v>
      </c>
      <c r="N32" s="79">
        <f t="shared" si="19"/>
        <v>0.1998815725690162</v>
      </c>
      <c r="O32" s="80">
        <f t="shared" si="4"/>
        <v>5.0029624399453558</v>
      </c>
      <c r="P32" s="79" t="e">
        <f t="shared" si="5"/>
        <v>#DIV/0!</v>
      </c>
      <c r="Q32" s="81" t="e">
        <f t="shared" si="6"/>
        <v>#DIV/0!</v>
      </c>
      <c r="R32" s="92">
        <f t="shared" si="18"/>
        <v>-3259.38</v>
      </c>
      <c r="S32" s="83" t="e">
        <f t="shared" si="8"/>
        <v>#DIV/0!</v>
      </c>
      <c r="T32" s="84"/>
      <c r="U32" s="84"/>
      <c r="V32" s="84"/>
      <c r="W32" s="84"/>
      <c r="X32" s="85"/>
      <c r="Y32" s="68"/>
      <c r="Z32" s="68"/>
    </row>
    <row r="33" spans="1:26" ht="12.75" hidden="1" outlineLevel="1" x14ac:dyDescent="0.2">
      <c r="A33" s="68"/>
      <c r="B33" s="69" t="s">
        <v>37</v>
      </c>
      <c r="C33" s="70" t="s">
        <v>119</v>
      </c>
      <c r="D33" s="288"/>
      <c r="E33" s="283"/>
      <c r="F33" s="283"/>
      <c r="G33" s="74" t="e">
        <f t="shared" si="11"/>
        <v>#DIV/0!</v>
      </c>
      <c r="H33" s="75" t="e">
        <f t="shared" si="12"/>
        <v>#DIV/0!</v>
      </c>
      <c r="I33" s="76" t="e">
        <f t="shared" si="13"/>
        <v>#DIV/0!</v>
      </c>
      <c r="J33" s="93">
        <v>29.45</v>
      </c>
      <c r="K33" s="199">
        <v>10095</v>
      </c>
      <c r="L33" s="283"/>
      <c r="M33" s="94">
        <v>717.79</v>
      </c>
      <c r="N33" s="79">
        <f t="shared" si="19"/>
        <v>4.10287131333677E-2</v>
      </c>
      <c r="O33" s="80">
        <f t="shared" si="4"/>
        <v>24.373174872665533</v>
      </c>
      <c r="P33" s="79" t="e">
        <f t="shared" si="5"/>
        <v>#DIV/0!</v>
      </c>
      <c r="Q33" s="81" t="e">
        <f t="shared" si="6"/>
        <v>#DIV/0!</v>
      </c>
      <c r="R33" s="95">
        <f t="shared" si="18"/>
        <v>-717.79</v>
      </c>
      <c r="S33" s="83" t="e">
        <f t="shared" si="8"/>
        <v>#DIV/0!</v>
      </c>
      <c r="T33" s="84"/>
      <c r="U33" s="84"/>
      <c r="V33" s="84"/>
      <c r="W33" s="84"/>
      <c r="X33" s="85"/>
      <c r="Y33" s="68"/>
      <c r="Z33" s="68"/>
    </row>
    <row r="34" spans="1:26" ht="12.75" hidden="1" outlineLevel="1" x14ac:dyDescent="0.2">
      <c r="A34" s="68"/>
      <c r="B34" s="86"/>
      <c r="C34" s="70" t="s">
        <v>120</v>
      </c>
      <c r="D34" s="289"/>
      <c r="E34" s="283"/>
      <c r="F34" s="283"/>
      <c r="G34" s="74" t="e">
        <f t="shared" si="11"/>
        <v>#DIV/0!</v>
      </c>
      <c r="H34" s="75" t="e">
        <f t="shared" si="12"/>
        <v>#DIV/0!</v>
      </c>
      <c r="I34" s="76" t="e">
        <f t="shared" si="13"/>
        <v>#DIV/0!</v>
      </c>
      <c r="J34" s="96">
        <v>888.27</v>
      </c>
      <c r="K34" s="199">
        <v>108458</v>
      </c>
      <c r="L34" s="283"/>
      <c r="M34" s="97">
        <v>662.4</v>
      </c>
      <c r="N34" s="79">
        <f t="shared" si="19"/>
        <v>1.3409873188405796</v>
      </c>
      <c r="O34" s="80">
        <f t="shared" si="4"/>
        <v>0.74571920699787231</v>
      </c>
      <c r="P34" s="79" t="e">
        <f t="shared" si="5"/>
        <v>#DIV/0!</v>
      </c>
      <c r="Q34" s="81" t="e">
        <f t="shared" si="6"/>
        <v>#DIV/0!</v>
      </c>
      <c r="R34" s="98">
        <f t="shared" si="18"/>
        <v>-662.4</v>
      </c>
      <c r="S34" s="83" t="e">
        <f t="shared" si="8"/>
        <v>#DIV/0!</v>
      </c>
      <c r="T34" s="84"/>
      <c r="U34" s="84"/>
      <c r="V34" s="84"/>
      <c r="W34" s="84"/>
      <c r="X34" s="85"/>
      <c r="Y34" s="68"/>
      <c r="Z34" s="68"/>
    </row>
    <row r="35" spans="1:26" ht="12.75" hidden="1" outlineLevel="1" x14ac:dyDescent="0.2">
      <c r="A35" s="68"/>
      <c r="B35" s="86"/>
      <c r="C35" s="70" t="s">
        <v>121</v>
      </c>
      <c r="D35" s="290"/>
      <c r="E35" s="283"/>
      <c r="F35" s="283"/>
      <c r="G35" s="74" t="e">
        <f t="shared" si="11"/>
        <v>#DIV/0!</v>
      </c>
      <c r="H35" s="75" t="e">
        <f t="shared" si="12"/>
        <v>#DIV/0!</v>
      </c>
      <c r="I35" s="76" t="e">
        <f t="shared" si="13"/>
        <v>#DIV/0!</v>
      </c>
      <c r="J35" s="99">
        <v>115.71</v>
      </c>
      <c r="K35" s="199">
        <v>20775</v>
      </c>
      <c r="L35" s="283"/>
      <c r="M35" s="100">
        <v>404.63</v>
      </c>
      <c r="N35" s="79">
        <f t="shared" si="19"/>
        <v>0.28596495563848451</v>
      </c>
      <c r="O35" s="80">
        <f t="shared" si="4"/>
        <v>3.4969319851352521</v>
      </c>
      <c r="P35" s="79" t="e">
        <f t="shared" si="5"/>
        <v>#DIV/0!</v>
      </c>
      <c r="Q35" s="81" t="e">
        <f t="shared" si="6"/>
        <v>#DIV/0!</v>
      </c>
      <c r="R35" s="101">
        <f t="shared" si="18"/>
        <v>-404.63</v>
      </c>
      <c r="S35" s="83" t="e">
        <f t="shared" si="8"/>
        <v>#DIV/0!</v>
      </c>
      <c r="T35" s="84"/>
      <c r="U35" s="84"/>
      <c r="V35" s="84"/>
      <c r="W35" s="84"/>
      <c r="X35" s="85"/>
      <c r="Y35" s="68"/>
      <c r="Z35" s="68"/>
    </row>
    <row r="36" spans="1:26" ht="12.75" hidden="1" outlineLevel="1" x14ac:dyDescent="0.2">
      <c r="A36" s="68"/>
      <c r="B36" s="86"/>
      <c r="C36" s="70" t="s">
        <v>122</v>
      </c>
      <c r="D36" s="290"/>
      <c r="E36" s="283"/>
      <c r="F36" s="283"/>
      <c r="G36" s="291"/>
      <c r="H36" s="72"/>
      <c r="I36" s="292"/>
      <c r="J36" s="105">
        <v>425.83</v>
      </c>
      <c r="K36" s="199">
        <v>55401</v>
      </c>
      <c r="L36" s="283"/>
      <c r="M36" s="106">
        <v>2105.6</v>
      </c>
      <c r="N36" s="79">
        <f t="shared" si="19"/>
        <v>0.20223689209726445</v>
      </c>
      <c r="O36" s="80">
        <f t="shared" si="4"/>
        <v>4.9446962402836814</v>
      </c>
      <c r="P36" s="79" t="e">
        <f t="shared" si="5"/>
        <v>#DIV/0!</v>
      </c>
      <c r="Q36" s="81" t="e">
        <f t="shared" si="6"/>
        <v>#DIV/0!</v>
      </c>
      <c r="R36" s="107">
        <f t="shared" si="18"/>
        <v>-2105.6</v>
      </c>
      <c r="S36" s="83" t="e">
        <f t="shared" si="8"/>
        <v>#DIV/0!</v>
      </c>
      <c r="T36" s="84"/>
      <c r="U36" s="84"/>
      <c r="V36" s="84"/>
      <c r="W36" s="84"/>
      <c r="X36" s="85"/>
      <c r="Y36" s="68"/>
      <c r="Z36" s="68"/>
    </row>
    <row r="37" spans="1:26" ht="12.75" hidden="1" outlineLevel="1" x14ac:dyDescent="0.2">
      <c r="A37" s="118" t="str">
        <f t="shared" ref="A37:A38" si="20">IFERROR(IF(B37&gt;0,MONTH(B37)&amp;"-"&amp;YEAR(B37),B37),)</f>
        <v>1-2026</v>
      </c>
      <c r="B37" s="69">
        <v>46025</v>
      </c>
      <c r="C37" s="70" t="s">
        <v>123</v>
      </c>
      <c r="D37" s="293"/>
      <c r="E37" s="283"/>
      <c r="F37" s="283"/>
      <c r="G37" s="74" t="e">
        <f t="shared" ref="G37:G48" si="21">E37/F37</f>
        <v>#DIV/0!</v>
      </c>
      <c r="H37" s="75" t="e">
        <f t="shared" ref="H37:H48" si="22">D37/E37</f>
        <v>#DIV/0!</v>
      </c>
      <c r="I37" s="76" t="e">
        <f t="shared" ref="I37:I48" si="23">H37/G37</f>
        <v>#DIV/0!</v>
      </c>
      <c r="J37" s="87">
        <v>0</v>
      </c>
      <c r="K37" s="199">
        <v>0</v>
      </c>
      <c r="L37" s="283"/>
      <c r="M37" s="88">
        <v>0</v>
      </c>
      <c r="N37" s="79" t="e">
        <f t="shared" si="19"/>
        <v>#DIV/0!</v>
      </c>
      <c r="O37" s="80" t="e">
        <f t="shared" si="4"/>
        <v>#DIV/0!</v>
      </c>
      <c r="P37" s="79" t="e">
        <f t="shared" si="5"/>
        <v>#DIV/0!</v>
      </c>
      <c r="Q37" s="81" t="e">
        <f t="shared" si="6"/>
        <v>#DIV/0!</v>
      </c>
      <c r="R37" s="82">
        <f t="shared" si="18"/>
        <v>0</v>
      </c>
      <c r="S37" s="83" t="e">
        <f t="shared" si="8"/>
        <v>#DIV/0!</v>
      </c>
      <c r="T37" s="84"/>
      <c r="U37" s="84"/>
      <c r="V37" s="84"/>
      <c r="W37" s="84"/>
      <c r="X37" s="85"/>
      <c r="Y37" s="68"/>
      <c r="Z37" s="68"/>
    </row>
    <row r="38" spans="1:26" ht="12.75" collapsed="1" x14ac:dyDescent="0.2">
      <c r="A38" s="68">
        <f t="shared" si="20"/>
        <v>0</v>
      </c>
      <c r="B38" s="119" t="s">
        <v>51</v>
      </c>
      <c r="C38" s="120"/>
      <c r="D38" s="121">
        <f t="shared" ref="D38:F38" si="24">SUM(D26:D37)</f>
        <v>0</v>
      </c>
      <c r="E38" s="123">
        <f t="shared" si="24"/>
        <v>0</v>
      </c>
      <c r="F38" s="123">
        <f t="shared" si="24"/>
        <v>0</v>
      </c>
      <c r="G38" s="124" t="e">
        <f t="shared" si="21"/>
        <v>#DIV/0!</v>
      </c>
      <c r="H38" s="125" t="e">
        <f t="shared" si="22"/>
        <v>#DIV/0!</v>
      </c>
      <c r="I38" s="126" t="e">
        <f t="shared" si="23"/>
        <v>#DIV/0!</v>
      </c>
      <c r="J38" s="121">
        <f t="shared" ref="J38:M38" si="25">SUM(J26:J37)</f>
        <v>4879.8900000000003</v>
      </c>
      <c r="K38" s="294">
        <f t="shared" si="25"/>
        <v>507182</v>
      </c>
      <c r="L38" s="123">
        <f t="shared" si="25"/>
        <v>0</v>
      </c>
      <c r="M38" s="127">
        <f t="shared" si="25"/>
        <v>18214</v>
      </c>
      <c r="N38" s="128">
        <f t="shared" si="19"/>
        <v>0.26791973207422864</v>
      </c>
      <c r="O38" s="129">
        <f t="shared" si="4"/>
        <v>3.7324611825266549</v>
      </c>
      <c r="P38" s="128" t="e">
        <f t="shared" si="5"/>
        <v>#DIV/0!</v>
      </c>
      <c r="Q38" s="130" t="e">
        <f t="shared" si="6"/>
        <v>#DIV/0!</v>
      </c>
      <c r="R38" s="131">
        <f>SUM(R26:R37)</f>
        <v>-18214</v>
      </c>
      <c r="S38" s="132" t="e">
        <f t="shared" si="8"/>
        <v>#DIV/0!</v>
      </c>
      <c r="T38" s="134">
        <f t="shared" ref="T38:U38" si="26">IFERROR((D38-#REF!)/D38,)</f>
        <v>0</v>
      </c>
      <c r="U38" s="134">
        <f t="shared" si="26"/>
        <v>0</v>
      </c>
      <c r="V38" s="134">
        <f t="shared" ref="V38:W38" si="27">IFERROR((D38-#REF!)/D38, )</f>
        <v>0</v>
      </c>
      <c r="W38" s="134">
        <f t="shared" si="27"/>
        <v>0</v>
      </c>
      <c r="X38" s="68"/>
      <c r="Y38" s="68"/>
      <c r="Z38" s="68"/>
    </row>
    <row r="39" spans="1:26" ht="12.75" hidden="1" outlineLevel="1" x14ac:dyDescent="0.2">
      <c r="A39" s="68"/>
      <c r="B39" s="69">
        <v>46026</v>
      </c>
      <c r="C39" s="70" t="s">
        <v>112</v>
      </c>
      <c r="D39" s="282"/>
      <c r="E39" s="283"/>
      <c r="F39" s="283"/>
      <c r="G39" s="74" t="e">
        <f t="shared" si="21"/>
        <v>#DIV/0!</v>
      </c>
      <c r="H39" s="75" t="e">
        <f t="shared" si="22"/>
        <v>#DIV/0!</v>
      </c>
      <c r="I39" s="76" t="e">
        <f t="shared" si="23"/>
        <v>#DIV/0!</v>
      </c>
      <c r="J39" s="77">
        <v>924.26</v>
      </c>
      <c r="K39" s="199">
        <v>92918</v>
      </c>
      <c r="L39" s="283"/>
      <c r="M39" s="78">
        <v>2364.44</v>
      </c>
      <c r="N39" s="79">
        <f t="shared" si="19"/>
        <v>0.3909001708649828</v>
      </c>
      <c r="O39" s="80">
        <f t="shared" si="4"/>
        <v>2.5581979096790946</v>
      </c>
      <c r="P39" s="79" t="e">
        <f t="shared" si="5"/>
        <v>#DIV/0!</v>
      </c>
      <c r="Q39" s="81" t="e">
        <f t="shared" si="6"/>
        <v>#DIV/0!</v>
      </c>
      <c r="R39" s="82">
        <f t="shared" ref="R39:R50" si="28">D39-M39</f>
        <v>-2364.44</v>
      </c>
      <c r="S39" s="83" t="e">
        <f t="shared" si="8"/>
        <v>#DIV/0!</v>
      </c>
      <c r="T39" s="84"/>
      <c r="U39" s="84"/>
      <c r="V39" s="84"/>
      <c r="W39" s="84"/>
      <c r="X39" s="85"/>
      <c r="Y39" s="68"/>
      <c r="Z39" s="68"/>
    </row>
    <row r="40" spans="1:26" ht="12.75" hidden="1" outlineLevel="1" x14ac:dyDescent="0.2">
      <c r="A40" s="68"/>
      <c r="B40" s="86"/>
      <c r="C40" s="70" t="s">
        <v>113</v>
      </c>
      <c r="D40" s="284"/>
      <c r="E40" s="283"/>
      <c r="F40" s="283"/>
      <c r="G40" s="74" t="e">
        <f t="shared" si="21"/>
        <v>#DIV/0!</v>
      </c>
      <c r="H40" s="75" t="e">
        <f t="shared" si="22"/>
        <v>#DIV/0!</v>
      </c>
      <c r="I40" s="76" t="e">
        <f t="shared" si="23"/>
        <v>#DIV/0!</v>
      </c>
      <c r="J40" s="87">
        <v>99.21</v>
      </c>
      <c r="K40" s="199">
        <v>12548</v>
      </c>
      <c r="L40" s="283"/>
      <c r="M40" s="88">
        <v>289.77</v>
      </c>
      <c r="N40" s="79">
        <f t="shared" si="19"/>
        <v>0.34237498705870173</v>
      </c>
      <c r="O40" s="80">
        <f t="shared" si="4"/>
        <v>2.9207741155125491</v>
      </c>
      <c r="P40" s="79" t="e">
        <f t="shared" si="5"/>
        <v>#DIV/0!</v>
      </c>
      <c r="Q40" s="81" t="e">
        <f t="shared" si="6"/>
        <v>#DIV/0!</v>
      </c>
      <c r="R40" s="89">
        <f t="shared" si="28"/>
        <v>-289.77</v>
      </c>
      <c r="S40" s="83" t="e">
        <f t="shared" si="8"/>
        <v>#DIV/0!</v>
      </c>
      <c r="T40" s="84"/>
      <c r="U40" s="84"/>
      <c r="V40" s="84"/>
      <c r="W40" s="84"/>
      <c r="X40" s="85"/>
      <c r="Y40" s="68"/>
      <c r="Z40" s="68"/>
    </row>
    <row r="41" spans="1:26" ht="12.75" hidden="1" outlineLevel="1" x14ac:dyDescent="0.2">
      <c r="A41" s="68"/>
      <c r="B41" s="86"/>
      <c r="C41" s="70" t="s">
        <v>114</v>
      </c>
      <c r="D41" s="285"/>
      <c r="E41" s="283"/>
      <c r="F41" s="283"/>
      <c r="G41" s="74" t="e">
        <f t="shared" si="21"/>
        <v>#DIV/0!</v>
      </c>
      <c r="H41" s="75" t="e">
        <f t="shared" si="22"/>
        <v>#DIV/0!</v>
      </c>
      <c r="I41" s="76" t="e">
        <f t="shared" si="23"/>
        <v>#DIV/0!</v>
      </c>
      <c r="J41" s="90">
        <v>408.49</v>
      </c>
      <c r="K41" s="199">
        <v>66262</v>
      </c>
      <c r="L41" s="283"/>
      <c r="M41" s="91">
        <v>1174.3499999999999</v>
      </c>
      <c r="N41" s="79">
        <f>(J41/M41)</f>
        <v>0.34784348788691621</v>
      </c>
      <c r="O41" s="80">
        <f t="shared" si="4"/>
        <v>2.8748561776298072</v>
      </c>
      <c r="P41" s="79" t="e">
        <f t="shared" si="5"/>
        <v>#DIV/0!</v>
      </c>
      <c r="Q41" s="81" t="e">
        <f t="shared" si="6"/>
        <v>#DIV/0!</v>
      </c>
      <c r="R41" s="92">
        <f t="shared" si="28"/>
        <v>-1174.3499999999999</v>
      </c>
      <c r="S41" s="83" t="e">
        <f t="shared" si="8"/>
        <v>#DIV/0!</v>
      </c>
      <c r="T41" s="84"/>
      <c r="U41" s="84"/>
      <c r="V41" s="84"/>
      <c r="W41" s="84"/>
      <c r="X41" s="85"/>
      <c r="Y41" s="68"/>
      <c r="Z41" s="68"/>
    </row>
    <row r="42" spans="1:26" ht="12.75" hidden="1" outlineLevel="1" x14ac:dyDescent="0.2">
      <c r="A42" s="68"/>
      <c r="B42" s="86"/>
      <c r="C42" s="70" t="s">
        <v>115</v>
      </c>
      <c r="D42" s="285"/>
      <c r="E42" s="283"/>
      <c r="F42" s="283"/>
      <c r="G42" s="74" t="e">
        <f t="shared" si="21"/>
        <v>#DIV/0!</v>
      </c>
      <c r="H42" s="75" t="e">
        <f t="shared" si="22"/>
        <v>#DIV/0!</v>
      </c>
      <c r="I42" s="76" t="e">
        <f t="shared" si="23"/>
        <v>#DIV/0!</v>
      </c>
      <c r="J42" s="90">
        <v>199.42</v>
      </c>
      <c r="K42" s="199">
        <v>37771</v>
      </c>
      <c r="L42" s="283"/>
      <c r="M42" s="91">
        <v>341.73</v>
      </c>
      <c r="N42" s="79">
        <f t="shared" ref="N42:N53" si="29">J42/M42</f>
        <v>0.58356012056301754</v>
      </c>
      <c r="O42" s="80">
        <f t="shared" si="4"/>
        <v>1.713619496539966</v>
      </c>
      <c r="P42" s="79" t="e">
        <f t="shared" si="5"/>
        <v>#DIV/0!</v>
      </c>
      <c r="Q42" s="81" t="e">
        <f t="shared" si="6"/>
        <v>#DIV/0!</v>
      </c>
      <c r="R42" s="92">
        <f t="shared" si="28"/>
        <v>-341.73</v>
      </c>
      <c r="S42" s="83" t="e">
        <f t="shared" si="8"/>
        <v>#DIV/0!</v>
      </c>
      <c r="T42" s="84"/>
      <c r="U42" s="84"/>
      <c r="V42" s="84"/>
      <c r="W42" s="84"/>
      <c r="X42" s="85"/>
      <c r="Y42" s="68"/>
      <c r="Z42" s="68"/>
    </row>
    <row r="43" spans="1:26" ht="12.75" hidden="1" outlineLevel="1" x14ac:dyDescent="0.2">
      <c r="A43" s="68"/>
      <c r="B43" s="86"/>
      <c r="C43" s="70" t="s">
        <v>116</v>
      </c>
      <c r="D43" s="286"/>
      <c r="E43" s="283"/>
      <c r="F43" s="283"/>
      <c r="G43" s="74" t="e">
        <f t="shared" si="21"/>
        <v>#DIV/0!</v>
      </c>
      <c r="H43" s="75" t="e">
        <f t="shared" si="22"/>
        <v>#DIV/0!</v>
      </c>
      <c r="I43" s="76" t="e">
        <f t="shared" si="23"/>
        <v>#DIV/0!</v>
      </c>
      <c r="J43" s="200">
        <v>177.71</v>
      </c>
      <c r="K43" s="199">
        <v>12538</v>
      </c>
      <c r="L43" s="283"/>
      <c r="M43" s="200">
        <v>719.76</v>
      </c>
      <c r="N43" s="79">
        <f t="shared" si="29"/>
        <v>0.24690174502611983</v>
      </c>
      <c r="O43" s="80">
        <f t="shared" si="4"/>
        <v>4.0501941365145457</v>
      </c>
      <c r="P43" s="79" t="e">
        <f t="shared" si="5"/>
        <v>#DIV/0!</v>
      </c>
      <c r="Q43" s="81" t="e">
        <f t="shared" si="6"/>
        <v>#DIV/0!</v>
      </c>
      <c r="R43" s="92">
        <f t="shared" si="28"/>
        <v>-719.76</v>
      </c>
      <c r="S43" s="83" t="e">
        <f t="shared" si="8"/>
        <v>#DIV/0!</v>
      </c>
      <c r="T43" s="84"/>
      <c r="U43" s="84"/>
      <c r="V43" s="84"/>
      <c r="W43" s="84"/>
      <c r="X43" s="85"/>
      <c r="Y43" s="68"/>
      <c r="Z43" s="68"/>
    </row>
    <row r="44" spans="1:26" ht="12.75" hidden="1" outlineLevel="1" x14ac:dyDescent="0.2">
      <c r="A44" s="68"/>
      <c r="B44" s="86"/>
      <c r="C44" s="70" t="s">
        <v>117</v>
      </c>
      <c r="D44" s="287"/>
      <c r="E44" s="283"/>
      <c r="F44" s="283"/>
      <c r="G44" s="74" t="e">
        <f t="shared" si="21"/>
        <v>#DIV/0!</v>
      </c>
      <c r="H44" s="75" t="e">
        <f t="shared" si="22"/>
        <v>#DIV/0!</v>
      </c>
      <c r="I44" s="76" t="e">
        <f t="shared" si="23"/>
        <v>#DIV/0!</v>
      </c>
      <c r="J44" s="201">
        <v>34.78</v>
      </c>
      <c r="K44" s="199">
        <v>6981</v>
      </c>
      <c r="L44" s="283"/>
      <c r="M44" s="202">
        <v>59.95</v>
      </c>
      <c r="N44" s="79">
        <f t="shared" si="29"/>
        <v>0.58015012510425357</v>
      </c>
      <c r="O44" s="80">
        <f t="shared" si="4"/>
        <v>1.7236917768832662</v>
      </c>
      <c r="P44" s="79" t="e">
        <f t="shared" si="5"/>
        <v>#DIV/0!</v>
      </c>
      <c r="Q44" s="81" t="e">
        <f t="shared" si="6"/>
        <v>#DIV/0!</v>
      </c>
      <c r="R44" s="203">
        <f t="shared" si="28"/>
        <v>-59.95</v>
      </c>
      <c r="S44" s="83" t="e">
        <f t="shared" si="8"/>
        <v>#DIV/0!</v>
      </c>
      <c r="T44" s="84"/>
      <c r="U44" s="84"/>
      <c r="V44" s="84"/>
      <c r="W44" s="84"/>
      <c r="X44" s="85"/>
      <c r="Y44" s="68"/>
      <c r="Z44" s="68"/>
    </row>
    <row r="45" spans="1:26" ht="12.75" hidden="1" outlineLevel="1" x14ac:dyDescent="0.2">
      <c r="A45" s="68"/>
      <c r="B45" s="86"/>
      <c r="C45" s="70" t="s">
        <v>118</v>
      </c>
      <c r="D45" s="285"/>
      <c r="E45" s="283"/>
      <c r="F45" s="283"/>
      <c r="G45" s="74" t="e">
        <f t="shared" si="21"/>
        <v>#DIV/0!</v>
      </c>
      <c r="H45" s="75" t="e">
        <f t="shared" si="22"/>
        <v>#DIV/0!</v>
      </c>
      <c r="I45" s="76" t="e">
        <f t="shared" si="23"/>
        <v>#DIV/0!</v>
      </c>
      <c r="J45" s="90">
        <v>769.05</v>
      </c>
      <c r="K45" s="199">
        <v>33201</v>
      </c>
      <c r="L45" s="283"/>
      <c r="M45" s="91">
        <v>1987.46</v>
      </c>
      <c r="N45" s="79">
        <f t="shared" si="29"/>
        <v>0.38695118392319844</v>
      </c>
      <c r="O45" s="80">
        <f t="shared" si="4"/>
        <v>2.5843053117482611</v>
      </c>
      <c r="P45" s="79" t="e">
        <f t="shared" si="5"/>
        <v>#DIV/0!</v>
      </c>
      <c r="Q45" s="81" t="e">
        <f t="shared" si="6"/>
        <v>#DIV/0!</v>
      </c>
      <c r="R45" s="92">
        <f t="shared" si="28"/>
        <v>-1987.46</v>
      </c>
      <c r="S45" s="83" t="e">
        <f t="shared" si="8"/>
        <v>#DIV/0!</v>
      </c>
      <c r="T45" s="84"/>
      <c r="U45" s="84"/>
      <c r="V45" s="84"/>
      <c r="W45" s="84"/>
      <c r="X45" s="85"/>
      <c r="Y45" s="68"/>
      <c r="Z45" s="68"/>
    </row>
    <row r="46" spans="1:26" ht="12.75" hidden="1" outlineLevel="1" x14ac:dyDescent="0.2">
      <c r="A46" s="68"/>
      <c r="B46" s="69" t="s">
        <v>37</v>
      </c>
      <c r="C46" s="70" t="s">
        <v>119</v>
      </c>
      <c r="D46" s="288"/>
      <c r="E46" s="283"/>
      <c r="F46" s="283"/>
      <c r="G46" s="74" t="e">
        <f t="shared" si="21"/>
        <v>#DIV/0!</v>
      </c>
      <c r="H46" s="75" t="e">
        <f t="shared" si="22"/>
        <v>#DIV/0!</v>
      </c>
      <c r="I46" s="76" t="e">
        <f t="shared" si="23"/>
        <v>#DIV/0!</v>
      </c>
      <c r="J46" s="93">
        <v>367.79</v>
      </c>
      <c r="K46" s="199">
        <v>12648</v>
      </c>
      <c r="L46" s="283"/>
      <c r="M46" s="94">
        <v>880.74</v>
      </c>
      <c r="N46" s="79">
        <f t="shared" si="29"/>
        <v>0.41759202488816227</v>
      </c>
      <c r="O46" s="80">
        <f t="shared" si="4"/>
        <v>2.3946817477364801</v>
      </c>
      <c r="P46" s="79" t="e">
        <f t="shared" si="5"/>
        <v>#DIV/0!</v>
      </c>
      <c r="Q46" s="81" t="e">
        <f t="shared" si="6"/>
        <v>#DIV/0!</v>
      </c>
      <c r="R46" s="95">
        <f t="shared" si="28"/>
        <v>-880.74</v>
      </c>
      <c r="S46" s="83" t="e">
        <f t="shared" si="8"/>
        <v>#DIV/0!</v>
      </c>
      <c r="T46" s="84"/>
      <c r="U46" s="84"/>
      <c r="V46" s="84"/>
      <c r="W46" s="84"/>
      <c r="X46" s="85"/>
      <c r="Y46" s="68"/>
      <c r="Z46" s="68"/>
    </row>
    <row r="47" spans="1:26" ht="12.75" hidden="1" outlineLevel="1" x14ac:dyDescent="0.2">
      <c r="A47" s="68"/>
      <c r="B47" s="86"/>
      <c r="C47" s="70" t="s">
        <v>120</v>
      </c>
      <c r="D47" s="289"/>
      <c r="E47" s="283"/>
      <c r="F47" s="283"/>
      <c r="G47" s="74" t="e">
        <f t="shared" si="21"/>
        <v>#DIV/0!</v>
      </c>
      <c r="H47" s="75" t="e">
        <f t="shared" si="22"/>
        <v>#DIV/0!</v>
      </c>
      <c r="I47" s="76" t="e">
        <f t="shared" si="23"/>
        <v>#DIV/0!</v>
      </c>
      <c r="J47" s="96">
        <v>368.21</v>
      </c>
      <c r="K47" s="199">
        <v>38567</v>
      </c>
      <c r="L47" s="283"/>
      <c r="M47" s="97">
        <v>0</v>
      </c>
      <c r="N47" s="79" t="e">
        <f t="shared" si="29"/>
        <v>#DIV/0!</v>
      </c>
      <c r="O47" s="80">
        <f t="shared" si="4"/>
        <v>0</v>
      </c>
      <c r="P47" s="79" t="e">
        <f t="shared" si="5"/>
        <v>#DIV/0!</v>
      </c>
      <c r="Q47" s="81" t="e">
        <f t="shared" si="6"/>
        <v>#DIV/0!</v>
      </c>
      <c r="R47" s="98">
        <f t="shared" si="28"/>
        <v>0</v>
      </c>
      <c r="S47" s="83" t="e">
        <f t="shared" si="8"/>
        <v>#DIV/0!</v>
      </c>
      <c r="T47" s="84"/>
      <c r="U47" s="84"/>
      <c r="V47" s="84"/>
      <c r="W47" s="84"/>
      <c r="X47" s="85"/>
      <c r="Y47" s="68"/>
      <c r="Z47" s="68"/>
    </row>
    <row r="48" spans="1:26" ht="12.75" hidden="1" outlineLevel="1" x14ac:dyDescent="0.2">
      <c r="A48" s="68"/>
      <c r="B48" s="86"/>
      <c r="C48" s="70" t="s">
        <v>121</v>
      </c>
      <c r="D48" s="290"/>
      <c r="E48" s="283"/>
      <c r="F48" s="283"/>
      <c r="G48" s="74" t="e">
        <f t="shared" si="21"/>
        <v>#DIV/0!</v>
      </c>
      <c r="H48" s="75" t="e">
        <f t="shared" si="22"/>
        <v>#DIV/0!</v>
      </c>
      <c r="I48" s="76" t="e">
        <f t="shared" si="23"/>
        <v>#DIV/0!</v>
      </c>
      <c r="J48" s="99">
        <v>129.94</v>
      </c>
      <c r="K48" s="199">
        <v>21209</v>
      </c>
      <c r="L48" s="283"/>
      <c r="M48" s="100">
        <v>369.6</v>
      </c>
      <c r="N48" s="79">
        <f t="shared" si="29"/>
        <v>0.35156926406926403</v>
      </c>
      <c r="O48" s="80">
        <f t="shared" si="4"/>
        <v>2.8443897183315379</v>
      </c>
      <c r="P48" s="79" t="e">
        <f t="shared" si="5"/>
        <v>#DIV/0!</v>
      </c>
      <c r="Q48" s="81" t="e">
        <f t="shared" si="6"/>
        <v>#DIV/0!</v>
      </c>
      <c r="R48" s="101">
        <f t="shared" si="28"/>
        <v>-369.6</v>
      </c>
      <c r="S48" s="83" t="e">
        <f t="shared" si="8"/>
        <v>#DIV/0!</v>
      </c>
      <c r="T48" s="84"/>
      <c r="U48" s="84"/>
      <c r="V48" s="84"/>
      <c r="W48" s="84"/>
      <c r="X48" s="85"/>
      <c r="Y48" s="68"/>
      <c r="Z48" s="68"/>
    </row>
    <row r="49" spans="1:26" ht="12.75" hidden="1" outlineLevel="1" x14ac:dyDescent="0.2">
      <c r="A49" s="68"/>
      <c r="B49" s="86"/>
      <c r="C49" s="70" t="s">
        <v>122</v>
      </c>
      <c r="D49" s="290"/>
      <c r="E49" s="283"/>
      <c r="F49" s="283"/>
      <c r="G49" s="291"/>
      <c r="H49" s="72"/>
      <c r="I49" s="292"/>
      <c r="J49" s="105">
        <v>449.36</v>
      </c>
      <c r="K49" s="199">
        <v>44217</v>
      </c>
      <c r="L49" s="283"/>
      <c r="M49" s="106">
        <v>1479.7</v>
      </c>
      <c r="N49" s="79">
        <f t="shared" si="29"/>
        <v>0.30368317902277486</v>
      </c>
      <c r="O49" s="80">
        <f t="shared" si="4"/>
        <v>3.2929054655510059</v>
      </c>
      <c r="P49" s="79" t="e">
        <f t="shared" si="5"/>
        <v>#DIV/0!</v>
      </c>
      <c r="Q49" s="81" t="e">
        <f t="shared" si="6"/>
        <v>#DIV/0!</v>
      </c>
      <c r="R49" s="107">
        <f t="shared" si="28"/>
        <v>-1479.7</v>
      </c>
      <c r="S49" s="83" t="e">
        <f t="shared" si="8"/>
        <v>#DIV/0!</v>
      </c>
      <c r="T49" s="84"/>
      <c r="U49" s="84"/>
      <c r="V49" s="84"/>
      <c r="W49" s="84"/>
      <c r="X49" s="85"/>
      <c r="Y49" s="68"/>
      <c r="Z49" s="68"/>
    </row>
    <row r="50" spans="1:26" ht="12.75" hidden="1" outlineLevel="1" x14ac:dyDescent="0.2">
      <c r="A50" s="118" t="str">
        <f t="shared" ref="A50:A51" si="30">IFERROR(IF(B50&gt;0,MONTH(B50)&amp;"-"&amp;YEAR(B50),B50),)</f>
        <v>1-2026</v>
      </c>
      <c r="B50" s="69">
        <v>46032</v>
      </c>
      <c r="C50" s="70" t="s">
        <v>123</v>
      </c>
      <c r="D50" s="293"/>
      <c r="E50" s="283"/>
      <c r="F50" s="283"/>
      <c r="G50" s="74" t="e">
        <f t="shared" ref="G50:G61" si="31">E50/F50</f>
        <v>#DIV/0!</v>
      </c>
      <c r="H50" s="75" t="e">
        <f t="shared" ref="H50:H61" si="32">D50/E50</f>
        <v>#DIV/0!</v>
      </c>
      <c r="I50" s="76" t="e">
        <f t="shared" ref="I50:I61" si="33">H50/G50</f>
        <v>#DIV/0!</v>
      </c>
      <c r="J50" s="87">
        <v>0</v>
      </c>
      <c r="K50" s="199">
        <v>0</v>
      </c>
      <c r="L50" s="283"/>
      <c r="M50" s="88">
        <v>0</v>
      </c>
      <c r="N50" s="79" t="e">
        <f t="shared" si="29"/>
        <v>#DIV/0!</v>
      </c>
      <c r="O50" s="80" t="e">
        <f t="shared" si="4"/>
        <v>#DIV/0!</v>
      </c>
      <c r="P50" s="79" t="e">
        <f t="shared" si="5"/>
        <v>#DIV/0!</v>
      </c>
      <c r="Q50" s="81" t="e">
        <f t="shared" si="6"/>
        <v>#DIV/0!</v>
      </c>
      <c r="R50" s="82">
        <f t="shared" si="28"/>
        <v>0</v>
      </c>
      <c r="S50" s="83" t="e">
        <f t="shared" si="8"/>
        <v>#DIV/0!</v>
      </c>
      <c r="T50" s="84"/>
      <c r="U50" s="84"/>
      <c r="V50" s="84"/>
      <c r="W50" s="84"/>
      <c r="X50" s="85"/>
      <c r="Y50" s="68"/>
      <c r="Z50" s="68"/>
    </row>
    <row r="51" spans="1:26" ht="12.75" collapsed="1" x14ac:dyDescent="0.2">
      <c r="A51" s="68">
        <f t="shared" si="30"/>
        <v>0</v>
      </c>
      <c r="B51" s="119" t="s">
        <v>52</v>
      </c>
      <c r="C51" s="120"/>
      <c r="D51" s="121">
        <f t="shared" ref="D51:F51" si="34">SUM(D39:D50)</f>
        <v>0</v>
      </c>
      <c r="E51" s="123">
        <f t="shared" si="34"/>
        <v>0</v>
      </c>
      <c r="F51" s="123">
        <f t="shared" si="34"/>
        <v>0</v>
      </c>
      <c r="G51" s="124" t="e">
        <f t="shared" si="31"/>
        <v>#DIV/0!</v>
      </c>
      <c r="H51" s="125" t="e">
        <f t="shared" si="32"/>
        <v>#DIV/0!</v>
      </c>
      <c r="I51" s="126" t="e">
        <f t="shared" si="33"/>
        <v>#DIV/0!</v>
      </c>
      <c r="J51" s="121">
        <f t="shared" ref="J51:M51" si="35">SUM(J39:J50)</f>
        <v>3928.2200000000003</v>
      </c>
      <c r="K51" s="294">
        <f t="shared" si="35"/>
        <v>378860</v>
      </c>
      <c r="L51" s="123">
        <f t="shared" si="35"/>
        <v>0</v>
      </c>
      <c r="M51" s="127">
        <f t="shared" si="35"/>
        <v>9667.5</v>
      </c>
      <c r="N51" s="128">
        <f t="shared" si="29"/>
        <v>0.40633255753814329</v>
      </c>
      <c r="O51" s="129">
        <f t="shared" si="4"/>
        <v>2.4610383328835961</v>
      </c>
      <c r="P51" s="128" t="e">
        <f t="shared" si="5"/>
        <v>#DIV/0!</v>
      </c>
      <c r="Q51" s="130" t="e">
        <f t="shared" si="6"/>
        <v>#DIV/0!</v>
      </c>
      <c r="R51" s="131">
        <f>SUM(R39:R50)</f>
        <v>-9667.5</v>
      </c>
      <c r="S51" s="132" t="e">
        <f t="shared" si="8"/>
        <v>#DIV/0!</v>
      </c>
      <c r="T51" s="134">
        <f t="shared" ref="T51:U51" si="36">IFERROR((D51-#REF!)/D51,)</f>
        <v>0</v>
      </c>
      <c r="U51" s="134">
        <f t="shared" si="36"/>
        <v>0</v>
      </c>
      <c r="V51" s="134">
        <f t="shared" ref="V51:W51" si="37">IFERROR((D51-#REF!)/D51, )</f>
        <v>0</v>
      </c>
      <c r="W51" s="134">
        <f t="shared" si="37"/>
        <v>0</v>
      </c>
      <c r="X51" s="68"/>
      <c r="Y51" s="68"/>
      <c r="Z51" s="68"/>
    </row>
    <row r="52" spans="1:26" ht="12.75" hidden="1" outlineLevel="1" x14ac:dyDescent="0.2">
      <c r="A52" s="68"/>
      <c r="B52" s="69">
        <v>46033</v>
      </c>
      <c r="C52" s="70" t="s">
        <v>112</v>
      </c>
      <c r="D52" s="282"/>
      <c r="E52" s="283"/>
      <c r="F52" s="283"/>
      <c r="G52" s="74" t="e">
        <f t="shared" si="31"/>
        <v>#DIV/0!</v>
      </c>
      <c r="H52" s="75" t="e">
        <f t="shared" si="32"/>
        <v>#DIV/0!</v>
      </c>
      <c r="I52" s="76" t="e">
        <f t="shared" si="33"/>
        <v>#DIV/0!</v>
      </c>
      <c r="J52" s="77">
        <v>736.7</v>
      </c>
      <c r="K52" s="199">
        <v>80068</v>
      </c>
      <c r="L52" s="283"/>
      <c r="M52" s="78">
        <v>156.9</v>
      </c>
      <c r="N52" s="79">
        <f t="shared" si="29"/>
        <v>4.6953473550031868</v>
      </c>
      <c r="O52" s="80">
        <f t="shared" si="4"/>
        <v>0.21297678838061626</v>
      </c>
      <c r="P52" s="79" t="e">
        <f t="shared" si="5"/>
        <v>#DIV/0!</v>
      </c>
      <c r="Q52" s="81" t="e">
        <f t="shared" si="6"/>
        <v>#DIV/0!</v>
      </c>
      <c r="R52" s="82">
        <f t="shared" ref="R52:R63" si="38">D52-M52</f>
        <v>-156.9</v>
      </c>
      <c r="S52" s="83" t="e">
        <f t="shared" si="8"/>
        <v>#DIV/0!</v>
      </c>
      <c r="T52" s="84"/>
      <c r="U52" s="84"/>
      <c r="V52" s="84"/>
      <c r="W52" s="84"/>
      <c r="X52" s="85"/>
      <c r="Y52" s="68"/>
      <c r="Z52" s="68"/>
    </row>
    <row r="53" spans="1:26" ht="12.75" hidden="1" outlineLevel="1" x14ac:dyDescent="0.2">
      <c r="A53" s="68"/>
      <c r="B53" s="86"/>
      <c r="C53" s="70" t="s">
        <v>113</v>
      </c>
      <c r="D53" s="284"/>
      <c r="E53" s="283"/>
      <c r="F53" s="283"/>
      <c r="G53" s="74" t="e">
        <f t="shared" si="31"/>
        <v>#DIV/0!</v>
      </c>
      <c r="H53" s="75" t="e">
        <f t="shared" si="32"/>
        <v>#DIV/0!</v>
      </c>
      <c r="I53" s="76" t="e">
        <f t="shared" si="33"/>
        <v>#DIV/0!</v>
      </c>
      <c r="J53" s="87">
        <v>96.57</v>
      </c>
      <c r="K53" s="199">
        <v>12707</v>
      </c>
      <c r="L53" s="283"/>
      <c r="M53" s="88">
        <v>489.6</v>
      </c>
      <c r="N53" s="79">
        <f t="shared" si="29"/>
        <v>0.19724264705882349</v>
      </c>
      <c r="O53" s="80">
        <f t="shared" si="4"/>
        <v>5.0698974836905881</v>
      </c>
      <c r="P53" s="79" t="e">
        <f t="shared" si="5"/>
        <v>#DIV/0!</v>
      </c>
      <c r="Q53" s="81" t="e">
        <f t="shared" si="6"/>
        <v>#DIV/0!</v>
      </c>
      <c r="R53" s="89">
        <f t="shared" si="38"/>
        <v>-489.6</v>
      </c>
      <c r="S53" s="83" t="e">
        <f t="shared" si="8"/>
        <v>#DIV/0!</v>
      </c>
      <c r="T53" s="84"/>
      <c r="U53" s="84"/>
      <c r="V53" s="84"/>
      <c r="W53" s="84"/>
      <c r="X53" s="85"/>
      <c r="Y53" s="68"/>
      <c r="Z53" s="68"/>
    </row>
    <row r="54" spans="1:26" ht="12.75" hidden="1" outlineLevel="1" x14ac:dyDescent="0.2">
      <c r="A54" s="68"/>
      <c r="B54" s="86"/>
      <c r="C54" s="70" t="s">
        <v>114</v>
      </c>
      <c r="D54" s="285"/>
      <c r="E54" s="283"/>
      <c r="F54" s="283"/>
      <c r="G54" s="74" t="e">
        <f t="shared" si="31"/>
        <v>#DIV/0!</v>
      </c>
      <c r="H54" s="75" t="e">
        <f t="shared" si="32"/>
        <v>#DIV/0!</v>
      </c>
      <c r="I54" s="76" t="e">
        <f t="shared" si="33"/>
        <v>#DIV/0!</v>
      </c>
      <c r="J54" s="90">
        <v>320.23</v>
      </c>
      <c r="K54" s="199">
        <v>63070</v>
      </c>
      <c r="L54" s="283"/>
      <c r="M54" s="91">
        <v>1010.85</v>
      </c>
      <c r="N54" s="79">
        <f>(J54/M54)</f>
        <v>0.31679279814017908</v>
      </c>
      <c r="O54" s="80">
        <f t="shared" si="4"/>
        <v>3.156637416856634</v>
      </c>
      <c r="P54" s="79" t="e">
        <f t="shared" si="5"/>
        <v>#DIV/0!</v>
      </c>
      <c r="Q54" s="81" t="e">
        <f t="shared" si="6"/>
        <v>#DIV/0!</v>
      </c>
      <c r="R54" s="92">
        <f t="shared" si="38"/>
        <v>-1010.85</v>
      </c>
      <c r="S54" s="83" t="e">
        <f t="shared" si="8"/>
        <v>#DIV/0!</v>
      </c>
      <c r="T54" s="84"/>
      <c r="U54" s="84"/>
      <c r="V54" s="84"/>
      <c r="W54" s="84"/>
      <c r="X54" s="85"/>
      <c r="Y54" s="68"/>
      <c r="Z54" s="68"/>
    </row>
    <row r="55" spans="1:26" ht="12.75" hidden="1" outlineLevel="1" x14ac:dyDescent="0.2">
      <c r="A55" s="68"/>
      <c r="B55" s="86"/>
      <c r="C55" s="70" t="s">
        <v>115</v>
      </c>
      <c r="D55" s="285"/>
      <c r="E55" s="283"/>
      <c r="F55" s="283"/>
      <c r="G55" s="74" t="e">
        <f t="shared" si="31"/>
        <v>#DIV/0!</v>
      </c>
      <c r="H55" s="75" t="e">
        <f t="shared" si="32"/>
        <v>#DIV/0!</v>
      </c>
      <c r="I55" s="76" t="e">
        <f t="shared" si="33"/>
        <v>#DIV/0!</v>
      </c>
      <c r="J55" s="90">
        <v>539.59</v>
      </c>
      <c r="K55" s="199">
        <v>59054</v>
      </c>
      <c r="L55" s="283"/>
      <c r="M55" s="91">
        <v>608.5</v>
      </c>
      <c r="N55" s="79">
        <f t="shared" ref="N55:N66" si="39">J55/M55</f>
        <v>0.88675431388660642</v>
      </c>
      <c r="O55" s="80">
        <f t="shared" si="4"/>
        <v>1.1277080746492707</v>
      </c>
      <c r="P55" s="79" t="e">
        <f t="shared" si="5"/>
        <v>#DIV/0!</v>
      </c>
      <c r="Q55" s="81" t="e">
        <f t="shared" si="6"/>
        <v>#DIV/0!</v>
      </c>
      <c r="R55" s="92">
        <f t="shared" si="38"/>
        <v>-608.5</v>
      </c>
      <c r="S55" s="83" t="e">
        <f t="shared" si="8"/>
        <v>#DIV/0!</v>
      </c>
      <c r="T55" s="84"/>
      <c r="U55" s="84"/>
      <c r="V55" s="84"/>
      <c r="W55" s="84"/>
      <c r="X55" s="85"/>
      <c r="Y55" s="68"/>
      <c r="Z55" s="68"/>
    </row>
    <row r="56" spans="1:26" ht="12.75" hidden="1" outlineLevel="1" x14ac:dyDescent="0.2">
      <c r="A56" s="68"/>
      <c r="B56" s="86"/>
      <c r="C56" s="70" t="s">
        <v>116</v>
      </c>
      <c r="D56" s="286"/>
      <c r="E56" s="283"/>
      <c r="F56" s="283"/>
      <c r="G56" s="74" t="e">
        <f t="shared" si="31"/>
        <v>#DIV/0!</v>
      </c>
      <c r="H56" s="75" t="e">
        <f t="shared" si="32"/>
        <v>#DIV/0!</v>
      </c>
      <c r="I56" s="76" t="e">
        <f t="shared" si="33"/>
        <v>#DIV/0!</v>
      </c>
      <c r="J56" s="200">
        <v>109.83</v>
      </c>
      <c r="K56" s="199">
        <v>9248</v>
      </c>
      <c r="L56" s="283"/>
      <c r="M56" s="200">
        <v>599.79999999999995</v>
      </c>
      <c r="N56" s="79">
        <f t="shared" si="39"/>
        <v>0.18311103701233747</v>
      </c>
      <c r="O56" s="80">
        <f t="shared" si="4"/>
        <v>5.4611672584903941</v>
      </c>
      <c r="P56" s="79" t="e">
        <f t="shared" si="5"/>
        <v>#DIV/0!</v>
      </c>
      <c r="Q56" s="81" t="e">
        <f t="shared" si="6"/>
        <v>#DIV/0!</v>
      </c>
      <c r="R56" s="92">
        <f t="shared" si="38"/>
        <v>-599.79999999999995</v>
      </c>
      <c r="S56" s="83" t="e">
        <f t="shared" si="8"/>
        <v>#DIV/0!</v>
      </c>
      <c r="T56" s="84"/>
      <c r="U56" s="84"/>
      <c r="V56" s="84"/>
      <c r="W56" s="84"/>
      <c r="X56" s="85"/>
      <c r="Y56" s="68"/>
      <c r="Z56" s="68"/>
    </row>
    <row r="57" spans="1:26" ht="12.75" hidden="1" outlineLevel="1" x14ac:dyDescent="0.2">
      <c r="A57" s="68"/>
      <c r="B57" s="86"/>
      <c r="C57" s="70" t="s">
        <v>117</v>
      </c>
      <c r="D57" s="287"/>
      <c r="E57" s="283"/>
      <c r="F57" s="283"/>
      <c r="G57" s="74" t="e">
        <f t="shared" si="31"/>
        <v>#DIV/0!</v>
      </c>
      <c r="H57" s="75" t="e">
        <f t="shared" si="32"/>
        <v>#DIV/0!</v>
      </c>
      <c r="I57" s="76" t="e">
        <f t="shared" si="33"/>
        <v>#DIV/0!</v>
      </c>
      <c r="J57" s="201">
        <v>102.44</v>
      </c>
      <c r="K57" s="199">
        <v>15319</v>
      </c>
      <c r="L57" s="283"/>
      <c r="M57" s="202">
        <v>59.95</v>
      </c>
      <c r="N57" s="79">
        <f t="shared" si="39"/>
        <v>1.7087572977481233</v>
      </c>
      <c r="O57" s="80">
        <f t="shared" si="4"/>
        <v>0.58522061694650529</v>
      </c>
      <c r="P57" s="79" t="e">
        <f t="shared" si="5"/>
        <v>#DIV/0!</v>
      </c>
      <c r="Q57" s="81" t="e">
        <f t="shared" si="6"/>
        <v>#DIV/0!</v>
      </c>
      <c r="R57" s="203">
        <f t="shared" si="38"/>
        <v>-59.95</v>
      </c>
      <c r="S57" s="83" t="e">
        <f t="shared" si="8"/>
        <v>#DIV/0!</v>
      </c>
      <c r="T57" s="84"/>
      <c r="U57" s="84"/>
      <c r="V57" s="84"/>
      <c r="W57" s="84"/>
      <c r="X57" s="85"/>
      <c r="Y57" s="68"/>
      <c r="Z57" s="68"/>
    </row>
    <row r="58" spans="1:26" ht="12.75" hidden="1" outlineLevel="1" x14ac:dyDescent="0.2">
      <c r="A58" s="68"/>
      <c r="B58" s="86"/>
      <c r="C58" s="70" t="s">
        <v>118</v>
      </c>
      <c r="D58" s="285"/>
      <c r="E58" s="283"/>
      <c r="F58" s="283"/>
      <c r="G58" s="74" t="e">
        <f t="shared" si="31"/>
        <v>#DIV/0!</v>
      </c>
      <c r="H58" s="75" t="e">
        <f t="shared" si="32"/>
        <v>#DIV/0!</v>
      </c>
      <c r="I58" s="76" t="e">
        <f t="shared" si="33"/>
        <v>#DIV/0!</v>
      </c>
      <c r="J58" s="90">
        <v>599.47</v>
      </c>
      <c r="K58" s="199">
        <v>30432</v>
      </c>
      <c r="L58" s="283"/>
      <c r="M58" s="91">
        <v>1656.64</v>
      </c>
      <c r="N58" s="79">
        <f t="shared" si="39"/>
        <v>0.36185894340351554</v>
      </c>
      <c r="O58" s="80">
        <f t="shared" si="4"/>
        <v>2.7635077651925868</v>
      </c>
      <c r="P58" s="79" t="e">
        <f t="shared" si="5"/>
        <v>#DIV/0!</v>
      </c>
      <c r="Q58" s="81" t="e">
        <f t="shared" si="6"/>
        <v>#DIV/0!</v>
      </c>
      <c r="R58" s="92">
        <f t="shared" si="38"/>
        <v>-1656.64</v>
      </c>
      <c r="S58" s="83" t="e">
        <f t="shared" si="8"/>
        <v>#DIV/0!</v>
      </c>
      <c r="T58" s="84"/>
      <c r="U58" s="84"/>
      <c r="V58" s="84"/>
      <c r="W58" s="84"/>
      <c r="X58" s="85"/>
      <c r="Y58" s="68"/>
      <c r="Z58" s="68"/>
    </row>
    <row r="59" spans="1:26" ht="12.75" hidden="1" outlineLevel="1" x14ac:dyDescent="0.2">
      <c r="A59" s="68"/>
      <c r="B59" s="69" t="s">
        <v>37</v>
      </c>
      <c r="C59" s="70" t="s">
        <v>119</v>
      </c>
      <c r="D59" s="288"/>
      <c r="E59" s="283"/>
      <c r="F59" s="283"/>
      <c r="G59" s="74" t="e">
        <f t="shared" si="31"/>
        <v>#DIV/0!</v>
      </c>
      <c r="H59" s="75" t="e">
        <f t="shared" si="32"/>
        <v>#DIV/0!</v>
      </c>
      <c r="I59" s="76" t="e">
        <f t="shared" si="33"/>
        <v>#DIV/0!</v>
      </c>
      <c r="J59" s="93">
        <v>490.26</v>
      </c>
      <c r="K59" s="199">
        <v>13467</v>
      </c>
      <c r="L59" s="283"/>
      <c r="M59" s="94">
        <v>559.79999999999995</v>
      </c>
      <c r="N59" s="79">
        <f t="shared" si="39"/>
        <v>0.87577706323687032</v>
      </c>
      <c r="O59" s="80">
        <f t="shared" si="4"/>
        <v>1.1418431036592827</v>
      </c>
      <c r="P59" s="79" t="e">
        <f t="shared" si="5"/>
        <v>#DIV/0!</v>
      </c>
      <c r="Q59" s="81" t="e">
        <f t="shared" si="6"/>
        <v>#DIV/0!</v>
      </c>
      <c r="R59" s="95">
        <f t="shared" si="38"/>
        <v>-559.79999999999995</v>
      </c>
      <c r="S59" s="83" t="e">
        <f t="shared" si="8"/>
        <v>#DIV/0!</v>
      </c>
      <c r="T59" s="84"/>
      <c r="U59" s="84"/>
      <c r="V59" s="84"/>
      <c r="W59" s="84"/>
      <c r="X59" s="85"/>
      <c r="Y59" s="68"/>
      <c r="Z59" s="68"/>
    </row>
    <row r="60" spans="1:26" ht="12.75" hidden="1" outlineLevel="1" x14ac:dyDescent="0.2">
      <c r="A60" s="68"/>
      <c r="B60" s="86"/>
      <c r="C60" s="70" t="s">
        <v>120</v>
      </c>
      <c r="D60" s="289"/>
      <c r="E60" s="283"/>
      <c r="F60" s="283"/>
      <c r="G60" s="74" t="e">
        <f t="shared" si="31"/>
        <v>#DIV/0!</v>
      </c>
      <c r="H60" s="75" t="e">
        <f t="shared" si="32"/>
        <v>#DIV/0!</v>
      </c>
      <c r="I60" s="76" t="e">
        <f t="shared" si="33"/>
        <v>#DIV/0!</v>
      </c>
      <c r="J60" s="96">
        <v>142.94999999999999</v>
      </c>
      <c r="K60" s="199">
        <v>23662</v>
      </c>
      <c r="L60" s="283"/>
      <c r="M60" s="97">
        <v>0</v>
      </c>
      <c r="N60" s="79" t="e">
        <f t="shared" si="39"/>
        <v>#DIV/0!</v>
      </c>
      <c r="O60" s="80">
        <f t="shared" si="4"/>
        <v>0</v>
      </c>
      <c r="P60" s="79" t="e">
        <f t="shared" si="5"/>
        <v>#DIV/0!</v>
      </c>
      <c r="Q60" s="81" t="e">
        <f t="shared" si="6"/>
        <v>#DIV/0!</v>
      </c>
      <c r="R60" s="98">
        <f t="shared" si="38"/>
        <v>0</v>
      </c>
      <c r="S60" s="83" t="e">
        <f t="shared" si="8"/>
        <v>#DIV/0!</v>
      </c>
      <c r="T60" s="84"/>
      <c r="U60" s="84"/>
      <c r="V60" s="84"/>
      <c r="W60" s="84"/>
      <c r="X60" s="85"/>
      <c r="Y60" s="68"/>
      <c r="Z60" s="68"/>
    </row>
    <row r="61" spans="1:26" ht="12.75" hidden="1" outlineLevel="1" x14ac:dyDescent="0.2">
      <c r="A61" s="68"/>
      <c r="B61" s="86"/>
      <c r="C61" s="70" t="s">
        <v>121</v>
      </c>
      <c r="D61" s="290"/>
      <c r="E61" s="283"/>
      <c r="F61" s="283"/>
      <c r="G61" s="74" t="e">
        <f t="shared" si="31"/>
        <v>#DIV/0!</v>
      </c>
      <c r="H61" s="75" t="e">
        <f t="shared" si="32"/>
        <v>#DIV/0!</v>
      </c>
      <c r="I61" s="76" t="e">
        <f t="shared" si="33"/>
        <v>#DIV/0!</v>
      </c>
      <c r="J61" s="99">
        <v>205.96</v>
      </c>
      <c r="K61" s="199">
        <v>29503</v>
      </c>
      <c r="L61" s="283"/>
      <c r="M61" s="100">
        <v>290.33</v>
      </c>
      <c r="N61" s="79">
        <f t="shared" si="39"/>
        <v>0.70939964867564498</v>
      </c>
      <c r="O61" s="80">
        <f t="shared" si="4"/>
        <v>1.4096426490580694</v>
      </c>
      <c r="P61" s="79" t="e">
        <f t="shared" si="5"/>
        <v>#DIV/0!</v>
      </c>
      <c r="Q61" s="81" t="e">
        <f t="shared" si="6"/>
        <v>#DIV/0!</v>
      </c>
      <c r="R61" s="101">
        <f t="shared" si="38"/>
        <v>-290.33</v>
      </c>
      <c r="S61" s="83" t="e">
        <f t="shared" si="8"/>
        <v>#DIV/0!</v>
      </c>
      <c r="T61" s="84"/>
      <c r="U61" s="84"/>
      <c r="V61" s="84"/>
      <c r="W61" s="84"/>
      <c r="X61" s="85"/>
      <c r="Y61" s="68"/>
      <c r="Z61" s="68"/>
    </row>
    <row r="62" spans="1:26" ht="12.75" hidden="1" outlineLevel="1" x14ac:dyDescent="0.2">
      <c r="A62" s="68"/>
      <c r="B62" s="86"/>
      <c r="C62" s="70" t="s">
        <v>122</v>
      </c>
      <c r="D62" s="290"/>
      <c r="E62" s="283"/>
      <c r="F62" s="283"/>
      <c r="G62" s="291"/>
      <c r="H62" s="72"/>
      <c r="I62" s="292"/>
      <c r="J62" s="105">
        <v>460.72</v>
      </c>
      <c r="K62" s="199">
        <v>45334</v>
      </c>
      <c r="L62" s="283"/>
      <c r="M62" s="106">
        <v>1279.7</v>
      </c>
      <c r="N62" s="79">
        <f t="shared" si="39"/>
        <v>0.36002188012815506</v>
      </c>
      <c r="O62" s="80">
        <f t="shared" si="4"/>
        <v>2.7776089598888696</v>
      </c>
      <c r="P62" s="79" t="e">
        <f t="shared" si="5"/>
        <v>#DIV/0!</v>
      </c>
      <c r="Q62" s="81" t="e">
        <f t="shared" si="6"/>
        <v>#DIV/0!</v>
      </c>
      <c r="R62" s="107">
        <f t="shared" si="38"/>
        <v>-1279.7</v>
      </c>
      <c r="S62" s="83" t="e">
        <f t="shared" si="8"/>
        <v>#DIV/0!</v>
      </c>
      <c r="T62" s="84"/>
      <c r="U62" s="84"/>
      <c r="V62" s="84"/>
      <c r="W62" s="84"/>
      <c r="X62" s="85"/>
      <c r="Y62" s="68"/>
      <c r="Z62" s="68"/>
    </row>
    <row r="63" spans="1:26" ht="12.75" hidden="1" outlineLevel="1" x14ac:dyDescent="0.2">
      <c r="A63" s="118" t="str">
        <f t="shared" ref="A63:A64" si="40">IFERROR(IF(B63&gt;0,MONTH(B63)&amp;"-"&amp;YEAR(B63),B63),)</f>
        <v>1-2026</v>
      </c>
      <c r="B63" s="69">
        <v>46039</v>
      </c>
      <c r="C63" s="70" t="s">
        <v>123</v>
      </c>
      <c r="D63" s="293"/>
      <c r="E63" s="283"/>
      <c r="F63" s="283"/>
      <c r="G63" s="74" t="e">
        <f t="shared" ref="G63:G154" si="41">E63/F63</f>
        <v>#DIV/0!</v>
      </c>
      <c r="H63" s="75" t="e">
        <f t="shared" ref="H63:H154" si="42">D63/E63</f>
        <v>#DIV/0!</v>
      </c>
      <c r="I63" s="76" t="e">
        <f t="shared" ref="I63:I154" si="43">H63/G63</f>
        <v>#DIV/0!</v>
      </c>
      <c r="J63" s="87">
        <v>0</v>
      </c>
      <c r="K63" s="199">
        <v>0</v>
      </c>
      <c r="L63" s="283"/>
      <c r="M63" s="88">
        <v>0</v>
      </c>
      <c r="N63" s="79" t="e">
        <f t="shared" si="39"/>
        <v>#DIV/0!</v>
      </c>
      <c r="O63" s="80" t="e">
        <f t="shared" si="4"/>
        <v>#DIV/0!</v>
      </c>
      <c r="P63" s="79" t="e">
        <f t="shared" si="5"/>
        <v>#DIV/0!</v>
      </c>
      <c r="Q63" s="81" t="e">
        <f t="shared" si="6"/>
        <v>#DIV/0!</v>
      </c>
      <c r="R63" s="82">
        <f t="shared" si="38"/>
        <v>0</v>
      </c>
      <c r="S63" s="83" t="e">
        <f t="shared" si="8"/>
        <v>#DIV/0!</v>
      </c>
      <c r="T63" s="84"/>
      <c r="U63" s="84"/>
      <c r="V63" s="84"/>
      <c r="W63" s="84"/>
      <c r="X63" s="85"/>
      <c r="Y63" s="68"/>
      <c r="Z63" s="68"/>
    </row>
    <row r="64" spans="1:26" ht="12.75" collapsed="1" x14ac:dyDescent="0.2">
      <c r="A64" s="68">
        <f t="shared" si="40"/>
        <v>0</v>
      </c>
      <c r="B64" s="119" t="s">
        <v>53</v>
      </c>
      <c r="C64" s="120"/>
      <c r="D64" s="121">
        <f t="shared" ref="D64:F64" si="44">SUM(D52:D63)</f>
        <v>0</v>
      </c>
      <c r="E64" s="123">
        <f t="shared" si="44"/>
        <v>0</v>
      </c>
      <c r="F64" s="123">
        <f t="shared" si="44"/>
        <v>0</v>
      </c>
      <c r="G64" s="124" t="e">
        <f t="shared" si="41"/>
        <v>#DIV/0!</v>
      </c>
      <c r="H64" s="125" t="e">
        <f t="shared" si="42"/>
        <v>#DIV/0!</v>
      </c>
      <c r="I64" s="126" t="e">
        <f t="shared" si="43"/>
        <v>#DIV/0!</v>
      </c>
      <c r="J64" s="121">
        <f t="shared" ref="J64:M64" si="45">SUM(J52:J63)</f>
        <v>3804.7200000000003</v>
      </c>
      <c r="K64" s="294">
        <f t="shared" si="45"/>
        <v>381864</v>
      </c>
      <c r="L64" s="123">
        <f t="shared" si="45"/>
        <v>0</v>
      </c>
      <c r="M64" s="127">
        <f t="shared" si="45"/>
        <v>6712.07</v>
      </c>
      <c r="N64" s="128">
        <f t="shared" si="39"/>
        <v>0.56684748520203165</v>
      </c>
      <c r="O64" s="129">
        <f t="shared" si="4"/>
        <v>1.7641429592716413</v>
      </c>
      <c r="P64" s="128" t="e">
        <f t="shared" si="5"/>
        <v>#DIV/0!</v>
      </c>
      <c r="Q64" s="130" t="e">
        <f t="shared" si="6"/>
        <v>#DIV/0!</v>
      </c>
      <c r="R64" s="131">
        <f>SUM(R52:R63)</f>
        <v>-6712.07</v>
      </c>
      <c r="S64" s="132" t="e">
        <f t="shared" si="8"/>
        <v>#DIV/0!</v>
      </c>
      <c r="T64" s="134">
        <f t="shared" ref="T64:U64" si="46">IFERROR((D64-#REF!)/D64,)</f>
        <v>0</v>
      </c>
      <c r="U64" s="134">
        <f t="shared" si="46"/>
        <v>0</v>
      </c>
      <c r="V64" s="134">
        <f t="shared" ref="V64:W64" si="47">IFERROR((D64-#REF!)/D64, )</f>
        <v>0</v>
      </c>
      <c r="W64" s="134">
        <f t="shared" si="47"/>
        <v>0</v>
      </c>
      <c r="X64" s="68"/>
      <c r="Y64" s="68"/>
      <c r="Z64" s="68"/>
    </row>
    <row r="65" spans="1:26" ht="12.75" hidden="1" outlineLevel="1" x14ac:dyDescent="0.2">
      <c r="A65" s="68"/>
      <c r="B65" s="69">
        <v>46040</v>
      </c>
      <c r="C65" s="70" t="s">
        <v>112</v>
      </c>
      <c r="D65" s="282"/>
      <c r="E65" s="283"/>
      <c r="F65" s="283"/>
      <c r="G65" s="74" t="e">
        <f t="shared" si="41"/>
        <v>#DIV/0!</v>
      </c>
      <c r="H65" s="75" t="e">
        <f t="shared" si="42"/>
        <v>#DIV/0!</v>
      </c>
      <c r="I65" s="76" t="e">
        <f t="shared" si="43"/>
        <v>#DIV/0!</v>
      </c>
      <c r="J65" s="77">
        <v>446.66</v>
      </c>
      <c r="K65" s="199">
        <v>46700</v>
      </c>
      <c r="L65" s="283"/>
      <c r="M65" s="78">
        <v>646.17999999999995</v>
      </c>
      <c r="N65" s="79">
        <f t="shared" si="39"/>
        <v>0.69123154538982956</v>
      </c>
      <c r="O65" s="80">
        <f t="shared" si="4"/>
        <v>1.4466932342273764</v>
      </c>
      <c r="P65" s="79" t="e">
        <f t="shared" si="5"/>
        <v>#DIV/0!</v>
      </c>
      <c r="Q65" s="81" t="e">
        <f t="shared" si="6"/>
        <v>#DIV/0!</v>
      </c>
      <c r="R65" s="82">
        <f t="shared" ref="R65:R78" si="48">D65-M65</f>
        <v>-646.17999999999995</v>
      </c>
      <c r="S65" s="83" t="e">
        <f t="shared" si="8"/>
        <v>#DIV/0!</v>
      </c>
      <c r="T65" s="84"/>
      <c r="U65" s="84"/>
      <c r="V65" s="84"/>
      <c r="W65" s="84"/>
      <c r="X65" s="85"/>
      <c r="Y65" s="68"/>
      <c r="Z65" s="68"/>
    </row>
    <row r="66" spans="1:26" ht="12.75" hidden="1" outlineLevel="1" x14ac:dyDescent="0.2">
      <c r="A66" s="68"/>
      <c r="B66" s="86"/>
      <c r="C66" s="70" t="s">
        <v>113</v>
      </c>
      <c r="D66" s="284"/>
      <c r="E66" s="283"/>
      <c r="F66" s="283"/>
      <c r="G66" s="74" t="e">
        <f t="shared" si="41"/>
        <v>#DIV/0!</v>
      </c>
      <c r="H66" s="75" t="e">
        <f t="shared" si="42"/>
        <v>#DIV/0!</v>
      </c>
      <c r="I66" s="76" t="e">
        <f t="shared" si="43"/>
        <v>#DIV/0!</v>
      </c>
      <c r="J66" s="87">
        <v>168.32</v>
      </c>
      <c r="K66" s="199">
        <v>12644</v>
      </c>
      <c r="L66" s="283"/>
      <c r="M66" s="88">
        <v>299.75</v>
      </c>
      <c r="N66" s="79">
        <f t="shared" si="39"/>
        <v>0.561534612176814</v>
      </c>
      <c r="O66" s="80">
        <f t="shared" si="4"/>
        <v>1.7808341254752853</v>
      </c>
      <c r="P66" s="79" t="e">
        <f t="shared" si="5"/>
        <v>#DIV/0!</v>
      </c>
      <c r="Q66" s="81" t="e">
        <f t="shared" si="6"/>
        <v>#DIV/0!</v>
      </c>
      <c r="R66" s="89">
        <f t="shared" si="48"/>
        <v>-299.75</v>
      </c>
      <c r="S66" s="83" t="e">
        <f t="shared" si="8"/>
        <v>#DIV/0!</v>
      </c>
      <c r="T66" s="84"/>
      <c r="U66" s="84"/>
      <c r="V66" s="84"/>
      <c r="W66" s="84"/>
      <c r="X66" s="85"/>
      <c r="Y66" s="68"/>
      <c r="Z66" s="68"/>
    </row>
    <row r="67" spans="1:26" ht="12.75" hidden="1" outlineLevel="1" x14ac:dyDescent="0.2">
      <c r="A67" s="68"/>
      <c r="B67" s="86"/>
      <c r="C67" s="70" t="s">
        <v>114</v>
      </c>
      <c r="D67" s="285"/>
      <c r="E67" s="283"/>
      <c r="F67" s="283"/>
      <c r="G67" s="74" t="e">
        <f t="shared" si="41"/>
        <v>#DIV/0!</v>
      </c>
      <c r="H67" s="75" t="e">
        <f t="shared" si="42"/>
        <v>#DIV/0!</v>
      </c>
      <c r="I67" s="76" t="e">
        <f t="shared" si="43"/>
        <v>#DIV/0!</v>
      </c>
      <c r="J67" s="90">
        <v>135.59</v>
      </c>
      <c r="K67" s="199">
        <v>19068</v>
      </c>
      <c r="L67" s="283"/>
      <c r="M67" s="91">
        <v>704.39</v>
      </c>
      <c r="N67" s="79">
        <f>(J67/M67)</f>
        <v>0.19249279518448587</v>
      </c>
      <c r="O67" s="80">
        <f t="shared" si="4"/>
        <v>5.1949996312412416</v>
      </c>
      <c r="P67" s="79" t="e">
        <f t="shared" si="5"/>
        <v>#DIV/0!</v>
      </c>
      <c r="Q67" s="81" t="e">
        <f t="shared" si="6"/>
        <v>#DIV/0!</v>
      </c>
      <c r="R67" s="92">
        <f t="shared" si="48"/>
        <v>-704.39</v>
      </c>
      <c r="S67" s="83" t="e">
        <f t="shared" si="8"/>
        <v>#DIV/0!</v>
      </c>
      <c r="T67" s="84"/>
      <c r="U67" s="84"/>
      <c r="V67" s="84"/>
      <c r="W67" s="84"/>
      <c r="X67" s="85"/>
      <c r="Y67" s="68"/>
      <c r="Z67" s="68"/>
    </row>
    <row r="68" spans="1:26" ht="12.75" hidden="1" outlineLevel="1" x14ac:dyDescent="0.2">
      <c r="A68" s="68"/>
      <c r="B68" s="86"/>
      <c r="C68" s="70" t="s">
        <v>115</v>
      </c>
      <c r="D68" s="285"/>
      <c r="E68" s="283"/>
      <c r="F68" s="283"/>
      <c r="G68" s="74" t="e">
        <f t="shared" si="41"/>
        <v>#DIV/0!</v>
      </c>
      <c r="H68" s="75" t="e">
        <f t="shared" si="42"/>
        <v>#DIV/0!</v>
      </c>
      <c r="I68" s="76" t="e">
        <f t="shared" si="43"/>
        <v>#DIV/0!</v>
      </c>
      <c r="J68" s="90">
        <v>214.88</v>
      </c>
      <c r="K68" s="199">
        <v>32075</v>
      </c>
      <c r="L68" s="283"/>
      <c r="M68" s="91">
        <v>403.8</v>
      </c>
      <c r="N68" s="79">
        <f t="shared" ref="N68:N81" si="49">J68/M68</f>
        <v>0.53214462605250124</v>
      </c>
      <c r="O68" s="80">
        <f t="shared" si="4"/>
        <v>1.8791883842144455</v>
      </c>
      <c r="P68" s="79" t="e">
        <f t="shared" si="5"/>
        <v>#DIV/0!</v>
      </c>
      <c r="Q68" s="81" t="e">
        <f t="shared" si="6"/>
        <v>#DIV/0!</v>
      </c>
      <c r="R68" s="92">
        <f t="shared" si="48"/>
        <v>-403.8</v>
      </c>
      <c r="S68" s="83" t="e">
        <f t="shared" si="8"/>
        <v>#DIV/0!</v>
      </c>
      <c r="T68" s="84"/>
      <c r="U68" s="84"/>
      <c r="V68" s="84"/>
      <c r="W68" s="84"/>
      <c r="X68" s="85"/>
      <c r="Y68" s="68"/>
      <c r="Z68" s="68"/>
    </row>
    <row r="69" spans="1:26" ht="12.75" hidden="1" outlineLevel="1" x14ac:dyDescent="0.2">
      <c r="A69" s="68"/>
      <c r="B69" s="86"/>
      <c r="C69" s="70" t="s">
        <v>116</v>
      </c>
      <c r="D69" s="286"/>
      <c r="E69" s="283"/>
      <c r="F69" s="283"/>
      <c r="G69" s="74" t="e">
        <f t="shared" si="41"/>
        <v>#DIV/0!</v>
      </c>
      <c r="H69" s="75" t="e">
        <f t="shared" si="42"/>
        <v>#DIV/0!</v>
      </c>
      <c r="I69" s="76" t="e">
        <f t="shared" si="43"/>
        <v>#DIV/0!</v>
      </c>
      <c r="J69" s="200">
        <v>347.76</v>
      </c>
      <c r="K69" s="199">
        <v>33993</v>
      </c>
      <c r="L69" s="283"/>
      <c r="M69" s="200">
        <v>925.71</v>
      </c>
      <c r="N69" s="79">
        <f t="shared" si="49"/>
        <v>0.37566840587224937</v>
      </c>
      <c r="O69" s="80">
        <f t="shared" si="4"/>
        <v>2.6619220151828848</v>
      </c>
      <c r="P69" s="79" t="e">
        <f t="shared" si="5"/>
        <v>#DIV/0!</v>
      </c>
      <c r="Q69" s="81" t="e">
        <f t="shared" si="6"/>
        <v>#DIV/0!</v>
      </c>
      <c r="R69" s="92">
        <f t="shared" si="48"/>
        <v>-925.71</v>
      </c>
      <c r="S69" s="83" t="e">
        <f t="shared" si="8"/>
        <v>#DIV/0!</v>
      </c>
      <c r="T69" s="84"/>
      <c r="U69" s="84"/>
      <c r="V69" s="84"/>
      <c r="W69" s="84"/>
      <c r="X69" s="85"/>
      <c r="Y69" s="68"/>
      <c r="Z69" s="68"/>
    </row>
    <row r="70" spans="1:26" ht="12.75" hidden="1" outlineLevel="1" x14ac:dyDescent="0.2">
      <c r="A70" s="68"/>
      <c r="B70" s="86"/>
      <c r="C70" s="70" t="s">
        <v>117</v>
      </c>
      <c r="D70" s="287"/>
      <c r="E70" s="283"/>
      <c r="F70" s="283"/>
      <c r="G70" s="74" t="e">
        <f t="shared" si="41"/>
        <v>#DIV/0!</v>
      </c>
      <c r="H70" s="75" t="e">
        <f t="shared" si="42"/>
        <v>#DIV/0!</v>
      </c>
      <c r="I70" s="76" t="e">
        <f t="shared" si="43"/>
        <v>#DIV/0!</v>
      </c>
      <c r="J70" s="201">
        <v>37.700000000000003</v>
      </c>
      <c r="K70" s="199">
        <v>6261</v>
      </c>
      <c r="L70" s="283"/>
      <c r="M70" s="202">
        <v>59.95</v>
      </c>
      <c r="N70" s="79">
        <f t="shared" si="49"/>
        <v>0.62885738115095913</v>
      </c>
      <c r="O70" s="80">
        <f t="shared" si="4"/>
        <v>1.5901856763925728</v>
      </c>
      <c r="P70" s="79" t="e">
        <f t="shared" si="5"/>
        <v>#DIV/0!</v>
      </c>
      <c r="Q70" s="81" t="e">
        <f t="shared" si="6"/>
        <v>#DIV/0!</v>
      </c>
      <c r="R70" s="203">
        <f t="shared" si="48"/>
        <v>-59.95</v>
      </c>
      <c r="S70" s="83" t="e">
        <f t="shared" si="8"/>
        <v>#DIV/0!</v>
      </c>
      <c r="T70" s="84"/>
      <c r="U70" s="84"/>
      <c r="V70" s="84"/>
      <c r="W70" s="84"/>
      <c r="X70" s="85"/>
      <c r="Y70" s="68"/>
      <c r="Z70" s="68"/>
    </row>
    <row r="71" spans="1:26" ht="12.75" hidden="1" outlineLevel="1" x14ac:dyDescent="0.2">
      <c r="A71" s="68"/>
      <c r="B71" s="86"/>
      <c r="C71" s="70" t="s">
        <v>118</v>
      </c>
      <c r="D71" s="285"/>
      <c r="E71" s="283"/>
      <c r="F71" s="283"/>
      <c r="G71" s="74" t="e">
        <f t="shared" si="41"/>
        <v>#DIV/0!</v>
      </c>
      <c r="H71" s="75" t="e">
        <f t="shared" si="42"/>
        <v>#DIV/0!</v>
      </c>
      <c r="I71" s="76" t="e">
        <f t="shared" si="43"/>
        <v>#DIV/0!</v>
      </c>
      <c r="J71" s="90">
        <v>528.95000000000005</v>
      </c>
      <c r="K71" s="199">
        <v>31342</v>
      </c>
      <c r="L71" s="283"/>
      <c r="M71" s="91">
        <v>2179.77</v>
      </c>
      <c r="N71" s="79">
        <f t="shared" si="49"/>
        <v>0.24266321676140146</v>
      </c>
      <c r="O71" s="80">
        <f t="shared" si="4"/>
        <v>4.1209377067775774</v>
      </c>
      <c r="P71" s="79" t="e">
        <f t="shared" si="5"/>
        <v>#DIV/0!</v>
      </c>
      <c r="Q71" s="81" t="e">
        <f t="shared" si="6"/>
        <v>#DIV/0!</v>
      </c>
      <c r="R71" s="92">
        <f t="shared" si="48"/>
        <v>-2179.77</v>
      </c>
      <c r="S71" s="83" t="e">
        <f t="shared" si="8"/>
        <v>#DIV/0!</v>
      </c>
      <c r="T71" s="84"/>
      <c r="U71" s="84"/>
      <c r="V71" s="84"/>
      <c r="W71" s="84"/>
      <c r="X71" s="85"/>
      <c r="Y71" s="68"/>
      <c r="Z71" s="68"/>
    </row>
    <row r="72" spans="1:26" ht="12.75" hidden="1" outlineLevel="1" x14ac:dyDescent="0.2">
      <c r="A72" s="68"/>
      <c r="B72" s="69" t="s">
        <v>37</v>
      </c>
      <c r="C72" s="70" t="s">
        <v>119</v>
      </c>
      <c r="D72" s="288"/>
      <c r="E72" s="283"/>
      <c r="F72" s="283"/>
      <c r="G72" s="74" t="e">
        <f t="shared" si="41"/>
        <v>#DIV/0!</v>
      </c>
      <c r="H72" s="75" t="e">
        <f t="shared" si="42"/>
        <v>#DIV/0!</v>
      </c>
      <c r="I72" s="76" t="e">
        <f t="shared" si="43"/>
        <v>#DIV/0!</v>
      </c>
      <c r="J72" s="93">
        <v>221.65</v>
      </c>
      <c r="K72" s="199">
        <v>8512</v>
      </c>
      <c r="L72" s="283"/>
      <c r="M72" s="94">
        <v>936.47</v>
      </c>
      <c r="N72" s="79">
        <f t="shared" si="49"/>
        <v>0.23668670646149903</v>
      </c>
      <c r="O72" s="80">
        <f t="shared" si="4"/>
        <v>4.2249943604782318</v>
      </c>
      <c r="P72" s="79" t="e">
        <f t="shared" si="5"/>
        <v>#DIV/0!</v>
      </c>
      <c r="Q72" s="81" t="e">
        <f t="shared" si="6"/>
        <v>#DIV/0!</v>
      </c>
      <c r="R72" s="95">
        <f t="shared" si="48"/>
        <v>-936.47</v>
      </c>
      <c r="S72" s="83" t="e">
        <f t="shared" si="8"/>
        <v>#DIV/0!</v>
      </c>
      <c r="T72" s="84"/>
      <c r="U72" s="84"/>
      <c r="V72" s="84"/>
      <c r="W72" s="84"/>
      <c r="X72" s="85"/>
      <c r="Y72" s="68"/>
      <c r="Z72" s="68"/>
    </row>
    <row r="73" spans="1:26" ht="12.75" hidden="1" outlineLevel="1" x14ac:dyDescent="0.2">
      <c r="A73" s="68"/>
      <c r="B73" s="86"/>
      <c r="C73" s="70" t="s">
        <v>120</v>
      </c>
      <c r="D73" s="289"/>
      <c r="E73" s="283"/>
      <c r="F73" s="283"/>
      <c r="G73" s="74" t="e">
        <f t="shared" si="41"/>
        <v>#DIV/0!</v>
      </c>
      <c r="H73" s="75" t="e">
        <f t="shared" si="42"/>
        <v>#DIV/0!</v>
      </c>
      <c r="I73" s="76" t="e">
        <f t="shared" si="43"/>
        <v>#DIV/0!</v>
      </c>
      <c r="J73" s="96">
        <v>94.64</v>
      </c>
      <c r="K73" s="199">
        <v>17161</v>
      </c>
      <c r="L73" s="283"/>
      <c r="M73" s="97">
        <v>389</v>
      </c>
      <c r="N73" s="79">
        <f t="shared" si="49"/>
        <v>0.24329048843187662</v>
      </c>
      <c r="O73" s="80">
        <f t="shared" si="4"/>
        <v>4.1103127641589179</v>
      </c>
      <c r="P73" s="79" t="e">
        <f t="shared" si="5"/>
        <v>#DIV/0!</v>
      </c>
      <c r="Q73" s="81" t="e">
        <f t="shared" si="6"/>
        <v>#DIV/0!</v>
      </c>
      <c r="R73" s="98">
        <f t="shared" si="48"/>
        <v>-389</v>
      </c>
      <c r="S73" s="83" t="e">
        <f t="shared" si="8"/>
        <v>#DIV/0!</v>
      </c>
      <c r="T73" s="84"/>
      <c r="U73" s="84"/>
      <c r="V73" s="84"/>
      <c r="W73" s="84"/>
      <c r="X73" s="85"/>
      <c r="Y73" s="68"/>
      <c r="Z73" s="68"/>
    </row>
    <row r="74" spans="1:26" ht="12.75" hidden="1" outlineLevel="1" x14ac:dyDescent="0.2">
      <c r="A74" s="68"/>
      <c r="B74" s="86"/>
      <c r="C74" s="70" t="s">
        <v>121</v>
      </c>
      <c r="D74" s="290"/>
      <c r="E74" s="283"/>
      <c r="F74" s="283"/>
      <c r="G74" s="74" t="e">
        <f t="shared" si="41"/>
        <v>#DIV/0!</v>
      </c>
      <c r="H74" s="75" t="e">
        <f t="shared" si="42"/>
        <v>#DIV/0!</v>
      </c>
      <c r="I74" s="76" t="e">
        <f t="shared" si="43"/>
        <v>#DIV/0!</v>
      </c>
      <c r="J74" s="99">
        <v>150.11000000000001</v>
      </c>
      <c r="K74" s="199">
        <v>27589</v>
      </c>
      <c r="L74" s="283"/>
      <c r="M74" s="100">
        <v>609.29999999999995</v>
      </c>
      <c r="N74" s="79">
        <f t="shared" si="49"/>
        <v>0.24636468078122439</v>
      </c>
      <c r="O74" s="80">
        <f t="shared" si="4"/>
        <v>4.0590233828525744</v>
      </c>
      <c r="P74" s="79" t="e">
        <f t="shared" si="5"/>
        <v>#DIV/0!</v>
      </c>
      <c r="Q74" s="81" t="e">
        <f t="shared" si="6"/>
        <v>#DIV/0!</v>
      </c>
      <c r="R74" s="101">
        <f t="shared" si="48"/>
        <v>-609.29999999999995</v>
      </c>
      <c r="S74" s="83" t="e">
        <f t="shared" si="8"/>
        <v>#DIV/0!</v>
      </c>
      <c r="T74" s="84"/>
      <c r="U74" s="84"/>
      <c r="V74" s="84"/>
      <c r="W74" s="84"/>
      <c r="X74" s="85"/>
      <c r="Y74" s="68"/>
      <c r="Z74" s="68"/>
    </row>
    <row r="75" spans="1:26" ht="12.75" hidden="1" outlineLevel="1" x14ac:dyDescent="0.2">
      <c r="A75" s="68"/>
      <c r="B75" s="86"/>
      <c r="C75" s="70" t="s">
        <v>122</v>
      </c>
      <c r="D75" s="290"/>
      <c r="E75" s="283"/>
      <c r="F75" s="283"/>
      <c r="G75" s="74" t="e">
        <f t="shared" si="41"/>
        <v>#DIV/0!</v>
      </c>
      <c r="H75" s="75" t="e">
        <f t="shared" si="42"/>
        <v>#DIV/0!</v>
      </c>
      <c r="I75" s="76" t="e">
        <f t="shared" si="43"/>
        <v>#DIV/0!</v>
      </c>
      <c r="J75" s="105">
        <v>389.08</v>
      </c>
      <c r="K75" s="199">
        <v>38193</v>
      </c>
      <c r="L75" s="283"/>
      <c r="M75" s="106">
        <v>2759.4</v>
      </c>
      <c r="N75" s="79">
        <f t="shared" si="49"/>
        <v>0.14100166702906428</v>
      </c>
      <c r="O75" s="80">
        <f t="shared" si="4"/>
        <v>7.0921147321887537</v>
      </c>
      <c r="P75" s="79" t="e">
        <f t="shared" si="5"/>
        <v>#DIV/0!</v>
      </c>
      <c r="Q75" s="81" t="e">
        <f t="shared" si="6"/>
        <v>#DIV/0!</v>
      </c>
      <c r="R75" s="107">
        <f t="shared" si="48"/>
        <v>-2759.4</v>
      </c>
      <c r="S75" s="83" t="e">
        <f t="shared" si="8"/>
        <v>#DIV/0!</v>
      </c>
      <c r="T75" s="84"/>
      <c r="U75" s="84"/>
      <c r="V75" s="84"/>
      <c r="W75" s="84"/>
      <c r="X75" s="85"/>
      <c r="Y75" s="68"/>
      <c r="Z75" s="68"/>
    </row>
    <row r="76" spans="1:26" ht="12.75" hidden="1" outlineLevel="1" x14ac:dyDescent="0.2">
      <c r="A76" s="68"/>
      <c r="B76" s="86"/>
      <c r="C76" s="70" t="s">
        <v>124</v>
      </c>
      <c r="D76" s="290"/>
      <c r="E76" s="283"/>
      <c r="F76" s="283"/>
      <c r="G76" s="74" t="e">
        <f t="shared" si="41"/>
        <v>#DIV/0!</v>
      </c>
      <c r="H76" s="75" t="e">
        <f t="shared" si="42"/>
        <v>#DIV/0!</v>
      </c>
      <c r="I76" s="76" t="e">
        <f t="shared" si="43"/>
        <v>#DIV/0!</v>
      </c>
      <c r="J76" s="105">
        <v>20.97</v>
      </c>
      <c r="K76" s="199">
        <v>2400</v>
      </c>
      <c r="L76" s="283"/>
      <c r="M76" s="106">
        <v>197.3</v>
      </c>
      <c r="N76" s="79">
        <f t="shared" si="49"/>
        <v>0.10628484541307652</v>
      </c>
      <c r="O76" s="80">
        <f t="shared" si="4"/>
        <v>9.4086790653314267</v>
      </c>
      <c r="P76" s="79" t="e">
        <f t="shared" si="5"/>
        <v>#DIV/0!</v>
      </c>
      <c r="Q76" s="81" t="e">
        <f t="shared" si="6"/>
        <v>#DIV/0!</v>
      </c>
      <c r="R76" s="107">
        <f t="shared" si="48"/>
        <v>-197.3</v>
      </c>
      <c r="S76" s="83" t="e">
        <f t="shared" si="8"/>
        <v>#DIV/0!</v>
      </c>
      <c r="T76" s="84"/>
      <c r="U76" s="84"/>
      <c r="V76" s="84"/>
      <c r="W76" s="84"/>
      <c r="X76" s="85"/>
      <c r="Y76" s="68"/>
      <c r="Z76" s="68"/>
    </row>
    <row r="77" spans="1:26" ht="12.75" hidden="1" outlineLevel="1" x14ac:dyDescent="0.2">
      <c r="A77" s="68"/>
      <c r="B77" s="86"/>
      <c r="C77" s="70" t="s">
        <v>125</v>
      </c>
      <c r="D77" s="290"/>
      <c r="E77" s="283"/>
      <c r="F77" s="283"/>
      <c r="G77" s="74" t="e">
        <f t="shared" si="41"/>
        <v>#DIV/0!</v>
      </c>
      <c r="H77" s="75" t="e">
        <f t="shared" si="42"/>
        <v>#DIV/0!</v>
      </c>
      <c r="I77" s="76" t="e">
        <f t="shared" si="43"/>
        <v>#DIV/0!</v>
      </c>
      <c r="J77" s="105">
        <v>341.19</v>
      </c>
      <c r="K77" s="199">
        <v>14077</v>
      </c>
      <c r="L77" s="283"/>
      <c r="M77" s="106">
        <v>1087.55</v>
      </c>
      <c r="N77" s="79">
        <f t="shared" si="49"/>
        <v>0.31372350696519702</v>
      </c>
      <c r="O77" s="80">
        <f t="shared" si="4"/>
        <v>3.1875201500630146</v>
      </c>
      <c r="P77" s="79" t="e">
        <f t="shared" si="5"/>
        <v>#DIV/0!</v>
      </c>
      <c r="Q77" s="81" t="e">
        <f t="shared" si="6"/>
        <v>#DIV/0!</v>
      </c>
      <c r="R77" s="107">
        <f t="shared" si="48"/>
        <v>-1087.55</v>
      </c>
      <c r="S77" s="83" t="e">
        <f t="shared" si="8"/>
        <v>#DIV/0!</v>
      </c>
      <c r="T77" s="84"/>
      <c r="U77" s="84"/>
      <c r="V77" s="84"/>
      <c r="W77" s="84"/>
      <c r="X77" s="85"/>
      <c r="Y77" s="68"/>
      <c r="Z77" s="68"/>
    </row>
    <row r="78" spans="1:26" ht="12.75" hidden="1" outlineLevel="1" x14ac:dyDescent="0.2">
      <c r="A78" s="118" t="str">
        <f t="shared" ref="A78:A79" si="50">IFERROR(IF(B78&gt;0,MONTH(B78)&amp;"-"&amp;YEAR(B78),B78),)</f>
        <v>1-2026</v>
      </c>
      <c r="B78" s="69">
        <v>46046</v>
      </c>
      <c r="C78" s="70" t="s">
        <v>123</v>
      </c>
      <c r="D78" s="293"/>
      <c r="E78" s="283"/>
      <c r="F78" s="283"/>
      <c r="G78" s="74" t="e">
        <f t="shared" si="41"/>
        <v>#DIV/0!</v>
      </c>
      <c r="H78" s="75" t="e">
        <f t="shared" si="42"/>
        <v>#DIV/0!</v>
      </c>
      <c r="I78" s="76" t="e">
        <f t="shared" si="43"/>
        <v>#DIV/0!</v>
      </c>
      <c r="J78" s="87">
        <v>0</v>
      </c>
      <c r="K78" s="199">
        <v>0</v>
      </c>
      <c r="L78" s="283"/>
      <c r="M78" s="88">
        <v>0</v>
      </c>
      <c r="N78" s="79" t="e">
        <f t="shared" si="49"/>
        <v>#DIV/0!</v>
      </c>
      <c r="O78" s="80" t="e">
        <f t="shared" si="4"/>
        <v>#DIV/0!</v>
      </c>
      <c r="P78" s="79" t="e">
        <f t="shared" si="5"/>
        <v>#DIV/0!</v>
      </c>
      <c r="Q78" s="81" t="e">
        <f t="shared" si="6"/>
        <v>#DIV/0!</v>
      </c>
      <c r="R78" s="82">
        <f t="shared" si="48"/>
        <v>0</v>
      </c>
      <c r="S78" s="83" t="e">
        <f t="shared" si="8"/>
        <v>#DIV/0!</v>
      </c>
      <c r="T78" s="84"/>
      <c r="U78" s="84"/>
      <c r="V78" s="84"/>
      <c r="W78" s="84"/>
      <c r="X78" s="85"/>
      <c r="Y78" s="68"/>
      <c r="Z78" s="68"/>
    </row>
    <row r="79" spans="1:26" ht="12.75" collapsed="1" x14ac:dyDescent="0.2">
      <c r="A79" s="68">
        <f t="shared" si="50"/>
        <v>0</v>
      </c>
      <c r="B79" s="119" t="s">
        <v>54</v>
      </c>
      <c r="C79" s="120"/>
      <c r="D79" s="121">
        <f t="shared" ref="D79:F79" si="51">SUM(D65:D78)</f>
        <v>0</v>
      </c>
      <c r="E79" s="123">
        <f t="shared" si="51"/>
        <v>0</v>
      </c>
      <c r="F79" s="123">
        <f t="shared" si="51"/>
        <v>0</v>
      </c>
      <c r="G79" s="124" t="e">
        <f t="shared" si="41"/>
        <v>#DIV/0!</v>
      </c>
      <c r="H79" s="125" t="e">
        <f t="shared" si="42"/>
        <v>#DIV/0!</v>
      </c>
      <c r="I79" s="126" t="e">
        <f t="shared" si="43"/>
        <v>#DIV/0!</v>
      </c>
      <c r="J79" s="121">
        <f t="shared" ref="J79:M79" si="52">SUM(J65:J78)</f>
        <v>3097.5</v>
      </c>
      <c r="K79" s="294">
        <f t="shared" si="52"/>
        <v>290015</v>
      </c>
      <c r="L79" s="123">
        <f t="shared" si="52"/>
        <v>0</v>
      </c>
      <c r="M79" s="127">
        <f t="shared" si="52"/>
        <v>11198.569999999998</v>
      </c>
      <c r="N79" s="128">
        <f t="shared" si="49"/>
        <v>0.27659781561395791</v>
      </c>
      <c r="O79" s="129">
        <f t="shared" si="4"/>
        <v>3.6153575464083931</v>
      </c>
      <c r="P79" s="128" t="e">
        <f t="shared" si="5"/>
        <v>#DIV/0!</v>
      </c>
      <c r="Q79" s="130" t="e">
        <f t="shared" si="6"/>
        <v>#DIV/0!</v>
      </c>
      <c r="R79" s="131">
        <f>SUM(R65:R78)</f>
        <v>-11198.569999999998</v>
      </c>
      <c r="S79" s="132" t="e">
        <f t="shared" si="8"/>
        <v>#DIV/0!</v>
      </c>
      <c r="T79" s="134">
        <f t="shared" ref="T79:U79" si="53">IFERROR((D79-#REF!)/D79,)</f>
        <v>0</v>
      </c>
      <c r="U79" s="134">
        <f t="shared" si="53"/>
        <v>0</v>
      </c>
      <c r="V79" s="134">
        <f t="shared" ref="V79:W79" si="54">IFERROR((D79-#REF!)/D79, )</f>
        <v>0</v>
      </c>
      <c r="W79" s="134">
        <f t="shared" si="54"/>
        <v>0</v>
      </c>
      <c r="X79" s="68"/>
      <c r="Y79" s="68"/>
      <c r="Z79" s="68"/>
    </row>
    <row r="80" spans="1:26" ht="12.75" hidden="1" outlineLevel="1" x14ac:dyDescent="0.2">
      <c r="A80" s="68"/>
      <c r="B80" s="69">
        <v>46047</v>
      </c>
      <c r="C80" s="70" t="s">
        <v>112</v>
      </c>
      <c r="D80" s="282"/>
      <c r="E80" s="283"/>
      <c r="F80" s="283"/>
      <c r="G80" s="74" t="e">
        <f t="shared" si="41"/>
        <v>#DIV/0!</v>
      </c>
      <c r="H80" s="75" t="e">
        <f t="shared" si="42"/>
        <v>#DIV/0!</v>
      </c>
      <c r="I80" s="76" t="e">
        <f t="shared" si="43"/>
        <v>#DIV/0!</v>
      </c>
      <c r="J80" s="77">
        <v>156.30000000000001</v>
      </c>
      <c r="K80" s="199">
        <v>19134</v>
      </c>
      <c r="L80" s="283"/>
      <c r="M80" s="78">
        <v>434.95</v>
      </c>
      <c r="N80" s="79">
        <f t="shared" si="49"/>
        <v>0.35935164961489829</v>
      </c>
      <c r="O80" s="80">
        <f t="shared" si="4"/>
        <v>2.7827895073576454</v>
      </c>
      <c r="P80" s="79" t="e">
        <f t="shared" si="5"/>
        <v>#DIV/0!</v>
      </c>
      <c r="Q80" s="81" t="e">
        <f t="shared" si="6"/>
        <v>#DIV/0!</v>
      </c>
      <c r="R80" s="82">
        <f t="shared" ref="R80:R93" si="55">D80-M80</f>
        <v>-434.95</v>
      </c>
      <c r="S80" s="83" t="e">
        <f t="shared" si="8"/>
        <v>#DIV/0!</v>
      </c>
      <c r="T80" s="84"/>
      <c r="U80" s="84"/>
      <c r="V80" s="84"/>
      <c r="W80" s="84"/>
      <c r="X80" s="85"/>
      <c r="Y80" s="68"/>
      <c r="Z80" s="68"/>
    </row>
    <row r="81" spans="1:26" ht="12.75" hidden="1" outlineLevel="1" x14ac:dyDescent="0.2">
      <c r="A81" s="68"/>
      <c r="B81" s="86"/>
      <c r="C81" s="70" t="s">
        <v>113</v>
      </c>
      <c r="D81" s="284"/>
      <c r="E81" s="283"/>
      <c r="F81" s="283"/>
      <c r="G81" s="74" t="e">
        <f t="shared" si="41"/>
        <v>#DIV/0!</v>
      </c>
      <c r="H81" s="75" t="e">
        <f t="shared" si="42"/>
        <v>#DIV/0!</v>
      </c>
      <c r="I81" s="76" t="e">
        <f t="shared" si="43"/>
        <v>#DIV/0!</v>
      </c>
      <c r="J81" s="87">
        <v>68.61</v>
      </c>
      <c r="K81" s="199">
        <v>9558</v>
      </c>
      <c r="L81" s="283"/>
      <c r="M81" s="88">
        <v>149.88</v>
      </c>
      <c r="N81" s="79">
        <f t="shared" si="49"/>
        <v>0.45776621297037628</v>
      </c>
      <c r="O81" s="80">
        <f t="shared" si="4"/>
        <v>2.184521206821163</v>
      </c>
      <c r="P81" s="79" t="e">
        <f t="shared" si="5"/>
        <v>#DIV/0!</v>
      </c>
      <c r="Q81" s="81" t="e">
        <f t="shared" si="6"/>
        <v>#DIV/0!</v>
      </c>
      <c r="R81" s="89">
        <f t="shared" si="55"/>
        <v>-149.88</v>
      </c>
      <c r="S81" s="83" t="e">
        <f t="shared" si="8"/>
        <v>#DIV/0!</v>
      </c>
      <c r="T81" s="84"/>
      <c r="U81" s="84"/>
      <c r="V81" s="84"/>
      <c r="W81" s="84"/>
      <c r="X81" s="85"/>
      <c r="Y81" s="68"/>
      <c r="Z81" s="68"/>
    </row>
    <row r="82" spans="1:26" ht="12.75" hidden="1" outlineLevel="1" x14ac:dyDescent="0.2">
      <c r="A82" s="68"/>
      <c r="B82" s="86"/>
      <c r="C82" s="70" t="s">
        <v>114</v>
      </c>
      <c r="D82" s="285"/>
      <c r="E82" s="283"/>
      <c r="F82" s="283"/>
      <c r="G82" s="74" t="e">
        <f t="shared" si="41"/>
        <v>#DIV/0!</v>
      </c>
      <c r="H82" s="75" t="e">
        <f t="shared" si="42"/>
        <v>#DIV/0!</v>
      </c>
      <c r="I82" s="76" t="e">
        <f t="shared" si="43"/>
        <v>#DIV/0!</v>
      </c>
      <c r="J82" s="90">
        <v>62.37</v>
      </c>
      <c r="K82" s="199">
        <v>2490</v>
      </c>
      <c r="L82" s="283"/>
      <c r="M82" s="91">
        <v>208.7</v>
      </c>
      <c r="N82" s="79">
        <f>(J82/M82)</f>
        <v>0.29885002395783422</v>
      </c>
      <c r="O82" s="80">
        <f t="shared" si="4"/>
        <v>3.3461600128266795</v>
      </c>
      <c r="P82" s="79" t="e">
        <f t="shared" si="5"/>
        <v>#DIV/0!</v>
      </c>
      <c r="Q82" s="81" t="e">
        <f t="shared" si="6"/>
        <v>#DIV/0!</v>
      </c>
      <c r="R82" s="92">
        <f t="shared" si="55"/>
        <v>-208.7</v>
      </c>
      <c r="S82" s="83" t="e">
        <f t="shared" si="8"/>
        <v>#DIV/0!</v>
      </c>
      <c r="T82" s="84"/>
      <c r="U82" s="84"/>
      <c r="V82" s="84"/>
      <c r="W82" s="84"/>
      <c r="X82" s="85"/>
      <c r="Y82" s="68"/>
      <c r="Z82" s="68"/>
    </row>
    <row r="83" spans="1:26" ht="12.75" hidden="1" outlineLevel="1" x14ac:dyDescent="0.2">
      <c r="A83" s="68"/>
      <c r="B83" s="86"/>
      <c r="C83" s="70" t="s">
        <v>115</v>
      </c>
      <c r="D83" s="285"/>
      <c r="E83" s="283"/>
      <c r="F83" s="283"/>
      <c r="G83" s="74" t="e">
        <f t="shared" si="41"/>
        <v>#DIV/0!</v>
      </c>
      <c r="H83" s="75" t="e">
        <f t="shared" si="42"/>
        <v>#DIV/0!</v>
      </c>
      <c r="I83" s="76" t="e">
        <f t="shared" si="43"/>
        <v>#DIV/0!</v>
      </c>
      <c r="J83" s="90">
        <v>119.92</v>
      </c>
      <c r="K83" s="199">
        <v>22981</v>
      </c>
      <c r="L83" s="283"/>
      <c r="M83" s="91">
        <v>0</v>
      </c>
      <c r="N83" s="79" t="e">
        <f t="shared" ref="N83:N96" si="56">J83/M83</f>
        <v>#DIV/0!</v>
      </c>
      <c r="O83" s="80">
        <f t="shared" si="4"/>
        <v>0</v>
      </c>
      <c r="P83" s="79" t="e">
        <f t="shared" si="5"/>
        <v>#DIV/0!</v>
      </c>
      <c r="Q83" s="81" t="e">
        <f t="shared" si="6"/>
        <v>#DIV/0!</v>
      </c>
      <c r="R83" s="92">
        <f t="shared" si="55"/>
        <v>0</v>
      </c>
      <c r="S83" s="83" t="e">
        <f t="shared" si="8"/>
        <v>#DIV/0!</v>
      </c>
      <c r="T83" s="84"/>
      <c r="U83" s="84"/>
      <c r="V83" s="84"/>
      <c r="W83" s="84"/>
      <c r="X83" s="85"/>
      <c r="Y83" s="68"/>
      <c r="Z83" s="68"/>
    </row>
    <row r="84" spans="1:26" ht="12.75" hidden="1" outlineLevel="1" x14ac:dyDescent="0.2">
      <c r="A84" s="68"/>
      <c r="B84" s="86"/>
      <c r="C84" s="70" t="s">
        <v>116</v>
      </c>
      <c r="D84" s="286"/>
      <c r="E84" s="283"/>
      <c r="F84" s="283"/>
      <c r="G84" s="74" t="e">
        <f t="shared" si="41"/>
        <v>#DIV/0!</v>
      </c>
      <c r="H84" s="75" t="e">
        <f t="shared" si="42"/>
        <v>#DIV/0!</v>
      </c>
      <c r="I84" s="76" t="e">
        <f t="shared" si="43"/>
        <v>#DIV/0!</v>
      </c>
      <c r="J84" s="200">
        <v>252.05</v>
      </c>
      <c r="K84" s="199">
        <v>28527</v>
      </c>
      <c r="L84" s="283"/>
      <c r="M84" s="200">
        <v>1045.67</v>
      </c>
      <c r="N84" s="79">
        <f t="shared" si="56"/>
        <v>0.24104162881214913</v>
      </c>
      <c r="O84" s="80">
        <f t="shared" si="4"/>
        <v>4.1486609799642933</v>
      </c>
      <c r="P84" s="79" t="e">
        <f t="shared" si="5"/>
        <v>#DIV/0!</v>
      </c>
      <c r="Q84" s="81" t="e">
        <f t="shared" si="6"/>
        <v>#DIV/0!</v>
      </c>
      <c r="R84" s="92">
        <f t="shared" si="55"/>
        <v>-1045.67</v>
      </c>
      <c r="S84" s="83" t="e">
        <f t="shared" si="8"/>
        <v>#DIV/0!</v>
      </c>
      <c r="T84" s="84"/>
      <c r="U84" s="84"/>
      <c r="V84" s="84"/>
      <c r="W84" s="84"/>
      <c r="X84" s="85"/>
      <c r="Y84" s="68"/>
      <c r="Z84" s="68"/>
    </row>
    <row r="85" spans="1:26" ht="12.75" hidden="1" outlineLevel="1" x14ac:dyDescent="0.2">
      <c r="A85" s="68"/>
      <c r="B85" s="86"/>
      <c r="C85" s="70" t="s">
        <v>117</v>
      </c>
      <c r="D85" s="287"/>
      <c r="E85" s="283"/>
      <c r="F85" s="283"/>
      <c r="G85" s="74" t="e">
        <f t="shared" si="41"/>
        <v>#DIV/0!</v>
      </c>
      <c r="H85" s="75" t="e">
        <f t="shared" si="42"/>
        <v>#DIV/0!</v>
      </c>
      <c r="I85" s="76" t="e">
        <f t="shared" si="43"/>
        <v>#DIV/0!</v>
      </c>
      <c r="J85" s="201">
        <v>27.62</v>
      </c>
      <c r="K85" s="199">
        <v>4096</v>
      </c>
      <c r="L85" s="283"/>
      <c r="M85" s="202">
        <v>171.29</v>
      </c>
      <c r="N85" s="79">
        <f t="shared" si="56"/>
        <v>0.16124700799813182</v>
      </c>
      <c r="O85" s="80">
        <f t="shared" si="4"/>
        <v>6.2016654598117302</v>
      </c>
      <c r="P85" s="79" t="e">
        <f t="shared" si="5"/>
        <v>#DIV/0!</v>
      </c>
      <c r="Q85" s="81" t="e">
        <f t="shared" si="6"/>
        <v>#DIV/0!</v>
      </c>
      <c r="R85" s="203">
        <f t="shared" si="55"/>
        <v>-171.29</v>
      </c>
      <c r="S85" s="83" t="e">
        <f t="shared" si="8"/>
        <v>#DIV/0!</v>
      </c>
      <c r="T85" s="84"/>
      <c r="U85" s="84"/>
      <c r="V85" s="84"/>
      <c r="W85" s="84"/>
      <c r="X85" s="85"/>
      <c r="Y85" s="68"/>
      <c r="Z85" s="68"/>
    </row>
    <row r="86" spans="1:26" ht="12.75" hidden="1" outlineLevel="1" x14ac:dyDescent="0.2">
      <c r="A86" s="68"/>
      <c r="B86" s="86"/>
      <c r="C86" s="70" t="s">
        <v>118</v>
      </c>
      <c r="D86" s="285"/>
      <c r="E86" s="283"/>
      <c r="F86" s="283"/>
      <c r="G86" s="74" t="e">
        <f t="shared" si="41"/>
        <v>#DIV/0!</v>
      </c>
      <c r="H86" s="75" t="e">
        <f t="shared" si="42"/>
        <v>#DIV/0!</v>
      </c>
      <c r="I86" s="76" t="e">
        <f t="shared" si="43"/>
        <v>#DIV/0!</v>
      </c>
      <c r="J86" s="90">
        <v>522.66</v>
      </c>
      <c r="K86" s="199">
        <v>27075</v>
      </c>
      <c r="L86" s="283"/>
      <c r="M86" s="91">
        <v>1363.29</v>
      </c>
      <c r="N86" s="79">
        <f t="shared" si="56"/>
        <v>0.38338137887023305</v>
      </c>
      <c r="O86" s="80">
        <f t="shared" si="4"/>
        <v>2.6083687291929745</v>
      </c>
      <c r="P86" s="79" t="e">
        <f t="shared" si="5"/>
        <v>#DIV/0!</v>
      </c>
      <c r="Q86" s="81" t="e">
        <f t="shared" si="6"/>
        <v>#DIV/0!</v>
      </c>
      <c r="R86" s="92">
        <f t="shared" si="55"/>
        <v>-1363.29</v>
      </c>
      <c r="S86" s="83" t="e">
        <f t="shared" si="8"/>
        <v>#DIV/0!</v>
      </c>
      <c r="T86" s="84"/>
      <c r="U86" s="84"/>
      <c r="V86" s="84"/>
      <c r="W86" s="84"/>
      <c r="X86" s="85"/>
      <c r="Y86" s="68"/>
      <c r="Z86" s="68"/>
    </row>
    <row r="87" spans="1:26" ht="12.75" hidden="1" outlineLevel="1" x14ac:dyDescent="0.2">
      <c r="A87" s="68"/>
      <c r="B87" s="69" t="s">
        <v>37</v>
      </c>
      <c r="C87" s="70" t="s">
        <v>119</v>
      </c>
      <c r="D87" s="288"/>
      <c r="E87" s="283"/>
      <c r="F87" s="283"/>
      <c r="G87" s="74" t="e">
        <f t="shared" si="41"/>
        <v>#DIV/0!</v>
      </c>
      <c r="H87" s="75" t="e">
        <f t="shared" si="42"/>
        <v>#DIV/0!</v>
      </c>
      <c r="I87" s="76" t="e">
        <f t="shared" si="43"/>
        <v>#DIV/0!</v>
      </c>
      <c r="J87" s="93">
        <v>111.53</v>
      </c>
      <c r="K87" s="199">
        <v>6787</v>
      </c>
      <c r="L87" s="283"/>
      <c r="M87" s="94">
        <v>295.38</v>
      </c>
      <c r="N87" s="79">
        <f t="shared" si="56"/>
        <v>0.37758142054302934</v>
      </c>
      <c r="O87" s="80">
        <f t="shared" si="4"/>
        <v>2.648435398547476</v>
      </c>
      <c r="P87" s="79" t="e">
        <f t="shared" si="5"/>
        <v>#DIV/0!</v>
      </c>
      <c r="Q87" s="81" t="e">
        <f t="shared" si="6"/>
        <v>#DIV/0!</v>
      </c>
      <c r="R87" s="95">
        <f t="shared" si="55"/>
        <v>-295.38</v>
      </c>
      <c r="S87" s="83" t="e">
        <f t="shared" si="8"/>
        <v>#DIV/0!</v>
      </c>
      <c r="T87" s="84"/>
      <c r="U87" s="84"/>
      <c r="V87" s="84"/>
      <c r="W87" s="84"/>
      <c r="X87" s="85"/>
      <c r="Y87" s="68"/>
      <c r="Z87" s="68"/>
    </row>
    <row r="88" spans="1:26" ht="12.75" hidden="1" outlineLevel="1" x14ac:dyDescent="0.2">
      <c r="A88" s="68"/>
      <c r="B88" s="86"/>
      <c r="C88" s="70" t="s">
        <v>120</v>
      </c>
      <c r="D88" s="289"/>
      <c r="E88" s="283"/>
      <c r="F88" s="283"/>
      <c r="G88" s="74" t="e">
        <f t="shared" si="41"/>
        <v>#DIV/0!</v>
      </c>
      <c r="H88" s="75" t="e">
        <f t="shared" si="42"/>
        <v>#DIV/0!</v>
      </c>
      <c r="I88" s="76" t="e">
        <f t="shared" si="43"/>
        <v>#DIV/0!</v>
      </c>
      <c r="J88" s="96">
        <v>78.75</v>
      </c>
      <c r="K88" s="199">
        <v>11989</v>
      </c>
      <c r="L88" s="283"/>
      <c r="M88" s="97">
        <v>1177</v>
      </c>
      <c r="N88" s="79">
        <f t="shared" si="56"/>
        <v>6.6907391673746819E-2</v>
      </c>
      <c r="O88" s="80">
        <f t="shared" si="4"/>
        <v>14.946031746031746</v>
      </c>
      <c r="P88" s="79" t="e">
        <f t="shared" si="5"/>
        <v>#DIV/0!</v>
      </c>
      <c r="Q88" s="81" t="e">
        <f t="shared" si="6"/>
        <v>#DIV/0!</v>
      </c>
      <c r="R88" s="98">
        <f t="shared" si="55"/>
        <v>-1177</v>
      </c>
      <c r="S88" s="83" t="e">
        <f t="shared" si="8"/>
        <v>#DIV/0!</v>
      </c>
      <c r="T88" s="84"/>
      <c r="U88" s="84"/>
      <c r="V88" s="84"/>
      <c r="W88" s="84"/>
      <c r="X88" s="85"/>
      <c r="Y88" s="68"/>
      <c r="Z88" s="68"/>
    </row>
    <row r="89" spans="1:26" ht="12.75" hidden="1" outlineLevel="1" x14ac:dyDescent="0.2">
      <c r="A89" s="68"/>
      <c r="B89" s="86"/>
      <c r="C89" s="70" t="s">
        <v>121</v>
      </c>
      <c r="D89" s="290"/>
      <c r="E89" s="283"/>
      <c r="F89" s="283"/>
      <c r="G89" s="74" t="e">
        <f t="shared" si="41"/>
        <v>#DIV/0!</v>
      </c>
      <c r="H89" s="75" t="e">
        <f t="shared" si="42"/>
        <v>#DIV/0!</v>
      </c>
      <c r="I89" s="76" t="e">
        <f t="shared" si="43"/>
        <v>#DIV/0!</v>
      </c>
      <c r="J89" s="99">
        <v>119.54</v>
      </c>
      <c r="K89" s="199">
        <v>18801</v>
      </c>
      <c r="L89" s="283"/>
      <c r="M89" s="100">
        <v>383.31</v>
      </c>
      <c r="N89" s="79">
        <f t="shared" si="56"/>
        <v>0.31186246119329003</v>
      </c>
      <c r="O89" s="80">
        <f t="shared" si="4"/>
        <v>3.2065417433495065</v>
      </c>
      <c r="P89" s="79" t="e">
        <f t="shared" si="5"/>
        <v>#DIV/0!</v>
      </c>
      <c r="Q89" s="81" t="e">
        <f t="shared" si="6"/>
        <v>#DIV/0!</v>
      </c>
      <c r="R89" s="101">
        <f t="shared" si="55"/>
        <v>-383.31</v>
      </c>
      <c r="S89" s="83" t="e">
        <f t="shared" si="8"/>
        <v>#DIV/0!</v>
      </c>
      <c r="T89" s="84"/>
      <c r="U89" s="84"/>
      <c r="V89" s="84"/>
      <c r="W89" s="84"/>
      <c r="X89" s="85"/>
      <c r="Y89" s="68"/>
      <c r="Z89" s="68"/>
    </row>
    <row r="90" spans="1:26" ht="12.75" hidden="1" outlineLevel="1" x14ac:dyDescent="0.2">
      <c r="A90" s="68"/>
      <c r="B90" s="86"/>
      <c r="C90" s="70" t="s">
        <v>122</v>
      </c>
      <c r="D90" s="290"/>
      <c r="E90" s="283"/>
      <c r="F90" s="283"/>
      <c r="G90" s="74" t="e">
        <f t="shared" si="41"/>
        <v>#DIV/0!</v>
      </c>
      <c r="H90" s="75" t="e">
        <f t="shared" si="42"/>
        <v>#DIV/0!</v>
      </c>
      <c r="I90" s="76" t="e">
        <f t="shared" si="43"/>
        <v>#DIV/0!</v>
      </c>
      <c r="J90" s="105">
        <v>376.48</v>
      </c>
      <c r="K90" s="199">
        <v>36429</v>
      </c>
      <c r="L90" s="283"/>
      <c r="M90" s="106">
        <v>739.85</v>
      </c>
      <c r="N90" s="79">
        <f t="shared" si="56"/>
        <v>0.50885990403460157</v>
      </c>
      <c r="O90" s="80">
        <f t="shared" si="4"/>
        <v>1.9651774330641734</v>
      </c>
      <c r="P90" s="79" t="e">
        <f t="shared" si="5"/>
        <v>#DIV/0!</v>
      </c>
      <c r="Q90" s="81" t="e">
        <f t="shared" si="6"/>
        <v>#DIV/0!</v>
      </c>
      <c r="R90" s="107">
        <f t="shared" si="55"/>
        <v>-739.85</v>
      </c>
      <c r="S90" s="83" t="e">
        <f t="shared" si="8"/>
        <v>#DIV/0!</v>
      </c>
      <c r="T90" s="84"/>
      <c r="U90" s="84"/>
      <c r="V90" s="84"/>
      <c r="W90" s="84"/>
      <c r="X90" s="85"/>
      <c r="Y90" s="68"/>
      <c r="Z90" s="68"/>
    </row>
    <row r="91" spans="1:26" ht="12.75" hidden="1" outlineLevel="1" x14ac:dyDescent="0.2">
      <c r="A91" s="68"/>
      <c r="B91" s="86"/>
      <c r="C91" s="70" t="s">
        <v>124</v>
      </c>
      <c r="D91" s="290"/>
      <c r="E91" s="283"/>
      <c r="F91" s="283"/>
      <c r="G91" s="74" t="e">
        <f t="shared" si="41"/>
        <v>#DIV/0!</v>
      </c>
      <c r="H91" s="75" t="e">
        <f t="shared" si="42"/>
        <v>#DIV/0!</v>
      </c>
      <c r="I91" s="76" t="e">
        <f t="shared" si="43"/>
        <v>#DIV/0!</v>
      </c>
      <c r="J91" s="105">
        <v>117.28</v>
      </c>
      <c r="K91" s="199">
        <v>10425</v>
      </c>
      <c r="L91" s="283"/>
      <c r="M91" s="106">
        <v>210.6</v>
      </c>
      <c r="N91" s="79">
        <f t="shared" si="56"/>
        <v>0.55688509021842358</v>
      </c>
      <c r="O91" s="80">
        <f t="shared" si="4"/>
        <v>1.7957025920873124</v>
      </c>
      <c r="P91" s="79" t="e">
        <f t="shared" si="5"/>
        <v>#DIV/0!</v>
      </c>
      <c r="Q91" s="81" t="e">
        <f t="shared" si="6"/>
        <v>#DIV/0!</v>
      </c>
      <c r="R91" s="107">
        <f t="shared" si="55"/>
        <v>-210.6</v>
      </c>
      <c r="S91" s="83" t="e">
        <f t="shared" si="8"/>
        <v>#DIV/0!</v>
      </c>
      <c r="T91" s="84"/>
      <c r="U91" s="84"/>
      <c r="V91" s="84"/>
      <c r="W91" s="84"/>
      <c r="X91" s="85"/>
      <c r="Y91" s="68"/>
      <c r="Z91" s="68"/>
    </row>
    <row r="92" spans="1:26" ht="12.75" hidden="1" outlineLevel="1" x14ac:dyDescent="0.2">
      <c r="A92" s="68"/>
      <c r="B92" s="86"/>
      <c r="C92" s="70" t="s">
        <v>125</v>
      </c>
      <c r="D92" s="290"/>
      <c r="E92" s="283"/>
      <c r="F92" s="283"/>
      <c r="G92" s="74" t="e">
        <f t="shared" si="41"/>
        <v>#DIV/0!</v>
      </c>
      <c r="H92" s="75" t="e">
        <f t="shared" si="42"/>
        <v>#DIV/0!</v>
      </c>
      <c r="I92" s="76" t="e">
        <f t="shared" si="43"/>
        <v>#DIV/0!</v>
      </c>
      <c r="J92" s="105">
        <v>1019.84</v>
      </c>
      <c r="K92" s="199">
        <v>65746</v>
      </c>
      <c r="L92" s="283"/>
      <c r="M92" s="106">
        <v>3327.5</v>
      </c>
      <c r="N92" s="79">
        <f t="shared" si="56"/>
        <v>0.30648835462058605</v>
      </c>
      <c r="O92" s="80">
        <f t="shared" si="4"/>
        <v>3.2627667085032943</v>
      </c>
      <c r="P92" s="79" t="e">
        <f t="shared" si="5"/>
        <v>#DIV/0!</v>
      </c>
      <c r="Q92" s="81" t="e">
        <f t="shared" si="6"/>
        <v>#DIV/0!</v>
      </c>
      <c r="R92" s="107">
        <f t="shared" si="55"/>
        <v>-3327.5</v>
      </c>
      <c r="S92" s="83" t="e">
        <f t="shared" si="8"/>
        <v>#DIV/0!</v>
      </c>
      <c r="T92" s="84"/>
      <c r="U92" s="84"/>
      <c r="V92" s="84"/>
      <c r="W92" s="84"/>
      <c r="X92" s="85"/>
      <c r="Y92" s="68"/>
      <c r="Z92" s="68"/>
    </row>
    <row r="93" spans="1:26" ht="12.75" hidden="1" outlineLevel="1" x14ac:dyDescent="0.2">
      <c r="A93" s="118" t="str">
        <f t="shared" ref="A93:A94" si="57">IFERROR(IF(B93&gt;0,MONTH(B93)&amp;"-"&amp;YEAR(B93),B93),)</f>
        <v>1-2026</v>
      </c>
      <c r="B93" s="69">
        <v>46053</v>
      </c>
      <c r="C93" s="70" t="s">
        <v>123</v>
      </c>
      <c r="D93" s="293"/>
      <c r="E93" s="283"/>
      <c r="F93" s="283"/>
      <c r="G93" s="74" t="e">
        <f t="shared" si="41"/>
        <v>#DIV/0!</v>
      </c>
      <c r="H93" s="75" t="e">
        <f t="shared" si="42"/>
        <v>#DIV/0!</v>
      </c>
      <c r="I93" s="76" t="e">
        <f t="shared" si="43"/>
        <v>#DIV/0!</v>
      </c>
      <c r="J93" s="87">
        <v>0</v>
      </c>
      <c r="K93" s="199">
        <v>0</v>
      </c>
      <c r="L93" s="283"/>
      <c r="M93" s="88">
        <v>0</v>
      </c>
      <c r="N93" s="79" t="e">
        <f t="shared" si="56"/>
        <v>#DIV/0!</v>
      </c>
      <c r="O93" s="80" t="e">
        <f t="shared" si="4"/>
        <v>#DIV/0!</v>
      </c>
      <c r="P93" s="79" t="e">
        <f t="shared" si="5"/>
        <v>#DIV/0!</v>
      </c>
      <c r="Q93" s="81" t="e">
        <f t="shared" si="6"/>
        <v>#DIV/0!</v>
      </c>
      <c r="R93" s="82">
        <f t="shared" si="55"/>
        <v>0</v>
      </c>
      <c r="S93" s="83" t="e">
        <f t="shared" si="8"/>
        <v>#DIV/0!</v>
      </c>
      <c r="T93" s="84"/>
      <c r="U93" s="84"/>
      <c r="V93" s="84"/>
      <c r="W93" s="84"/>
      <c r="X93" s="85"/>
      <c r="Y93" s="68"/>
      <c r="Z93" s="68"/>
    </row>
    <row r="94" spans="1:26" ht="12.75" collapsed="1" x14ac:dyDescent="0.2">
      <c r="A94" s="68">
        <f t="shared" si="57"/>
        <v>0</v>
      </c>
      <c r="B94" s="119" t="s">
        <v>55</v>
      </c>
      <c r="C94" s="120"/>
      <c r="D94" s="121">
        <f t="shared" ref="D94:F94" si="58">SUM(D80:D93)</f>
        <v>0</v>
      </c>
      <c r="E94" s="123">
        <f t="shared" si="58"/>
        <v>0</v>
      </c>
      <c r="F94" s="123">
        <f t="shared" si="58"/>
        <v>0</v>
      </c>
      <c r="G94" s="124" t="e">
        <f t="shared" si="41"/>
        <v>#DIV/0!</v>
      </c>
      <c r="H94" s="125" t="e">
        <f t="shared" si="42"/>
        <v>#DIV/0!</v>
      </c>
      <c r="I94" s="126" t="e">
        <f t="shared" si="43"/>
        <v>#DIV/0!</v>
      </c>
      <c r="J94" s="121">
        <f t="shared" ref="J94:M94" si="59">SUM(J80:J93)</f>
        <v>3032.95</v>
      </c>
      <c r="K94" s="294">
        <f t="shared" si="59"/>
        <v>264038</v>
      </c>
      <c r="L94" s="123">
        <f t="shared" si="59"/>
        <v>0</v>
      </c>
      <c r="M94" s="127">
        <f t="shared" si="59"/>
        <v>9507.4200000000019</v>
      </c>
      <c r="N94" s="128">
        <f t="shared" si="56"/>
        <v>0.3190087321271175</v>
      </c>
      <c r="O94" s="129">
        <f t="shared" si="4"/>
        <v>3.1347104304390125</v>
      </c>
      <c r="P94" s="128" t="e">
        <f t="shared" si="5"/>
        <v>#DIV/0!</v>
      </c>
      <c r="Q94" s="130" t="e">
        <f t="shared" si="6"/>
        <v>#DIV/0!</v>
      </c>
      <c r="R94" s="131">
        <f>SUM(R80:R93)</f>
        <v>-9507.4200000000019</v>
      </c>
      <c r="S94" s="132" t="e">
        <f t="shared" si="8"/>
        <v>#DIV/0!</v>
      </c>
      <c r="T94" s="134">
        <f t="shared" ref="T94:U94" si="60">IFERROR((D94-#REF!)/D94,)</f>
        <v>0</v>
      </c>
      <c r="U94" s="134">
        <f t="shared" si="60"/>
        <v>0</v>
      </c>
      <c r="V94" s="134">
        <f t="shared" ref="V94:W94" si="61">IFERROR((D94-#REF!)/D94, )</f>
        <v>0</v>
      </c>
      <c r="W94" s="134">
        <f t="shared" si="61"/>
        <v>0</v>
      </c>
      <c r="X94" s="68"/>
      <c r="Y94" s="68"/>
      <c r="Z94" s="68"/>
    </row>
    <row r="95" spans="1:26" ht="12.75" hidden="1" outlineLevel="1" x14ac:dyDescent="0.2">
      <c r="A95" s="68"/>
      <c r="B95" s="69">
        <v>46054</v>
      </c>
      <c r="C95" s="70" t="s">
        <v>112</v>
      </c>
      <c r="D95" s="282"/>
      <c r="E95" s="283"/>
      <c r="F95" s="283"/>
      <c r="G95" s="74" t="e">
        <f t="shared" si="41"/>
        <v>#DIV/0!</v>
      </c>
      <c r="H95" s="75" t="e">
        <f t="shared" si="42"/>
        <v>#DIV/0!</v>
      </c>
      <c r="I95" s="76" t="e">
        <f t="shared" si="43"/>
        <v>#DIV/0!</v>
      </c>
      <c r="J95" s="77">
        <v>268.38</v>
      </c>
      <c r="K95" s="199">
        <v>39379</v>
      </c>
      <c r="L95" s="283"/>
      <c r="M95" s="78">
        <v>613.28</v>
      </c>
      <c r="N95" s="79">
        <f t="shared" si="56"/>
        <v>0.43761414036003132</v>
      </c>
      <c r="O95" s="80">
        <f t="shared" si="4"/>
        <v>2.2851181161040315</v>
      </c>
      <c r="P95" s="79" t="e">
        <f t="shared" si="5"/>
        <v>#DIV/0!</v>
      </c>
      <c r="Q95" s="81" t="e">
        <f t="shared" si="6"/>
        <v>#DIV/0!</v>
      </c>
      <c r="R95" s="82">
        <f t="shared" ref="R95:R108" si="62">D95-M95</f>
        <v>-613.28</v>
      </c>
      <c r="S95" s="83" t="e">
        <f t="shared" si="8"/>
        <v>#DIV/0!</v>
      </c>
      <c r="T95" s="84"/>
      <c r="U95" s="84"/>
      <c r="V95" s="84"/>
      <c r="W95" s="84"/>
      <c r="X95" s="85"/>
      <c r="Y95" s="68"/>
      <c r="Z95" s="68"/>
    </row>
    <row r="96" spans="1:26" ht="12.75" hidden="1" outlineLevel="1" x14ac:dyDescent="0.2">
      <c r="A96" s="68"/>
      <c r="B96" s="86"/>
      <c r="C96" s="70" t="s">
        <v>113</v>
      </c>
      <c r="D96" s="284"/>
      <c r="E96" s="283"/>
      <c r="F96" s="283"/>
      <c r="G96" s="74" t="e">
        <f t="shared" si="41"/>
        <v>#DIV/0!</v>
      </c>
      <c r="H96" s="75" t="e">
        <f t="shared" si="42"/>
        <v>#DIV/0!</v>
      </c>
      <c r="I96" s="76" t="e">
        <f t="shared" si="43"/>
        <v>#DIV/0!</v>
      </c>
      <c r="J96" s="87">
        <v>125.83</v>
      </c>
      <c r="K96" s="199">
        <v>15324</v>
      </c>
      <c r="L96" s="283"/>
      <c r="M96" s="88">
        <v>224.83</v>
      </c>
      <c r="N96" s="79">
        <f t="shared" si="56"/>
        <v>0.55966730418538446</v>
      </c>
      <c r="O96" s="80">
        <f t="shared" si="4"/>
        <v>1.7867758086306924</v>
      </c>
      <c r="P96" s="79" t="e">
        <f t="shared" si="5"/>
        <v>#DIV/0!</v>
      </c>
      <c r="Q96" s="81" t="e">
        <f t="shared" si="6"/>
        <v>#DIV/0!</v>
      </c>
      <c r="R96" s="89">
        <f t="shared" si="62"/>
        <v>-224.83</v>
      </c>
      <c r="S96" s="83" t="e">
        <f t="shared" si="8"/>
        <v>#DIV/0!</v>
      </c>
      <c r="T96" s="84"/>
      <c r="U96" s="84"/>
      <c r="V96" s="84"/>
      <c r="W96" s="84"/>
      <c r="X96" s="85"/>
      <c r="Y96" s="68"/>
      <c r="Z96" s="68"/>
    </row>
    <row r="97" spans="1:26" ht="12.75" hidden="1" outlineLevel="1" x14ac:dyDescent="0.2">
      <c r="A97" s="68"/>
      <c r="B97" s="86"/>
      <c r="C97" s="70" t="s">
        <v>114</v>
      </c>
      <c r="D97" s="285"/>
      <c r="E97" s="283"/>
      <c r="F97" s="283"/>
      <c r="G97" s="74" t="e">
        <f t="shared" si="41"/>
        <v>#DIV/0!</v>
      </c>
      <c r="H97" s="75" t="e">
        <f t="shared" si="42"/>
        <v>#DIV/0!</v>
      </c>
      <c r="I97" s="76" t="e">
        <f t="shared" si="43"/>
        <v>#DIV/0!</v>
      </c>
      <c r="J97" s="90">
        <v>92.39</v>
      </c>
      <c r="K97" s="199">
        <v>9366</v>
      </c>
      <c r="L97" s="283"/>
      <c r="M97" s="91">
        <v>274.95</v>
      </c>
      <c r="N97" s="79">
        <f>(J97/M97)</f>
        <v>0.33602473176941261</v>
      </c>
      <c r="O97" s="80">
        <f t="shared" si="4"/>
        <v>2.975971425478948</v>
      </c>
      <c r="P97" s="79" t="e">
        <f t="shared" si="5"/>
        <v>#DIV/0!</v>
      </c>
      <c r="Q97" s="81" t="e">
        <f t="shared" si="6"/>
        <v>#DIV/0!</v>
      </c>
      <c r="R97" s="92">
        <f t="shared" si="62"/>
        <v>-274.95</v>
      </c>
      <c r="S97" s="83" t="e">
        <f t="shared" si="8"/>
        <v>#DIV/0!</v>
      </c>
      <c r="T97" s="84"/>
      <c r="U97" s="84"/>
      <c r="V97" s="84"/>
      <c r="W97" s="84"/>
      <c r="X97" s="85"/>
      <c r="Y97" s="68"/>
      <c r="Z97" s="68"/>
    </row>
    <row r="98" spans="1:26" ht="12.75" hidden="1" outlineLevel="1" x14ac:dyDescent="0.2">
      <c r="A98" s="68"/>
      <c r="B98" s="86"/>
      <c r="C98" s="70" t="s">
        <v>115</v>
      </c>
      <c r="D98" s="285"/>
      <c r="E98" s="283"/>
      <c r="F98" s="283"/>
      <c r="G98" s="74" t="e">
        <f t="shared" si="41"/>
        <v>#DIV/0!</v>
      </c>
      <c r="H98" s="75" t="e">
        <f t="shared" si="42"/>
        <v>#DIV/0!</v>
      </c>
      <c r="I98" s="76" t="e">
        <f t="shared" si="43"/>
        <v>#DIV/0!</v>
      </c>
      <c r="J98" s="90">
        <v>255.91</v>
      </c>
      <c r="K98" s="199">
        <v>30480</v>
      </c>
      <c r="L98" s="283"/>
      <c r="M98" s="91">
        <v>362.7</v>
      </c>
      <c r="N98" s="79">
        <f t="shared" ref="N98:N111" si="63">J98/M98</f>
        <v>0.70556934105321201</v>
      </c>
      <c r="O98" s="80">
        <f t="shared" si="4"/>
        <v>1.4172951428236489</v>
      </c>
      <c r="P98" s="79" t="e">
        <f t="shared" si="5"/>
        <v>#DIV/0!</v>
      </c>
      <c r="Q98" s="81" t="e">
        <f t="shared" si="6"/>
        <v>#DIV/0!</v>
      </c>
      <c r="R98" s="92">
        <f t="shared" si="62"/>
        <v>-362.7</v>
      </c>
      <c r="S98" s="83" t="e">
        <f t="shared" si="8"/>
        <v>#DIV/0!</v>
      </c>
      <c r="T98" s="84"/>
      <c r="U98" s="84"/>
      <c r="V98" s="84"/>
      <c r="W98" s="84"/>
      <c r="X98" s="85"/>
      <c r="Y98" s="68"/>
      <c r="Z98" s="68"/>
    </row>
    <row r="99" spans="1:26" ht="12.75" hidden="1" outlineLevel="1" x14ac:dyDescent="0.2">
      <c r="A99" s="68"/>
      <c r="B99" s="86"/>
      <c r="C99" s="70" t="s">
        <v>116</v>
      </c>
      <c r="D99" s="286"/>
      <c r="E99" s="283"/>
      <c r="F99" s="283"/>
      <c r="G99" s="74" t="e">
        <f t="shared" si="41"/>
        <v>#DIV/0!</v>
      </c>
      <c r="H99" s="75" t="e">
        <f t="shared" si="42"/>
        <v>#DIV/0!</v>
      </c>
      <c r="I99" s="76" t="e">
        <f t="shared" si="43"/>
        <v>#DIV/0!</v>
      </c>
      <c r="J99" s="200">
        <v>655.15</v>
      </c>
      <c r="K99" s="199">
        <v>51351</v>
      </c>
      <c r="L99" s="283"/>
      <c r="M99" s="200">
        <v>1199.5999999999999</v>
      </c>
      <c r="N99" s="79">
        <f t="shared" si="63"/>
        <v>0.54614038012670896</v>
      </c>
      <c r="O99" s="80">
        <f t="shared" si="4"/>
        <v>1.8310310615889491</v>
      </c>
      <c r="P99" s="79" t="e">
        <f t="shared" si="5"/>
        <v>#DIV/0!</v>
      </c>
      <c r="Q99" s="81" t="e">
        <f t="shared" si="6"/>
        <v>#DIV/0!</v>
      </c>
      <c r="R99" s="92">
        <f t="shared" si="62"/>
        <v>-1199.5999999999999</v>
      </c>
      <c r="S99" s="83" t="e">
        <f t="shared" si="8"/>
        <v>#DIV/0!</v>
      </c>
      <c r="T99" s="84"/>
      <c r="U99" s="84"/>
      <c r="V99" s="84"/>
      <c r="W99" s="84"/>
      <c r="X99" s="85"/>
      <c r="Y99" s="68"/>
      <c r="Z99" s="68"/>
    </row>
    <row r="100" spans="1:26" ht="12.75" hidden="1" outlineLevel="1" x14ac:dyDescent="0.2">
      <c r="A100" s="68"/>
      <c r="B100" s="86"/>
      <c r="C100" s="70" t="s">
        <v>117</v>
      </c>
      <c r="D100" s="287"/>
      <c r="E100" s="283"/>
      <c r="F100" s="283"/>
      <c r="G100" s="74" t="e">
        <f t="shared" si="41"/>
        <v>#DIV/0!</v>
      </c>
      <c r="H100" s="75" t="e">
        <f t="shared" si="42"/>
        <v>#DIV/0!</v>
      </c>
      <c r="I100" s="76" t="e">
        <f t="shared" si="43"/>
        <v>#DIV/0!</v>
      </c>
      <c r="J100" s="201">
        <v>80.02</v>
      </c>
      <c r="K100" s="199">
        <v>9372</v>
      </c>
      <c r="L100" s="283"/>
      <c r="M100" s="202">
        <v>59.95</v>
      </c>
      <c r="N100" s="79">
        <f t="shared" si="63"/>
        <v>1.3347789824854044</v>
      </c>
      <c r="O100" s="80">
        <f t="shared" si="4"/>
        <v>0.74918770307423155</v>
      </c>
      <c r="P100" s="79" t="e">
        <f t="shared" si="5"/>
        <v>#DIV/0!</v>
      </c>
      <c r="Q100" s="81" t="e">
        <f t="shared" si="6"/>
        <v>#DIV/0!</v>
      </c>
      <c r="R100" s="203">
        <f t="shared" si="62"/>
        <v>-59.95</v>
      </c>
      <c r="S100" s="83" t="e">
        <f t="shared" si="8"/>
        <v>#DIV/0!</v>
      </c>
      <c r="T100" s="84"/>
      <c r="U100" s="84"/>
      <c r="V100" s="84"/>
      <c r="W100" s="84"/>
      <c r="X100" s="85"/>
      <c r="Y100" s="68"/>
      <c r="Z100" s="68"/>
    </row>
    <row r="101" spans="1:26" ht="12.75" hidden="1" outlineLevel="1" x14ac:dyDescent="0.2">
      <c r="A101" s="68"/>
      <c r="B101" s="86"/>
      <c r="C101" s="70" t="s">
        <v>118</v>
      </c>
      <c r="D101" s="285"/>
      <c r="E101" s="283"/>
      <c r="F101" s="283"/>
      <c r="G101" s="74" t="e">
        <f t="shared" si="41"/>
        <v>#DIV/0!</v>
      </c>
      <c r="H101" s="75" t="e">
        <f t="shared" si="42"/>
        <v>#DIV/0!</v>
      </c>
      <c r="I101" s="76" t="e">
        <f t="shared" si="43"/>
        <v>#DIV/0!</v>
      </c>
      <c r="J101" s="90">
        <v>592.69000000000005</v>
      </c>
      <c r="K101" s="199">
        <v>26681</v>
      </c>
      <c r="L101" s="283"/>
      <c r="M101" s="91">
        <v>1284.19</v>
      </c>
      <c r="N101" s="79">
        <f t="shared" si="63"/>
        <v>0.46152827852576334</v>
      </c>
      <c r="O101" s="80">
        <f t="shared" si="4"/>
        <v>2.1667144713087785</v>
      </c>
      <c r="P101" s="79" t="e">
        <f t="shared" si="5"/>
        <v>#DIV/0!</v>
      </c>
      <c r="Q101" s="81" t="e">
        <f t="shared" si="6"/>
        <v>#DIV/0!</v>
      </c>
      <c r="R101" s="92">
        <f t="shared" si="62"/>
        <v>-1284.19</v>
      </c>
      <c r="S101" s="83" t="e">
        <f t="shared" si="8"/>
        <v>#DIV/0!</v>
      </c>
      <c r="T101" s="84"/>
      <c r="U101" s="84"/>
      <c r="V101" s="84"/>
      <c r="W101" s="84"/>
      <c r="X101" s="85"/>
      <c r="Y101" s="68"/>
      <c r="Z101" s="68"/>
    </row>
    <row r="102" spans="1:26" ht="12.75" hidden="1" outlineLevel="1" x14ac:dyDescent="0.2">
      <c r="A102" s="68"/>
      <c r="B102" s="69" t="s">
        <v>37</v>
      </c>
      <c r="C102" s="70" t="s">
        <v>119</v>
      </c>
      <c r="D102" s="288"/>
      <c r="E102" s="283"/>
      <c r="F102" s="283"/>
      <c r="G102" s="74" t="e">
        <f t="shared" si="41"/>
        <v>#DIV/0!</v>
      </c>
      <c r="H102" s="75" t="e">
        <f t="shared" si="42"/>
        <v>#DIV/0!</v>
      </c>
      <c r="I102" s="76" t="e">
        <f t="shared" si="43"/>
        <v>#DIV/0!</v>
      </c>
      <c r="J102" s="93">
        <v>103.9</v>
      </c>
      <c r="K102" s="199">
        <v>4850</v>
      </c>
      <c r="L102" s="283"/>
      <c r="M102" s="94">
        <v>634.71</v>
      </c>
      <c r="N102" s="79">
        <f t="shared" si="63"/>
        <v>0.16369680641552836</v>
      </c>
      <c r="O102" s="80">
        <f t="shared" si="4"/>
        <v>6.1088546679499522</v>
      </c>
      <c r="P102" s="79" t="e">
        <f t="shared" si="5"/>
        <v>#DIV/0!</v>
      </c>
      <c r="Q102" s="81" t="e">
        <f t="shared" si="6"/>
        <v>#DIV/0!</v>
      </c>
      <c r="R102" s="95">
        <f t="shared" si="62"/>
        <v>-634.71</v>
      </c>
      <c r="S102" s="83" t="e">
        <f t="shared" si="8"/>
        <v>#DIV/0!</v>
      </c>
      <c r="T102" s="84"/>
      <c r="U102" s="84"/>
      <c r="V102" s="84"/>
      <c r="W102" s="84"/>
      <c r="X102" s="85"/>
      <c r="Y102" s="68"/>
      <c r="Z102" s="68"/>
    </row>
    <row r="103" spans="1:26" ht="12.75" hidden="1" outlineLevel="1" x14ac:dyDescent="0.2">
      <c r="A103" s="68"/>
      <c r="B103" s="86"/>
      <c r="C103" s="70" t="s">
        <v>120</v>
      </c>
      <c r="D103" s="289"/>
      <c r="E103" s="283"/>
      <c r="F103" s="283"/>
      <c r="G103" s="74" t="e">
        <f t="shared" si="41"/>
        <v>#DIV/0!</v>
      </c>
      <c r="H103" s="75" t="e">
        <f t="shared" si="42"/>
        <v>#DIV/0!</v>
      </c>
      <c r="I103" s="76" t="e">
        <f t="shared" si="43"/>
        <v>#DIV/0!</v>
      </c>
      <c r="J103" s="96">
        <v>636.48</v>
      </c>
      <c r="K103" s="199">
        <v>66071</v>
      </c>
      <c r="L103" s="283"/>
      <c r="M103" s="97">
        <v>0</v>
      </c>
      <c r="N103" s="79" t="e">
        <f t="shared" si="63"/>
        <v>#DIV/0!</v>
      </c>
      <c r="O103" s="80">
        <f t="shared" si="4"/>
        <v>0</v>
      </c>
      <c r="P103" s="79" t="e">
        <f t="shared" si="5"/>
        <v>#DIV/0!</v>
      </c>
      <c r="Q103" s="81" t="e">
        <f t="shared" si="6"/>
        <v>#DIV/0!</v>
      </c>
      <c r="R103" s="98">
        <f t="shared" si="62"/>
        <v>0</v>
      </c>
      <c r="S103" s="83" t="e">
        <f t="shared" si="8"/>
        <v>#DIV/0!</v>
      </c>
      <c r="T103" s="84"/>
      <c r="U103" s="84"/>
      <c r="V103" s="84"/>
      <c r="W103" s="84"/>
      <c r="X103" s="85"/>
      <c r="Y103" s="68"/>
      <c r="Z103" s="68"/>
    </row>
    <row r="104" spans="1:26" ht="12.75" hidden="1" outlineLevel="1" x14ac:dyDescent="0.2">
      <c r="A104" s="68"/>
      <c r="B104" s="86"/>
      <c r="C104" s="70" t="s">
        <v>121</v>
      </c>
      <c r="D104" s="290"/>
      <c r="E104" s="283"/>
      <c r="F104" s="283"/>
      <c r="G104" s="74" t="e">
        <f t="shared" si="41"/>
        <v>#DIV/0!</v>
      </c>
      <c r="H104" s="75" t="e">
        <f t="shared" si="42"/>
        <v>#DIV/0!</v>
      </c>
      <c r="I104" s="76" t="e">
        <f t="shared" si="43"/>
        <v>#DIV/0!</v>
      </c>
      <c r="J104" s="99">
        <v>296.97000000000003</v>
      </c>
      <c r="K104" s="199">
        <v>40093</v>
      </c>
      <c r="L104" s="283"/>
      <c r="M104" s="100">
        <v>708.2</v>
      </c>
      <c r="N104" s="79">
        <f t="shared" si="63"/>
        <v>0.41933069754306695</v>
      </c>
      <c r="O104" s="80">
        <f t="shared" si="4"/>
        <v>2.384752668619726</v>
      </c>
      <c r="P104" s="79" t="e">
        <f t="shared" si="5"/>
        <v>#DIV/0!</v>
      </c>
      <c r="Q104" s="81" t="e">
        <f t="shared" si="6"/>
        <v>#DIV/0!</v>
      </c>
      <c r="R104" s="101">
        <f t="shared" si="62"/>
        <v>-708.2</v>
      </c>
      <c r="S104" s="83" t="e">
        <f t="shared" si="8"/>
        <v>#DIV/0!</v>
      </c>
      <c r="T104" s="84"/>
      <c r="U104" s="84"/>
      <c r="V104" s="84"/>
      <c r="W104" s="84"/>
      <c r="X104" s="85"/>
      <c r="Y104" s="68"/>
      <c r="Z104" s="68"/>
    </row>
    <row r="105" spans="1:26" ht="12.75" hidden="1" outlineLevel="1" x14ac:dyDescent="0.2">
      <c r="A105" s="68"/>
      <c r="B105" s="86"/>
      <c r="C105" s="70" t="s">
        <v>122</v>
      </c>
      <c r="D105" s="290"/>
      <c r="E105" s="283"/>
      <c r="F105" s="283"/>
      <c r="G105" s="74" t="e">
        <f t="shared" si="41"/>
        <v>#DIV/0!</v>
      </c>
      <c r="H105" s="75" t="e">
        <f t="shared" si="42"/>
        <v>#DIV/0!</v>
      </c>
      <c r="I105" s="76" t="e">
        <f t="shared" si="43"/>
        <v>#DIV/0!</v>
      </c>
      <c r="J105" s="105">
        <v>694.71</v>
      </c>
      <c r="K105" s="199">
        <v>60224</v>
      </c>
      <c r="L105" s="283"/>
      <c r="M105" s="106">
        <v>2499.5</v>
      </c>
      <c r="N105" s="79">
        <f t="shared" si="63"/>
        <v>0.27793958791758355</v>
      </c>
      <c r="O105" s="80">
        <f t="shared" si="4"/>
        <v>3.5979041614486618</v>
      </c>
      <c r="P105" s="79" t="e">
        <f t="shared" si="5"/>
        <v>#DIV/0!</v>
      </c>
      <c r="Q105" s="81" t="e">
        <f t="shared" si="6"/>
        <v>#DIV/0!</v>
      </c>
      <c r="R105" s="107">
        <f t="shared" si="62"/>
        <v>-2499.5</v>
      </c>
      <c r="S105" s="83" t="e">
        <f t="shared" si="8"/>
        <v>#DIV/0!</v>
      </c>
      <c r="T105" s="84"/>
      <c r="U105" s="84"/>
      <c r="V105" s="84"/>
      <c r="W105" s="84"/>
      <c r="X105" s="85"/>
      <c r="Y105" s="68"/>
      <c r="Z105" s="68"/>
    </row>
    <row r="106" spans="1:26" ht="12.75" hidden="1" outlineLevel="1" x14ac:dyDescent="0.2">
      <c r="A106" s="68"/>
      <c r="B106" s="86"/>
      <c r="C106" s="70" t="s">
        <v>124</v>
      </c>
      <c r="D106" s="290"/>
      <c r="E106" s="283"/>
      <c r="F106" s="283"/>
      <c r="G106" s="74" t="e">
        <f t="shared" si="41"/>
        <v>#DIV/0!</v>
      </c>
      <c r="H106" s="75" t="e">
        <f t="shared" si="42"/>
        <v>#DIV/0!</v>
      </c>
      <c r="I106" s="76" t="e">
        <f t="shared" si="43"/>
        <v>#DIV/0!</v>
      </c>
      <c r="J106" s="105">
        <v>390.97</v>
      </c>
      <c r="K106" s="199">
        <v>17053</v>
      </c>
      <c r="L106" s="283"/>
      <c r="M106" s="106">
        <v>307.29000000000002</v>
      </c>
      <c r="N106" s="79">
        <f t="shared" si="63"/>
        <v>1.2723160532396107</v>
      </c>
      <c r="O106" s="80">
        <f t="shared" si="4"/>
        <v>0.78596823285674089</v>
      </c>
      <c r="P106" s="79" t="e">
        <f t="shared" si="5"/>
        <v>#DIV/0!</v>
      </c>
      <c r="Q106" s="81" t="e">
        <f t="shared" si="6"/>
        <v>#DIV/0!</v>
      </c>
      <c r="R106" s="107">
        <f t="shared" si="62"/>
        <v>-307.29000000000002</v>
      </c>
      <c r="S106" s="83" t="e">
        <f t="shared" si="8"/>
        <v>#DIV/0!</v>
      </c>
      <c r="T106" s="84"/>
      <c r="U106" s="84"/>
      <c r="V106" s="84"/>
      <c r="W106" s="84"/>
      <c r="X106" s="85"/>
      <c r="Y106" s="68"/>
      <c r="Z106" s="68"/>
    </row>
    <row r="107" spans="1:26" ht="12.75" hidden="1" outlineLevel="1" x14ac:dyDescent="0.2">
      <c r="A107" s="68"/>
      <c r="B107" s="86"/>
      <c r="C107" s="70" t="s">
        <v>125</v>
      </c>
      <c r="D107" s="290"/>
      <c r="E107" s="283"/>
      <c r="F107" s="283"/>
      <c r="G107" s="74" t="e">
        <f t="shared" si="41"/>
        <v>#DIV/0!</v>
      </c>
      <c r="H107" s="75" t="e">
        <f t="shared" si="42"/>
        <v>#DIV/0!</v>
      </c>
      <c r="I107" s="76" t="e">
        <f t="shared" si="43"/>
        <v>#DIV/0!</v>
      </c>
      <c r="J107" s="105">
        <v>871.2</v>
      </c>
      <c r="K107" s="199">
        <v>62625</v>
      </c>
      <c r="L107" s="283"/>
      <c r="M107" s="106">
        <v>2348.31</v>
      </c>
      <c r="N107" s="79">
        <f t="shared" si="63"/>
        <v>0.37099020146403161</v>
      </c>
      <c r="O107" s="80">
        <f t="shared" si="4"/>
        <v>2.6954889807162532</v>
      </c>
      <c r="P107" s="79" t="e">
        <f t="shared" si="5"/>
        <v>#DIV/0!</v>
      </c>
      <c r="Q107" s="81" t="e">
        <f t="shared" si="6"/>
        <v>#DIV/0!</v>
      </c>
      <c r="R107" s="107">
        <f t="shared" si="62"/>
        <v>-2348.31</v>
      </c>
      <c r="S107" s="83" t="e">
        <f t="shared" si="8"/>
        <v>#DIV/0!</v>
      </c>
      <c r="T107" s="84"/>
      <c r="U107" s="84"/>
      <c r="V107" s="84"/>
      <c r="W107" s="84"/>
      <c r="X107" s="85"/>
      <c r="Y107" s="68"/>
      <c r="Z107" s="68"/>
    </row>
    <row r="108" spans="1:26" ht="12.75" hidden="1" outlineLevel="1" x14ac:dyDescent="0.2">
      <c r="A108" s="118" t="str">
        <f t="shared" ref="A108:A109" si="64">IFERROR(IF(B108&gt;0,MONTH(B108)&amp;"-"&amp;YEAR(B108),B108),)</f>
        <v>2-2026</v>
      </c>
      <c r="B108" s="69">
        <v>46060</v>
      </c>
      <c r="C108" s="70" t="s">
        <v>123</v>
      </c>
      <c r="D108" s="293"/>
      <c r="E108" s="283"/>
      <c r="F108" s="283"/>
      <c r="G108" s="74" t="e">
        <f t="shared" si="41"/>
        <v>#DIV/0!</v>
      </c>
      <c r="H108" s="75" t="e">
        <f t="shared" si="42"/>
        <v>#DIV/0!</v>
      </c>
      <c r="I108" s="76" t="e">
        <f t="shared" si="43"/>
        <v>#DIV/0!</v>
      </c>
      <c r="J108" s="87">
        <v>0</v>
      </c>
      <c r="K108" s="199">
        <v>0</v>
      </c>
      <c r="L108" s="283"/>
      <c r="M108" s="88">
        <v>0</v>
      </c>
      <c r="N108" s="79" t="e">
        <f t="shared" si="63"/>
        <v>#DIV/0!</v>
      </c>
      <c r="O108" s="80" t="e">
        <f t="shared" si="4"/>
        <v>#DIV/0!</v>
      </c>
      <c r="P108" s="79" t="e">
        <f t="shared" si="5"/>
        <v>#DIV/0!</v>
      </c>
      <c r="Q108" s="81" t="e">
        <f t="shared" si="6"/>
        <v>#DIV/0!</v>
      </c>
      <c r="R108" s="82">
        <f t="shared" si="62"/>
        <v>0</v>
      </c>
      <c r="S108" s="83" t="e">
        <f t="shared" si="8"/>
        <v>#DIV/0!</v>
      </c>
      <c r="T108" s="84"/>
      <c r="U108" s="84"/>
      <c r="V108" s="84"/>
      <c r="W108" s="84"/>
      <c r="X108" s="85"/>
      <c r="Y108" s="68"/>
      <c r="Z108" s="68"/>
    </row>
    <row r="109" spans="1:26" ht="12.75" collapsed="1" x14ac:dyDescent="0.2">
      <c r="A109" s="68">
        <f t="shared" si="64"/>
        <v>0</v>
      </c>
      <c r="B109" s="119" t="s">
        <v>56</v>
      </c>
      <c r="C109" s="120"/>
      <c r="D109" s="121">
        <f t="shared" ref="D109:F109" si="65">SUM(D95:D108)</f>
        <v>0</v>
      </c>
      <c r="E109" s="123">
        <f t="shared" si="65"/>
        <v>0</v>
      </c>
      <c r="F109" s="123">
        <f t="shared" si="65"/>
        <v>0</v>
      </c>
      <c r="G109" s="124" t="e">
        <f t="shared" si="41"/>
        <v>#DIV/0!</v>
      </c>
      <c r="H109" s="125" t="e">
        <f t="shared" si="42"/>
        <v>#DIV/0!</v>
      </c>
      <c r="I109" s="126" t="e">
        <f t="shared" si="43"/>
        <v>#DIV/0!</v>
      </c>
      <c r="J109" s="121">
        <f t="shared" ref="J109:M109" si="66">SUM(J95:J108)</f>
        <v>5064.6000000000004</v>
      </c>
      <c r="K109" s="294">
        <f t="shared" si="66"/>
        <v>432869</v>
      </c>
      <c r="L109" s="123">
        <f t="shared" si="66"/>
        <v>0</v>
      </c>
      <c r="M109" s="127">
        <f t="shared" si="66"/>
        <v>10517.509999999998</v>
      </c>
      <c r="N109" s="128">
        <f t="shared" si="63"/>
        <v>0.48153983214658236</v>
      </c>
      <c r="O109" s="129">
        <f t="shared" si="4"/>
        <v>2.0766714054416928</v>
      </c>
      <c r="P109" s="128" t="e">
        <f t="shared" si="5"/>
        <v>#DIV/0!</v>
      </c>
      <c r="Q109" s="130" t="e">
        <f t="shared" si="6"/>
        <v>#DIV/0!</v>
      </c>
      <c r="R109" s="131">
        <f>SUM(R95:R108)</f>
        <v>-10517.509999999998</v>
      </c>
      <c r="S109" s="132" t="e">
        <f t="shared" si="8"/>
        <v>#DIV/0!</v>
      </c>
      <c r="T109" s="134">
        <f t="shared" ref="T109:U109" si="67">IFERROR((D109-#REF!)/D109,)</f>
        <v>0</v>
      </c>
      <c r="U109" s="134">
        <f t="shared" si="67"/>
        <v>0</v>
      </c>
      <c r="V109" s="134">
        <f t="shared" ref="V109:W109" si="68">IFERROR((D109-#REF!)/D109, )</f>
        <v>0</v>
      </c>
      <c r="W109" s="134">
        <f t="shared" si="68"/>
        <v>0</v>
      </c>
      <c r="X109" s="68"/>
      <c r="Y109" s="68"/>
      <c r="Z109" s="68"/>
    </row>
    <row r="110" spans="1:26" ht="12.75" hidden="1" outlineLevel="1" x14ac:dyDescent="0.2">
      <c r="A110" s="68"/>
      <c r="B110" s="69">
        <v>46061</v>
      </c>
      <c r="C110" s="70" t="s">
        <v>112</v>
      </c>
      <c r="D110" s="282"/>
      <c r="E110" s="283"/>
      <c r="F110" s="283"/>
      <c r="G110" s="74" t="e">
        <f t="shared" si="41"/>
        <v>#DIV/0!</v>
      </c>
      <c r="H110" s="75" t="e">
        <f t="shared" si="42"/>
        <v>#DIV/0!</v>
      </c>
      <c r="I110" s="76" t="e">
        <f t="shared" si="43"/>
        <v>#DIV/0!</v>
      </c>
      <c r="J110" s="77">
        <v>744.4</v>
      </c>
      <c r="K110" s="199">
        <v>91275</v>
      </c>
      <c r="L110" s="283"/>
      <c r="M110" s="78">
        <v>586.23</v>
      </c>
      <c r="N110" s="79">
        <f t="shared" si="63"/>
        <v>1.2698087781246268</v>
      </c>
      <c r="O110" s="80">
        <f t="shared" si="4"/>
        <v>0.78752015045674373</v>
      </c>
      <c r="P110" s="79" t="e">
        <f t="shared" si="5"/>
        <v>#DIV/0!</v>
      </c>
      <c r="Q110" s="81" t="e">
        <f t="shared" si="6"/>
        <v>#DIV/0!</v>
      </c>
      <c r="R110" s="82">
        <f t="shared" ref="R110:R123" si="69">D110-M110</f>
        <v>-586.23</v>
      </c>
      <c r="S110" s="83" t="e">
        <f t="shared" si="8"/>
        <v>#DIV/0!</v>
      </c>
      <c r="T110" s="84"/>
      <c r="U110" s="84"/>
      <c r="V110" s="84"/>
      <c r="W110" s="84"/>
      <c r="X110" s="85"/>
      <c r="Y110" s="68"/>
      <c r="Z110" s="68"/>
    </row>
    <row r="111" spans="1:26" ht="12.75" hidden="1" outlineLevel="1" x14ac:dyDescent="0.2">
      <c r="A111" s="68"/>
      <c r="B111" s="86"/>
      <c r="C111" s="70" t="s">
        <v>113</v>
      </c>
      <c r="D111" s="284"/>
      <c r="E111" s="283"/>
      <c r="F111" s="283"/>
      <c r="G111" s="74" t="e">
        <f t="shared" si="41"/>
        <v>#DIV/0!</v>
      </c>
      <c r="H111" s="75" t="e">
        <f t="shared" si="42"/>
        <v>#DIV/0!</v>
      </c>
      <c r="I111" s="76" t="e">
        <f t="shared" si="43"/>
        <v>#DIV/0!</v>
      </c>
      <c r="J111" s="87">
        <v>393.43</v>
      </c>
      <c r="K111" s="199">
        <v>40328</v>
      </c>
      <c r="L111" s="283"/>
      <c r="M111" s="88">
        <v>683.89</v>
      </c>
      <c r="N111" s="79">
        <f t="shared" si="63"/>
        <v>0.5752825746830631</v>
      </c>
      <c r="O111" s="80">
        <f t="shared" si="4"/>
        <v>1.738276186360979</v>
      </c>
      <c r="P111" s="79" t="e">
        <f t="shared" si="5"/>
        <v>#DIV/0!</v>
      </c>
      <c r="Q111" s="81" t="e">
        <f t="shared" si="6"/>
        <v>#DIV/0!</v>
      </c>
      <c r="R111" s="89">
        <f t="shared" si="69"/>
        <v>-683.89</v>
      </c>
      <c r="S111" s="83" t="e">
        <f t="shared" si="8"/>
        <v>#DIV/0!</v>
      </c>
      <c r="T111" s="84"/>
      <c r="U111" s="84"/>
      <c r="V111" s="84"/>
      <c r="W111" s="84"/>
      <c r="X111" s="85"/>
      <c r="Y111" s="68"/>
      <c r="Z111" s="68"/>
    </row>
    <row r="112" spans="1:26" ht="12.75" hidden="1" outlineLevel="1" x14ac:dyDescent="0.2">
      <c r="A112" s="68"/>
      <c r="B112" s="86"/>
      <c r="C112" s="70" t="s">
        <v>114</v>
      </c>
      <c r="D112" s="285"/>
      <c r="E112" s="283"/>
      <c r="F112" s="283"/>
      <c r="G112" s="74" t="e">
        <f t="shared" si="41"/>
        <v>#DIV/0!</v>
      </c>
      <c r="H112" s="75" t="e">
        <f t="shared" si="42"/>
        <v>#DIV/0!</v>
      </c>
      <c r="I112" s="76" t="e">
        <f t="shared" si="43"/>
        <v>#DIV/0!</v>
      </c>
      <c r="J112" s="90">
        <v>475.4</v>
      </c>
      <c r="K112" s="199">
        <v>53102</v>
      </c>
      <c r="L112" s="283"/>
      <c r="M112" s="91">
        <v>698.9</v>
      </c>
      <c r="N112" s="79">
        <f>(J112/M112)</f>
        <v>0.68021176133924743</v>
      </c>
      <c r="O112" s="80">
        <f t="shared" si="4"/>
        <v>1.4701304164913758</v>
      </c>
      <c r="P112" s="79" t="e">
        <f t="shared" si="5"/>
        <v>#DIV/0!</v>
      </c>
      <c r="Q112" s="81" t="e">
        <f t="shared" si="6"/>
        <v>#DIV/0!</v>
      </c>
      <c r="R112" s="92">
        <f t="shared" si="69"/>
        <v>-698.9</v>
      </c>
      <c r="S112" s="83" t="e">
        <f t="shared" si="8"/>
        <v>#DIV/0!</v>
      </c>
      <c r="T112" s="84"/>
      <c r="U112" s="84"/>
      <c r="V112" s="84"/>
      <c r="W112" s="84"/>
      <c r="X112" s="85"/>
      <c r="Y112" s="68"/>
      <c r="Z112" s="68"/>
    </row>
    <row r="113" spans="1:26" ht="12.75" hidden="1" outlineLevel="1" x14ac:dyDescent="0.2">
      <c r="A113" s="68"/>
      <c r="B113" s="86"/>
      <c r="C113" s="70" t="s">
        <v>115</v>
      </c>
      <c r="D113" s="285"/>
      <c r="E113" s="283"/>
      <c r="F113" s="283"/>
      <c r="G113" s="74" t="e">
        <f t="shared" si="41"/>
        <v>#DIV/0!</v>
      </c>
      <c r="H113" s="75" t="e">
        <f t="shared" si="42"/>
        <v>#DIV/0!</v>
      </c>
      <c r="I113" s="76" t="e">
        <f t="shared" si="43"/>
        <v>#DIV/0!</v>
      </c>
      <c r="J113" s="90">
        <v>369.59</v>
      </c>
      <c r="K113" s="199">
        <v>21561</v>
      </c>
      <c r="L113" s="283"/>
      <c r="M113" s="91">
        <v>119.9</v>
      </c>
      <c r="N113" s="79">
        <f t="shared" ref="N113:N126" si="70">J113/M113</f>
        <v>3.0824854045037529</v>
      </c>
      <c r="O113" s="80">
        <f t="shared" si="4"/>
        <v>0.32441353932736278</v>
      </c>
      <c r="P113" s="79" t="e">
        <f t="shared" si="5"/>
        <v>#DIV/0!</v>
      </c>
      <c r="Q113" s="81" t="e">
        <f t="shared" si="6"/>
        <v>#DIV/0!</v>
      </c>
      <c r="R113" s="92">
        <f t="shared" si="69"/>
        <v>-119.9</v>
      </c>
      <c r="S113" s="83" t="e">
        <f t="shared" si="8"/>
        <v>#DIV/0!</v>
      </c>
      <c r="T113" s="84"/>
      <c r="U113" s="84"/>
      <c r="V113" s="84"/>
      <c r="W113" s="84"/>
      <c r="X113" s="85"/>
      <c r="Y113" s="68"/>
      <c r="Z113" s="68"/>
    </row>
    <row r="114" spans="1:26" ht="12.75" hidden="1" outlineLevel="1" x14ac:dyDescent="0.2">
      <c r="A114" s="68"/>
      <c r="B114" s="86"/>
      <c r="C114" s="70" t="s">
        <v>116</v>
      </c>
      <c r="D114" s="286"/>
      <c r="E114" s="283"/>
      <c r="F114" s="283"/>
      <c r="G114" s="74" t="e">
        <f t="shared" si="41"/>
        <v>#DIV/0!</v>
      </c>
      <c r="H114" s="75" t="e">
        <f t="shared" si="42"/>
        <v>#DIV/0!</v>
      </c>
      <c r="I114" s="76" t="e">
        <f t="shared" si="43"/>
        <v>#DIV/0!</v>
      </c>
      <c r="J114" s="200">
        <v>1251.76</v>
      </c>
      <c r="K114" s="199">
        <v>80377</v>
      </c>
      <c r="L114" s="283"/>
      <c r="M114" s="200">
        <v>805.75</v>
      </c>
      <c r="N114" s="79">
        <f t="shared" si="70"/>
        <v>1.5535339745578653</v>
      </c>
      <c r="O114" s="80">
        <f t="shared" si="4"/>
        <v>0.64369367929954624</v>
      </c>
      <c r="P114" s="79" t="e">
        <f t="shared" si="5"/>
        <v>#DIV/0!</v>
      </c>
      <c r="Q114" s="81" t="e">
        <f t="shared" si="6"/>
        <v>#DIV/0!</v>
      </c>
      <c r="R114" s="92">
        <f t="shared" si="69"/>
        <v>-805.75</v>
      </c>
      <c r="S114" s="83" t="e">
        <f t="shared" si="8"/>
        <v>#DIV/0!</v>
      </c>
      <c r="T114" s="84"/>
      <c r="U114" s="84"/>
      <c r="V114" s="84"/>
      <c r="W114" s="84"/>
      <c r="X114" s="85"/>
      <c r="Y114" s="68"/>
      <c r="Z114" s="68"/>
    </row>
    <row r="115" spans="1:26" ht="12.75" hidden="1" outlineLevel="1" x14ac:dyDescent="0.2">
      <c r="A115" s="68"/>
      <c r="B115" s="86"/>
      <c r="C115" s="70" t="s">
        <v>117</v>
      </c>
      <c r="D115" s="287"/>
      <c r="E115" s="283"/>
      <c r="F115" s="283"/>
      <c r="G115" s="74" t="e">
        <f t="shared" si="41"/>
        <v>#DIV/0!</v>
      </c>
      <c r="H115" s="75" t="e">
        <f t="shared" si="42"/>
        <v>#DIV/0!</v>
      </c>
      <c r="I115" s="76" t="e">
        <f t="shared" si="43"/>
        <v>#DIV/0!</v>
      </c>
      <c r="J115" s="201">
        <v>1384.82</v>
      </c>
      <c r="K115" s="199">
        <v>99329</v>
      </c>
      <c r="L115" s="283"/>
      <c r="M115" s="202">
        <v>194.31</v>
      </c>
      <c r="N115" s="79">
        <f t="shared" si="70"/>
        <v>7.1268591426071737</v>
      </c>
      <c r="O115" s="80">
        <f t="shared" si="4"/>
        <v>0.14031426466977659</v>
      </c>
      <c r="P115" s="79" t="e">
        <f t="shared" si="5"/>
        <v>#DIV/0!</v>
      </c>
      <c r="Q115" s="81" t="e">
        <f t="shared" si="6"/>
        <v>#DIV/0!</v>
      </c>
      <c r="R115" s="203">
        <f t="shared" si="69"/>
        <v>-194.31</v>
      </c>
      <c r="S115" s="83" t="e">
        <f t="shared" si="8"/>
        <v>#DIV/0!</v>
      </c>
      <c r="T115" s="84"/>
      <c r="U115" s="84"/>
      <c r="V115" s="84"/>
      <c r="W115" s="84"/>
      <c r="X115" s="85"/>
      <c r="Y115" s="68"/>
      <c r="Z115" s="68"/>
    </row>
    <row r="116" spans="1:26" ht="12.75" hidden="1" outlineLevel="1" x14ac:dyDescent="0.2">
      <c r="A116" s="68"/>
      <c r="B116" s="86"/>
      <c r="C116" s="70" t="s">
        <v>118</v>
      </c>
      <c r="D116" s="285"/>
      <c r="E116" s="283"/>
      <c r="F116" s="283"/>
      <c r="G116" s="74" t="e">
        <f t="shared" si="41"/>
        <v>#DIV/0!</v>
      </c>
      <c r="H116" s="75" t="e">
        <f t="shared" si="42"/>
        <v>#DIV/0!</v>
      </c>
      <c r="I116" s="76" t="e">
        <f t="shared" si="43"/>
        <v>#DIV/0!</v>
      </c>
      <c r="J116" s="90">
        <v>989.25</v>
      </c>
      <c r="K116" s="199">
        <v>57237</v>
      </c>
      <c r="L116" s="283"/>
      <c r="M116" s="91">
        <v>1050.26</v>
      </c>
      <c r="N116" s="79">
        <f t="shared" si="70"/>
        <v>0.94190962237922038</v>
      </c>
      <c r="O116" s="80">
        <f t="shared" si="4"/>
        <v>1.0616729845842809</v>
      </c>
      <c r="P116" s="79" t="e">
        <f t="shared" si="5"/>
        <v>#DIV/0!</v>
      </c>
      <c r="Q116" s="81" t="e">
        <f t="shared" si="6"/>
        <v>#DIV/0!</v>
      </c>
      <c r="R116" s="92">
        <f t="shared" si="69"/>
        <v>-1050.26</v>
      </c>
      <c r="S116" s="83" t="e">
        <f t="shared" si="8"/>
        <v>#DIV/0!</v>
      </c>
      <c r="T116" s="84"/>
      <c r="U116" s="84"/>
      <c r="V116" s="84"/>
      <c r="W116" s="84"/>
      <c r="X116" s="85"/>
      <c r="Y116" s="68"/>
      <c r="Z116" s="68"/>
    </row>
    <row r="117" spans="1:26" ht="12.75" hidden="1" outlineLevel="1" x14ac:dyDescent="0.2">
      <c r="A117" s="68"/>
      <c r="B117" s="69" t="s">
        <v>37</v>
      </c>
      <c r="C117" s="70" t="s">
        <v>119</v>
      </c>
      <c r="D117" s="288"/>
      <c r="E117" s="283"/>
      <c r="F117" s="283"/>
      <c r="G117" s="74" t="e">
        <f t="shared" si="41"/>
        <v>#DIV/0!</v>
      </c>
      <c r="H117" s="75" t="e">
        <f t="shared" si="42"/>
        <v>#DIV/0!</v>
      </c>
      <c r="I117" s="76" t="e">
        <f t="shared" si="43"/>
        <v>#DIV/0!</v>
      </c>
      <c r="J117" s="93">
        <v>228.42</v>
      </c>
      <c r="K117" s="199">
        <v>12460</v>
      </c>
      <c r="L117" s="283"/>
      <c r="M117" s="94">
        <v>360</v>
      </c>
      <c r="N117" s="79">
        <f t="shared" si="70"/>
        <v>0.63449999999999995</v>
      </c>
      <c r="O117" s="80">
        <f t="shared" si="4"/>
        <v>1.5760441292356187</v>
      </c>
      <c r="P117" s="79" t="e">
        <f t="shared" si="5"/>
        <v>#DIV/0!</v>
      </c>
      <c r="Q117" s="81" t="e">
        <f t="shared" si="6"/>
        <v>#DIV/0!</v>
      </c>
      <c r="R117" s="95">
        <f t="shared" si="69"/>
        <v>-360</v>
      </c>
      <c r="S117" s="83" t="e">
        <f t="shared" si="8"/>
        <v>#DIV/0!</v>
      </c>
      <c r="T117" s="84"/>
      <c r="U117" s="84"/>
      <c r="V117" s="84"/>
      <c r="W117" s="84"/>
      <c r="X117" s="85"/>
      <c r="Y117" s="68"/>
      <c r="Z117" s="68"/>
    </row>
    <row r="118" spans="1:26" ht="12.75" hidden="1" outlineLevel="1" x14ac:dyDescent="0.2">
      <c r="A118" s="68"/>
      <c r="B118" s="86"/>
      <c r="C118" s="70" t="s">
        <v>120</v>
      </c>
      <c r="D118" s="289"/>
      <c r="E118" s="283"/>
      <c r="F118" s="283"/>
      <c r="G118" s="74" t="e">
        <f t="shared" si="41"/>
        <v>#DIV/0!</v>
      </c>
      <c r="H118" s="75" t="e">
        <f t="shared" si="42"/>
        <v>#DIV/0!</v>
      </c>
      <c r="I118" s="76" t="e">
        <f t="shared" si="43"/>
        <v>#DIV/0!</v>
      </c>
      <c r="J118" s="96">
        <v>1721.32</v>
      </c>
      <c r="K118" s="199">
        <v>188912</v>
      </c>
      <c r="L118" s="283"/>
      <c r="M118" s="97">
        <v>399</v>
      </c>
      <c r="N118" s="79">
        <f t="shared" si="70"/>
        <v>4.3140852130325813</v>
      </c>
      <c r="O118" s="80">
        <f t="shared" si="4"/>
        <v>0.23179885204378037</v>
      </c>
      <c r="P118" s="79" t="e">
        <f t="shared" si="5"/>
        <v>#DIV/0!</v>
      </c>
      <c r="Q118" s="81" t="e">
        <f t="shared" si="6"/>
        <v>#DIV/0!</v>
      </c>
      <c r="R118" s="98">
        <f t="shared" si="69"/>
        <v>-399</v>
      </c>
      <c r="S118" s="83" t="e">
        <f t="shared" si="8"/>
        <v>#DIV/0!</v>
      </c>
      <c r="T118" s="84"/>
      <c r="U118" s="84"/>
      <c r="V118" s="84"/>
      <c r="W118" s="84"/>
      <c r="X118" s="85"/>
      <c r="Y118" s="68"/>
      <c r="Z118" s="68"/>
    </row>
    <row r="119" spans="1:26" ht="12.75" hidden="1" outlineLevel="1" x14ac:dyDescent="0.2">
      <c r="A119" s="68"/>
      <c r="B119" s="86"/>
      <c r="C119" s="70" t="s">
        <v>121</v>
      </c>
      <c r="D119" s="290"/>
      <c r="E119" s="283"/>
      <c r="F119" s="283"/>
      <c r="G119" s="74" t="e">
        <f t="shared" si="41"/>
        <v>#DIV/0!</v>
      </c>
      <c r="H119" s="75" t="e">
        <f t="shared" si="42"/>
        <v>#DIV/0!</v>
      </c>
      <c r="I119" s="76" t="e">
        <f t="shared" si="43"/>
        <v>#DIV/0!</v>
      </c>
      <c r="J119" s="99">
        <v>1151.75</v>
      </c>
      <c r="K119" s="199">
        <v>137896</v>
      </c>
      <c r="L119" s="283"/>
      <c r="M119" s="100">
        <v>1202.9100000000001</v>
      </c>
      <c r="N119" s="79">
        <f t="shared" si="70"/>
        <v>0.95746980239585666</v>
      </c>
      <c r="O119" s="80">
        <f t="shared" si="4"/>
        <v>1.0444193618406774</v>
      </c>
      <c r="P119" s="79" t="e">
        <f t="shared" si="5"/>
        <v>#DIV/0!</v>
      </c>
      <c r="Q119" s="81" t="e">
        <f t="shared" si="6"/>
        <v>#DIV/0!</v>
      </c>
      <c r="R119" s="101">
        <f t="shared" si="69"/>
        <v>-1202.9100000000001</v>
      </c>
      <c r="S119" s="83" t="e">
        <f t="shared" si="8"/>
        <v>#DIV/0!</v>
      </c>
      <c r="T119" s="84"/>
      <c r="U119" s="84"/>
      <c r="V119" s="84"/>
      <c r="W119" s="84"/>
      <c r="X119" s="85"/>
      <c r="Y119" s="68"/>
      <c r="Z119" s="68"/>
    </row>
    <row r="120" spans="1:26" ht="12.75" hidden="1" outlineLevel="1" x14ac:dyDescent="0.2">
      <c r="A120" s="68"/>
      <c r="B120" s="86"/>
      <c r="C120" s="70" t="s">
        <v>122</v>
      </c>
      <c r="D120" s="290"/>
      <c r="E120" s="283"/>
      <c r="F120" s="283"/>
      <c r="G120" s="74" t="e">
        <f t="shared" si="41"/>
        <v>#DIV/0!</v>
      </c>
      <c r="H120" s="75" t="e">
        <f t="shared" si="42"/>
        <v>#DIV/0!</v>
      </c>
      <c r="I120" s="76" t="e">
        <f t="shared" si="43"/>
        <v>#DIV/0!</v>
      </c>
      <c r="J120" s="105">
        <v>1135.94</v>
      </c>
      <c r="K120" s="199">
        <v>76855</v>
      </c>
      <c r="L120" s="283"/>
      <c r="M120" s="106">
        <v>1539.6</v>
      </c>
      <c r="N120" s="79">
        <f t="shared" si="70"/>
        <v>0.73781501688750328</v>
      </c>
      <c r="O120" s="80">
        <f t="shared" si="4"/>
        <v>1.3553532757011812</v>
      </c>
      <c r="P120" s="79" t="e">
        <f t="shared" si="5"/>
        <v>#DIV/0!</v>
      </c>
      <c r="Q120" s="81" t="e">
        <f t="shared" si="6"/>
        <v>#DIV/0!</v>
      </c>
      <c r="R120" s="107">
        <f t="shared" si="69"/>
        <v>-1539.6</v>
      </c>
      <c r="S120" s="83" t="e">
        <f t="shared" si="8"/>
        <v>#DIV/0!</v>
      </c>
      <c r="T120" s="84"/>
      <c r="U120" s="84"/>
      <c r="V120" s="84"/>
      <c r="W120" s="84"/>
      <c r="X120" s="85"/>
      <c r="Y120" s="68"/>
      <c r="Z120" s="68"/>
    </row>
    <row r="121" spans="1:26" ht="12.75" hidden="1" outlineLevel="1" x14ac:dyDescent="0.2">
      <c r="A121" s="68"/>
      <c r="B121" s="86"/>
      <c r="C121" s="70" t="s">
        <v>124</v>
      </c>
      <c r="D121" s="290"/>
      <c r="E121" s="283"/>
      <c r="F121" s="283"/>
      <c r="G121" s="74" t="e">
        <f t="shared" si="41"/>
        <v>#DIV/0!</v>
      </c>
      <c r="H121" s="75" t="e">
        <f t="shared" si="42"/>
        <v>#DIV/0!</v>
      </c>
      <c r="I121" s="76" t="e">
        <f t="shared" si="43"/>
        <v>#DIV/0!</v>
      </c>
      <c r="J121" s="105">
        <v>372.74</v>
      </c>
      <c r="K121" s="199">
        <v>22247</v>
      </c>
      <c r="L121" s="283"/>
      <c r="M121" s="106">
        <v>357.04</v>
      </c>
      <c r="N121" s="79">
        <f t="shared" si="70"/>
        <v>1.0439726641272686</v>
      </c>
      <c r="O121" s="80">
        <f t="shared" si="4"/>
        <v>0.95787948704190595</v>
      </c>
      <c r="P121" s="79" t="e">
        <f t="shared" si="5"/>
        <v>#DIV/0!</v>
      </c>
      <c r="Q121" s="81" t="e">
        <f t="shared" si="6"/>
        <v>#DIV/0!</v>
      </c>
      <c r="R121" s="107">
        <f t="shared" si="69"/>
        <v>-357.04</v>
      </c>
      <c r="S121" s="83" t="e">
        <f t="shared" si="8"/>
        <v>#DIV/0!</v>
      </c>
      <c r="T121" s="84"/>
      <c r="U121" s="84"/>
      <c r="V121" s="84"/>
      <c r="W121" s="84"/>
      <c r="X121" s="85"/>
      <c r="Y121" s="68"/>
      <c r="Z121" s="68"/>
    </row>
    <row r="122" spans="1:26" ht="12.75" hidden="1" outlineLevel="1" x14ac:dyDescent="0.2">
      <c r="A122" s="68"/>
      <c r="B122" s="86"/>
      <c r="C122" s="70" t="s">
        <v>125</v>
      </c>
      <c r="D122" s="290"/>
      <c r="E122" s="283"/>
      <c r="F122" s="283"/>
      <c r="G122" s="74" t="e">
        <f t="shared" si="41"/>
        <v>#DIV/0!</v>
      </c>
      <c r="H122" s="75" t="e">
        <f t="shared" si="42"/>
        <v>#DIV/0!</v>
      </c>
      <c r="I122" s="76" t="e">
        <f t="shared" si="43"/>
        <v>#DIV/0!</v>
      </c>
      <c r="J122" s="105">
        <v>571.4</v>
      </c>
      <c r="K122" s="199">
        <v>58918</v>
      </c>
      <c r="L122" s="283"/>
      <c r="M122" s="106">
        <v>694.12</v>
      </c>
      <c r="N122" s="79">
        <f t="shared" si="70"/>
        <v>0.82320059932000222</v>
      </c>
      <c r="O122" s="80">
        <f t="shared" si="4"/>
        <v>1.2147707385369269</v>
      </c>
      <c r="P122" s="79" t="e">
        <f t="shared" si="5"/>
        <v>#DIV/0!</v>
      </c>
      <c r="Q122" s="81" t="e">
        <f t="shared" si="6"/>
        <v>#DIV/0!</v>
      </c>
      <c r="R122" s="107">
        <f t="shared" si="69"/>
        <v>-694.12</v>
      </c>
      <c r="S122" s="83" t="e">
        <f t="shared" si="8"/>
        <v>#DIV/0!</v>
      </c>
      <c r="T122" s="84"/>
      <c r="U122" s="84"/>
      <c r="V122" s="84"/>
      <c r="W122" s="84"/>
      <c r="X122" s="85"/>
      <c r="Y122" s="68"/>
      <c r="Z122" s="68"/>
    </row>
    <row r="123" spans="1:26" ht="12.75" hidden="1" outlineLevel="1" x14ac:dyDescent="0.2">
      <c r="A123" s="118" t="str">
        <f t="shared" ref="A123:A124" si="71">IFERROR(IF(B123&gt;0,MONTH(B123)&amp;"-"&amp;YEAR(B123),B123),)</f>
        <v>2-2026</v>
      </c>
      <c r="B123" s="69">
        <v>46067</v>
      </c>
      <c r="C123" s="70" t="s">
        <v>123</v>
      </c>
      <c r="D123" s="293"/>
      <c r="E123" s="283"/>
      <c r="F123" s="283"/>
      <c r="G123" s="74" t="e">
        <f t="shared" si="41"/>
        <v>#DIV/0!</v>
      </c>
      <c r="H123" s="75" t="e">
        <f t="shared" si="42"/>
        <v>#DIV/0!</v>
      </c>
      <c r="I123" s="76" t="e">
        <f t="shared" si="43"/>
        <v>#DIV/0!</v>
      </c>
      <c r="J123" s="87">
        <v>0</v>
      </c>
      <c r="K123" s="199">
        <v>0</v>
      </c>
      <c r="L123" s="283"/>
      <c r="M123" s="88">
        <v>0</v>
      </c>
      <c r="N123" s="79" t="e">
        <f t="shared" si="70"/>
        <v>#DIV/0!</v>
      </c>
      <c r="O123" s="80" t="e">
        <f t="shared" si="4"/>
        <v>#DIV/0!</v>
      </c>
      <c r="P123" s="79" t="e">
        <f t="shared" si="5"/>
        <v>#DIV/0!</v>
      </c>
      <c r="Q123" s="81" t="e">
        <f t="shared" si="6"/>
        <v>#DIV/0!</v>
      </c>
      <c r="R123" s="82">
        <f t="shared" si="69"/>
        <v>0</v>
      </c>
      <c r="S123" s="83" t="e">
        <f t="shared" si="8"/>
        <v>#DIV/0!</v>
      </c>
      <c r="T123" s="84"/>
      <c r="U123" s="84"/>
      <c r="V123" s="84"/>
      <c r="W123" s="84"/>
      <c r="X123" s="85"/>
      <c r="Y123" s="68"/>
      <c r="Z123" s="68"/>
    </row>
    <row r="124" spans="1:26" ht="12.75" collapsed="1" x14ac:dyDescent="0.2">
      <c r="A124" s="68">
        <f t="shared" si="71"/>
        <v>0</v>
      </c>
      <c r="B124" s="119" t="s">
        <v>57</v>
      </c>
      <c r="C124" s="120"/>
      <c r="D124" s="121">
        <f t="shared" ref="D124:F124" si="72">SUM(D110:D123)</f>
        <v>0</v>
      </c>
      <c r="E124" s="123">
        <f t="shared" si="72"/>
        <v>0</v>
      </c>
      <c r="F124" s="123">
        <f t="shared" si="72"/>
        <v>0</v>
      </c>
      <c r="G124" s="124" t="e">
        <f t="shared" si="41"/>
        <v>#DIV/0!</v>
      </c>
      <c r="H124" s="125" t="e">
        <f t="shared" si="42"/>
        <v>#DIV/0!</v>
      </c>
      <c r="I124" s="126" t="e">
        <f t="shared" si="43"/>
        <v>#DIV/0!</v>
      </c>
      <c r="J124" s="121">
        <f t="shared" ref="J124:M124" si="73">SUM(J110:J123)</f>
        <v>10790.22</v>
      </c>
      <c r="K124" s="294">
        <f t="shared" si="73"/>
        <v>940497</v>
      </c>
      <c r="L124" s="123">
        <f t="shared" si="73"/>
        <v>0</v>
      </c>
      <c r="M124" s="127">
        <f t="shared" si="73"/>
        <v>8691.91</v>
      </c>
      <c r="N124" s="128">
        <f t="shared" si="70"/>
        <v>1.2414095405957954</v>
      </c>
      <c r="O124" s="129">
        <f t="shared" si="4"/>
        <v>0.80553593902626641</v>
      </c>
      <c r="P124" s="128" t="e">
        <f t="shared" si="5"/>
        <v>#DIV/0!</v>
      </c>
      <c r="Q124" s="130" t="e">
        <f t="shared" si="6"/>
        <v>#DIV/0!</v>
      </c>
      <c r="R124" s="131">
        <f>SUM(R110:R123)</f>
        <v>-8691.91</v>
      </c>
      <c r="S124" s="132" t="e">
        <f t="shared" si="8"/>
        <v>#DIV/0!</v>
      </c>
      <c r="T124" s="134">
        <f t="shared" ref="T124:U124" si="74">IFERROR((D124-#REF!)/D124,)</f>
        <v>0</v>
      </c>
      <c r="U124" s="134">
        <f t="shared" si="74"/>
        <v>0</v>
      </c>
      <c r="V124" s="134">
        <f t="shared" ref="V124:W124" si="75">IFERROR((D124-#REF!)/D124, )</f>
        <v>0</v>
      </c>
      <c r="W124" s="134">
        <f t="shared" si="75"/>
        <v>0</v>
      </c>
      <c r="X124" s="68"/>
      <c r="Y124" s="68"/>
      <c r="Z124" s="68"/>
    </row>
    <row r="125" spans="1:26" ht="12.75" outlineLevel="1" x14ac:dyDescent="0.2">
      <c r="A125" s="34"/>
      <c r="B125" s="147">
        <v>46068</v>
      </c>
      <c r="C125" s="70" t="s">
        <v>112</v>
      </c>
      <c r="D125" s="71"/>
      <c r="E125" s="73"/>
      <c r="F125" s="73"/>
      <c r="G125" s="74" t="e">
        <f t="shared" si="41"/>
        <v>#DIV/0!</v>
      </c>
      <c r="H125" s="75" t="e">
        <f t="shared" si="42"/>
        <v>#DIV/0!</v>
      </c>
      <c r="I125" s="76" t="e">
        <f t="shared" si="43"/>
        <v>#DIV/0!</v>
      </c>
      <c r="J125" s="77">
        <v>575.79999999999995</v>
      </c>
      <c r="K125" s="199">
        <v>81293</v>
      </c>
      <c r="L125" s="73"/>
      <c r="M125" s="78">
        <v>1399.53</v>
      </c>
      <c r="N125" s="155">
        <f t="shared" si="70"/>
        <v>0.41142383514465569</v>
      </c>
      <c r="O125" s="156">
        <f t="shared" si="4"/>
        <v>2.430583535949983</v>
      </c>
      <c r="P125" s="155" t="e">
        <f t="shared" si="5"/>
        <v>#DIV/0!</v>
      </c>
      <c r="Q125" s="225" t="e">
        <f t="shared" si="6"/>
        <v>#DIV/0!</v>
      </c>
      <c r="R125" s="226">
        <f t="shared" ref="R125:R138" si="76">D125-M125</f>
        <v>-1399.53</v>
      </c>
      <c r="S125" s="227" t="e">
        <f t="shared" si="8"/>
        <v>#DIV/0!</v>
      </c>
      <c r="T125" s="160"/>
      <c r="U125" s="160"/>
      <c r="V125" s="160"/>
      <c r="W125" s="160"/>
      <c r="X125" s="1"/>
    </row>
    <row r="126" spans="1:26" ht="12.75" outlineLevel="1" x14ac:dyDescent="0.2">
      <c r="A126" s="34"/>
      <c r="B126" s="147"/>
      <c r="C126" s="70" t="s">
        <v>113</v>
      </c>
      <c r="D126" s="87"/>
      <c r="E126" s="73"/>
      <c r="F126" s="73"/>
      <c r="G126" s="74" t="e">
        <f t="shared" si="41"/>
        <v>#DIV/0!</v>
      </c>
      <c r="H126" s="75" t="e">
        <f t="shared" si="42"/>
        <v>#DIV/0!</v>
      </c>
      <c r="I126" s="76" t="e">
        <f t="shared" si="43"/>
        <v>#DIV/0!</v>
      </c>
      <c r="J126" s="87">
        <v>200.09</v>
      </c>
      <c r="K126" s="199">
        <v>28348</v>
      </c>
      <c r="L126" s="73"/>
      <c r="M126" s="88">
        <v>440.04</v>
      </c>
      <c r="N126" s="155">
        <f t="shared" si="70"/>
        <v>0.45470866284883193</v>
      </c>
      <c r="O126" s="156">
        <f t="shared" si="4"/>
        <v>2.1992103553400972</v>
      </c>
      <c r="P126" s="155" t="e">
        <f t="shared" si="5"/>
        <v>#DIV/0!</v>
      </c>
      <c r="Q126" s="225" t="e">
        <f t="shared" si="6"/>
        <v>#DIV/0!</v>
      </c>
      <c r="R126" s="228">
        <f t="shared" si="76"/>
        <v>-440.04</v>
      </c>
      <c r="S126" s="227" t="e">
        <f t="shared" si="8"/>
        <v>#DIV/0!</v>
      </c>
      <c r="T126" s="160"/>
      <c r="U126" s="160"/>
      <c r="V126" s="160"/>
      <c r="W126" s="160"/>
      <c r="X126" s="1"/>
    </row>
    <row r="127" spans="1:26" ht="12.75" outlineLevel="1" x14ac:dyDescent="0.2">
      <c r="A127" s="34"/>
      <c r="B127" s="147"/>
      <c r="C127" s="70" t="s">
        <v>114</v>
      </c>
      <c r="D127" s="90"/>
      <c r="E127" s="73"/>
      <c r="F127" s="73"/>
      <c r="G127" s="74" t="e">
        <f t="shared" si="41"/>
        <v>#DIV/0!</v>
      </c>
      <c r="H127" s="75" t="e">
        <f t="shared" si="42"/>
        <v>#DIV/0!</v>
      </c>
      <c r="I127" s="76" t="e">
        <f t="shared" si="43"/>
        <v>#DIV/0!</v>
      </c>
      <c r="J127" s="90">
        <v>223.95</v>
      </c>
      <c r="K127" s="199">
        <v>28692</v>
      </c>
      <c r="L127" s="73"/>
      <c r="M127" s="91">
        <v>930.86</v>
      </c>
      <c r="N127" s="155">
        <f>(J127/M127)</f>
        <v>0.24058397610811505</v>
      </c>
      <c r="O127" s="156">
        <f t="shared" si="4"/>
        <v>4.1565528019647244</v>
      </c>
      <c r="P127" s="155" t="e">
        <f t="shared" si="5"/>
        <v>#DIV/0!</v>
      </c>
      <c r="Q127" s="225" t="e">
        <f t="shared" si="6"/>
        <v>#DIV/0!</v>
      </c>
      <c r="R127" s="231">
        <f t="shared" si="76"/>
        <v>-930.86</v>
      </c>
      <c r="S127" s="227" t="e">
        <f t="shared" si="8"/>
        <v>#DIV/0!</v>
      </c>
      <c r="T127" s="160"/>
      <c r="U127" s="160"/>
      <c r="V127" s="160"/>
      <c r="W127" s="160"/>
      <c r="X127" s="1"/>
    </row>
    <row r="128" spans="1:26" ht="12.75" outlineLevel="1" x14ac:dyDescent="0.2">
      <c r="A128" s="34"/>
      <c r="B128" s="147"/>
      <c r="C128" s="70" t="s">
        <v>115</v>
      </c>
      <c r="D128" s="90"/>
      <c r="E128" s="73"/>
      <c r="F128" s="73"/>
      <c r="G128" s="74" t="e">
        <f t="shared" si="41"/>
        <v>#DIV/0!</v>
      </c>
      <c r="H128" s="75" t="e">
        <f t="shared" si="42"/>
        <v>#DIV/0!</v>
      </c>
      <c r="I128" s="76" t="e">
        <f t="shared" si="43"/>
        <v>#DIV/0!</v>
      </c>
      <c r="J128" s="90">
        <v>517.29999999999995</v>
      </c>
      <c r="K128" s="199">
        <v>42353</v>
      </c>
      <c r="L128" s="73"/>
      <c r="M128" s="91">
        <v>299.75</v>
      </c>
      <c r="N128" s="155">
        <f t="shared" ref="N128:N141" si="77">J128/M128</f>
        <v>1.7257714762301917</v>
      </c>
      <c r="O128" s="156">
        <f t="shared" si="4"/>
        <v>0.57945099555383728</v>
      </c>
      <c r="P128" s="155" t="e">
        <f t="shared" si="5"/>
        <v>#DIV/0!</v>
      </c>
      <c r="Q128" s="225" t="e">
        <f t="shared" si="6"/>
        <v>#DIV/0!</v>
      </c>
      <c r="R128" s="231">
        <f t="shared" si="76"/>
        <v>-299.75</v>
      </c>
      <c r="S128" s="227" t="e">
        <f t="shared" si="8"/>
        <v>#DIV/0!</v>
      </c>
      <c r="T128" s="160"/>
      <c r="U128" s="160"/>
      <c r="V128" s="160"/>
      <c r="W128" s="160"/>
      <c r="X128" s="1"/>
    </row>
    <row r="129" spans="1:26" ht="12.75" outlineLevel="1" x14ac:dyDescent="0.2">
      <c r="A129" s="34"/>
      <c r="B129" s="147"/>
      <c r="C129" s="70" t="s">
        <v>116</v>
      </c>
      <c r="D129" s="200"/>
      <c r="E129" s="73"/>
      <c r="F129" s="73"/>
      <c r="G129" s="74" t="e">
        <f t="shared" si="41"/>
        <v>#DIV/0!</v>
      </c>
      <c r="H129" s="75" t="e">
        <f t="shared" si="42"/>
        <v>#DIV/0!</v>
      </c>
      <c r="I129" s="76" t="e">
        <f t="shared" si="43"/>
        <v>#DIV/0!</v>
      </c>
      <c r="J129" s="200">
        <v>818.21</v>
      </c>
      <c r="K129" s="199">
        <v>69601</v>
      </c>
      <c r="L129" s="73"/>
      <c r="M129" s="200">
        <v>1221.8599999999999</v>
      </c>
      <c r="N129" s="155">
        <f t="shared" si="77"/>
        <v>0.6696430032900661</v>
      </c>
      <c r="O129" s="156">
        <f t="shared" si="4"/>
        <v>1.4933330074186331</v>
      </c>
      <c r="P129" s="155" t="e">
        <f t="shared" si="5"/>
        <v>#DIV/0!</v>
      </c>
      <c r="Q129" s="225" t="e">
        <f t="shared" si="6"/>
        <v>#DIV/0!</v>
      </c>
      <c r="R129" s="231">
        <f t="shared" si="76"/>
        <v>-1221.8599999999999</v>
      </c>
      <c r="S129" s="227" t="e">
        <f t="shared" si="8"/>
        <v>#DIV/0!</v>
      </c>
      <c r="T129" s="160"/>
      <c r="U129" s="160"/>
      <c r="V129" s="160"/>
      <c r="W129" s="160"/>
      <c r="X129" s="1"/>
    </row>
    <row r="130" spans="1:26" ht="12.75" outlineLevel="1" x14ac:dyDescent="0.2">
      <c r="A130" s="34"/>
      <c r="B130" s="147"/>
      <c r="C130" s="70" t="s">
        <v>117</v>
      </c>
      <c r="D130" s="201"/>
      <c r="E130" s="73"/>
      <c r="F130" s="73"/>
      <c r="G130" s="74" t="e">
        <f t="shared" si="41"/>
        <v>#DIV/0!</v>
      </c>
      <c r="H130" s="75" t="e">
        <f t="shared" si="42"/>
        <v>#DIV/0!</v>
      </c>
      <c r="I130" s="76" t="e">
        <f t="shared" si="43"/>
        <v>#DIV/0!</v>
      </c>
      <c r="J130" s="201">
        <v>422.11</v>
      </c>
      <c r="K130" s="199">
        <v>59435</v>
      </c>
      <c r="L130" s="73"/>
      <c r="M130" s="202">
        <v>214.2</v>
      </c>
      <c r="N130" s="155">
        <f t="shared" si="77"/>
        <v>1.9706349206349207</v>
      </c>
      <c r="O130" s="156">
        <f t="shared" si="4"/>
        <v>0.50745066451872733</v>
      </c>
      <c r="P130" s="155" t="e">
        <f t="shared" si="5"/>
        <v>#DIV/0!</v>
      </c>
      <c r="Q130" s="225" t="e">
        <f t="shared" si="6"/>
        <v>#DIV/0!</v>
      </c>
      <c r="R130" s="234">
        <f t="shared" si="76"/>
        <v>-214.2</v>
      </c>
      <c r="S130" s="227" t="e">
        <f t="shared" si="8"/>
        <v>#DIV/0!</v>
      </c>
      <c r="T130" s="160"/>
      <c r="U130" s="160"/>
      <c r="V130" s="160"/>
      <c r="W130" s="160"/>
      <c r="X130" s="1"/>
    </row>
    <row r="131" spans="1:26" ht="12.75" outlineLevel="1" x14ac:dyDescent="0.2">
      <c r="A131" s="34"/>
      <c r="B131" s="147"/>
      <c r="C131" s="70" t="s">
        <v>118</v>
      </c>
      <c r="D131" s="90"/>
      <c r="E131" s="73"/>
      <c r="F131" s="73"/>
      <c r="G131" s="74" t="e">
        <f t="shared" si="41"/>
        <v>#DIV/0!</v>
      </c>
      <c r="H131" s="75" t="e">
        <f t="shared" si="42"/>
        <v>#DIV/0!</v>
      </c>
      <c r="I131" s="76" t="e">
        <f t="shared" si="43"/>
        <v>#DIV/0!</v>
      </c>
      <c r="J131" s="90">
        <v>956.28</v>
      </c>
      <c r="K131" s="199">
        <v>45228</v>
      </c>
      <c r="L131" s="73"/>
      <c r="M131" s="91">
        <v>1735.08</v>
      </c>
      <c r="N131" s="155">
        <f t="shared" si="77"/>
        <v>0.551144615810222</v>
      </c>
      <c r="O131" s="156">
        <f t="shared" si="4"/>
        <v>1.8144058225624293</v>
      </c>
      <c r="P131" s="155" t="e">
        <f t="shared" si="5"/>
        <v>#DIV/0!</v>
      </c>
      <c r="Q131" s="225" t="e">
        <f t="shared" si="6"/>
        <v>#DIV/0!</v>
      </c>
      <c r="R131" s="231">
        <f t="shared" si="76"/>
        <v>-1735.08</v>
      </c>
      <c r="S131" s="227" t="e">
        <f t="shared" si="8"/>
        <v>#DIV/0!</v>
      </c>
      <c r="T131" s="160"/>
      <c r="U131" s="160"/>
      <c r="V131" s="160"/>
      <c r="W131" s="160"/>
      <c r="X131" s="1"/>
    </row>
    <row r="132" spans="1:26" ht="12.75" outlineLevel="1" x14ac:dyDescent="0.2">
      <c r="A132" s="34"/>
      <c r="B132" s="235" t="s">
        <v>37</v>
      </c>
      <c r="C132" s="70" t="s">
        <v>119</v>
      </c>
      <c r="D132" s="93"/>
      <c r="E132" s="73"/>
      <c r="F132" s="73"/>
      <c r="G132" s="74" t="e">
        <f t="shared" si="41"/>
        <v>#DIV/0!</v>
      </c>
      <c r="H132" s="75" t="e">
        <f t="shared" si="42"/>
        <v>#DIV/0!</v>
      </c>
      <c r="I132" s="76" t="e">
        <f t="shared" si="43"/>
        <v>#DIV/0!</v>
      </c>
      <c r="J132" s="93">
        <v>245.19</v>
      </c>
      <c r="K132" s="199">
        <v>13852</v>
      </c>
      <c r="L132" s="73"/>
      <c r="M132" s="94">
        <v>439.95</v>
      </c>
      <c r="N132" s="155">
        <f t="shared" si="77"/>
        <v>0.55731333106034775</v>
      </c>
      <c r="O132" s="156">
        <f t="shared" si="4"/>
        <v>1.7943227700966597</v>
      </c>
      <c r="P132" s="155" t="e">
        <f t="shared" si="5"/>
        <v>#DIV/0!</v>
      </c>
      <c r="Q132" s="225" t="e">
        <f t="shared" si="6"/>
        <v>#DIV/0!</v>
      </c>
      <c r="R132" s="238">
        <f t="shared" si="76"/>
        <v>-439.95</v>
      </c>
      <c r="S132" s="227" t="e">
        <f t="shared" si="8"/>
        <v>#DIV/0!</v>
      </c>
      <c r="T132" s="160"/>
      <c r="U132" s="160"/>
      <c r="V132" s="160"/>
      <c r="W132" s="160"/>
      <c r="X132" s="1"/>
    </row>
    <row r="133" spans="1:26" ht="12.75" outlineLevel="1" x14ac:dyDescent="0.2">
      <c r="A133" s="34"/>
      <c r="B133" s="147"/>
      <c r="C133" s="70" t="s">
        <v>120</v>
      </c>
      <c r="D133" s="96"/>
      <c r="E133" s="73"/>
      <c r="F133" s="73"/>
      <c r="G133" s="74" t="e">
        <f t="shared" si="41"/>
        <v>#DIV/0!</v>
      </c>
      <c r="H133" s="75" t="e">
        <f t="shared" si="42"/>
        <v>#DIV/0!</v>
      </c>
      <c r="I133" s="76" t="e">
        <f t="shared" si="43"/>
        <v>#DIV/0!</v>
      </c>
      <c r="J133" s="96">
        <v>646.82000000000005</v>
      </c>
      <c r="K133" s="199">
        <v>90725</v>
      </c>
      <c r="L133" s="73"/>
      <c r="M133" s="97">
        <v>0</v>
      </c>
      <c r="N133" s="155" t="e">
        <f t="shared" si="77"/>
        <v>#DIV/0!</v>
      </c>
      <c r="O133" s="156">
        <f t="shared" si="4"/>
        <v>0</v>
      </c>
      <c r="P133" s="155" t="e">
        <f t="shared" si="5"/>
        <v>#DIV/0!</v>
      </c>
      <c r="Q133" s="225" t="e">
        <f t="shared" si="6"/>
        <v>#DIV/0!</v>
      </c>
      <c r="R133" s="241">
        <f t="shared" si="76"/>
        <v>0</v>
      </c>
      <c r="S133" s="227" t="e">
        <f t="shared" si="8"/>
        <v>#DIV/0!</v>
      </c>
      <c r="T133" s="160"/>
      <c r="U133" s="160"/>
      <c r="V133" s="160"/>
      <c r="W133" s="160"/>
      <c r="X133" s="1"/>
    </row>
    <row r="134" spans="1:26" ht="12.75" outlineLevel="1" x14ac:dyDescent="0.2">
      <c r="A134" s="34"/>
      <c r="B134" s="147"/>
      <c r="C134" s="70" t="s">
        <v>121</v>
      </c>
      <c r="D134" s="99"/>
      <c r="E134" s="73"/>
      <c r="F134" s="73"/>
      <c r="G134" s="74" t="e">
        <f t="shared" si="41"/>
        <v>#DIV/0!</v>
      </c>
      <c r="H134" s="75" t="e">
        <f t="shared" si="42"/>
        <v>#DIV/0!</v>
      </c>
      <c r="I134" s="76" t="e">
        <f t="shared" si="43"/>
        <v>#DIV/0!</v>
      </c>
      <c r="J134" s="99">
        <v>542.59</v>
      </c>
      <c r="K134" s="199">
        <v>74296</v>
      </c>
      <c r="L134" s="73"/>
      <c r="M134" s="100">
        <v>1381.47</v>
      </c>
      <c r="N134" s="155">
        <f t="shared" si="77"/>
        <v>0.392762781674593</v>
      </c>
      <c r="O134" s="156">
        <f t="shared" si="4"/>
        <v>2.5460660904181793</v>
      </c>
      <c r="P134" s="155" t="e">
        <f t="shared" si="5"/>
        <v>#DIV/0!</v>
      </c>
      <c r="Q134" s="225" t="e">
        <f t="shared" si="6"/>
        <v>#DIV/0!</v>
      </c>
      <c r="R134" s="244">
        <f t="shared" si="76"/>
        <v>-1381.47</v>
      </c>
      <c r="S134" s="227" t="e">
        <f t="shared" si="8"/>
        <v>#DIV/0!</v>
      </c>
      <c r="T134" s="160"/>
      <c r="U134" s="160"/>
      <c r="V134" s="160"/>
      <c r="W134" s="160"/>
      <c r="X134" s="1"/>
    </row>
    <row r="135" spans="1:26" ht="12.75" outlineLevel="1" x14ac:dyDescent="0.2">
      <c r="A135" s="34"/>
      <c r="B135" s="147"/>
      <c r="C135" s="70" t="s">
        <v>122</v>
      </c>
      <c r="D135" s="99"/>
      <c r="E135" s="73"/>
      <c r="F135" s="73"/>
      <c r="G135" s="74" t="e">
        <f t="shared" si="41"/>
        <v>#DIV/0!</v>
      </c>
      <c r="H135" s="75" t="e">
        <f t="shared" si="42"/>
        <v>#DIV/0!</v>
      </c>
      <c r="I135" s="76" t="e">
        <f t="shared" si="43"/>
        <v>#DIV/0!</v>
      </c>
      <c r="J135" s="105">
        <v>379.27</v>
      </c>
      <c r="K135" s="199">
        <v>31003</v>
      </c>
      <c r="L135" s="73"/>
      <c r="M135" s="106">
        <v>359.9</v>
      </c>
      <c r="N135" s="155">
        <f t="shared" si="77"/>
        <v>1.0538205056960266</v>
      </c>
      <c r="O135" s="156">
        <f t="shared" si="4"/>
        <v>0.94892820418171753</v>
      </c>
      <c r="P135" s="155" t="e">
        <f t="shared" si="5"/>
        <v>#DIV/0!</v>
      </c>
      <c r="Q135" s="225" t="e">
        <f t="shared" si="6"/>
        <v>#DIV/0!</v>
      </c>
      <c r="R135" s="246">
        <f t="shared" si="76"/>
        <v>-359.9</v>
      </c>
      <c r="S135" s="227" t="e">
        <f t="shared" si="8"/>
        <v>#DIV/0!</v>
      </c>
      <c r="T135" s="160"/>
      <c r="U135" s="160"/>
      <c r="V135" s="160"/>
      <c r="W135" s="160"/>
      <c r="X135" s="1"/>
    </row>
    <row r="136" spans="1:26" ht="12.75" outlineLevel="1" x14ac:dyDescent="0.2">
      <c r="A136" s="34"/>
      <c r="B136" s="147"/>
      <c r="C136" s="70" t="s">
        <v>124</v>
      </c>
      <c r="D136" s="99"/>
      <c r="E136" s="73"/>
      <c r="F136" s="73"/>
      <c r="G136" s="74" t="e">
        <f t="shared" si="41"/>
        <v>#DIV/0!</v>
      </c>
      <c r="H136" s="75" t="e">
        <f t="shared" si="42"/>
        <v>#DIV/0!</v>
      </c>
      <c r="I136" s="76" t="e">
        <f t="shared" si="43"/>
        <v>#DIV/0!</v>
      </c>
      <c r="J136" s="105">
        <v>122.01</v>
      </c>
      <c r="K136" s="199">
        <v>9664</v>
      </c>
      <c r="L136" s="73"/>
      <c r="M136" s="106">
        <v>654.01</v>
      </c>
      <c r="N136" s="155">
        <f t="shared" si="77"/>
        <v>0.18655678047736274</v>
      </c>
      <c r="O136" s="156">
        <f t="shared" si="4"/>
        <v>5.3602983362019501</v>
      </c>
      <c r="P136" s="155" t="e">
        <f t="shared" si="5"/>
        <v>#DIV/0!</v>
      </c>
      <c r="Q136" s="225" t="e">
        <f t="shared" si="6"/>
        <v>#DIV/0!</v>
      </c>
      <c r="R136" s="246">
        <f t="shared" si="76"/>
        <v>-654.01</v>
      </c>
      <c r="S136" s="227" t="e">
        <f t="shared" si="8"/>
        <v>#DIV/0!</v>
      </c>
      <c r="T136" s="160"/>
      <c r="U136" s="160"/>
      <c r="V136" s="160"/>
      <c r="W136" s="160"/>
      <c r="X136" s="1"/>
    </row>
    <row r="137" spans="1:26" ht="12.75" outlineLevel="1" x14ac:dyDescent="0.2">
      <c r="A137" s="34"/>
      <c r="B137" s="147"/>
      <c r="C137" s="70" t="s">
        <v>125</v>
      </c>
      <c r="D137" s="99"/>
      <c r="E137" s="73"/>
      <c r="F137" s="73"/>
      <c r="G137" s="74" t="e">
        <f t="shared" si="41"/>
        <v>#DIV/0!</v>
      </c>
      <c r="H137" s="75" t="e">
        <f t="shared" si="42"/>
        <v>#DIV/0!</v>
      </c>
      <c r="I137" s="76" t="e">
        <f t="shared" si="43"/>
        <v>#DIV/0!</v>
      </c>
      <c r="J137" s="105">
        <v>795.07</v>
      </c>
      <c r="K137" s="199">
        <v>87116</v>
      </c>
      <c r="L137" s="73"/>
      <c r="M137" s="106">
        <v>1149.1600000000001</v>
      </c>
      <c r="N137" s="155">
        <f t="shared" si="77"/>
        <v>0.69187058373072508</v>
      </c>
      <c r="O137" s="156">
        <f t="shared" si="4"/>
        <v>1.4453570125900863</v>
      </c>
      <c r="P137" s="155" t="e">
        <f t="shared" si="5"/>
        <v>#DIV/0!</v>
      </c>
      <c r="Q137" s="225" t="e">
        <f t="shared" si="6"/>
        <v>#DIV/0!</v>
      </c>
      <c r="R137" s="246">
        <f t="shared" si="76"/>
        <v>-1149.1600000000001</v>
      </c>
      <c r="S137" s="227" t="e">
        <f t="shared" si="8"/>
        <v>#DIV/0!</v>
      </c>
      <c r="T137" s="160"/>
      <c r="U137" s="160"/>
      <c r="V137" s="160"/>
      <c r="W137" s="160"/>
      <c r="X137" s="1"/>
    </row>
    <row r="138" spans="1:26" ht="12.75" outlineLevel="1" x14ac:dyDescent="0.2">
      <c r="A138" s="34" t="str">
        <f t="shared" ref="A138:A139" si="78">IFERROR(IF(B138&gt;0,MONTH(B138)&amp;"-"&amp;YEAR(B138),B138),)</f>
        <v>2-2026</v>
      </c>
      <c r="B138" s="147">
        <v>46074</v>
      </c>
      <c r="C138" s="70" t="s">
        <v>123</v>
      </c>
      <c r="D138" s="251"/>
      <c r="E138" s="151"/>
      <c r="F138" s="151"/>
      <c r="G138" s="152" t="e">
        <f t="shared" si="41"/>
        <v>#DIV/0!</v>
      </c>
      <c r="H138" s="150" t="e">
        <f t="shared" si="42"/>
        <v>#DIV/0!</v>
      </c>
      <c r="I138" s="222" t="e">
        <f t="shared" si="43"/>
        <v>#DIV/0!</v>
      </c>
      <c r="J138" s="87">
        <v>0</v>
      </c>
      <c r="K138" s="73">
        <v>0</v>
      </c>
      <c r="L138" s="73"/>
      <c r="M138" s="88">
        <v>0</v>
      </c>
      <c r="N138" s="155" t="e">
        <f t="shared" si="77"/>
        <v>#DIV/0!</v>
      </c>
      <c r="O138" s="156" t="e">
        <f t="shared" si="4"/>
        <v>#DIV/0!</v>
      </c>
      <c r="P138" s="155" t="e">
        <f t="shared" si="5"/>
        <v>#DIV/0!</v>
      </c>
      <c r="Q138" s="225" t="e">
        <f t="shared" si="6"/>
        <v>#DIV/0!</v>
      </c>
      <c r="R138" s="226">
        <f t="shared" si="76"/>
        <v>0</v>
      </c>
      <c r="S138" s="227" t="e">
        <f t="shared" si="8"/>
        <v>#DIV/0!</v>
      </c>
      <c r="T138" s="160"/>
      <c r="U138" s="160"/>
      <c r="V138" s="160"/>
      <c r="W138" s="160"/>
      <c r="X138" s="1"/>
    </row>
    <row r="139" spans="1:26" ht="12.75" x14ac:dyDescent="0.2">
      <c r="A139" s="68">
        <f t="shared" si="78"/>
        <v>0</v>
      </c>
      <c r="B139" s="119" t="s">
        <v>58</v>
      </c>
      <c r="C139" s="120"/>
      <c r="D139" s="121">
        <f t="shared" ref="D139:F139" si="79">SUM(D125:D138)</f>
        <v>0</v>
      </c>
      <c r="E139" s="123">
        <f t="shared" si="79"/>
        <v>0</v>
      </c>
      <c r="F139" s="123">
        <f t="shared" si="79"/>
        <v>0</v>
      </c>
      <c r="G139" s="124" t="e">
        <f t="shared" si="41"/>
        <v>#DIV/0!</v>
      </c>
      <c r="H139" s="125" t="e">
        <f t="shared" si="42"/>
        <v>#DIV/0!</v>
      </c>
      <c r="I139" s="126" t="e">
        <f t="shared" si="43"/>
        <v>#DIV/0!</v>
      </c>
      <c r="J139" s="121">
        <f t="shared" ref="J139:M139" si="80">SUM(J125:J138)</f>
        <v>6444.6900000000005</v>
      </c>
      <c r="K139" s="294">
        <f t="shared" si="80"/>
        <v>661606</v>
      </c>
      <c r="L139" s="123">
        <f t="shared" si="80"/>
        <v>0</v>
      </c>
      <c r="M139" s="127">
        <f t="shared" si="80"/>
        <v>10225.81</v>
      </c>
      <c r="N139" s="128">
        <f t="shared" si="77"/>
        <v>0.6302376046494117</v>
      </c>
      <c r="O139" s="129">
        <f t="shared" si="4"/>
        <v>1.5867031618277991</v>
      </c>
      <c r="P139" s="128" t="e">
        <f t="shared" si="5"/>
        <v>#DIV/0!</v>
      </c>
      <c r="Q139" s="130" t="e">
        <f t="shared" si="6"/>
        <v>#DIV/0!</v>
      </c>
      <c r="R139" s="131">
        <f>SUM(R125:R138)</f>
        <v>-10225.81</v>
      </c>
      <c r="S139" s="132" t="e">
        <f t="shared" si="8"/>
        <v>#DIV/0!</v>
      </c>
      <c r="T139" s="133">
        <f t="shared" ref="T139:U139" si="81">IFERROR((D139-#REF!)/D139,)</f>
        <v>0</v>
      </c>
      <c r="U139" s="133">
        <f t="shared" si="81"/>
        <v>0</v>
      </c>
      <c r="V139" s="133">
        <f t="shared" ref="V139:W139" si="82">IFERROR((D139-#REF!)/D139, )</f>
        <v>0</v>
      </c>
      <c r="W139" s="133">
        <f t="shared" si="82"/>
        <v>0</v>
      </c>
      <c r="X139" s="68"/>
      <c r="Y139" s="68"/>
      <c r="Z139" s="68"/>
    </row>
    <row r="140" spans="1:26" ht="12.75" outlineLevel="1" x14ac:dyDescent="0.2">
      <c r="A140" s="34"/>
      <c r="B140" s="147">
        <v>46075</v>
      </c>
      <c r="C140" s="70" t="s">
        <v>112</v>
      </c>
      <c r="D140" s="71"/>
      <c r="E140" s="73"/>
      <c r="F140" s="73"/>
      <c r="G140" s="74" t="e">
        <f t="shared" si="41"/>
        <v>#DIV/0!</v>
      </c>
      <c r="H140" s="75" t="e">
        <f t="shared" si="42"/>
        <v>#DIV/0!</v>
      </c>
      <c r="I140" s="76" t="e">
        <f t="shared" si="43"/>
        <v>#DIV/0!</v>
      </c>
      <c r="J140" s="77">
        <v>801.53</v>
      </c>
      <c r="K140" s="199">
        <v>99441</v>
      </c>
      <c r="L140" s="73"/>
      <c r="M140" s="78">
        <v>1491.56</v>
      </c>
      <c r="N140" s="155">
        <f t="shared" si="77"/>
        <v>0.53737697444286514</v>
      </c>
      <c r="O140" s="156">
        <f t="shared" si="4"/>
        <v>1.8608910458747645</v>
      </c>
      <c r="P140" s="155" t="e">
        <f t="shared" si="5"/>
        <v>#DIV/0!</v>
      </c>
      <c r="Q140" s="225" t="e">
        <f t="shared" si="6"/>
        <v>#DIV/0!</v>
      </c>
      <c r="R140" s="226">
        <f t="shared" ref="R140:R153" si="83">D140-M140</f>
        <v>-1491.56</v>
      </c>
      <c r="S140" s="227" t="e">
        <f t="shared" si="8"/>
        <v>#DIV/0!</v>
      </c>
      <c r="T140" s="160"/>
      <c r="U140" s="160"/>
      <c r="V140" s="160"/>
      <c r="W140" s="160"/>
      <c r="X140" s="1"/>
    </row>
    <row r="141" spans="1:26" ht="12.75" outlineLevel="1" x14ac:dyDescent="0.2">
      <c r="A141" s="34"/>
      <c r="B141" s="147"/>
      <c r="C141" s="70" t="s">
        <v>113</v>
      </c>
      <c r="D141" s="87"/>
      <c r="E141" s="73"/>
      <c r="F141" s="73"/>
      <c r="G141" s="74" t="e">
        <f t="shared" si="41"/>
        <v>#DIV/0!</v>
      </c>
      <c r="H141" s="75" t="e">
        <f t="shared" si="42"/>
        <v>#DIV/0!</v>
      </c>
      <c r="I141" s="76" t="e">
        <f t="shared" si="43"/>
        <v>#DIV/0!</v>
      </c>
      <c r="J141" s="87">
        <v>211.74</v>
      </c>
      <c r="K141" s="199">
        <v>24473</v>
      </c>
      <c r="L141" s="73"/>
      <c r="M141" s="88">
        <v>446.69</v>
      </c>
      <c r="N141" s="155">
        <f t="shared" si="77"/>
        <v>0.47402001387987197</v>
      </c>
      <c r="O141" s="156">
        <f t="shared" si="4"/>
        <v>2.1096155662605081</v>
      </c>
      <c r="P141" s="155" t="e">
        <f t="shared" si="5"/>
        <v>#DIV/0!</v>
      </c>
      <c r="Q141" s="225" t="e">
        <f t="shared" si="6"/>
        <v>#DIV/0!</v>
      </c>
      <c r="R141" s="228">
        <f t="shared" si="83"/>
        <v>-446.69</v>
      </c>
      <c r="S141" s="227" t="e">
        <f t="shared" si="8"/>
        <v>#DIV/0!</v>
      </c>
      <c r="T141" s="160"/>
      <c r="U141" s="160"/>
      <c r="V141" s="160"/>
      <c r="W141" s="160"/>
      <c r="X141" s="1"/>
    </row>
    <row r="142" spans="1:26" ht="12.75" outlineLevel="1" x14ac:dyDescent="0.2">
      <c r="A142" s="34"/>
      <c r="B142" s="147"/>
      <c r="C142" s="70" t="s">
        <v>114</v>
      </c>
      <c r="D142" s="90"/>
      <c r="E142" s="73"/>
      <c r="F142" s="73"/>
      <c r="G142" s="74" t="e">
        <f t="shared" si="41"/>
        <v>#DIV/0!</v>
      </c>
      <c r="H142" s="75" t="e">
        <f t="shared" si="42"/>
        <v>#DIV/0!</v>
      </c>
      <c r="I142" s="76" t="e">
        <f t="shared" si="43"/>
        <v>#DIV/0!</v>
      </c>
      <c r="J142" s="90">
        <v>161.85</v>
      </c>
      <c r="K142" s="199">
        <v>25997</v>
      </c>
      <c r="L142" s="73"/>
      <c r="M142" s="91">
        <v>683.88</v>
      </c>
      <c r="N142" s="155">
        <f>(J142/M142)</f>
        <v>0.23666432707492541</v>
      </c>
      <c r="O142" s="156">
        <f t="shared" si="4"/>
        <v>4.2253938832252089</v>
      </c>
      <c r="P142" s="155" t="e">
        <f t="shared" si="5"/>
        <v>#DIV/0!</v>
      </c>
      <c r="Q142" s="225" t="e">
        <f t="shared" si="6"/>
        <v>#DIV/0!</v>
      </c>
      <c r="R142" s="231">
        <f t="shared" si="83"/>
        <v>-683.88</v>
      </c>
      <c r="S142" s="227" t="e">
        <f t="shared" si="8"/>
        <v>#DIV/0!</v>
      </c>
      <c r="T142" s="160"/>
      <c r="U142" s="160"/>
      <c r="V142" s="160"/>
      <c r="W142" s="160"/>
      <c r="X142" s="1"/>
    </row>
    <row r="143" spans="1:26" ht="12.75" outlineLevel="1" x14ac:dyDescent="0.2">
      <c r="A143" s="34"/>
      <c r="B143" s="147"/>
      <c r="C143" s="70" t="s">
        <v>115</v>
      </c>
      <c r="D143" s="90"/>
      <c r="E143" s="73"/>
      <c r="F143" s="73"/>
      <c r="G143" s="74" t="e">
        <f t="shared" si="41"/>
        <v>#DIV/0!</v>
      </c>
      <c r="H143" s="75" t="e">
        <f t="shared" si="42"/>
        <v>#DIV/0!</v>
      </c>
      <c r="I143" s="76" t="e">
        <f t="shared" si="43"/>
        <v>#DIV/0!</v>
      </c>
      <c r="J143" s="90">
        <v>460.64</v>
      </c>
      <c r="K143" s="199">
        <v>32724</v>
      </c>
      <c r="L143" s="73"/>
      <c r="M143" s="91">
        <v>299.75</v>
      </c>
      <c r="N143" s="155">
        <f t="shared" ref="N143:N154" si="84">J143/M143</f>
        <v>1.5367472894078398</v>
      </c>
      <c r="O143" s="156">
        <f t="shared" si="4"/>
        <v>0.6507250781521362</v>
      </c>
      <c r="P143" s="155" t="e">
        <f t="shared" si="5"/>
        <v>#DIV/0!</v>
      </c>
      <c r="Q143" s="225" t="e">
        <f t="shared" si="6"/>
        <v>#DIV/0!</v>
      </c>
      <c r="R143" s="231">
        <f t="shared" si="83"/>
        <v>-299.75</v>
      </c>
      <c r="S143" s="227" t="e">
        <f t="shared" si="8"/>
        <v>#DIV/0!</v>
      </c>
      <c r="T143" s="160"/>
      <c r="U143" s="160"/>
      <c r="V143" s="160"/>
      <c r="W143" s="160"/>
      <c r="X143" s="1"/>
    </row>
    <row r="144" spans="1:26" ht="12.75" outlineLevel="1" x14ac:dyDescent="0.2">
      <c r="A144" s="34"/>
      <c r="B144" s="147"/>
      <c r="C144" s="70" t="s">
        <v>116</v>
      </c>
      <c r="D144" s="200"/>
      <c r="E144" s="73"/>
      <c r="F144" s="73"/>
      <c r="G144" s="74" t="e">
        <f t="shared" si="41"/>
        <v>#DIV/0!</v>
      </c>
      <c r="H144" s="75" t="e">
        <f t="shared" si="42"/>
        <v>#DIV/0!</v>
      </c>
      <c r="I144" s="76" t="e">
        <f t="shared" si="43"/>
        <v>#DIV/0!</v>
      </c>
      <c r="J144" s="200">
        <v>638.89</v>
      </c>
      <c r="K144" s="199">
        <v>63318</v>
      </c>
      <c r="L144" s="73"/>
      <c r="M144" s="200">
        <v>839.72</v>
      </c>
      <c r="N144" s="155">
        <f t="shared" si="84"/>
        <v>0.76083694564854942</v>
      </c>
      <c r="O144" s="156">
        <f t="shared" si="4"/>
        <v>1.3143420620138053</v>
      </c>
      <c r="P144" s="155" t="e">
        <f t="shared" si="5"/>
        <v>#DIV/0!</v>
      </c>
      <c r="Q144" s="225" t="e">
        <f t="shared" si="6"/>
        <v>#DIV/0!</v>
      </c>
      <c r="R144" s="231">
        <f t="shared" si="83"/>
        <v>-839.72</v>
      </c>
      <c r="S144" s="227" t="e">
        <f t="shared" si="8"/>
        <v>#DIV/0!</v>
      </c>
      <c r="T144" s="160"/>
      <c r="U144" s="160"/>
      <c r="V144" s="160"/>
      <c r="W144" s="160"/>
      <c r="X144" s="1"/>
    </row>
    <row r="145" spans="1:26" ht="12.75" outlineLevel="1" x14ac:dyDescent="0.2">
      <c r="A145" s="34"/>
      <c r="B145" s="147"/>
      <c r="C145" s="70" t="s">
        <v>117</v>
      </c>
      <c r="D145" s="201"/>
      <c r="E145" s="73"/>
      <c r="F145" s="73"/>
      <c r="G145" s="74" t="e">
        <f t="shared" si="41"/>
        <v>#DIV/0!</v>
      </c>
      <c r="H145" s="75" t="e">
        <f t="shared" si="42"/>
        <v>#DIV/0!</v>
      </c>
      <c r="I145" s="76" t="e">
        <f t="shared" si="43"/>
        <v>#DIV/0!</v>
      </c>
      <c r="J145" s="201">
        <v>488.6</v>
      </c>
      <c r="K145" s="199">
        <v>63607</v>
      </c>
      <c r="L145" s="73"/>
      <c r="M145" s="202">
        <v>212.51</v>
      </c>
      <c r="N145" s="155">
        <f t="shared" si="84"/>
        <v>2.2991859206625573</v>
      </c>
      <c r="O145" s="156">
        <f t="shared" si="4"/>
        <v>0.43493655341792875</v>
      </c>
      <c r="P145" s="155" t="e">
        <f t="shared" si="5"/>
        <v>#DIV/0!</v>
      </c>
      <c r="Q145" s="225" t="e">
        <f t="shared" si="6"/>
        <v>#DIV/0!</v>
      </c>
      <c r="R145" s="234">
        <f t="shared" si="83"/>
        <v>-212.51</v>
      </c>
      <c r="S145" s="227" t="e">
        <f t="shared" si="8"/>
        <v>#DIV/0!</v>
      </c>
      <c r="T145" s="160"/>
      <c r="U145" s="160"/>
      <c r="V145" s="160"/>
      <c r="W145" s="160"/>
      <c r="X145" s="1"/>
    </row>
    <row r="146" spans="1:26" ht="12.75" outlineLevel="1" x14ac:dyDescent="0.2">
      <c r="A146" s="34"/>
      <c r="B146" s="147"/>
      <c r="C146" s="70" t="s">
        <v>118</v>
      </c>
      <c r="D146" s="90"/>
      <c r="E146" s="73"/>
      <c r="F146" s="73"/>
      <c r="G146" s="74" t="e">
        <f t="shared" si="41"/>
        <v>#DIV/0!</v>
      </c>
      <c r="H146" s="75" t="e">
        <f t="shared" si="42"/>
        <v>#DIV/0!</v>
      </c>
      <c r="I146" s="76" t="e">
        <f t="shared" si="43"/>
        <v>#DIV/0!</v>
      </c>
      <c r="J146" s="90">
        <v>939.82</v>
      </c>
      <c r="K146" s="199">
        <v>53437</v>
      </c>
      <c r="L146" s="73"/>
      <c r="M146" s="91">
        <v>2990.58</v>
      </c>
      <c r="N146" s="155">
        <f t="shared" si="84"/>
        <v>0.31426011007898136</v>
      </c>
      <c r="O146" s="156">
        <f t="shared" si="4"/>
        <v>3.1820774190802492</v>
      </c>
      <c r="P146" s="155" t="e">
        <f t="shared" si="5"/>
        <v>#DIV/0!</v>
      </c>
      <c r="Q146" s="225" t="e">
        <f t="shared" si="6"/>
        <v>#DIV/0!</v>
      </c>
      <c r="R146" s="231">
        <f t="shared" si="83"/>
        <v>-2990.58</v>
      </c>
      <c r="S146" s="227" t="e">
        <f t="shared" si="8"/>
        <v>#DIV/0!</v>
      </c>
      <c r="T146" s="160"/>
      <c r="U146" s="160"/>
      <c r="V146" s="160"/>
      <c r="W146" s="160"/>
      <c r="X146" s="1"/>
    </row>
    <row r="147" spans="1:26" ht="12.75" outlineLevel="1" x14ac:dyDescent="0.2">
      <c r="A147" s="34"/>
      <c r="B147" s="235" t="s">
        <v>37</v>
      </c>
      <c r="C147" s="70" t="s">
        <v>119</v>
      </c>
      <c r="D147" s="93"/>
      <c r="E147" s="73"/>
      <c r="F147" s="73"/>
      <c r="G147" s="74" t="e">
        <f t="shared" si="41"/>
        <v>#DIV/0!</v>
      </c>
      <c r="H147" s="75" t="e">
        <f t="shared" si="42"/>
        <v>#DIV/0!</v>
      </c>
      <c r="I147" s="76" t="e">
        <f t="shared" si="43"/>
        <v>#DIV/0!</v>
      </c>
      <c r="J147" s="93">
        <v>181.36</v>
      </c>
      <c r="K147" s="199">
        <v>12819</v>
      </c>
      <c r="L147" s="73"/>
      <c r="M147" s="94">
        <v>193.85</v>
      </c>
      <c r="N147" s="155">
        <f t="shared" si="84"/>
        <v>0.93556873871550172</v>
      </c>
      <c r="O147" s="156">
        <f t="shared" si="4"/>
        <v>1.0688685487428318</v>
      </c>
      <c r="P147" s="155" t="e">
        <f t="shared" si="5"/>
        <v>#DIV/0!</v>
      </c>
      <c r="Q147" s="225" t="e">
        <f t="shared" si="6"/>
        <v>#DIV/0!</v>
      </c>
      <c r="R147" s="238">
        <f t="shared" si="83"/>
        <v>-193.85</v>
      </c>
      <c r="S147" s="227" t="e">
        <f t="shared" si="8"/>
        <v>#DIV/0!</v>
      </c>
      <c r="T147" s="160"/>
      <c r="U147" s="160"/>
      <c r="V147" s="160"/>
      <c r="W147" s="160"/>
      <c r="X147" s="1"/>
    </row>
    <row r="148" spans="1:26" ht="12.75" outlineLevel="1" x14ac:dyDescent="0.2">
      <c r="A148" s="34"/>
      <c r="B148" s="147"/>
      <c r="C148" s="70" t="s">
        <v>120</v>
      </c>
      <c r="D148" s="96"/>
      <c r="E148" s="73"/>
      <c r="F148" s="73"/>
      <c r="G148" s="74" t="e">
        <f t="shared" si="41"/>
        <v>#DIV/0!</v>
      </c>
      <c r="H148" s="75" t="e">
        <f t="shared" si="42"/>
        <v>#DIV/0!</v>
      </c>
      <c r="I148" s="76" t="e">
        <f t="shared" si="43"/>
        <v>#DIV/0!</v>
      </c>
      <c r="J148" s="96">
        <v>338.61</v>
      </c>
      <c r="K148" s="199">
        <v>63797</v>
      </c>
      <c r="L148" s="73"/>
      <c r="M148" s="97">
        <v>279.5</v>
      </c>
      <c r="N148" s="155">
        <f t="shared" si="84"/>
        <v>1.211484794275492</v>
      </c>
      <c r="O148" s="156">
        <f t="shared" si="4"/>
        <v>0.82543338944508426</v>
      </c>
      <c r="P148" s="155" t="e">
        <f t="shared" si="5"/>
        <v>#DIV/0!</v>
      </c>
      <c r="Q148" s="225" t="e">
        <f t="shared" si="6"/>
        <v>#DIV/0!</v>
      </c>
      <c r="R148" s="241">
        <f t="shared" si="83"/>
        <v>-279.5</v>
      </c>
      <c r="S148" s="227" t="e">
        <f t="shared" si="8"/>
        <v>#DIV/0!</v>
      </c>
      <c r="T148" s="160"/>
      <c r="U148" s="160"/>
      <c r="V148" s="160"/>
      <c r="W148" s="160"/>
      <c r="X148" s="1"/>
    </row>
    <row r="149" spans="1:26" ht="12.75" outlineLevel="1" x14ac:dyDescent="0.2">
      <c r="A149" s="34"/>
      <c r="B149" s="147"/>
      <c r="C149" s="70" t="s">
        <v>121</v>
      </c>
      <c r="D149" s="99"/>
      <c r="E149" s="73"/>
      <c r="F149" s="73"/>
      <c r="G149" s="74" t="e">
        <f t="shared" si="41"/>
        <v>#DIV/0!</v>
      </c>
      <c r="H149" s="75" t="e">
        <f t="shared" si="42"/>
        <v>#DIV/0!</v>
      </c>
      <c r="I149" s="76" t="e">
        <f t="shared" si="43"/>
        <v>#DIV/0!</v>
      </c>
      <c r="J149" s="99">
        <v>553.05999999999995</v>
      </c>
      <c r="K149" s="199">
        <v>72929</v>
      </c>
      <c r="L149" s="73"/>
      <c r="M149" s="100">
        <v>573.51</v>
      </c>
      <c r="N149" s="155">
        <f t="shared" si="84"/>
        <v>0.96434238287039453</v>
      </c>
      <c r="O149" s="156">
        <f t="shared" si="4"/>
        <v>1.0369760966260442</v>
      </c>
      <c r="P149" s="155" t="e">
        <f t="shared" si="5"/>
        <v>#DIV/0!</v>
      </c>
      <c r="Q149" s="225" t="e">
        <f t="shared" si="6"/>
        <v>#DIV/0!</v>
      </c>
      <c r="R149" s="244">
        <f t="shared" si="83"/>
        <v>-573.51</v>
      </c>
      <c r="S149" s="227" t="e">
        <f t="shared" si="8"/>
        <v>#DIV/0!</v>
      </c>
      <c r="T149" s="160"/>
      <c r="U149" s="160"/>
      <c r="V149" s="160"/>
      <c r="W149" s="160"/>
      <c r="X149" s="1"/>
    </row>
    <row r="150" spans="1:26" ht="12.75" outlineLevel="1" x14ac:dyDescent="0.2">
      <c r="A150" s="34"/>
      <c r="B150" s="147"/>
      <c r="C150" s="70" t="s">
        <v>122</v>
      </c>
      <c r="D150" s="99"/>
      <c r="E150" s="73"/>
      <c r="F150" s="73"/>
      <c r="G150" s="74" t="e">
        <f t="shared" si="41"/>
        <v>#DIV/0!</v>
      </c>
      <c r="H150" s="75" t="e">
        <f t="shared" si="42"/>
        <v>#DIV/0!</v>
      </c>
      <c r="I150" s="76" t="e">
        <f t="shared" si="43"/>
        <v>#DIV/0!</v>
      </c>
      <c r="J150" s="105">
        <v>503.41</v>
      </c>
      <c r="K150" s="199">
        <v>41509</v>
      </c>
      <c r="L150" s="73"/>
      <c r="M150" s="106">
        <v>599.85</v>
      </c>
      <c r="N150" s="155">
        <f t="shared" si="84"/>
        <v>0.83922647328498789</v>
      </c>
      <c r="O150" s="156">
        <f t="shared" si="4"/>
        <v>1.1915734689418167</v>
      </c>
      <c r="P150" s="155" t="e">
        <f t="shared" si="5"/>
        <v>#DIV/0!</v>
      </c>
      <c r="Q150" s="225" t="e">
        <f t="shared" si="6"/>
        <v>#DIV/0!</v>
      </c>
      <c r="R150" s="246">
        <f t="shared" si="83"/>
        <v>-599.85</v>
      </c>
      <c r="S150" s="227" t="e">
        <f t="shared" si="8"/>
        <v>#DIV/0!</v>
      </c>
      <c r="T150" s="160"/>
      <c r="U150" s="160"/>
      <c r="V150" s="160"/>
      <c r="W150" s="160"/>
      <c r="X150" s="1"/>
    </row>
    <row r="151" spans="1:26" ht="12.75" outlineLevel="1" x14ac:dyDescent="0.2">
      <c r="A151" s="34"/>
      <c r="B151" s="147"/>
      <c r="C151" s="70" t="s">
        <v>124</v>
      </c>
      <c r="D151" s="99"/>
      <c r="E151" s="73"/>
      <c r="F151" s="73"/>
      <c r="G151" s="74" t="e">
        <f t="shared" si="41"/>
        <v>#DIV/0!</v>
      </c>
      <c r="H151" s="75" t="e">
        <f t="shared" si="42"/>
        <v>#DIV/0!</v>
      </c>
      <c r="I151" s="76" t="e">
        <f t="shared" si="43"/>
        <v>#DIV/0!</v>
      </c>
      <c r="J151" s="105">
        <v>460.79</v>
      </c>
      <c r="K151" s="199">
        <v>31712</v>
      </c>
      <c r="L151" s="73"/>
      <c r="M151" s="106">
        <v>313.44</v>
      </c>
      <c r="N151" s="155">
        <f t="shared" si="84"/>
        <v>1.4701059213884635</v>
      </c>
      <c r="O151" s="156">
        <f t="shared" si="4"/>
        <v>0.68022309511925172</v>
      </c>
      <c r="P151" s="155" t="e">
        <f t="shared" si="5"/>
        <v>#DIV/0!</v>
      </c>
      <c r="Q151" s="225" t="e">
        <f t="shared" si="6"/>
        <v>#DIV/0!</v>
      </c>
      <c r="R151" s="246">
        <f t="shared" si="83"/>
        <v>-313.44</v>
      </c>
      <c r="S151" s="227" t="e">
        <f t="shared" si="8"/>
        <v>#DIV/0!</v>
      </c>
      <c r="T151" s="160"/>
      <c r="U151" s="160"/>
      <c r="V151" s="160"/>
      <c r="W151" s="160"/>
      <c r="X151" s="1"/>
    </row>
    <row r="152" spans="1:26" ht="12.75" outlineLevel="1" x14ac:dyDescent="0.2">
      <c r="A152" s="34"/>
      <c r="B152" s="147"/>
      <c r="C152" s="70" t="s">
        <v>125</v>
      </c>
      <c r="D152" s="99"/>
      <c r="E152" s="73"/>
      <c r="F152" s="73"/>
      <c r="G152" s="74" t="e">
        <f t="shared" si="41"/>
        <v>#DIV/0!</v>
      </c>
      <c r="H152" s="75" t="e">
        <f t="shared" si="42"/>
        <v>#DIV/0!</v>
      </c>
      <c r="I152" s="76" t="e">
        <f t="shared" si="43"/>
        <v>#DIV/0!</v>
      </c>
      <c r="J152" s="105">
        <v>807.11</v>
      </c>
      <c r="K152" s="199">
        <v>93397</v>
      </c>
      <c r="L152" s="73"/>
      <c r="M152" s="106">
        <v>2165.69</v>
      </c>
      <c r="N152" s="155">
        <f t="shared" si="84"/>
        <v>0.37268030050468903</v>
      </c>
      <c r="O152" s="156">
        <f t="shared" si="4"/>
        <v>2.6832649824683128</v>
      </c>
      <c r="P152" s="155" t="e">
        <f t="shared" si="5"/>
        <v>#DIV/0!</v>
      </c>
      <c r="Q152" s="225" t="e">
        <f t="shared" si="6"/>
        <v>#DIV/0!</v>
      </c>
      <c r="R152" s="246">
        <f t="shared" si="83"/>
        <v>-2165.69</v>
      </c>
      <c r="S152" s="227" t="e">
        <f t="shared" si="8"/>
        <v>#DIV/0!</v>
      </c>
      <c r="T152" s="160"/>
      <c r="U152" s="160"/>
      <c r="V152" s="160"/>
      <c r="W152" s="160"/>
      <c r="X152" s="1"/>
    </row>
    <row r="153" spans="1:26" ht="12.75" outlineLevel="1" x14ac:dyDescent="0.2">
      <c r="A153" s="34" t="str">
        <f t="shared" ref="A153:A154" si="85">IFERROR(IF(B153&gt;0,MONTH(B153)&amp;"-"&amp;YEAR(B153),B153),)</f>
        <v>2-2026</v>
      </c>
      <c r="B153" s="147">
        <v>46081</v>
      </c>
      <c r="C153" s="70" t="s">
        <v>123</v>
      </c>
      <c r="D153" s="251"/>
      <c r="E153" s="151"/>
      <c r="F153" s="151"/>
      <c r="G153" s="152" t="e">
        <f t="shared" si="41"/>
        <v>#DIV/0!</v>
      </c>
      <c r="H153" s="150" t="e">
        <f t="shared" si="42"/>
        <v>#DIV/0!</v>
      </c>
      <c r="I153" s="222" t="e">
        <f t="shared" si="43"/>
        <v>#DIV/0!</v>
      </c>
      <c r="J153" s="87">
        <v>0</v>
      </c>
      <c r="K153" s="73">
        <v>0</v>
      </c>
      <c r="L153" s="73"/>
      <c r="M153" s="88">
        <v>0</v>
      </c>
      <c r="N153" s="155" t="e">
        <f t="shared" si="84"/>
        <v>#DIV/0!</v>
      </c>
      <c r="O153" s="156" t="e">
        <f t="shared" si="4"/>
        <v>#DIV/0!</v>
      </c>
      <c r="P153" s="155" t="e">
        <f t="shared" si="5"/>
        <v>#DIV/0!</v>
      </c>
      <c r="Q153" s="225" t="e">
        <f t="shared" si="6"/>
        <v>#DIV/0!</v>
      </c>
      <c r="R153" s="226">
        <f t="shared" si="83"/>
        <v>0</v>
      </c>
      <c r="S153" s="227" t="e">
        <f t="shared" si="8"/>
        <v>#DIV/0!</v>
      </c>
      <c r="T153" s="160"/>
      <c r="U153" s="160"/>
      <c r="V153" s="160"/>
      <c r="W153" s="160"/>
      <c r="X153" s="1"/>
    </row>
    <row r="154" spans="1:26" ht="12.75" x14ac:dyDescent="0.2">
      <c r="A154" s="68">
        <f t="shared" si="85"/>
        <v>0</v>
      </c>
      <c r="B154" s="119" t="s">
        <v>59</v>
      </c>
      <c r="C154" s="120"/>
      <c r="D154" s="121">
        <f t="shared" ref="D154:F154" si="86">SUM(D140:D153)</f>
        <v>0</v>
      </c>
      <c r="E154" s="123">
        <f t="shared" si="86"/>
        <v>0</v>
      </c>
      <c r="F154" s="123">
        <f t="shared" si="86"/>
        <v>0</v>
      </c>
      <c r="G154" s="124" t="e">
        <f t="shared" si="41"/>
        <v>#DIV/0!</v>
      </c>
      <c r="H154" s="125" t="e">
        <f t="shared" si="42"/>
        <v>#DIV/0!</v>
      </c>
      <c r="I154" s="126" t="e">
        <f t="shared" si="43"/>
        <v>#DIV/0!</v>
      </c>
      <c r="J154" s="121">
        <f t="shared" ref="J154:M154" si="87">SUM(J140:J153)</f>
        <v>6547.41</v>
      </c>
      <c r="K154" s="294">
        <f t="shared" si="87"/>
        <v>679160</v>
      </c>
      <c r="L154" s="123">
        <f t="shared" si="87"/>
        <v>0</v>
      </c>
      <c r="M154" s="127">
        <f t="shared" si="87"/>
        <v>11090.530000000002</v>
      </c>
      <c r="N154" s="128">
        <f t="shared" si="84"/>
        <v>0.59036042461451332</v>
      </c>
      <c r="O154" s="129">
        <f t="shared" si="4"/>
        <v>1.6938804809840842</v>
      </c>
      <c r="P154" s="128" t="e">
        <f t="shared" si="5"/>
        <v>#DIV/0!</v>
      </c>
      <c r="Q154" s="130" t="e">
        <f t="shared" si="6"/>
        <v>#DIV/0!</v>
      </c>
      <c r="R154" s="131">
        <f>SUM(R140:R153)</f>
        <v>-11090.530000000002</v>
      </c>
      <c r="S154" s="132" t="e">
        <f t="shared" si="8"/>
        <v>#DIV/0!</v>
      </c>
      <c r="T154" s="133">
        <f t="shared" ref="T154:U154" si="88">IFERROR((D154-D139)/D154,)</f>
        <v>0</v>
      </c>
      <c r="U154" s="133">
        <f t="shared" si="88"/>
        <v>0</v>
      </c>
      <c r="V154" s="133">
        <f t="shared" ref="V154:W154" si="89">IFERROR((D154-#REF!)/D154, )</f>
        <v>0</v>
      </c>
      <c r="W154" s="133">
        <f t="shared" si="89"/>
        <v>0</v>
      </c>
      <c r="X154" s="68"/>
      <c r="Y154" s="68"/>
      <c r="Z154" s="68"/>
    </row>
  </sheetData>
  <mergeCells count="25">
    <mergeCell ref="X10:Y10"/>
    <mergeCell ref="N4:P4"/>
    <mergeCell ref="N5:Q5"/>
    <mergeCell ref="F7:I7"/>
    <mergeCell ref="N7:Q7"/>
    <mergeCell ref="F8:H8"/>
    <mergeCell ref="N8:P8"/>
    <mergeCell ref="N9:Q9"/>
    <mergeCell ref="F4:H4"/>
    <mergeCell ref="F5:I5"/>
    <mergeCell ref="S5:V5"/>
    <mergeCell ref="F9:I9"/>
    <mergeCell ref="D10:I10"/>
    <mergeCell ref="L10:S10"/>
    <mergeCell ref="V10:W10"/>
    <mergeCell ref="A1:B1"/>
    <mergeCell ref="A2:B2"/>
    <mergeCell ref="C2:W2"/>
    <mergeCell ref="F3:I3"/>
    <mergeCell ref="N3:Q3"/>
    <mergeCell ref="S3:V3"/>
    <mergeCell ref="S4:U4"/>
    <mergeCell ref="S7:V7"/>
    <mergeCell ref="S8:U8"/>
    <mergeCell ref="S9:V9"/>
  </mergeCells>
  <conditionalFormatting sqref="C5 F5:I5 K5:Q5 S5:V5 C9 K9">
    <cfRule type="cellIs" dxfId="31" priority="1" operator="greaterThanOrEqual">
      <formula>0</formula>
    </cfRule>
    <cfRule type="cellIs" dxfId="30" priority="2" operator="lessThanOrEqual">
      <formula>0</formula>
    </cfRule>
  </conditionalFormatting>
  <conditionalFormatting sqref="F9:V9">
    <cfRule type="cellIs" dxfId="29" priority="3" operator="lessThanOrEqual">
      <formula>0</formula>
    </cfRule>
    <cfRule type="cellIs" dxfId="28" priority="4" operator="greaterThanOrEqual">
      <formula>0</formula>
    </cfRule>
  </conditionalFormatting>
  <conditionalFormatting sqref="T12:Y154">
    <cfRule type="cellIs" dxfId="27" priority="5" operator="greaterThanOrEqual">
      <formula>0</formula>
    </cfRule>
    <cfRule type="cellIs" dxfId="26" priority="6" operator="lessThan">
      <formula>0</formula>
    </cfRule>
  </conditionalFormatting>
  <conditionalFormatting sqref="V12:W154">
    <cfRule type="cellIs" dxfId="25" priority="7" operator="greaterThanOrEqual">
      <formula>0</formula>
    </cfRule>
    <cfRule type="cellIs" dxfId="24" priority="8" operator="lessThan">
      <formula>0</formula>
    </cfRule>
  </conditionalFormatting>
  <dataValidations count="1">
    <dataValidation type="list" allowBlank="1" sqref="B12 B25 B38 B51 B64 B79 B94 B109 B124 B139 B154" xr:uid="{00000000-0002-0000-0300-000000000000}">
      <formula1>"Previous Week,Current Week"</formula1>
    </dataValidation>
  </dataValidations>
  <hyperlinks>
    <hyperlink ref="A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900FF"/>
    <outlinePr summaryRight="0"/>
  </sheetPr>
  <dimension ref="A1:AA987"/>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defaultColWidth="12.5703125" defaultRowHeight="15.75" customHeight="1" outlineLevelRow="1" x14ac:dyDescent="0.2"/>
  <cols>
    <col min="1" max="1" width="10.5703125" customWidth="1"/>
    <col min="2" max="2" width="18.28515625" customWidth="1"/>
    <col min="3" max="3" width="14.140625" customWidth="1"/>
    <col min="4" max="4" width="11.42578125" customWidth="1"/>
    <col min="5" max="11" width="10.42578125" customWidth="1"/>
    <col min="12" max="12" width="11.28515625" customWidth="1"/>
    <col min="13" max="13" width="9.7109375" customWidth="1"/>
    <col min="14" max="14" width="11.140625" customWidth="1"/>
    <col min="15" max="17" width="9.7109375" customWidth="1"/>
    <col min="18" max="18" width="10.7109375" customWidth="1"/>
    <col min="19" max="19" width="9.7109375" customWidth="1"/>
    <col min="20" max="20" width="10.85546875" customWidth="1"/>
    <col min="21" max="26" width="9.7109375" customWidth="1"/>
    <col min="27" max="27" width="0.42578125" customWidth="1"/>
  </cols>
  <sheetData>
    <row r="1" spans="1:27" ht="33" customHeight="1" x14ac:dyDescent="0.2">
      <c r="A1" s="315" t="s">
        <v>126</v>
      </c>
      <c r="B1" s="316"/>
      <c r="C1" s="1"/>
      <c r="D1" s="2"/>
      <c r="E1" s="3"/>
      <c r="F1" s="2"/>
      <c r="G1" s="2"/>
      <c r="H1" s="2"/>
      <c r="I1" s="2"/>
      <c r="J1" s="2"/>
      <c r="K1" s="2"/>
      <c r="L1" s="2"/>
      <c r="M1" s="3"/>
      <c r="N1" s="2"/>
      <c r="O1" s="2"/>
      <c r="P1" s="2"/>
      <c r="Q1" s="2"/>
      <c r="R1" s="2"/>
      <c r="S1" s="2"/>
      <c r="T1" s="2"/>
      <c r="U1" s="4"/>
      <c r="V1" s="4"/>
      <c r="W1" s="2"/>
      <c r="X1" s="2"/>
      <c r="Y1" s="2"/>
      <c r="Z1" s="2"/>
      <c r="AA1" s="2"/>
    </row>
    <row r="2" spans="1:27" ht="12.75" x14ac:dyDescent="0.2">
      <c r="A2" s="317"/>
      <c r="B2" s="318"/>
      <c r="C2" s="319" t="s">
        <v>1</v>
      </c>
      <c r="D2" s="320"/>
      <c r="E2" s="320"/>
      <c r="F2" s="320"/>
      <c r="G2" s="320"/>
      <c r="H2" s="320"/>
      <c r="I2" s="320"/>
      <c r="J2" s="320"/>
      <c r="K2" s="320"/>
      <c r="L2" s="320"/>
      <c r="M2" s="320"/>
      <c r="N2" s="320"/>
      <c r="O2" s="320"/>
      <c r="P2" s="320"/>
      <c r="Q2" s="320"/>
      <c r="R2" s="320"/>
      <c r="S2" s="320"/>
      <c r="T2" s="320"/>
      <c r="U2" s="320"/>
      <c r="V2" s="320"/>
      <c r="W2" s="320"/>
      <c r="X2" s="318"/>
      <c r="Y2" s="5" t="e">
        <f>(#REF!+#REF!+#REF!+#REF!)-([1]monthly_reporting_2021!E17+[1]monthly_reporting_2021!E23+[1]monthly_reporting_2021!E29+[1]monthly_reporting_2021!E35)</f>
        <v>#REF!</v>
      </c>
      <c r="Z2" s="6" t="e">
        <f>((#REF!+#REF!+#REF!+#REF!)-([1]monthly_reporting_2021!F17+[1]monthly_reporting_2021!F23+[1]monthly_reporting_2021!F29+[1]monthly_reporting_2021!F35))/(#REF!+#REF!+#REF!+#REF!)</f>
        <v>#REF!</v>
      </c>
      <c r="AA2" s="1"/>
    </row>
    <row r="3" spans="1:27" ht="21" customHeight="1" x14ac:dyDescent="0.3">
      <c r="A3" s="7"/>
      <c r="B3" s="8"/>
      <c r="C3" s="9" t="s">
        <v>2</v>
      </c>
      <c r="D3" s="10"/>
      <c r="E3" s="11"/>
      <c r="F3" s="10"/>
      <c r="G3" s="321" t="s">
        <v>3</v>
      </c>
      <c r="H3" s="320"/>
      <c r="I3" s="320"/>
      <c r="J3" s="318"/>
      <c r="K3" s="10"/>
      <c r="L3" s="322" t="s">
        <v>4</v>
      </c>
      <c r="M3" s="320"/>
      <c r="N3" s="320"/>
      <c r="O3" s="318"/>
      <c r="P3" s="12"/>
      <c r="Q3" s="12"/>
      <c r="R3" s="12"/>
      <c r="S3" s="12"/>
      <c r="T3" s="12"/>
      <c r="U3" s="13"/>
      <c r="V3" s="13"/>
      <c r="W3" s="12"/>
      <c r="X3" s="12"/>
      <c r="Y3" s="12"/>
      <c r="Z3" s="12"/>
      <c r="AA3" s="12"/>
    </row>
    <row r="4" spans="1:27" ht="21" customHeight="1" x14ac:dyDescent="0.3">
      <c r="A4" s="14"/>
      <c r="B4" s="15"/>
      <c r="C4" s="16">
        <f>VLOOKUP("Current Week",$B$11:$Y$982,MATCH("SALES",$B$11:$Y$11,0),FALSE)</f>
        <v>45850.880000000005</v>
      </c>
      <c r="D4" s="17"/>
      <c r="E4" s="18"/>
      <c r="F4" s="17"/>
      <c r="G4" s="323">
        <f>VLOOKUP("Current Week",$B$11:$Y$982,MATCH("Units Sold",$B$11:$Y$11,0),FALSE)</f>
        <v>342</v>
      </c>
      <c r="H4" s="320"/>
      <c r="I4" s="318"/>
      <c r="J4" s="19"/>
      <c r="K4" s="17"/>
      <c r="L4" s="323">
        <f>VLOOKUP("Current Week",$B$11:$Y$982,MATCH("Ordered Items",$B$11:$Y$11,0),FALSE)</f>
        <v>362</v>
      </c>
      <c r="M4" s="320"/>
      <c r="N4" s="318"/>
      <c r="O4" s="19"/>
      <c r="P4" s="19"/>
      <c r="Q4" s="19"/>
      <c r="R4" s="19"/>
      <c r="S4" s="19"/>
      <c r="T4" s="19"/>
      <c r="U4" s="20"/>
      <c r="V4" s="20"/>
      <c r="W4" s="19"/>
      <c r="X4" s="19"/>
      <c r="Y4" s="19"/>
      <c r="Z4" s="19"/>
      <c r="AA4" s="19"/>
    </row>
    <row r="5" spans="1:27" ht="17.25" x14ac:dyDescent="0.3">
      <c r="A5" s="21"/>
      <c r="B5" s="22"/>
      <c r="C5" s="23">
        <f>(C4-(VLOOKUP("Previous Week",$B$11:$Y$987,MATCH("SALES",$B$11:$Y$11,0),FALSE)))/C4</f>
        <v>0.1914155191786942</v>
      </c>
      <c r="D5" s="24"/>
      <c r="E5" s="25"/>
      <c r="F5" s="24"/>
      <c r="G5" s="332">
        <f>(G4-(VLOOKUP("Previous Week",$B$11:$Y$987,MATCH("Units Sold",$B$11:$Y$11,0),FALSE)))/G4</f>
        <v>0.28362573099415206</v>
      </c>
      <c r="H5" s="320"/>
      <c r="I5" s="320"/>
      <c r="J5" s="318"/>
      <c r="K5" s="24"/>
      <c r="L5" s="332">
        <f>(L4-(VLOOKUP("Previous Week",$B$11:$Y$987,MATCH("Ordered Items",$B$11:$Y$11,0),FALSE)))/L4</f>
        <v>0.26519337016574585</v>
      </c>
      <c r="M5" s="320"/>
      <c r="N5" s="320"/>
      <c r="O5" s="318"/>
      <c r="P5" s="26"/>
      <c r="Q5" s="26"/>
      <c r="R5" s="26"/>
      <c r="S5" s="26"/>
      <c r="T5" s="26"/>
      <c r="U5" s="26"/>
      <c r="V5" s="26"/>
      <c r="W5" s="26"/>
      <c r="X5" s="26"/>
      <c r="Y5" s="26"/>
      <c r="Z5" s="26"/>
      <c r="AA5" s="26"/>
    </row>
    <row r="6" spans="1:27" ht="6" customHeight="1" x14ac:dyDescent="0.3">
      <c r="A6" s="14"/>
      <c r="B6" s="15"/>
      <c r="C6" s="27"/>
      <c r="D6" s="17"/>
      <c r="E6" s="18"/>
      <c r="F6" s="17"/>
      <c r="G6" s="19"/>
      <c r="H6" s="19"/>
      <c r="I6" s="19"/>
      <c r="J6" s="19"/>
      <c r="K6" s="17"/>
      <c r="L6" s="19"/>
      <c r="M6" s="19"/>
      <c r="N6" s="19"/>
      <c r="O6" s="19"/>
      <c r="P6" s="19"/>
      <c r="Q6" s="19"/>
      <c r="R6" s="19"/>
      <c r="S6" s="19"/>
      <c r="T6" s="19"/>
      <c r="U6" s="20"/>
      <c r="V6" s="20"/>
      <c r="W6" s="19"/>
      <c r="X6" s="19"/>
      <c r="Y6" s="19"/>
      <c r="Z6" s="19"/>
      <c r="AA6" s="19"/>
    </row>
    <row r="7" spans="1:27" ht="22.5" customHeight="1" x14ac:dyDescent="0.3">
      <c r="A7" s="7"/>
      <c r="B7" s="8"/>
      <c r="C7" s="9" t="s">
        <v>5</v>
      </c>
      <c r="D7" s="10"/>
      <c r="E7" s="11"/>
      <c r="F7" s="10"/>
      <c r="G7" s="322" t="s">
        <v>6</v>
      </c>
      <c r="H7" s="320"/>
      <c r="I7" s="320"/>
      <c r="J7" s="318"/>
      <c r="K7" s="10"/>
      <c r="L7" s="322" t="s">
        <v>7</v>
      </c>
      <c r="M7" s="320"/>
      <c r="N7" s="320"/>
      <c r="O7" s="318"/>
      <c r="P7" s="12"/>
      <c r="Q7" s="12"/>
      <c r="R7" s="12"/>
      <c r="S7" s="12"/>
      <c r="T7" s="12"/>
      <c r="U7" s="13"/>
      <c r="V7" s="13"/>
      <c r="W7" s="12"/>
      <c r="X7" s="12"/>
      <c r="Y7" s="12"/>
      <c r="Z7" s="12"/>
      <c r="AA7" s="12"/>
    </row>
    <row r="8" spans="1:27" ht="21" customHeight="1" x14ac:dyDescent="0.3">
      <c r="A8" s="14"/>
      <c r="B8" s="15"/>
      <c r="C8" s="16">
        <f>VLOOKUP("Current Week",$B$11:$Y$982,MATCH("AD SALES",$B$11:$Y$11,0),FALSE)</f>
        <v>14363.4</v>
      </c>
      <c r="D8" s="17"/>
      <c r="E8" s="18"/>
      <c r="F8" s="17"/>
      <c r="G8" s="333">
        <f>VLOOKUP("Current Week",$B$11:$Y$982,MATCH("SP AD SPEND",$B$11:$Y$11,0),FALSE)</f>
        <v>5806.71</v>
      </c>
      <c r="H8" s="320"/>
      <c r="I8" s="318"/>
      <c r="J8" s="19"/>
      <c r="K8" s="17"/>
      <c r="L8" s="334">
        <f>G8/C8</f>
        <v>0.40427127281841346</v>
      </c>
      <c r="M8" s="320"/>
      <c r="N8" s="318"/>
      <c r="O8" s="19"/>
      <c r="P8" s="19"/>
      <c r="Q8" s="19"/>
      <c r="R8" s="19"/>
      <c r="S8" s="19"/>
      <c r="T8" s="19"/>
      <c r="U8" s="20"/>
      <c r="V8" s="20"/>
      <c r="W8" s="19"/>
      <c r="X8" s="19"/>
      <c r="Y8" s="19"/>
      <c r="Z8" s="19"/>
      <c r="AA8" s="19"/>
    </row>
    <row r="9" spans="1:27" ht="19.5" customHeight="1" x14ac:dyDescent="0.3">
      <c r="A9" s="28"/>
      <c r="B9" s="29"/>
      <c r="C9" s="30">
        <f>(C8-(VLOOKUP("Previous Week",$B$11:$Y$987,MATCH("AD SALES",$B$11:$Y$11,0),FALSE)))/C8</f>
        <v>-8.545052007184907E-2</v>
      </c>
      <c r="D9" s="24"/>
      <c r="E9" s="25"/>
      <c r="F9" s="24"/>
      <c r="G9" s="324">
        <f>(G8-(VLOOKUP("Previous Week",$B$11:$Y$987,MATCH("SP AD SPEND",$B$11:$Y$11,0),FALSE)))/G8</f>
        <v>0.12260126646586446</v>
      </c>
      <c r="H9" s="325"/>
      <c r="I9" s="325"/>
      <c r="J9" s="326"/>
      <c r="K9" s="24"/>
      <c r="L9" s="335">
        <f>(L8-(VLOOKUP("Previous Week",$B$11:$Y$987,MATCH("ACOS",$B$11:$Y$11,0),FALSE)))/L8</f>
        <v>0.19167321097597514</v>
      </c>
      <c r="M9" s="325"/>
      <c r="N9" s="325"/>
      <c r="O9" s="326"/>
      <c r="P9" s="31"/>
      <c r="Q9" s="31"/>
      <c r="R9" s="31"/>
      <c r="S9" s="31"/>
      <c r="T9" s="31"/>
      <c r="U9" s="32"/>
      <c r="V9" s="32"/>
      <c r="W9" s="31"/>
      <c r="X9" s="31"/>
      <c r="Y9" s="31"/>
      <c r="Z9" s="31"/>
      <c r="AA9" s="33"/>
    </row>
    <row r="10" spans="1:27" ht="15" customHeight="1" x14ac:dyDescent="0.2">
      <c r="A10" s="34"/>
      <c r="B10" s="35"/>
      <c r="C10" s="36"/>
      <c r="D10" s="327" t="s">
        <v>8</v>
      </c>
      <c r="E10" s="328"/>
      <c r="F10" s="328"/>
      <c r="G10" s="328"/>
      <c r="H10" s="328"/>
      <c r="I10" s="328"/>
      <c r="J10" s="329"/>
      <c r="K10" s="37"/>
      <c r="L10" s="38"/>
      <c r="M10" s="330" t="s">
        <v>9</v>
      </c>
      <c r="N10" s="328"/>
      <c r="O10" s="328"/>
      <c r="P10" s="328"/>
      <c r="Q10" s="328"/>
      <c r="R10" s="328"/>
      <c r="S10" s="328"/>
      <c r="T10" s="329"/>
      <c r="U10" s="39"/>
      <c r="V10" s="40"/>
      <c r="W10" s="331" t="s">
        <v>10</v>
      </c>
      <c r="X10" s="329"/>
      <c r="Y10" s="327" t="s">
        <v>11</v>
      </c>
      <c r="Z10" s="329"/>
      <c r="AA10" s="1"/>
    </row>
    <row r="11" spans="1:27" ht="37.5" customHeight="1" x14ac:dyDescent="0.2">
      <c r="A11" s="41" t="s">
        <v>12</v>
      </c>
      <c r="B11" s="42" t="s">
        <v>13</v>
      </c>
      <c r="C11" s="43" t="s">
        <v>14</v>
      </c>
      <c r="D11" s="43" t="s">
        <v>15</v>
      </c>
      <c r="E11" s="44" t="s">
        <v>16</v>
      </c>
      <c r="F11" s="45" t="s">
        <v>17</v>
      </c>
      <c r="G11" s="45" t="s">
        <v>18</v>
      </c>
      <c r="H11" s="45" t="s">
        <v>19</v>
      </c>
      <c r="I11" s="45" t="s">
        <v>20</v>
      </c>
      <c r="J11" s="41" t="s">
        <v>21</v>
      </c>
      <c r="K11" s="46" t="s">
        <v>22</v>
      </c>
      <c r="L11" s="45" t="s">
        <v>23</v>
      </c>
      <c r="M11" s="45" t="s">
        <v>24</v>
      </c>
      <c r="N11" s="45" t="s">
        <v>25</v>
      </c>
      <c r="O11" s="45" t="s">
        <v>7</v>
      </c>
      <c r="P11" s="45" t="s">
        <v>26</v>
      </c>
      <c r="Q11" s="41" t="s">
        <v>27</v>
      </c>
      <c r="R11" s="47" t="s">
        <v>28</v>
      </c>
      <c r="S11" s="48" t="s">
        <v>29</v>
      </c>
      <c r="T11" s="41" t="s">
        <v>30</v>
      </c>
      <c r="U11" s="49" t="s">
        <v>15</v>
      </c>
      <c r="V11" s="47" t="s">
        <v>31</v>
      </c>
      <c r="W11" s="49" t="s">
        <v>15</v>
      </c>
      <c r="X11" s="47" t="s">
        <v>31</v>
      </c>
      <c r="Y11" s="45"/>
      <c r="Z11" s="50"/>
      <c r="AA11" s="50"/>
    </row>
    <row r="12" spans="1:27" ht="12.75" x14ac:dyDescent="0.2">
      <c r="A12" s="51"/>
      <c r="B12" s="52"/>
      <c r="C12" s="53"/>
      <c r="D12" s="54"/>
      <c r="E12" s="55"/>
      <c r="F12" s="56"/>
      <c r="G12" s="56"/>
      <c r="H12" s="57"/>
      <c r="I12" s="55"/>
      <c r="J12" s="58"/>
      <c r="K12" s="54"/>
      <c r="L12" s="56"/>
      <c r="M12" s="56"/>
      <c r="N12" s="59"/>
      <c r="O12" s="60"/>
      <c r="P12" s="61"/>
      <c r="Q12" s="60"/>
      <c r="R12" s="62"/>
      <c r="S12" s="63"/>
      <c r="T12" s="64"/>
      <c r="U12" s="65"/>
      <c r="V12" s="65"/>
      <c r="W12" s="66"/>
      <c r="X12" s="66"/>
      <c r="Y12" s="67"/>
      <c r="Z12" s="50"/>
      <c r="AA12" s="50"/>
    </row>
    <row r="13" spans="1:27" ht="12.75" hidden="1" outlineLevel="1" x14ac:dyDescent="0.2">
      <c r="A13" s="34"/>
      <c r="B13" s="147">
        <v>45641</v>
      </c>
      <c r="C13" s="148" t="s">
        <v>32</v>
      </c>
      <c r="D13" s="149">
        <v>10331.1</v>
      </c>
      <c r="E13" s="150"/>
      <c r="F13" s="151">
        <v>29</v>
      </c>
      <c r="G13" s="151">
        <v>30</v>
      </c>
      <c r="H13" s="152">
        <f t="shared" ref="H13:H267" si="0">F13/G13</f>
        <v>0.96666666666666667</v>
      </c>
      <c r="I13" s="150">
        <f t="shared" ref="I13:I267" si="1">D13/F13</f>
        <v>356.2448275862069</v>
      </c>
      <c r="J13" s="222">
        <f t="shared" ref="J13:J267" si="2">I13/H13</f>
        <v>368.52913198573128</v>
      </c>
      <c r="K13" s="149">
        <v>93.48</v>
      </c>
      <c r="L13" s="295">
        <v>23980</v>
      </c>
      <c r="M13" s="151">
        <v>12</v>
      </c>
      <c r="N13" s="224">
        <v>2862.3</v>
      </c>
      <c r="O13" s="155">
        <f t="shared" ref="O13:O140" si="3">K13/N13</f>
        <v>3.2659050414002723E-2</v>
      </c>
      <c r="P13" s="156">
        <f t="shared" ref="P13:P267" si="4">N13/K13</f>
        <v>30.619383825417202</v>
      </c>
      <c r="Q13" s="155">
        <f t="shared" ref="Q13:Q267" si="5">K13/D13</f>
        <v>9.0484072364027061E-3</v>
      </c>
      <c r="R13" s="225">
        <f t="shared" ref="R13:R267" si="6">N13/D13</f>
        <v>0.27705665418009701</v>
      </c>
      <c r="S13" s="226">
        <f t="shared" ref="S13:S29" si="7">D13-N13</f>
        <v>7468.8</v>
      </c>
      <c r="T13" s="227">
        <f t="shared" ref="T13:T267" si="8">K13/M13</f>
        <v>7.79</v>
      </c>
      <c r="U13" s="160"/>
      <c r="V13" s="160"/>
      <c r="W13" s="160"/>
      <c r="X13" s="160"/>
      <c r="Y13" s="1"/>
      <c r="Z13" s="50"/>
      <c r="AA13" s="50"/>
    </row>
    <row r="14" spans="1:27" ht="12.75" hidden="1" outlineLevel="1" x14ac:dyDescent="0.2">
      <c r="A14" s="34"/>
      <c r="B14" s="147"/>
      <c r="C14" s="148" t="s">
        <v>33</v>
      </c>
      <c r="D14" s="162">
        <v>8314.0300000000007</v>
      </c>
      <c r="E14" s="150"/>
      <c r="F14" s="151">
        <v>39</v>
      </c>
      <c r="G14" s="151">
        <v>46</v>
      </c>
      <c r="H14" s="152">
        <f t="shared" si="0"/>
        <v>0.84782608695652173</v>
      </c>
      <c r="I14" s="150">
        <f t="shared" si="1"/>
        <v>213.18025641025642</v>
      </c>
      <c r="J14" s="222">
        <f t="shared" si="2"/>
        <v>251.44337935568706</v>
      </c>
      <c r="K14" s="162">
        <v>174.95</v>
      </c>
      <c r="L14" s="295">
        <v>16451</v>
      </c>
      <c r="M14" s="151">
        <v>5</v>
      </c>
      <c r="N14" s="154">
        <v>654.9</v>
      </c>
      <c r="O14" s="155">
        <f t="shared" si="3"/>
        <v>0.26714002137730952</v>
      </c>
      <c r="P14" s="156">
        <f t="shared" si="4"/>
        <v>3.7433552443555302</v>
      </c>
      <c r="Q14" s="155">
        <f t="shared" si="5"/>
        <v>2.104274341083686E-2</v>
      </c>
      <c r="R14" s="225">
        <f t="shared" si="6"/>
        <v>7.8770463902583937E-2</v>
      </c>
      <c r="S14" s="228">
        <f t="shared" si="7"/>
        <v>7659.130000000001</v>
      </c>
      <c r="T14" s="227">
        <f t="shared" si="8"/>
        <v>34.989999999999995</v>
      </c>
      <c r="U14" s="160"/>
      <c r="V14" s="160"/>
      <c r="W14" s="160"/>
      <c r="X14" s="160"/>
      <c r="Y14" s="1"/>
      <c r="Z14" s="50"/>
      <c r="AA14" s="50"/>
    </row>
    <row r="15" spans="1:27" ht="12.75" hidden="1" outlineLevel="1" x14ac:dyDescent="0.2">
      <c r="A15" s="34"/>
      <c r="B15" s="147"/>
      <c r="C15" s="148" t="s">
        <v>34</v>
      </c>
      <c r="D15" s="229">
        <v>0</v>
      </c>
      <c r="E15" s="150"/>
      <c r="F15" s="151">
        <v>0</v>
      </c>
      <c r="G15" s="151">
        <v>0</v>
      </c>
      <c r="H15" s="152" t="e">
        <f t="shared" si="0"/>
        <v>#DIV/0!</v>
      </c>
      <c r="I15" s="150" t="e">
        <f t="shared" si="1"/>
        <v>#DIV/0!</v>
      </c>
      <c r="J15" s="222" t="e">
        <f t="shared" si="2"/>
        <v>#DIV/0!</v>
      </c>
      <c r="K15" s="229">
        <v>0</v>
      </c>
      <c r="L15" s="295">
        <v>0</v>
      </c>
      <c r="M15" s="151">
        <v>0</v>
      </c>
      <c r="N15" s="230">
        <v>0</v>
      </c>
      <c r="O15" s="155" t="e">
        <f t="shared" si="3"/>
        <v>#DIV/0!</v>
      </c>
      <c r="P15" s="156" t="e">
        <f t="shared" si="4"/>
        <v>#DIV/0!</v>
      </c>
      <c r="Q15" s="155" t="e">
        <f t="shared" si="5"/>
        <v>#DIV/0!</v>
      </c>
      <c r="R15" s="225" t="e">
        <f t="shared" si="6"/>
        <v>#DIV/0!</v>
      </c>
      <c r="S15" s="231">
        <f t="shared" si="7"/>
        <v>0</v>
      </c>
      <c r="T15" s="227" t="e">
        <f t="shared" si="8"/>
        <v>#DIV/0!</v>
      </c>
      <c r="U15" s="160"/>
      <c r="V15" s="160"/>
      <c r="W15" s="160"/>
      <c r="X15" s="160"/>
      <c r="Y15" s="1"/>
      <c r="Z15" s="50"/>
      <c r="AA15" s="50"/>
    </row>
    <row r="16" spans="1:27" ht="12.75" hidden="1" outlineLevel="1" x14ac:dyDescent="0.2">
      <c r="A16" s="34"/>
      <c r="B16" s="147"/>
      <c r="C16" s="148" t="s">
        <v>35</v>
      </c>
      <c r="D16" s="229">
        <v>59.95</v>
      </c>
      <c r="E16" s="150"/>
      <c r="F16" s="151">
        <v>1</v>
      </c>
      <c r="G16" s="151">
        <v>1</v>
      </c>
      <c r="H16" s="152">
        <f t="shared" si="0"/>
        <v>1</v>
      </c>
      <c r="I16" s="150">
        <f t="shared" si="1"/>
        <v>59.95</v>
      </c>
      <c r="J16" s="222">
        <f t="shared" si="2"/>
        <v>59.95</v>
      </c>
      <c r="K16" s="229">
        <v>58.66</v>
      </c>
      <c r="L16" s="295">
        <v>3967</v>
      </c>
      <c r="M16" s="151">
        <v>1</v>
      </c>
      <c r="N16" s="230">
        <v>59.95</v>
      </c>
      <c r="O16" s="155">
        <f t="shared" si="3"/>
        <v>0.97848206839032514</v>
      </c>
      <c r="P16" s="156">
        <f t="shared" si="4"/>
        <v>1.0219911353562905</v>
      </c>
      <c r="Q16" s="155">
        <f t="shared" si="5"/>
        <v>0.97848206839032514</v>
      </c>
      <c r="R16" s="225">
        <f t="shared" si="6"/>
        <v>1</v>
      </c>
      <c r="S16" s="231">
        <f t="shared" si="7"/>
        <v>0</v>
      </c>
      <c r="T16" s="227">
        <f t="shared" si="8"/>
        <v>58.66</v>
      </c>
      <c r="U16" s="160"/>
      <c r="V16" s="160"/>
      <c r="W16" s="160"/>
      <c r="X16" s="160"/>
      <c r="Y16" s="1"/>
      <c r="Z16" s="50"/>
      <c r="AA16" s="50"/>
    </row>
    <row r="17" spans="1:27" ht="12.75" hidden="1" outlineLevel="1" x14ac:dyDescent="0.2">
      <c r="A17" s="34"/>
      <c r="B17" s="147"/>
      <c r="C17" s="148" t="s">
        <v>62</v>
      </c>
      <c r="D17" s="200">
        <v>0</v>
      </c>
      <c r="E17" s="150"/>
      <c r="F17" s="151">
        <v>0</v>
      </c>
      <c r="G17" s="151">
        <v>0</v>
      </c>
      <c r="H17" s="152" t="e">
        <f t="shared" si="0"/>
        <v>#DIV/0!</v>
      </c>
      <c r="I17" s="150" t="e">
        <f t="shared" si="1"/>
        <v>#DIV/0!</v>
      </c>
      <c r="J17" s="222" t="e">
        <f t="shared" si="2"/>
        <v>#DIV/0!</v>
      </c>
      <c r="K17" s="200">
        <v>0</v>
      </c>
      <c r="L17" s="295">
        <v>0</v>
      </c>
      <c r="M17" s="151">
        <v>0</v>
      </c>
      <c r="N17" s="200">
        <v>0</v>
      </c>
      <c r="O17" s="155" t="e">
        <f t="shared" si="3"/>
        <v>#DIV/0!</v>
      </c>
      <c r="P17" s="156" t="e">
        <f t="shared" si="4"/>
        <v>#DIV/0!</v>
      </c>
      <c r="Q17" s="155" t="e">
        <f t="shared" si="5"/>
        <v>#DIV/0!</v>
      </c>
      <c r="R17" s="225" t="e">
        <f t="shared" si="6"/>
        <v>#DIV/0!</v>
      </c>
      <c r="S17" s="231">
        <f t="shared" si="7"/>
        <v>0</v>
      </c>
      <c r="T17" s="227" t="e">
        <f t="shared" si="8"/>
        <v>#DIV/0!</v>
      </c>
      <c r="U17" s="160"/>
      <c r="V17" s="160"/>
      <c r="W17" s="160"/>
      <c r="X17" s="160"/>
      <c r="Y17" s="1"/>
      <c r="Z17" s="50"/>
      <c r="AA17" s="50"/>
    </row>
    <row r="18" spans="1:27" ht="12.75" hidden="1" outlineLevel="1" x14ac:dyDescent="0.2">
      <c r="A18" s="34"/>
      <c r="B18" s="147"/>
      <c r="C18" s="148" t="s">
        <v>66</v>
      </c>
      <c r="D18" s="232">
        <v>239.96</v>
      </c>
      <c r="E18" s="150"/>
      <c r="F18" s="151">
        <v>4</v>
      </c>
      <c r="G18" s="151">
        <v>4</v>
      </c>
      <c r="H18" s="152">
        <f t="shared" si="0"/>
        <v>1</v>
      </c>
      <c r="I18" s="150">
        <f t="shared" si="1"/>
        <v>59.99</v>
      </c>
      <c r="J18" s="222">
        <f t="shared" si="2"/>
        <v>59.99</v>
      </c>
      <c r="K18" s="232">
        <v>41.79</v>
      </c>
      <c r="L18" s="295">
        <v>11511</v>
      </c>
      <c r="M18" s="151">
        <v>1</v>
      </c>
      <c r="N18" s="233">
        <v>59.99</v>
      </c>
      <c r="O18" s="155">
        <f t="shared" si="3"/>
        <v>0.6966161026837806</v>
      </c>
      <c r="P18" s="156">
        <f t="shared" si="4"/>
        <v>1.4355108877721945</v>
      </c>
      <c r="Q18" s="155">
        <f t="shared" si="5"/>
        <v>0.17415402567094515</v>
      </c>
      <c r="R18" s="225">
        <f t="shared" si="6"/>
        <v>0.25</v>
      </c>
      <c r="S18" s="234">
        <f t="shared" si="7"/>
        <v>179.97</v>
      </c>
      <c r="T18" s="227">
        <f t="shared" si="8"/>
        <v>41.79</v>
      </c>
      <c r="U18" s="160"/>
      <c r="V18" s="160"/>
      <c r="W18" s="160"/>
      <c r="X18" s="160"/>
      <c r="Y18" s="1"/>
      <c r="Z18" s="50"/>
      <c r="AA18" s="50"/>
    </row>
    <row r="19" spans="1:27" ht="12.75" hidden="1" outlineLevel="1" x14ac:dyDescent="0.2">
      <c r="A19" s="34"/>
      <c r="B19" s="147"/>
      <c r="C19" s="148" t="s">
        <v>36</v>
      </c>
      <c r="D19" s="229">
        <v>689.73</v>
      </c>
      <c r="E19" s="150"/>
      <c r="F19" s="151">
        <v>11</v>
      </c>
      <c r="G19" s="151">
        <v>10</v>
      </c>
      <c r="H19" s="152">
        <f t="shared" si="0"/>
        <v>1.1000000000000001</v>
      </c>
      <c r="I19" s="150">
        <f t="shared" si="1"/>
        <v>62.702727272727273</v>
      </c>
      <c r="J19" s="222">
        <f t="shared" si="2"/>
        <v>57.002479338842974</v>
      </c>
      <c r="K19" s="229">
        <v>160.43</v>
      </c>
      <c r="L19" s="295">
        <v>4358</v>
      </c>
      <c r="M19" s="151">
        <v>4</v>
      </c>
      <c r="N19" s="230">
        <v>279.8</v>
      </c>
      <c r="O19" s="155">
        <f t="shared" si="3"/>
        <v>0.57337383845604006</v>
      </c>
      <c r="P19" s="156">
        <f t="shared" si="4"/>
        <v>1.7440628311413078</v>
      </c>
      <c r="Q19" s="155">
        <f t="shared" si="5"/>
        <v>0.23259826308845491</v>
      </c>
      <c r="R19" s="225">
        <f t="shared" si="6"/>
        <v>0.40566598524060138</v>
      </c>
      <c r="S19" s="231">
        <f t="shared" si="7"/>
        <v>409.93</v>
      </c>
      <c r="T19" s="227">
        <f t="shared" si="8"/>
        <v>40.107500000000002</v>
      </c>
      <c r="U19" s="160"/>
      <c r="V19" s="160"/>
      <c r="W19" s="160"/>
      <c r="X19" s="160"/>
      <c r="Y19" s="1"/>
      <c r="Z19" s="50"/>
      <c r="AA19" s="50"/>
    </row>
    <row r="20" spans="1:27" ht="12.75" hidden="1" outlineLevel="1" x14ac:dyDescent="0.2">
      <c r="A20" s="34"/>
      <c r="B20" s="235" t="s">
        <v>37</v>
      </c>
      <c r="C20" s="148" t="s">
        <v>38</v>
      </c>
      <c r="D20" s="236">
        <v>162.72999999999999</v>
      </c>
      <c r="E20" s="150"/>
      <c r="F20" s="151">
        <v>4</v>
      </c>
      <c r="G20" s="151">
        <v>7</v>
      </c>
      <c r="H20" s="152">
        <f t="shared" si="0"/>
        <v>0.5714285714285714</v>
      </c>
      <c r="I20" s="150">
        <f t="shared" si="1"/>
        <v>40.682499999999997</v>
      </c>
      <c r="J20" s="222">
        <f t="shared" si="2"/>
        <v>71.194374999999994</v>
      </c>
      <c r="K20" s="236">
        <v>159.88999999999999</v>
      </c>
      <c r="L20" s="295">
        <v>17913</v>
      </c>
      <c r="M20" s="151">
        <v>0</v>
      </c>
      <c r="N20" s="237">
        <v>0</v>
      </c>
      <c r="O20" s="155" t="e">
        <f t="shared" si="3"/>
        <v>#DIV/0!</v>
      </c>
      <c r="P20" s="156">
        <f t="shared" si="4"/>
        <v>0</v>
      </c>
      <c r="Q20" s="155">
        <f t="shared" si="5"/>
        <v>0.98254777852885145</v>
      </c>
      <c r="R20" s="225">
        <f t="shared" si="6"/>
        <v>0</v>
      </c>
      <c r="S20" s="238">
        <f t="shared" si="7"/>
        <v>162.72999999999999</v>
      </c>
      <c r="T20" s="227" t="e">
        <f t="shared" si="8"/>
        <v>#DIV/0!</v>
      </c>
      <c r="U20" s="160"/>
      <c r="V20" s="160"/>
      <c r="W20" s="160"/>
      <c r="X20" s="160"/>
      <c r="Y20" s="1"/>
      <c r="Z20" s="50"/>
      <c r="AA20" s="50"/>
    </row>
    <row r="21" spans="1:27" ht="12.75" hidden="1" outlineLevel="1" x14ac:dyDescent="0.2">
      <c r="A21" s="34"/>
      <c r="B21" s="147"/>
      <c r="C21" s="148" t="s">
        <v>39</v>
      </c>
      <c r="D21" s="239">
        <v>-4.96</v>
      </c>
      <c r="E21" s="150"/>
      <c r="F21" s="151">
        <v>-1</v>
      </c>
      <c r="G21" s="151">
        <v>1</v>
      </c>
      <c r="H21" s="152">
        <f t="shared" si="0"/>
        <v>-1</v>
      </c>
      <c r="I21" s="150">
        <f t="shared" si="1"/>
        <v>4.96</v>
      </c>
      <c r="J21" s="222">
        <f t="shared" si="2"/>
        <v>-4.96</v>
      </c>
      <c r="K21" s="239">
        <v>79.62</v>
      </c>
      <c r="L21" s="295">
        <v>182108</v>
      </c>
      <c r="M21" s="151">
        <v>1</v>
      </c>
      <c r="N21" s="240">
        <v>84.96</v>
      </c>
      <c r="O21" s="155">
        <f t="shared" si="3"/>
        <v>0.93714689265536733</v>
      </c>
      <c r="P21" s="156">
        <f t="shared" si="4"/>
        <v>1.0670685757347398</v>
      </c>
      <c r="Q21" s="155">
        <f t="shared" si="5"/>
        <v>-16.052419354838712</v>
      </c>
      <c r="R21" s="225">
        <f t="shared" si="6"/>
        <v>-17.129032258064516</v>
      </c>
      <c r="S21" s="241">
        <f t="shared" si="7"/>
        <v>-89.919999999999987</v>
      </c>
      <c r="T21" s="227">
        <f t="shared" si="8"/>
        <v>79.62</v>
      </c>
      <c r="U21" s="160"/>
      <c r="V21" s="160"/>
      <c r="W21" s="160"/>
      <c r="X21" s="160"/>
      <c r="Y21" s="1"/>
      <c r="Z21" s="50"/>
      <c r="AA21" s="50"/>
    </row>
    <row r="22" spans="1:27" ht="12.75" hidden="1" outlineLevel="1" x14ac:dyDescent="0.2">
      <c r="A22" s="34"/>
      <c r="B22" s="147"/>
      <c r="C22" s="148" t="s">
        <v>40</v>
      </c>
      <c r="D22" s="242">
        <v>274.75</v>
      </c>
      <c r="E22" s="150"/>
      <c r="F22" s="151">
        <v>5</v>
      </c>
      <c r="G22" s="151">
        <v>4</v>
      </c>
      <c r="H22" s="152">
        <f t="shared" si="0"/>
        <v>1.25</v>
      </c>
      <c r="I22" s="150">
        <f t="shared" si="1"/>
        <v>54.95</v>
      </c>
      <c r="J22" s="222">
        <f t="shared" si="2"/>
        <v>43.96</v>
      </c>
      <c r="K22" s="242">
        <v>0</v>
      </c>
      <c r="L22" s="295">
        <v>0</v>
      </c>
      <c r="M22" s="151">
        <v>0</v>
      </c>
      <c r="N22" s="243">
        <v>0</v>
      </c>
      <c r="O22" s="155" t="e">
        <f t="shared" si="3"/>
        <v>#DIV/0!</v>
      </c>
      <c r="P22" s="156" t="e">
        <f t="shared" si="4"/>
        <v>#DIV/0!</v>
      </c>
      <c r="Q22" s="155">
        <f t="shared" si="5"/>
        <v>0</v>
      </c>
      <c r="R22" s="225">
        <f t="shared" si="6"/>
        <v>0</v>
      </c>
      <c r="S22" s="244">
        <f t="shared" si="7"/>
        <v>274.75</v>
      </c>
      <c r="T22" s="227" t="e">
        <f t="shared" si="8"/>
        <v>#DIV/0!</v>
      </c>
      <c r="U22" s="160"/>
      <c r="V22" s="160"/>
      <c r="W22" s="160"/>
      <c r="X22" s="160"/>
      <c r="Y22" s="1"/>
      <c r="Z22" s="50"/>
      <c r="AA22" s="50"/>
    </row>
    <row r="23" spans="1:27" ht="12.75" hidden="1" outlineLevel="1" x14ac:dyDescent="0.2">
      <c r="A23" s="34"/>
      <c r="B23" s="147"/>
      <c r="C23" s="148" t="s">
        <v>41</v>
      </c>
      <c r="D23" s="163">
        <v>2437.8000000000002</v>
      </c>
      <c r="E23" s="150"/>
      <c r="F23" s="151">
        <v>29</v>
      </c>
      <c r="G23" s="151">
        <v>24</v>
      </c>
      <c r="H23" s="152">
        <f t="shared" si="0"/>
        <v>1.2083333333333333</v>
      </c>
      <c r="I23" s="150">
        <f t="shared" si="1"/>
        <v>84.062068965517241</v>
      </c>
      <c r="J23" s="222">
        <f t="shared" si="2"/>
        <v>69.568608799048761</v>
      </c>
      <c r="K23" s="163">
        <v>63.47</v>
      </c>
      <c r="L23" s="295">
        <v>12313</v>
      </c>
      <c r="M23" s="151">
        <v>6</v>
      </c>
      <c r="N23" s="164">
        <v>579.70000000000005</v>
      </c>
      <c r="O23" s="155">
        <f t="shared" si="3"/>
        <v>0.10948766603415559</v>
      </c>
      <c r="P23" s="156">
        <f t="shared" si="4"/>
        <v>9.1334488734835357</v>
      </c>
      <c r="Q23" s="155">
        <f t="shared" si="5"/>
        <v>2.603576995651817E-2</v>
      </c>
      <c r="R23" s="225">
        <f t="shared" si="6"/>
        <v>0.23779637377963739</v>
      </c>
      <c r="S23" s="245">
        <f t="shared" si="7"/>
        <v>1858.1000000000001</v>
      </c>
      <c r="T23" s="227">
        <f t="shared" si="8"/>
        <v>10.578333333333333</v>
      </c>
      <c r="U23" s="160"/>
      <c r="V23" s="160"/>
      <c r="W23" s="160"/>
      <c r="X23" s="160"/>
      <c r="Y23" s="1"/>
      <c r="Z23" s="50"/>
      <c r="AA23" s="50"/>
    </row>
    <row r="24" spans="1:27" ht="12.75" hidden="1" outlineLevel="1" x14ac:dyDescent="0.2">
      <c r="A24" s="34"/>
      <c r="B24" s="147"/>
      <c r="C24" s="148" t="s">
        <v>42</v>
      </c>
      <c r="D24" s="229">
        <v>67.959999999999994</v>
      </c>
      <c r="E24" s="150"/>
      <c r="F24" s="151">
        <v>1</v>
      </c>
      <c r="G24" s="151">
        <v>1</v>
      </c>
      <c r="H24" s="152">
        <f t="shared" si="0"/>
        <v>1</v>
      </c>
      <c r="I24" s="150">
        <f t="shared" si="1"/>
        <v>67.959999999999994</v>
      </c>
      <c r="J24" s="222">
        <f t="shared" si="2"/>
        <v>67.959999999999994</v>
      </c>
      <c r="K24" s="229">
        <v>2.14</v>
      </c>
      <c r="L24" s="295">
        <v>10943</v>
      </c>
      <c r="M24" s="151">
        <v>0</v>
      </c>
      <c r="N24" s="230">
        <v>0</v>
      </c>
      <c r="O24" s="155" t="e">
        <f t="shared" si="3"/>
        <v>#DIV/0!</v>
      </c>
      <c r="P24" s="156">
        <f t="shared" si="4"/>
        <v>0</v>
      </c>
      <c r="Q24" s="155">
        <f t="shared" si="5"/>
        <v>3.1489111241907008E-2</v>
      </c>
      <c r="R24" s="225">
        <f t="shared" si="6"/>
        <v>0</v>
      </c>
      <c r="S24" s="231">
        <f t="shared" si="7"/>
        <v>67.959999999999994</v>
      </c>
      <c r="T24" s="227" t="e">
        <f t="shared" si="8"/>
        <v>#DIV/0!</v>
      </c>
      <c r="U24" s="160"/>
      <c r="V24" s="160"/>
      <c r="W24" s="160"/>
      <c r="X24" s="160"/>
      <c r="Y24" s="1"/>
      <c r="Z24" s="50"/>
      <c r="AA24" s="50"/>
    </row>
    <row r="25" spans="1:27" ht="12.75" hidden="1" outlineLevel="1" x14ac:dyDescent="0.2">
      <c r="A25" s="34"/>
      <c r="B25" s="147"/>
      <c r="C25" s="148" t="s">
        <v>43</v>
      </c>
      <c r="D25" s="165">
        <v>-139.37</v>
      </c>
      <c r="E25" s="150"/>
      <c r="F25" s="151">
        <v>0</v>
      </c>
      <c r="G25" s="151">
        <v>3</v>
      </c>
      <c r="H25" s="152">
        <f t="shared" si="0"/>
        <v>0</v>
      </c>
      <c r="I25" s="150" t="e">
        <f t="shared" si="1"/>
        <v>#DIV/0!</v>
      </c>
      <c r="J25" s="222" t="e">
        <f t="shared" si="2"/>
        <v>#DIV/0!</v>
      </c>
      <c r="K25" s="165">
        <v>21.79</v>
      </c>
      <c r="L25" s="295">
        <v>21569</v>
      </c>
      <c r="M25" s="151">
        <v>0</v>
      </c>
      <c r="N25" s="166">
        <v>0</v>
      </c>
      <c r="O25" s="155" t="e">
        <f t="shared" si="3"/>
        <v>#DIV/0!</v>
      </c>
      <c r="P25" s="156">
        <f t="shared" si="4"/>
        <v>0</v>
      </c>
      <c r="Q25" s="155">
        <f t="shared" si="5"/>
        <v>-0.1563464160149243</v>
      </c>
      <c r="R25" s="225">
        <f t="shared" si="6"/>
        <v>0</v>
      </c>
      <c r="S25" s="246">
        <f t="shared" si="7"/>
        <v>-139.37</v>
      </c>
      <c r="T25" s="227" t="e">
        <f t="shared" si="8"/>
        <v>#DIV/0!</v>
      </c>
      <c r="U25" s="160"/>
      <c r="V25" s="160"/>
      <c r="W25" s="160"/>
      <c r="X25" s="160"/>
      <c r="Y25" s="1"/>
      <c r="Z25" s="50"/>
      <c r="AA25" s="50"/>
    </row>
    <row r="26" spans="1:27" ht="12.75" hidden="1" outlineLevel="1" x14ac:dyDescent="0.2">
      <c r="A26" s="34"/>
      <c r="B26" s="147"/>
      <c r="C26" s="148" t="s">
        <v>44</v>
      </c>
      <c r="D26" s="247">
        <v>0</v>
      </c>
      <c r="E26" s="150"/>
      <c r="F26" s="151">
        <v>0</v>
      </c>
      <c r="G26" s="151">
        <v>0</v>
      </c>
      <c r="H26" s="152" t="e">
        <f t="shared" si="0"/>
        <v>#DIV/0!</v>
      </c>
      <c r="I26" s="150" t="e">
        <f t="shared" si="1"/>
        <v>#DIV/0!</v>
      </c>
      <c r="J26" s="222" t="e">
        <f t="shared" si="2"/>
        <v>#DIV/0!</v>
      </c>
      <c r="K26" s="247">
        <v>3.1</v>
      </c>
      <c r="L26" s="295">
        <v>1684</v>
      </c>
      <c r="M26" s="151">
        <v>0</v>
      </c>
      <c r="N26" s="248">
        <v>0</v>
      </c>
      <c r="O26" s="155" t="e">
        <f t="shared" si="3"/>
        <v>#DIV/0!</v>
      </c>
      <c r="P26" s="156">
        <f t="shared" si="4"/>
        <v>0</v>
      </c>
      <c r="Q26" s="155" t="e">
        <f t="shared" si="5"/>
        <v>#DIV/0!</v>
      </c>
      <c r="R26" s="225" t="e">
        <f t="shared" si="6"/>
        <v>#DIV/0!</v>
      </c>
      <c r="S26" s="249">
        <f t="shared" si="7"/>
        <v>0</v>
      </c>
      <c r="T26" s="227" t="e">
        <f t="shared" si="8"/>
        <v>#DIV/0!</v>
      </c>
      <c r="U26" s="160"/>
      <c r="V26" s="160"/>
      <c r="W26" s="160"/>
      <c r="X26" s="160"/>
      <c r="Y26" s="1"/>
      <c r="Z26" s="50"/>
      <c r="AA26" s="50"/>
    </row>
    <row r="27" spans="1:27" ht="12.75" hidden="1" outlineLevel="1" x14ac:dyDescent="0.2">
      <c r="A27" s="250"/>
      <c r="B27" s="147"/>
      <c r="C27" s="112" t="s">
        <v>45</v>
      </c>
      <c r="D27" s="149">
        <v>0</v>
      </c>
      <c r="E27" s="150"/>
      <c r="F27" s="151">
        <v>0</v>
      </c>
      <c r="G27" s="151">
        <v>0</v>
      </c>
      <c r="H27" s="74" t="e">
        <f t="shared" si="0"/>
        <v>#DIV/0!</v>
      </c>
      <c r="I27" s="75" t="e">
        <f t="shared" si="1"/>
        <v>#DIV/0!</v>
      </c>
      <c r="J27" s="76" t="e">
        <f t="shared" si="2"/>
        <v>#DIV/0!</v>
      </c>
      <c r="K27" s="149">
        <v>0</v>
      </c>
      <c r="L27" s="295">
        <v>0</v>
      </c>
      <c r="M27" s="151">
        <v>0</v>
      </c>
      <c r="N27" s="224">
        <v>0</v>
      </c>
      <c r="O27" s="79" t="e">
        <f t="shared" si="3"/>
        <v>#DIV/0!</v>
      </c>
      <c r="P27" s="80" t="e">
        <f t="shared" si="4"/>
        <v>#DIV/0!</v>
      </c>
      <c r="Q27" s="79" t="e">
        <f t="shared" si="5"/>
        <v>#DIV/0!</v>
      </c>
      <c r="R27" s="81" t="e">
        <f t="shared" si="6"/>
        <v>#DIV/0!</v>
      </c>
      <c r="S27" s="82">
        <f t="shared" si="7"/>
        <v>0</v>
      </c>
      <c r="T27" s="83" t="e">
        <f t="shared" si="8"/>
        <v>#DIV/0!</v>
      </c>
      <c r="U27" s="140"/>
      <c r="V27" s="140"/>
      <c r="W27" s="140"/>
      <c r="X27" s="141"/>
      <c r="Y27" s="142"/>
      <c r="Z27" s="50"/>
      <c r="AA27" s="50"/>
    </row>
    <row r="28" spans="1:27" ht="12.75" hidden="1" outlineLevel="1" x14ac:dyDescent="0.2">
      <c r="A28" s="118"/>
      <c r="B28" s="69"/>
      <c r="C28" s="70" t="s">
        <v>46</v>
      </c>
      <c r="D28" s="116">
        <v>900.09</v>
      </c>
      <c r="E28" s="75"/>
      <c r="F28" s="73">
        <v>28</v>
      </c>
      <c r="G28" s="73">
        <v>26</v>
      </c>
      <c r="H28" s="74">
        <f t="shared" si="0"/>
        <v>1.0769230769230769</v>
      </c>
      <c r="I28" s="75">
        <f t="shared" si="1"/>
        <v>32.146071428571432</v>
      </c>
      <c r="J28" s="76">
        <f t="shared" si="2"/>
        <v>29.849923469387761</v>
      </c>
      <c r="K28" s="116">
        <v>164.56</v>
      </c>
      <c r="L28" s="199">
        <v>45377</v>
      </c>
      <c r="M28" s="73">
        <v>18</v>
      </c>
      <c r="N28" s="117">
        <v>474.72</v>
      </c>
      <c r="O28" s="79">
        <f t="shared" si="3"/>
        <v>0.34664644421975055</v>
      </c>
      <c r="P28" s="80">
        <f t="shared" si="4"/>
        <v>2.8847836655323289</v>
      </c>
      <c r="Q28" s="79">
        <f t="shared" si="5"/>
        <v>0.18282616182826161</v>
      </c>
      <c r="R28" s="81">
        <f t="shared" si="6"/>
        <v>0.52741392527413922</v>
      </c>
      <c r="S28" s="82">
        <f t="shared" si="7"/>
        <v>425.37</v>
      </c>
      <c r="T28" s="83">
        <f t="shared" si="8"/>
        <v>9.1422222222222231</v>
      </c>
      <c r="U28" s="135"/>
      <c r="V28" s="135"/>
      <c r="W28" s="135"/>
      <c r="X28" s="135"/>
      <c r="Y28" s="136"/>
      <c r="Z28" s="50"/>
      <c r="AA28" s="50"/>
    </row>
    <row r="29" spans="1:27" ht="12.75" hidden="1" outlineLevel="1" x14ac:dyDescent="0.2">
      <c r="A29" s="34" t="str">
        <f t="shared" ref="A29:A30" si="9">IFERROR(IF(B29&gt;0,MONTH(B29)&amp;"-"&amp;YEAR(B29),B29),)</f>
        <v>12-2024</v>
      </c>
      <c r="B29" s="147">
        <v>45647</v>
      </c>
      <c r="C29" s="148" t="s">
        <v>49</v>
      </c>
      <c r="D29" s="251">
        <v>9.8000000000000007</v>
      </c>
      <c r="E29" s="150"/>
      <c r="F29" s="151">
        <v>0</v>
      </c>
      <c r="G29" s="151">
        <v>1</v>
      </c>
      <c r="H29" s="152">
        <f t="shared" si="0"/>
        <v>0</v>
      </c>
      <c r="I29" s="150" t="e">
        <f t="shared" si="1"/>
        <v>#DIV/0!</v>
      </c>
      <c r="J29" s="222" t="e">
        <f t="shared" si="2"/>
        <v>#DIV/0!</v>
      </c>
      <c r="K29" s="251">
        <v>0</v>
      </c>
      <c r="L29" s="295">
        <v>12458</v>
      </c>
      <c r="M29" s="151">
        <v>0</v>
      </c>
      <c r="N29" s="252">
        <v>0</v>
      </c>
      <c r="O29" s="155" t="e">
        <f t="shared" si="3"/>
        <v>#DIV/0!</v>
      </c>
      <c r="P29" s="156" t="e">
        <f t="shared" si="4"/>
        <v>#DIV/0!</v>
      </c>
      <c r="Q29" s="155">
        <f t="shared" si="5"/>
        <v>0</v>
      </c>
      <c r="R29" s="225">
        <f t="shared" si="6"/>
        <v>0</v>
      </c>
      <c r="S29" s="226">
        <f t="shared" si="7"/>
        <v>9.8000000000000007</v>
      </c>
      <c r="T29" s="227" t="e">
        <f t="shared" si="8"/>
        <v>#DIV/0!</v>
      </c>
      <c r="U29" s="160"/>
      <c r="V29" s="160"/>
      <c r="W29" s="160"/>
      <c r="X29" s="160"/>
      <c r="Y29" s="1"/>
      <c r="Z29" s="50"/>
      <c r="AA29" s="50"/>
    </row>
    <row r="30" spans="1:27" ht="12.75" collapsed="1" x14ac:dyDescent="0.2">
      <c r="A30" s="139">
        <f t="shared" si="9"/>
        <v>0</v>
      </c>
      <c r="B30" s="206" t="s">
        <v>127</v>
      </c>
      <c r="C30" s="207"/>
      <c r="D30" s="208">
        <f>SUM(D13:D29)</f>
        <v>23343.57</v>
      </c>
      <c r="E30" s="211"/>
      <c r="F30" s="209">
        <f t="shared" ref="F30:G30" si="10">SUM(F13:F29)</f>
        <v>150</v>
      </c>
      <c r="G30" s="209">
        <f t="shared" si="10"/>
        <v>158</v>
      </c>
      <c r="H30" s="210">
        <f t="shared" si="0"/>
        <v>0.94936708860759489</v>
      </c>
      <c r="I30" s="211">
        <f t="shared" si="1"/>
        <v>155.62379999999999</v>
      </c>
      <c r="J30" s="212">
        <f t="shared" si="2"/>
        <v>163.92373599999999</v>
      </c>
      <c r="K30" s="213">
        <f t="shared" ref="K30:N30" si="11">SUM(K13:K29)</f>
        <v>1023.8800000000001</v>
      </c>
      <c r="L30" s="296">
        <f t="shared" si="11"/>
        <v>364632</v>
      </c>
      <c r="M30" s="209">
        <f t="shared" si="11"/>
        <v>48</v>
      </c>
      <c r="N30" s="208">
        <f t="shared" si="11"/>
        <v>5056.3200000000006</v>
      </c>
      <c r="O30" s="214">
        <f t="shared" si="3"/>
        <v>0.20249509524713624</v>
      </c>
      <c r="P30" s="215">
        <f t="shared" si="4"/>
        <v>4.9383912177208265</v>
      </c>
      <c r="Q30" s="214">
        <f t="shared" si="5"/>
        <v>4.3861328837020222E-2</v>
      </c>
      <c r="R30" s="216">
        <f t="shared" si="6"/>
        <v>0.21660440112630591</v>
      </c>
      <c r="S30" s="217">
        <f>SUM(S13:S29)</f>
        <v>18287.249999999996</v>
      </c>
      <c r="T30" s="218">
        <f t="shared" si="8"/>
        <v>21.330833333333334</v>
      </c>
      <c r="U30" s="219">
        <f>IFERROR((D30-#REF!)/D30,)</f>
        <v>0</v>
      </c>
      <c r="V30" s="219">
        <f>IFERROR((F30-#REF!)/F30,)</f>
        <v>0</v>
      </c>
      <c r="W30" s="220">
        <f>IFERROR((D30-[1]monthly_reporting_2021!E49)/D30, )</f>
        <v>0</v>
      </c>
      <c r="X30" s="221">
        <f>IFERROR((F30-[1]monthly_reporting_2021!F49)/F30, )</f>
        <v>0</v>
      </c>
      <c r="Y30" s="50"/>
      <c r="Z30" s="50"/>
      <c r="AA30" s="50"/>
    </row>
    <row r="31" spans="1:27" ht="12.75" hidden="1" outlineLevel="1" x14ac:dyDescent="0.2">
      <c r="A31" s="50"/>
      <c r="B31" s="69">
        <v>45648</v>
      </c>
      <c r="C31" s="70" t="s">
        <v>32</v>
      </c>
      <c r="D31" s="71">
        <v>12504.3</v>
      </c>
      <c r="E31" s="75"/>
      <c r="F31" s="73">
        <v>32</v>
      </c>
      <c r="G31" s="73">
        <v>32</v>
      </c>
      <c r="H31" s="74">
        <f t="shared" si="0"/>
        <v>1</v>
      </c>
      <c r="I31" s="75">
        <f t="shared" si="1"/>
        <v>390.75937499999998</v>
      </c>
      <c r="J31" s="76">
        <f t="shared" si="2"/>
        <v>390.75937499999998</v>
      </c>
      <c r="K31" s="71">
        <v>106.38</v>
      </c>
      <c r="L31" s="73">
        <v>23406</v>
      </c>
      <c r="M31" s="73">
        <v>10</v>
      </c>
      <c r="N31" s="78">
        <v>4010.3</v>
      </c>
      <c r="O31" s="79">
        <f t="shared" si="3"/>
        <v>2.6526693763558835E-2</v>
      </c>
      <c r="P31" s="80">
        <f t="shared" si="4"/>
        <v>37.697875540515135</v>
      </c>
      <c r="Q31" s="79">
        <f t="shared" si="5"/>
        <v>8.5074734291403758E-3</v>
      </c>
      <c r="R31" s="81">
        <f t="shared" si="6"/>
        <v>0.32071367449597343</v>
      </c>
      <c r="S31" s="82">
        <f t="shared" ref="S31:S47" si="12">D31-N31</f>
        <v>8494</v>
      </c>
      <c r="T31" s="83">
        <f t="shared" si="8"/>
        <v>10.638</v>
      </c>
      <c r="U31" s="135"/>
      <c r="V31" s="135"/>
      <c r="W31" s="135"/>
      <c r="X31" s="135"/>
      <c r="Y31" s="136"/>
      <c r="Z31" s="50"/>
      <c r="AA31" s="50"/>
    </row>
    <row r="32" spans="1:27" ht="12.75" hidden="1" outlineLevel="1" x14ac:dyDescent="0.2">
      <c r="A32" s="50"/>
      <c r="B32" s="137"/>
      <c r="C32" s="70" t="s">
        <v>33</v>
      </c>
      <c r="D32" s="87">
        <v>5241.8599999999997</v>
      </c>
      <c r="E32" s="75"/>
      <c r="F32" s="73">
        <v>31</v>
      </c>
      <c r="G32" s="73">
        <v>37</v>
      </c>
      <c r="H32" s="74">
        <f t="shared" si="0"/>
        <v>0.83783783783783783</v>
      </c>
      <c r="I32" s="75">
        <f t="shared" si="1"/>
        <v>169.09225806451613</v>
      </c>
      <c r="J32" s="76">
        <f t="shared" si="2"/>
        <v>201.81979188345474</v>
      </c>
      <c r="K32" s="87">
        <v>104.84</v>
      </c>
      <c r="L32" s="73">
        <v>18706</v>
      </c>
      <c r="M32" s="73">
        <v>1</v>
      </c>
      <c r="N32" s="88">
        <v>79.95</v>
      </c>
      <c r="O32" s="79">
        <f t="shared" si="3"/>
        <v>1.3113195747342088</v>
      </c>
      <c r="P32" s="80">
        <f t="shared" si="4"/>
        <v>0.76259061426936281</v>
      </c>
      <c r="Q32" s="79">
        <f t="shared" si="5"/>
        <v>2.0000534161538082E-2</v>
      </c>
      <c r="R32" s="81">
        <f t="shared" si="6"/>
        <v>1.5252219631962702E-2</v>
      </c>
      <c r="S32" s="89">
        <f t="shared" si="12"/>
        <v>5161.91</v>
      </c>
      <c r="T32" s="83">
        <f t="shared" si="8"/>
        <v>104.84</v>
      </c>
      <c r="U32" s="135"/>
      <c r="V32" s="135"/>
      <c r="W32" s="135"/>
      <c r="X32" s="135"/>
      <c r="Y32" s="136"/>
      <c r="Z32" s="50"/>
      <c r="AA32" s="50"/>
    </row>
    <row r="33" spans="1:27" ht="12.75" hidden="1" outlineLevel="1" x14ac:dyDescent="0.2">
      <c r="A33" s="50"/>
      <c r="B33" s="137"/>
      <c r="C33" s="70" t="s">
        <v>34</v>
      </c>
      <c r="D33" s="90">
        <v>139.9</v>
      </c>
      <c r="E33" s="75"/>
      <c r="F33" s="73">
        <v>2</v>
      </c>
      <c r="G33" s="73">
        <v>1</v>
      </c>
      <c r="H33" s="74">
        <f t="shared" si="0"/>
        <v>2</v>
      </c>
      <c r="I33" s="75">
        <f t="shared" si="1"/>
        <v>69.95</v>
      </c>
      <c r="J33" s="76">
        <f t="shared" si="2"/>
        <v>34.975000000000001</v>
      </c>
      <c r="K33" s="90">
        <v>0</v>
      </c>
      <c r="L33" s="73">
        <v>0</v>
      </c>
      <c r="M33" s="73">
        <v>0</v>
      </c>
      <c r="N33" s="91">
        <v>0</v>
      </c>
      <c r="O33" s="79" t="e">
        <f t="shared" si="3"/>
        <v>#DIV/0!</v>
      </c>
      <c r="P33" s="80" t="e">
        <f t="shared" si="4"/>
        <v>#DIV/0!</v>
      </c>
      <c r="Q33" s="79">
        <f t="shared" si="5"/>
        <v>0</v>
      </c>
      <c r="R33" s="81">
        <f t="shared" si="6"/>
        <v>0</v>
      </c>
      <c r="S33" s="92">
        <f t="shared" si="12"/>
        <v>139.9</v>
      </c>
      <c r="T33" s="83" t="e">
        <f t="shared" si="8"/>
        <v>#DIV/0!</v>
      </c>
      <c r="U33" s="135"/>
      <c r="V33" s="135"/>
      <c r="W33" s="135"/>
      <c r="X33" s="135"/>
      <c r="Y33" s="136"/>
      <c r="Z33" s="50"/>
      <c r="AA33" s="50"/>
    </row>
    <row r="34" spans="1:27" ht="12.75" hidden="1" outlineLevel="1" x14ac:dyDescent="0.2">
      <c r="A34" s="50"/>
      <c r="B34" s="137"/>
      <c r="C34" s="70" t="s">
        <v>35</v>
      </c>
      <c r="D34" s="90">
        <v>359.7</v>
      </c>
      <c r="E34" s="75"/>
      <c r="F34" s="73">
        <v>6</v>
      </c>
      <c r="G34" s="73">
        <v>5</v>
      </c>
      <c r="H34" s="74">
        <f t="shared" si="0"/>
        <v>1.2</v>
      </c>
      <c r="I34" s="75">
        <f t="shared" si="1"/>
        <v>59.949999999999996</v>
      </c>
      <c r="J34" s="76">
        <f t="shared" si="2"/>
        <v>49.958333333333329</v>
      </c>
      <c r="K34" s="90">
        <v>15.23</v>
      </c>
      <c r="L34" s="73">
        <v>1618</v>
      </c>
      <c r="M34" s="73">
        <v>0</v>
      </c>
      <c r="N34" s="91">
        <v>0</v>
      </c>
      <c r="O34" s="79" t="e">
        <f t="shared" si="3"/>
        <v>#DIV/0!</v>
      </c>
      <c r="P34" s="80">
        <f t="shared" si="4"/>
        <v>0</v>
      </c>
      <c r="Q34" s="79">
        <f t="shared" si="5"/>
        <v>4.2340839588546016E-2</v>
      </c>
      <c r="R34" s="81">
        <f t="shared" si="6"/>
        <v>0</v>
      </c>
      <c r="S34" s="92">
        <f t="shared" si="12"/>
        <v>359.7</v>
      </c>
      <c r="T34" s="83" t="e">
        <f t="shared" si="8"/>
        <v>#DIV/0!</v>
      </c>
      <c r="U34" s="135"/>
      <c r="V34" s="135"/>
      <c r="W34" s="135"/>
      <c r="X34" s="135"/>
      <c r="Y34" s="136"/>
      <c r="Z34" s="50"/>
      <c r="AA34" s="50"/>
    </row>
    <row r="35" spans="1:27" ht="12.75" hidden="1" outlineLevel="1" x14ac:dyDescent="0.2">
      <c r="A35" s="50"/>
      <c r="B35" s="137"/>
      <c r="C35" s="70" t="s">
        <v>62</v>
      </c>
      <c r="D35" s="200">
        <v>0</v>
      </c>
      <c r="E35" s="75"/>
      <c r="F35" s="73">
        <v>0</v>
      </c>
      <c r="G35" s="73">
        <v>0</v>
      </c>
      <c r="H35" s="74" t="e">
        <f t="shared" si="0"/>
        <v>#DIV/0!</v>
      </c>
      <c r="I35" s="75" t="e">
        <f t="shared" si="1"/>
        <v>#DIV/0!</v>
      </c>
      <c r="J35" s="76" t="e">
        <f t="shared" si="2"/>
        <v>#DIV/0!</v>
      </c>
      <c r="K35" s="200">
        <v>0</v>
      </c>
      <c r="L35" s="73">
        <v>0</v>
      </c>
      <c r="M35" s="73">
        <v>0</v>
      </c>
      <c r="N35" s="200">
        <v>0</v>
      </c>
      <c r="O35" s="79" t="e">
        <f t="shared" si="3"/>
        <v>#DIV/0!</v>
      </c>
      <c r="P35" s="80" t="e">
        <f t="shared" si="4"/>
        <v>#DIV/0!</v>
      </c>
      <c r="Q35" s="79" t="e">
        <f t="shared" si="5"/>
        <v>#DIV/0!</v>
      </c>
      <c r="R35" s="81" t="e">
        <f t="shared" si="6"/>
        <v>#DIV/0!</v>
      </c>
      <c r="S35" s="92">
        <f t="shared" si="12"/>
        <v>0</v>
      </c>
      <c r="T35" s="83" t="e">
        <f t="shared" si="8"/>
        <v>#DIV/0!</v>
      </c>
      <c r="U35" s="135"/>
      <c r="V35" s="135"/>
      <c r="W35" s="135"/>
      <c r="X35" s="135"/>
      <c r="Y35" s="136"/>
      <c r="Z35" s="50"/>
      <c r="AA35" s="50"/>
    </row>
    <row r="36" spans="1:27" ht="12.75" hidden="1" outlineLevel="1" x14ac:dyDescent="0.2">
      <c r="A36" s="50"/>
      <c r="B36" s="137"/>
      <c r="C36" s="70" t="s">
        <v>66</v>
      </c>
      <c r="D36" s="201">
        <v>119.98</v>
      </c>
      <c r="E36" s="75"/>
      <c r="F36" s="73">
        <v>2</v>
      </c>
      <c r="G36" s="73">
        <v>1</v>
      </c>
      <c r="H36" s="74">
        <f t="shared" si="0"/>
        <v>2</v>
      </c>
      <c r="I36" s="75">
        <f t="shared" si="1"/>
        <v>59.99</v>
      </c>
      <c r="J36" s="76">
        <f t="shared" si="2"/>
        <v>29.995000000000001</v>
      </c>
      <c r="K36" s="201">
        <v>41.55</v>
      </c>
      <c r="L36" s="73">
        <v>9951</v>
      </c>
      <c r="M36" s="73">
        <v>0</v>
      </c>
      <c r="N36" s="202">
        <v>0</v>
      </c>
      <c r="O36" s="79" t="e">
        <f t="shared" si="3"/>
        <v>#DIV/0!</v>
      </c>
      <c r="P36" s="80">
        <f t="shared" si="4"/>
        <v>0</v>
      </c>
      <c r="Q36" s="79">
        <f t="shared" si="5"/>
        <v>0.34630771795299214</v>
      </c>
      <c r="R36" s="81">
        <f t="shared" si="6"/>
        <v>0</v>
      </c>
      <c r="S36" s="203">
        <f t="shared" si="12"/>
        <v>119.98</v>
      </c>
      <c r="T36" s="83" t="e">
        <f t="shared" si="8"/>
        <v>#DIV/0!</v>
      </c>
      <c r="U36" s="135"/>
      <c r="V36" s="135"/>
      <c r="W36" s="135"/>
      <c r="X36" s="135"/>
      <c r="Y36" s="136"/>
      <c r="Z36" s="50"/>
      <c r="AA36" s="50"/>
    </row>
    <row r="37" spans="1:27" ht="12.75" hidden="1" outlineLevel="1" x14ac:dyDescent="0.2">
      <c r="A37" s="50"/>
      <c r="B37" s="137"/>
      <c r="C37" s="70" t="s">
        <v>36</v>
      </c>
      <c r="D37" s="90">
        <v>849.35</v>
      </c>
      <c r="E37" s="75"/>
      <c r="F37" s="73">
        <v>13</v>
      </c>
      <c r="G37" s="73">
        <v>8</v>
      </c>
      <c r="H37" s="74">
        <f t="shared" si="0"/>
        <v>1.625</v>
      </c>
      <c r="I37" s="75">
        <f t="shared" si="1"/>
        <v>65.33461538461539</v>
      </c>
      <c r="J37" s="76">
        <f t="shared" si="2"/>
        <v>40.205917159763317</v>
      </c>
      <c r="K37" s="90">
        <v>151.87</v>
      </c>
      <c r="L37" s="73">
        <v>3720</v>
      </c>
      <c r="M37" s="73">
        <v>1</v>
      </c>
      <c r="N37" s="91">
        <v>69.95</v>
      </c>
      <c r="O37" s="79">
        <f t="shared" si="3"/>
        <v>2.1711222301644031</v>
      </c>
      <c r="P37" s="80">
        <f t="shared" si="4"/>
        <v>0.4605912951866728</v>
      </c>
      <c r="Q37" s="79">
        <f t="shared" si="5"/>
        <v>0.17880732324718904</v>
      </c>
      <c r="R37" s="81">
        <f t="shared" si="6"/>
        <v>8.2357096603284871E-2</v>
      </c>
      <c r="S37" s="92">
        <f t="shared" si="12"/>
        <v>779.4</v>
      </c>
      <c r="T37" s="83">
        <f t="shared" si="8"/>
        <v>151.87</v>
      </c>
      <c r="U37" s="135"/>
      <c r="V37" s="135"/>
      <c r="W37" s="135"/>
      <c r="X37" s="135"/>
      <c r="Y37" s="136"/>
      <c r="Z37" s="50"/>
      <c r="AA37" s="50"/>
    </row>
    <row r="38" spans="1:27" ht="12.75" hidden="1" outlineLevel="1" x14ac:dyDescent="0.2">
      <c r="A38" s="50"/>
      <c r="B38" s="69" t="s">
        <v>37</v>
      </c>
      <c r="C38" s="70" t="s">
        <v>38</v>
      </c>
      <c r="D38" s="93">
        <v>765.75</v>
      </c>
      <c r="E38" s="75"/>
      <c r="F38" s="73">
        <v>11</v>
      </c>
      <c r="G38" s="73">
        <v>14</v>
      </c>
      <c r="H38" s="74">
        <f t="shared" si="0"/>
        <v>0.7857142857142857</v>
      </c>
      <c r="I38" s="75">
        <f t="shared" si="1"/>
        <v>69.61363636363636</v>
      </c>
      <c r="J38" s="76">
        <f t="shared" si="2"/>
        <v>88.599173553718998</v>
      </c>
      <c r="K38" s="93">
        <v>243.42</v>
      </c>
      <c r="L38" s="73">
        <v>28115</v>
      </c>
      <c r="M38" s="73">
        <v>4</v>
      </c>
      <c r="N38" s="94">
        <v>150.88999999999999</v>
      </c>
      <c r="O38" s="79">
        <f t="shared" si="3"/>
        <v>1.6132281794684871</v>
      </c>
      <c r="P38" s="80">
        <f t="shared" si="4"/>
        <v>0.61987511297346143</v>
      </c>
      <c r="Q38" s="79">
        <f t="shared" si="5"/>
        <v>0.31788442703232123</v>
      </c>
      <c r="R38" s="81">
        <f t="shared" si="6"/>
        <v>0.1970486451191642</v>
      </c>
      <c r="S38" s="95">
        <f t="shared" si="12"/>
        <v>614.86</v>
      </c>
      <c r="T38" s="83">
        <f t="shared" si="8"/>
        <v>60.854999999999997</v>
      </c>
      <c r="U38" s="135"/>
      <c r="V38" s="135"/>
      <c r="W38" s="135"/>
      <c r="X38" s="135"/>
      <c r="Y38" s="136"/>
      <c r="Z38" s="50"/>
      <c r="AA38" s="50"/>
    </row>
    <row r="39" spans="1:27" ht="12.75" hidden="1" outlineLevel="1" x14ac:dyDescent="0.2">
      <c r="A39" s="50"/>
      <c r="B39" s="137"/>
      <c r="C39" s="70" t="s">
        <v>39</v>
      </c>
      <c r="D39" s="96">
        <v>0</v>
      </c>
      <c r="E39" s="75"/>
      <c r="F39" s="73">
        <v>0</v>
      </c>
      <c r="G39" s="73">
        <v>0</v>
      </c>
      <c r="H39" s="74" t="e">
        <f t="shared" si="0"/>
        <v>#DIV/0!</v>
      </c>
      <c r="I39" s="75" t="e">
        <f t="shared" si="1"/>
        <v>#DIV/0!</v>
      </c>
      <c r="J39" s="76" t="e">
        <f t="shared" si="2"/>
        <v>#DIV/0!</v>
      </c>
      <c r="K39" s="96">
        <v>53.92</v>
      </c>
      <c r="L39" s="73">
        <v>167085</v>
      </c>
      <c r="M39" s="73">
        <v>0</v>
      </c>
      <c r="N39" s="97">
        <v>0</v>
      </c>
      <c r="O39" s="79" t="e">
        <f t="shared" si="3"/>
        <v>#DIV/0!</v>
      </c>
      <c r="P39" s="80">
        <f t="shared" si="4"/>
        <v>0</v>
      </c>
      <c r="Q39" s="79" t="e">
        <f t="shared" si="5"/>
        <v>#DIV/0!</v>
      </c>
      <c r="R39" s="81" t="e">
        <f t="shared" si="6"/>
        <v>#DIV/0!</v>
      </c>
      <c r="S39" s="98">
        <f t="shared" si="12"/>
        <v>0</v>
      </c>
      <c r="T39" s="83" t="e">
        <f t="shared" si="8"/>
        <v>#DIV/0!</v>
      </c>
      <c r="U39" s="135"/>
      <c r="V39" s="135"/>
      <c r="W39" s="135"/>
      <c r="X39" s="135"/>
      <c r="Y39" s="136"/>
      <c r="Z39" s="50"/>
      <c r="AA39" s="50"/>
    </row>
    <row r="40" spans="1:27" ht="12.75" hidden="1" outlineLevel="1" x14ac:dyDescent="0.2">
      <c r="A40" s="50"/>
      <c r="B40" s="137"/>
      <c r="C40" s="70" t="s">
        <v>40</v>
      </c>
      <c r="D40" s="99">
        <v>0</v>
      </c>
      <c r="E40" s="75"/>
      <c r="F40" s="73">
        <v>0</v>
      </c>
      <c r="G40" s="73">
        <v>1</v>
      </c>
      <c r="H40" s="74">
        <f t="shared" si="0"/>
        <v>0</v>
      </c>
      <c r="I40" s="75" t="e">
        <f t="shared" si="1"/>
        <v>#DIV/0!</v>
      </c>
      <c r="J40" s="76" t="e">
        <f t="shared" si="2"/>
        <v>#DIV/0!</v>
      </c>
      <c r="K40" s="99">
        <v>0</v>
      </c>
      <c r="L40" s="73">
        <v>0</v>
      </c>
      <c r="M40" s="73">
        <v>0</v>
      </c>
      <c r="N40" s="100">
        <v>0</v>
      </c>
      <c r="O40" s="79" t="e">
        <f t="shared" si="3"/>
        <v>#DIV/0!</v>
      </c>
      <c r="P40" s="80" t="e">
        <f t="shared" si="4"/>
        <v>#DIV/0!</v>
      </c>
      <c r="Q40" s="79" t="e">
        <f t="shared" si="5"/>
        <v>#DIV/0!</v>
      </c>
      <c r="R40" s="81" t="e">
        <f t="shared" si="6"/>
        <v>#DIV/0!</v>
      </c>
      <c r="S40" s="101">
        <f t="shared" si="12"/>
        <v>0</v>
      </c>
      <c r="T40" s="83" t="e">
        <f t="shared" si="8"/>
        <v>#DIV/0!</v>
      </c>
      <c r="U40" s="135"/>
      <c r="V40" s="135"/>
      <c r="W40" s="135"/>
      <c r="X40" s="135"/>
      <c r="Y40" s="136"/>
      <c r="Z40" s="50"/>
      <c r="AA40" s="50"/>
    </row>
    <row r="41" spans="1:27" ht="12.75" hidden="1" outlineLevel="1" x14ac:dyDescent="0.2">
      <c r="A41" s="50"/>
      <c r="B41" s="137"/>
      <c r="C41" s="70" t="s">
        <v>41</v>
      </c>
      <c r="D41" s="102">
        <v>766.15</v>
      </c>
      <c r="E41" s="75"/>
      <c r="F41" s="73">
        <v>15</v>
      </c>
      <c r="G41" s="73">
        <v>14</v>
      </c>
      <c r="H41" s="74">
        <f t="shared" si="0"/>
        <v>1.0714285714285714</v>
      </c>
      <c r="I41" s="75">
        <f t="shared" si="1"/>
        <v>51.076666666666668</v>
      </c>
      <c r="J41" s="76">
        <f t="shared" si="2"/>
        <v>47.671555555555557</v>
      </c>
      <c r="K41" s="102">
        <v>56.99</v>
      </c>
      <c r="L41" s="73">
        <v>12059</v>
      </c>
      <c r="M41" s="73">
        <v>1</v>
      </c>
      <c r="N41" s="103">
        <v>67</v>
      </c>
      <c r="O41" s="79">
        <f t="shared" si="3"/>
        <v>0.85059701492537321</v>
      </c>
      <c r="P41" s="80">
        <f t="shared" si="4"/>
        <v>1.1756448499736796</v>
      </c>
      <c r="Q41" s="79">
        <f t="shared" si="5"/>
        <v>7.438491157084122E-2</v>
      </c>
      <c r="R41" s="81">
        <f t="shared" si="6"/>
        <v>8.7450238204007047E-2</v>
      </c>
      <c r="S41" s="104">
        <f t="shared" si="12"/>
        <v>699.15</v>
      </c>
      <c r="T41" s="83">
        <f t="shared" si="8"/>
        <v>56.99</v>
      </c>
      <c r="U41" s="135"/>
      <c r="V41" s="135"/>
      <c r="W41" s="135"/>
      <c r="X41" s="135"/>
      <c r="Y41" s="136"/>
      <c r="Z41" s="50"/>
      <c r="AA41" s="50"/>
    </row>
    <row r="42" spans="1:27" ht="12.75" hidden="1" outlineLevel="1" x14ac:dyDescent="0.2">
      <c r="A42" s="50"/>
      <c r="B42" s="137"/>
      <c r="C42" s="70" t="s">
        <v>42</v>
      </c>
      <c r="D42" s="90">
        <v>-10.91</v>
      </c>
      <c r="E42" s="75"/>
      <c r="F42" s="73">
        <v>1</v>
      </c>
      <c r="G42" s="73">
        <v>1</v>
      </c>
      <c r="H42" s="74">
        <f t="shared" si="0"/>
        <v>1</v>
      </c>
      <c r="I42" s="75">
        <f t="shared" si="1"/>
        <v>-10.91</v>
      </c>
      <c r="J42" s="76">
        <f t="shared" si="2"/>
        <v>-10.91</v>
      </c>
      <c r="K42" s="90">
        <v>8.58</v>
      </c>
      <c r="L42" s="73">
        <v>10088</v>
      </c>
      <c r="M42" s="73">
        <v>1</v>
      </c>
      <c r="N42" s="91">
        <v>19.989999999999998</v>
      </c>
      <c r="O42" s="79">
        <f t="shared" si="3"/>
        <v>0.42921460730365185</v>
      </c>
      <c r="P42" s="80">
        <f t="shared" si="4"/>
        <v>2.3298368298368297</v>
      </c>
      <c r="Q42" s="79">
        <f t="shared" si="5"/>
        <v>-0.78643446379468374</v>
      </c>
      <c r="R42" s="81">
        <f t="shared" si="6"/>
        <v>-1.832263978001833</v>
      </c>
      <c r="S42" s="92">
        <f t="shared" si="12"/>
        <v>-30.9</v>
      </c>
      <c r="T42" s="83">
        <f t="shared" si="8"/>
        <v>8.58</v>
      </c>
      <c r="U42" s="135"/>
      <c r="V42" s="135"/>
      <c r="W42" s="135"/>
      <c r="X42" s="135"/>
      <c r="Y42" s="136"/>
      <c r="Z42" s="50"/>
      <c r="AA42" s="50"/>
    </row>
    <row r="43" spans="1:27" ht="12.75" hidden="1" outlineLevel="1" x14ac:dyDescent="0.2">
      <c r="A43" s="50"/>
      <c r="B43" s="137"/>
      <c r="C43" s="70" t="s">
        <v>43</v>
      </c>
      <c r="D43" s="105">
        <v>299.89999999999998</v>
      </c>
      <c r="E43" s="75"/>
      <c r="F43" s="73">
        <v>2</v>
      </c>
      <c r="G43" s="73">
        <v>3</v>
      </c>
      <c r="H43" s="74">
        <f t="shared" si="0"/>
        <v>0.66666666666666663</v>
      </c>
      <c r="I43" s="75">
        <f t="shared" si="1"/>
        <v>149.94999999999999</v>
      </c>
      <c r="J43" s="76">
        <f t="shared" si="2"/>
        <v>224.92499999999998</v>
      </c>
      <c r="K43" s="105">
        <v>19.96</v>
      </c>
      <c r="L43" s="73">
        <v>26977</v>
      </c>
      <c r="M43" s="73">
        <v>0</v>
      </c>
      <c r="N43" s="106">
        <v>0</v>
      </c>
      <c r="O43" s="79" t="e">
        <f t="shared" si="3"/>
        <v>#DIV/0!</v>
      </c>
      <c r="P43" s="80">
        <f t="shared" si="4"/>
        <v>0</v>
      </c>
      <c r="Q43" s="79">
        <f t="shared" si="5"/>
        <v>6.6555518506168726E-2</v>
      </c>
      <c r="R43" s="81">
        <f t="shared" si="6"/>
        <v>0</v>
      </c>
      <c r="S43" s="107">
        <f t="shared" si="12"/>
        <v>299.89999999999998</v>
      </c>
      <c r="T43" s="83" t="e">
        <f t="shared" si="8"/>
        <v>#DIV/0!</v>
      </c>
      <c r="U43" s="135"/>
      <c r="V43" s="135"/>
      <c r="W43" s="135"/>
      <c r="X43" s="135"/>
      <c r="Y43" s="136"/>
      <c r="Z43" s="50"/>
      <c r="AA43" s="50"/>
    </row>
    <row r="44" spans="1:27" ht="12.75" hidden="1" outlineLevel="1" x14ac:dyDescent="0.2">
      <c r="A44" s="50"/>
      <c r="B44" s="137"/>
      <c r="C44" s="70" t="s">
        <v>44</v>
      </c>
      <c r="D44" s="108">
        <v>0</v>
      </c>
      <c r="E44" s="75"/>
      <c r="F44" s="73">
        <v>0</v>
      </c>
      <c r="G44" s="73">
        <v>0</v>
      </c>
      <c r="H44" s="74" t="e">
        <f t="shared" si="0"/>
        <v>#DIV/0!</v>
      </c>
      <c r="I44" s="75" t="e">
        <f t="shared" si="1"/>
        <v>#DIV/0!</v>
      </c>
      <c r="J44" s="76" t="e">
        <f t="shared" si="2"/>
        <v>#DIV/0!</v>
      </c>
      <c r="K44" s="108">
        <v>1.02</v>
      </c>
      <c r="L44" s="73">
        <v>12691</v>
      </c>
      <c r="M44" s="73">
        <v>0</v>
      </c>
      <c r="N44" s="109">
        <v>0</v>
      </c>
      <c r="O44" s="79" t="e">
        <f t="shared" si="3"/>
        <v>#DIV/0!</v>
      </c>
      <c r="P44" s="80">
        <f t="shared" si="4"/>
        <v>0</v>
      </c>
      <c r="Q44" s="79" t="e">
        <f t="shared" si="5"/>
        <v>#DIV/0!</v>
      </c>
      <c r="R44" s="81" t="e">
        <f t="shared" si="6"/>
        <v>#DIV/0!</v>
      </c>
      <c r="S44" s="110">
        <f t="shared" si="12"/>
        <v>0</v>
      </c>
      <c r="T44" s="83" t="e">
        <f t="shared" si="8"/>
        <v>#DIV/0!</v>
      </c>
      <c r="U44" s="135"/>
      <c r="V44" s="135"/>
      <c r="W44" s="135"/>
      <c r="X44" s="135"/>
      <c r="Y44" s="136"/>
      <c r="Z44" s="50"/>
      <c r="AA44" s="50"/>
    </row>
    <row r="45" spans="1:27" ht="12.75" hidden="1" outlineLevel="1" x14ac:dyDescent="0.2">
      <c r="A45" s="139"/>
      <c r="B45" s="137"/>
      <c r="C45" s="112" t="s">
        <v>45</v>
      </c>
      <c r="D45" s="71">
        <v>79.8</v>
      </c>
      <c r="E45" s="75"/>
      <c r="F45" s="73">
        <v>4</v>
      </c>
      <c r="G45" s="73">
        <v>2</v>
      </c>
      <c r="H45" s="74">
        <f t="shared" si="0"/>
        <v>2</v>
      </c>
      <c r="I45" s="75">
        <f t="shared" si="1"/>
        <v>19.95</v>
      </c>
      <c r="J45" s="76">
        <f t="shared" si="2"/>
        <v>9.9749999999999996</v>
      </c>
      <c r="K45" s="71">
        <v>0</v>
      </c>
      <c r="L45" s="73">
        <v>0</v>
      </c>
      <c r="M45" s="73">
        <v>0</v>
      </c>
      <c r="N45" s="78">
        <v>0</v>
      </c>
      <c r="O45" s="79" t="e">
        <f t="shared" si="3"/>
        <v>#DIV/0!</v>
      </c>
      <c r="P45" s="80" t="e">
        <f t="shared" si="4"/>
        <v>#DIV/0!</v>
      </c>
      <c r="Q45" s="79">
        <f t="shared" si="5"/>
        <v>0</v>
      </c>
      <c r="R45" s="81">
        <f t="shared" si="6"/>
        <v>0</v>
      </c>
      <c r="S45" s="82">
        <f t="shared" si="12"/>
        <v>79.8</v>
      </c>
      <c r="T45" s="83" t="e">
        <f t="shared" si="8"/>
        <v>#DIV/0!</v>
      </c>
      <c r="U45" s="140"/>
      <c r="V45" s="140"/>
      <c r="W45" s="140"/>
      <c r="X45" s="141"/>
      <c r="Y45" s="142"/>
      <c r="Z45" s="50"/>
      <c r="AA45" s="50"/>
    </row>
    <row r="46" spans="1:27" ht="12.75" hidden="1" outlineLevel="1" x14ac:dyDescent="0.2">
      <c r="A46" s="118"/>
      <c r="B46" s="69"/>
      <c r="C46" s="70" t="s">
        <v>46</v>
      </c>
      <c r="D46" s="116">
        <v>359.6</v>
      </c>
      <c r="E46" s="75"/>
      <c r="F46" s="73">
        <v>10</v>
      </c>
      <c r="G46" s="73">
        <v>12</v>
      </c>
      <c r="H46" s="74">
        <f t="shared" si="0"/>
        <v>0.83333333333333337</v>
      </c>
      <c r="I46" s="75">
        <f t="shared" si="1"/>
        <v>35.96</v>
      </c>
      <c r="J46" s="76">
        <f t="shared" si="2"/>
        <v>43.152000000000001</v>
      </c>
      <c r="K46" s="116">
        <v>98.1</v>
      </c>
      <c r="L46" s="73">
        <v>44788</v>
      </c>
      <c r="M46" s="73">
        <v>4</v>
      </c>
      <c r="N46" s="117">
        <v>143.84</v>
      </c>
      <c r="O46" s="79">
        <f t="shared" si="3"/>
        <v>0.68200778642936588</v>
      </c>
      <c r="P46" s="80">
        <f t="shared" si="4"/>
        <v>1.4662589194699287</v>
      </c>
      <c r="Q46" s="79">
        <f t="shared" si="5"/>
        <v>0.27280311457174633</v>
      </c>
      <c r="R46" s="81">
        <f t="shared" si="6"/>
        <v>0.39999999999999997</v>
      </c>
      <c r="S46" s="82">
        <f t="shared" si="12"/>
        <v>215.76000000000002</v>
      </c>
      <c r="T46" s="83">
        <f t="shared" si="8"/>
        <v>24.524999999999999</v>
      </c>
      <c r="U46" s="135"/>
      <c r="V46" s="135"/>
      <c r="W46" s="135"/>
      <c r="X46" s="135"/>
      <c r="Y46" s="136"/>
      <c r="Z46" s="50"/>
      <c r="AA46" s="50"/>
    </row>
    <row r="47" spans="1:27" ht="12.75" hidden="1" outlineLevel="1" x14ac:dyDescent="0.2">
      <c r="A47" s="118" t="str">
        <f t="shared" ref="A47:A48" si="13">IFERROR(IF(B47&gt;0,MONTH(B47)&amp;"-"&amp;YEAR(B47),B47),)</f>
        <v>12-2024</v>
      </c>
      <c r="B47" s="69">
        <v>45654</v>
      </c>
      <c r="C47" s="148" t="s">
        <v>49</v>
      </c>
      <c r="D47" s="116">
        <v>0</v>
      </c>
      <c r="E47" s="75"/>
      <c r="F47" s="73">
        <v>0</v>
      </c>
      <c r="G47" s="73">
        <v>0</v>
      </c>
      <c r="H47" s="74" t="e">
        <f t="shared" si="0"/>
        <v>#DIV/0!</v>
      </c>
      <c r="I47" s="75" t="e">
        <f t="shared" si="1"/>
        <v>#DIV/0!</v>
      </c>
      <c r="J47" s="76" t="e">
        <f t="shared" si="2"/>
        <v>#DIV/0!</v>
      </c>
      <c r="K47" s="116">
        <v>0.62</v>
      </c>
      <c r="L47" s="73">
        <v>8458</v>
      </c>
      <c r="M47" s="73">
        <v>0</v>
      </c>
      <c r="N47" s="117">
        <v>0</v>
      </c>
      <c r="O47" s="79" t="e">
        <f t="shared" si="3"/>
        <v>#DIV/0!</v>
      </c>
      <c r="P47" s="80">
        <f t="shared" si="4"/>
        <v>0</v>
      </c>
      <c r="Q47" s="79" t="e">
        <f t="shared" si="5"/>
        <v>#DIV/0!</v>
      </c>
      <c r="R47" s="81" t="e">
        <f t="shared" si="6"/>
        <v>#DIV/0!</v>
      </c>
      <c r="S47" s="82">
        <f t="shared" si="12"/>
        <v>0</v>
      </c>
      <c r="T47" s="83" t="e">
        <f t="shared" si="8"/>
        <v>#DIV/0!</v>
      </c>
      <c r="U47" s="135"/>
      <c r="V47" s="135"/>
      <c r="W47" s="135"/>
      <c r="X47" s="135"/>
      <c r="Y47" s="136"/>
      <c r="Z47" s="50"/>
      <c r="AA47" s="50"/>
    </row>
    <row r="48" spans="1:27" ht="12.75" collapsed="1" x14ac:dyDescent="0.2">
      <c r="A48" s="139">
        <f t="shared" si="13"/>
        <v>0</v>
      </c>
      <c r="B48" s="206" t="s">
        <v>128</v>
      </c>
      <c r="C48" s="207"/>
      <c r="D48" s="208">
        <f>SUM(D31:D47)</f>
        <v>21475.38</v>
      </c>
      <c r="E48" s="211"/>
      <c r="F48" s="209">
        <f t="shared" ref="F48:G48" si="14">SUM(F31:F47)</f>
        <v>129</v>
      </c>
      <c r="G48" s="209">
        <f t="shared" si="14"/>
        <v>131</v>
      </c>
      <c r="H48" s="210">
        <f t="shared" si="0"/>
        <v>0.98473282442748089</v>
      </c>
      <c r="I48" s="211">
        <f t="shared" si="1"/>
        <v>166.47581395348837</v>
      </c>
      <c r="J48" s="212">
        <f t="shared" si="2"/>
        <v>169.05683432486029</v>
      </c>
      <c r="K48" s="213">
        <f t="shared" ref="K48:N48" si="15">SUM(K31:K47)</f>
        <v>902.48</v>
      </c>
      <c r="L48" s="209">
        <f t="shared" si="15"/>
        <v>367662</v>
      </c>
      <c r="M48" s="209">
        <f t="shared" si="15"/>
        <v>22</v>
      </c>
      <c r="N48" s="208">
        <f t="shared" si="15"/>
        <v>4541.92</v>
      </c>
      <c r="O48" s="214">
        <f t="shared" si="3"/>
        <v>0.19870010920491774</v>
      </c>
      <c r="P48" s="215">
        <f t="shared" si="4"/>
        <v>5.0327098661466181</v>
      </c>
      <c r="Q48" s="214">
        <f t="shared" si="5"/>
        <v>4.2023936246995394E-2</v>
      </c>
      <c r="R48" s="216">
        <f t="shared" si="6"/>
        <v>0.2114942785645702</v>
      </c>
      <c r="S48" s="217">
        <f>SUM(S31:S47)</f>
        <v>16933.46</v>
      </c>
      <c r="T48" s="218">
        <f t="shared" si="8"/>
        <v>41.021818181818183</v>
      </c>
      <c r="U48" s="219">
        <f>IFERROR((D48-#REF!)/D48,)</f>
        <v>0</v>
      </c>
      <c r="V48" s="219">
        <f>IFERROR((F48-#REF!)/F48,)</f>
        <v>0</v>
      </c>
      <c r="W48" s="220">
        <f>IFERROR((D48-[1]monthly_reporting_2021!E49)/D48, )</f>
        <v>0</v>
      </c>
      <c r="X48" s="221">
        <f>IFERROR((F48-[1]monthly_reporting_2021!F49)/F48, )</f>
        <v>0</v>
      </c>
      <c r="Y48" s="50"/>
      <c r="Z48" s="50"/>
      <c r="AA48" s="50"/>
    </row>
    <row r="49" spans="1:27" ht="12.75" hidden="1" outlineLevel="1" x14ac:dyDescent="0.2">
      <c r="A49" s="50"/>
      <c r="B49" s="69">
        <v>45655</v>
      </c>
      <c r="C49" s="70" t="s">
        <v>32</v>
      </c>
      <c r="D49" s="71">
        <v>8188.57</v>
      </c>
      <c r="E49" s="75"/>
      <c r="F49" s="73">
        <v>27</v>
      </c>
      <c r="G49" s="73">
        <v>28</v>
      </c>
      <c r="H49" s="74">
        <f t="shared" si="0"/>
        <v>0.9642857142857143</v>
      </c>
      <c r="I49" s="75">
        <f t="shared" si="1"/>
        <v>303.28037037037035</v>
      </c>
      <c r="J49" s="76">
        <f t="shared" si="2"/>
        <v>314.51297668038404</v>
      </c>
      <c r="K49" s="71">
        <v>129.44</v>
      </c>
      <c r="L49" s="73">
        <v>29413</v>
      </c>
      <c r="M49" s="73">
        <v>10</v>
      </c>
      <c r="N49" s="78">
        <v>1910.85</v>
      </c>
      <c r="O49" s="79">
        <f t="shared" si="3"/>
        <v>6.7739487662558551E-2</v>
      </c>
      <c r="P49" s="80">
        <f t="shared" si="4"/>
        <v>14.762438195302842</v>
      </c>
      <c r="Q49" s="79">
        <f t="shared" si="5"/>
        <v>1.580739982683179E-2</v>
      </c>
      <c r="R49" s="81">
        <f t="shared" si="6"/>
        <v>0.23335576297204519</v>
      </c>
      <c r="S49" s="82">
        <f t="shared" ref="S49:S65" si="16">D49-N49</f>
        <v>6277.7199999999993</v>
      </c>
      <c r="T49" s="83">
        <f t="shared" si="8"/>
        <v>12.943999999999999</v>
      </c>
      <c r="U49" s="135"/>
      <c r="V49" s="135"/>
      <c r="W49" s="135"/>
      <c r="X49" s="135"/>
      <c r="Y49" s="136"/>
      <c r="Z49" s="50"/>
      <c r="AA49" s="50"/>
    </row>
    <row r="50" spans="1:27" ht="12.75" hidden="1" outlineLevel="1" x14ac:dyDescent="0.2">
      <c r="A50" s="50"/>
      <c r="B50" s="137"/>
      <c r="C50" s="70" t="s">
        <v>33</v>
      </c>
      <c r="D50" s="87">
        <v>6119.25</v>
      </c>
      <c r="E50" s="75"/>
      <c r="F50" s="73">
        <v>47</v>
      </c>
      <c r="G50" s="73">
        <v>52</v>
      </c>
      <c r="H50" s="74">
        <f t="shared" si="0"/>
        <v>0.90384615384615385</v>
      </c>
      <c r="I50" s="75">
        <f t="shared" si="1"/>
        <v>130.19680851063831</v>
      </c>
      <c r="J50" s="76">
        <f t="shared" si="2"/>
        <v>144.04753282028068</v>
      </c>
      <c r="K50" s="87">
        <v>150.31</v>
      </c>
      <c r="L50" s="73">
        <v>24899</v>
      </c>
      <c r="M50" s="73">
        <v>2</v>
      </c>
      <c r="N50" s="88">
        <v>59.95</v>
      </c>
      <c r="O50" s="79">
        <f t="shared" si="3"/>
        <v>2.5072560467055878</v>
      </c>
      <c r="P50" s="80">
        <f t="shared" si="4"/>
        <v>0.39884239238906261</v>
      </c>
      <c r="Q50" s="79">
        <f t="shared" si="5"/>
        <v>2.4563467745230216E-2</v>
      </c>
      <c r="R50" s="81">
        <f t="shared" si="6"/>
        <v>9.7969522408791927E-3</v>
      </c>
      <c r="S50" s="89">
        <f t="shared" si="16"/>
        <v>6059.3</v>
      </c>
      <c r="T50" s="83">
        <f t="shared" si="8"/>
        <v>75.155000000000001</v>
      </c>
      <c r="U50" s="135"/>
      <c r="V50" s="135"/>
      <c r="W50" s="135"/>
      <c r="X50" s="135"/>
      <c r="Y50" s="136"/>
      <c r="Z50" s="50"/>
      <c r="AA50" s="50"/>
    </row>
    <row r="51" spans="1:27" ht="12.75" hidden="1" outlineLevel="1" x14ac:dyDescent="0.2">
      <c r="A51" s="50"/>
      <c r="B51" s="137"/>
      <c r="C51" s="70" t="s">
        <v>34</v>
      </c>
      <c r="D51" s="90">
        <v>0</v>
      </c>
      <c r="E51" s="75"/>
      <c r="F51" s="73">
        <v>0</v>
      </c>
      <c r="G51" s="73">
        <v>0</v>
      </c>
      <c r="H51" s="74" t="e">
        <f t="shared" si="0"/>
        <v>#DIV/0!</v>
      </c>
      <c r="I51" s="75" t="e">
        <f t="shared" si="1"/>
        <v>#DIV/0!</v>
      </c>
      <c r="J51" s="76" t="e">
        <f t="shared" si="2"/>
        <v>#DIV/0!</v>
      </c>
      <c r="K51" s="90">
        <v>0</v>
      </c>
      <c r="L51" s="73">
        <v>0</v>
      </c>
      <c r="M51" s="73">
        <v>0</v>
      </c>
      <c r="N51" s="91">
        <v>0</v>
      </c>
      <c r="O51" s="79" t="e">
        <f t="shared" si="3"/>
        <v>#DIV/0!</v>
      </c>
      <c r="P51" s="80" t="e">
        <f t="shared" si="4"/>
        <v>#DIV/0!</v>
      </c>
      <c r="Q51" s="79" t="e">
        <f t="shared" si="5"/>
        <v>#DIV/0!</v>
      </c>
      <c r="R51" s="81" t="e">
        <f t="shared" si="6"/>
        <v>#DIV/0!</v>
      </c>
      <c r="S51" s="92">
        <f t="shared" si="16"/>
        <v>0</v>
      </c>
      <c r="T51" s="83" t="e">
        <f t="shared" si="8"/>
        <v>#DIV/0!</v>
      </c>
      <c r="U51" s="135"/>
      <c r="V51" s="135"/>
      <c r="W51" s="135"/>
      <c r="X51" s="135"/>
      <c r="Y51" s="136"/>
      <c r="Z51" s="50"/>
      <c r="AA51" s="50"/>
    </row>
    <row r="52" spans="1:27" ht="12.75" hidden="1" outlineLevel="1" x14ac:dyDescent="0.2">
      <c r="A52" s="50"/>
      <c r="B52" s="137"/>
      <c r="C52" s="70" t="s">
        <v>35</v>
      </c>
      <c r="D52" s="90">
        <v>0</v>
      </c>
      <c r="E52" s="75"/>
      <c r="F52" s="73">
        <v>0</v>
      </c>
      <c r="G52" s="73">
        <v>0</v>
      </c>
      <c r="H52" s="74" t="e">
        <f t="shared" si="0"/>
        <v>#DIV/0!</v>
      </c>
      <c r="I52" s="75" t="e">
        <f t="shared" si="1"/>
        <v>#DIV/0!</v>
      </c>
      <c r="J52" s="76" t="e">
        <f t="shared" si="2"/>
        <v>#DIV/0!</v>
      </c>
      <c r="K52" s="90">
        <v>0</v>
      </c>
      <c r="L52" s="73">
        <v>0</v>
      </c>
      <c r="M52" s="73">
        <v>0</v>
      </c>
      <c r="N52" s="91">
        <v>0</v>
      </c>
      <c r="O52" s="79" t="e">
        <f t="shared" si="3"/>
        <v>#DIV/0!</v>
      </c>
      <c r="P52" s="80" t="e">
        <f t="shared" si="4"/>
        <v>#DIV/0!</v>
      </c>
      <c r="Q52" s="79" t="e">
        <f t="shared" si="5"/>
        <v>#DIV/0!</v>
      </c>
      <c r="R52" s="81" t="e">
        <f t="shared" si="6"/>
        <v>#DIV/0!</v>
      </c>
      <c r="S52" s="92">
        <f t="shared" si="16"/>
        <v>0</v>
      </c>
      <c r="T52" s="83" t="e">
        <f t="shared" si="8"/>
        <v>#DIV/0!</v>
      </c>
      <c r="U52" s="135"/>
      <c r="V52" s="135"/>
      <c r="W52" s="135"/>
      <c r="X52" s="135"/>
      <c r="Y52" s="136"/>
      <c r="Z52" s="50"/>
      <c r="AA52" s="50"/>
    </row>
    <row r="53" spans="1:27" ht="12.75" hidden="1" outlineLevel="1" x14ac:dyDescent="0.2">
      <c r="A53" s="50"/>
      <c r="B53" s="137"/>
      <c r="C53" s="70" t="s">
        <v>62</v>
      </c>
      <c r="D53" s="200">
        <v>39</v>
      </c>
      <c r="E53" s="75"/>
      <c r="F53" s="73">
        <v>1</v>
      </c>
      <c r="G53" s="73">
        <v>1</v>
      </c>
      <c r="H53" s="74">
        <f t="shared" si="0"/>
        <v>1</v>
      </c>
      <c r="I53" s="75">
        <f t="shared" si="1"/>
        <v>39</v>
      </c>
      <c r="J53" s="76">
        <f t="shared" si="2"/>
        <v>39</v>
      </c>
      <c r="K53" s="200">
        <v>0</v>
      </c>
      <c r="L53" s="73">
        <v>0</v>
      </c>
      <c r="M53" s="73">
        <v>0</v>
      </c>
      <c r="N53" s="200">
        <v>0</v>
      </c>
      <c r="O53" s="79" t="e">
        <f t="shared" si="3"/>
        <v>#DIV/0!</v>
      </c>
      <c r="P53" s="80" t="e">
        <f t="shared" si="4"/>
        <v>#DIV/0!</v>
      </c>
      <c r="Q53" s="79">
        <f t="shared" si="5"/>
        <v>0</v>
      </c>
      <c r="R53" s="81">
        <f t="shared" si="6"/>
        <v>0</v>
      </c>
      <c r="S53" s="92">
        <f t="shared" si="16"/>
        <v>39</v>
      </c>
      <c r="T53" s="83" t="e">
        <f t="shared" si="8"/>
        <v>#DIV/0!</v>
      </c>
      <c r="U53" s="135"/>
      <c r="V53" s="135"/>
      <c r="W53" s="135"/>
      <c r="X53" s="135"/>
      <c r="Y53" s="136"/>
      <c r="Z53" s="50"/>
      <c r="AA53" s="50"/>
    </row>
    <row r="54" spans="1:27" ht="12.75" hidden="1" outlineLevel="1" x14ac:dyDescent="0.2">
      <c r="A54" s="50"/>
      <c r="B54" s="137"/>
      <c r="C54" s="70" t="s">
        <v>66</v>
      </c>
      <c r="D54" s="201">
        <v>0</v>
      </c>
      <c r="E54" s="75"/>
      <c r="F54" s="73">
        <v>0</v>
      </c>
      <c r="G54" s="73">
        <v>0</v>
      </c>
      <c r="H54" s="74" t="e">
        <f t="shared" si="0"/>
        <v>#DIV/0!</v>
      </c>
      <c r="I54" s="75" t="e">
        <f t="shared" si="1"/>
        <v>#DIV/0!</v>
      </c>
      <c r="J54" s="76" t="e">
        <f t="shared" si="2"/>
        <v>#DIV/0!</v>
      </c>
      <c r="K54" s="201">
        <v>63.85</v>
      </c>
      <c r="L54" s="73">
        <v>9126</v>
      </c>
      <c r="M54" s="73">
        <v>0</v>
      </c>
      <c r="N54" s="202">
        <v>0</v>
      </c>
      <c r="O54" s="79" t="e">
        <f t="shared" si="3"/>
        <v>#DIV/0!</v>
      </c>
      <c r="P54" s="80">
        <f t="shared" si="4"/>
        <v>0</v>
      </c>
      <c r="Q54" s="79" t="e">
        <f t="shared" si="5"/>
        <v>#DIV/0!</v>
      </c>
      <c r="R54" s="81" t="e">
        <f t="shared" si="6"/>
        <v>#DIV/0!</v>
      </c>
      <c r="S54" s="203">
        <f t="shared" si="16"/>
        <v>0</v>
      </c>
      <c r="T54" s="83" t="e">
        <f t="shared" si="8"/>
        <v>#DIV/0!</v>
      </c>
      <c r="U54" s="135"/>
      <c r="V54" s="135"/>
      <c r="W54" s="135"/>
      <c r="X54" s="135"/>
      <c r="Y54" s="136"/>
      <c r="Z54" s="50"/>
      <c r="AA54" s="50"/>
    </row>
    <row r="55" spans="1:27" ht="12.75" hidden="1" outlineLevel="1" x14ac:dyDescent="0.2">
      <c r="A55" s="50"/>
      <c r="B55" s="137"/>
      <c r="C55" s="70" t="s">
        <v>36</v>
      </c>
      <c r="D55" s="90">
        <v>559.6</v>
      </c>
      <c r="E55" s="75"/>
      <c r="F55" s="73">
        <v>8</v>
      </c>
      <c r="G55" s="73">
        <v>8</v>
      </c>
      <c r="H55" s="74">
        <f t="shared" si="0"/>
        <v>1</v>
      </c>
      <c r="I55" s="75">
        <f t="shared" si="1"/>
        <v>69.95</v>
      </c>
      <c r="J55" s="76">
        <f t="shared" si="2"/>
        <v>69.95</v>
      </c>
      <c r="K55" s="90">
        <v>109.95</v>
      </c>
      <c r="L55" s="73">
        <v>4948</v>
      </c>
      <c r="M55" s="73">
        <v>2</v>
      </c>
      <c r="N55" s="91">
        <v>139.9</v>
      </c>
      <c r="O55" s="79">
        <f t="shared" si="3"/>
        <v>0.78591851322373119</v>
      </c>
      <c r="P55" s="80">
        <f t="shared" si="4"/>
        <v>1.2723965438835834</v>
      </c>
      <c r="Q55" s="79">
        <f t="shared" si="5"/>
        <v>0.1964796283059328</v>
      </c>
      <c r="R55" s="81">
        <f t="shared" si="6"/>
        <v>0.25</v>
      </c>
      <c r="S55" s="92">
        <f t="shared" si="16"/>
        <v>419.70000000000005</v>
      </c>
      <c r="T55" s="83">
        <f t="shared" si="8"/>
        <v>54.975000000000001</v>
      </c>
      <c r="U55" s="135"/>
      <c r="V55" s="135"/>
      <c r="W55" s="135"/>
      <c r="X55" s="135"/>
      <c r="Y55" s="136"/>
      <c r="Z55" s="50"/>
      <c r="AA55" s="50"/>
    </row>
    <row r="56" spans="1:27" ht="12.75" hidden="1" outlineLevel="1" x14ac:dyDescent="0.2">
      <c r="A56" s="50"/>
      <c r="B56" s="69" t="s">
        <v>37</v>
      </c>
      <c r="C56" s="70" t="s">
        <v>38</v>
      </c>
      <c r="D56" s="93">
        <v>787.34</v>
      </c>
      <c r="E56" s="75"/>
      <c r="F56" s="73">
        <v>15</v>
      </c>
      <c r="G56" s="73">
        <v>17</v>
      </c>
      <c r="H56" s="74">
        <f t="shared" si="0"/>
        <v>0.88235294117647056</v>
      </c>
      <c r="I56" s="75">
        <f t="shared" si="1"/>
        <v>52.489333333333335</v>
      </c>
      <c r="J56" s="76">
        <f t="shared" si="2"/>
        <v>59.487911111111117</v>
      </c>
      <c r="K56" s="93">
        <v>181.4</v>
      </c>
      <c r="L56" s="73">
        <v>21748</v>
      </c>
      <c r="M56" s="73">
        <v>4</v>
      </c>
      <c r="N56" s="94">
        <v>86.24</v>
      </c>
      <c r="O56" s="79">
        <f t="shared" si="3"/>
        <v>2.1034322820037108</v>
      </c>
      <c r="P56" s="80">
        <f t="shared" si="4"/>
        <v>0.47541345093715542</v>
      </c>
      <c r="Q56" s="79">
        <f t="shared" si="5"/>
        <v>0.23039601696852693</v>
      </c>
      <c r="R56" s="81">
        <f t="shared" si="6"/>
        <v>0.1095333655091828</v>
      </c>
      <c r="S56" s="95">
        <f t="shared" si="16"/>
        <v>701.1</v>
      </c>
      <c r="T56" s="83">
        <f t="shared" si="8"/>
        <v>45.35</v>
      </c>
      <c r="U56" s="135"/>
      <c r="V56" s="135"/>
      <c r="W56" s="135"/>
      <c r="X56" s="135"/>
      <c r="Y56" s="136"/>
      <c r="Z56" s="50"/>
      <c r="AA56" s="50"/>
    </row>
    <row r="57" spans="1:27" ht="12.75" hidden="1" outlineLevel="1" x14ac:dyDescent="0.2">
      <c r="A57" s="50"/>
      <c r="B57" s="137"/>
      <c r="C57" s="70" t="s">
        <v>39</v>
      </c>
      <c r="D57" s="96">
        <v>0</v>
      </c>
      <c r="E57" s="75"/>
      <c r="F57" s="73">
        <v>0</v>
      </c>
      <c r="G57" s="73">
        <v>0</v>
      </c>
      <c r="H57" s="74" t="e">
        <f t="shared" si="0"/>
        <v>#DIV/0!</v>
      </c>
      <c r="I57" s="75" t="e">
        <f t="shared" si="1"/>
        <v>#DIV/0!</v>
      </c>
      <c r="J57" s="76" t="e">
        <f t="shared" si="2"/>
        <v>#DIV/0!</v>
      </c>
      <c r="K57" s="96">
        <v>110.73</v>
      </c>
      <c r="L57" s="73">
        <v>148952</v>
      </c>
      <c r="M57" s="73">
        <v>0</v>
      </c>
      <c r="N57" s="97">
        <v>0</v>
      </c>
      <c r="O57" s="79" t="e">
        <f t="shared" si="3"/>
        <v>#DIV/0!</v>
      </c>
      <c r="P57" s="80">
        <f t="shared" si="4"/>
        <v>0</v>
      </c>
      <c r="Q57" s="79" t="e">
        <f t="shared" si="5"/>
        <v>#DIV/0!</v>
      </c>
      <c r="R57" s="81" t="e">
        <f t="shared" si="6"/>
        <v>#DIV/0!</v>
      </c>
      <c r="S57" s="98">
        <f t="shared" si="16"/>
        <v>0</v>
      </c>
      <c r="T57" s="83" t="e">
        <f t="shared" si="8"/>
        <v>#DIV/0!</v>
      </c>
      <c r="U57" s="135"/>
      <c r="V57" s="135"/>
      <c r="W57" s="135"/>
      <c r="X57" s="135"/>
      <c r="Y57" s="136"/>
      <c r="Z57" s="50"/>
      <c r="AA57" s="50"/>
    </row>
    <row r="58" spans="1:27" ht="12.75" hidden="1" outlineLevel="1" x14ac:dyDescent="0.2">
      <c r="A58" s="50"/>
      <c r="B58" s="137"/>
      <c r="C58" s="70" t="s">
        <v>40</v>
      </c>
      <c r="D58" s="99">
        <v>219.8</v>
      </c>
      <c r="E58" s="75"/>
      <c r="F58" s="73">
        <v>4</v>
      </c>
      <c r="G58" s="73">
        <v>4</v>
      </c>
      <c r="H58" s="74">
        <f t="shared" si="0"/>
        <v>1</v>
      </c>
      <c r="I58" s="75">
        <f t="shared" si="1"/>
        <v>54.95</v>
      </c>
      <c r="J58" s="76">
        <f t="shared" si="2"/>
        <v>54.95</v>
      </c>
      <c r="K58" s="99">
        <v>0</v>
      </c>
      <c r="L58" s="73">
        <v>0</v>
      </c>
      <c r="M58" s="73">
        <v>0</v>
      </c>
      <c r="N58" s="100">
        <v>0</v>
      </c>
      <c r="O58" s="79" t="e">
        <f t="shared" si="3"/>
        <v>#DIV/0!</v>
      </c>
      <c r="P58" s="80" t="e">
        <f t="shared" si="4"/>
        <v>#DIV/0!</v>
      </c>
      <c r="Q58" s="79">
        <f t="shared" si="5"/>
        <v>0</v>
      </c>
      <c r="R58" s="81">
        <f t="shared" si="6"/>
        <v>0</v>
      </c>
      <c r="S58" s="101">
        <f t="shared" si="16"/>
        <v>219.8</v>
      </c>
      <c r="T58" s="83" t="e">
        <f t="shared" si="8"/>
        <v>#DIV/0!</v>
      </c>
      <c r="U58" s="135"/>
      <c r="V58" s="135"/>
      <c r="W58" s="135"/>
      <c r="X58" s="135"/>
      <c r="Y58" s="136"/>
      <c r="Z58" s="50"/>
      <c r="AA58" s="50"/>
    </row>
    <row r="59" spans="1:27" ht="12.75" hidden="1" outlineLevel="1" x14ac:dyDescent="0.2">
      <c r="A59" s="50"/>
      <c r="B59" s="137"/>
      <c r="C59" s="70" t="s">
        <v>41</v>
      </c>
      <c r="D59" s="102">
        <v>2148.25</v>
      </c>
      <c r="E59" s="75"/>
      <c r="F59" s="73">
        <v>30</v>
      </c>
      <c r="G59" s="73">
        <v>29</v>
      </c>
      <c r="H59" s="74">
        <f t="shared" si="0"/>
        <v>1.0344827586206897</v>
      </c>
      <c r="I59" s="75">
        <f t="shared" si="1"/>
        <v>71.608333333333334</v>
      </c>
      <c r="J59" s="76">
        <f t="shared" si="2"/>
        <v>69.221388888888882</v>
      </c>
      <c r="K59" s="102">
        <v>95.12</v>
      </c>
      <c r="L59" s="73">
        <v>24865</v>
      </c>
      <c r="M59" s="73">
        <v>5</v>
      </c>
      <c r="N59" s="103">
        <v>381.85</v>
      </c>
      <c r="O59" s="79">
        <f t="shared" si="3"/>
        <v>0.2491030509362315</v>
      </c>
      <c r="P59" s="80">
        <f t="shared" si="4"/>
        <v>4.0144028595458368</v>
      </c>
      <c r="Q59" s="79">
        <f t="shared" si="5"/>
        <v>4.42779006167811E-2</v>
      </c>
      <c r="R59" s="81">
        <f t="shared" si="6"/>
        <v>0.17774933085069244</v>
      </c>
      <c r="S59" s="104">
        <f t="shared" si="16"/>
        <v>1766.4</v>
      </c>
      <c r="T59" s="83">
        <f t="shared" si="8"/>
        <v>19.024000000000001</v>
      </c>
      <c r="U59" s="135"/>
      <c r="V59" s="135"/>
      <c r="W59" s="135"/>
      <c r="X59" s="135"/>
      <c r="Y59" s="136"/>
      <c r="Z59" s="50"/>
      <c r="AA59" s="50"/>
    </row>
    <row r="60" spans="1:27" ht="12.75" hidden="1" outlineLevel="1" x14ac:dyDescent="0.2">
      <c r="A60" s="50"/>
      <c r="B60" s="137"/>
      <c r="C60" s="70" t="s">
        <v>42</v>
      </c>
      <c r="D60" s="90">
        <v>59.97</v>
      </c>
      <c r="E60" s="75"/>
      <c r="F60" s="73">
        <v>3</v>
      </c>
      <c r="G60" s="73">
        <v>2</v>
      </c>
      <c r="H60" s="74">
        <f t="shared" si="0"/>
        <v>1.5</v>
      </c>
      <c r="I60" s="75">
        <f t="shared" si="1"/>
        <v>19.989999999999998</v>
      </c>
      <c r="J60" s="76">
        <f t="shared" si="2"/>
        <v>13.326666666666666</v>
      </c>
      <c r="K60" s="90">
        <v>23.38</v>
      </c>
      <c r="L60" s="73">
        <v>15937</v>
      </c>
      <c r="M60" s="73">
        <v>4</v>
      </c>
      <c r="N60" s="91">
        <v>59.97</v>
      </c>
      <c r="O60" s="79">
        <f t="shared" si="3"/>
        <v>0.38986159746539933</v>
      </c>
      <c r="P60" s="80">
        <f t="shared" si="4"/>
        <v>2.5650128314798972</v>
      </c>
      <c r="Q60" s="79">
        <f t="shared" si="5"/>
        <v>0.38986159746539933</v>
      </c>
      <c r="R60" s="81">
        <f t="shared" si="6"/>
        <v>1</v>
      </c>
      <c r="S60" s="92">
        <f t="shared" si="16"/>
        <v>0</v>
      </c>
      <c r="T60" s="83">
        <f t="shared" si="8"/>
        <v>5.8449999999999998</v>
      </c>
      <c r="U60" s="135"/>
      <c r="V60" s="135"/>
      <c r="W60" s="135"/>
      <c r="X60" s="135"/>
      <c r="Y60" s="136"/>
      <c r="Z60" s="50"/>
      <c r="AA60" s="50"/>
    </row>
    <row r="61" spans="1:27" ht="12.75" hidden="1" outlineLevel="1" x14ac:dyDescent="0.2">
      <c r="A61" s="50"/>
      <c r="B61" s="137"/>
      <c r="C61" s="70" t="s">
        <v>43</v>
      </c>
      <c r="D61" s="105">
        <v>195</v>
      </c>
      <c r="E61" s="75"/>
      <c r="F61" s="73">
        <v>1</v>
      </c>
      <c r="G61" s="73">
        <v>1</v>
      </c>
      <c r="H61" s="74">
        <f t="shared" si="0"/>
        <v>1</v>
      </c>
      <c r="I61" s="75">
        <f t="shared" si="1"/>
        <v>195</v>
      </c>
      <c r="J61" s="76">
        <f t="shared" si="2"/>
        <v>195</v>
      </c>
      <c r="K61" s="105">
        <v>27.6</v>
      </c>
      <c r="L61" s="73">
        <v>25799</v>
      </c>
      <c r="M61" s="73">
        <v>0</v>
      </c>
      <c r="N61" s="106">
        <v>0</v>
      </c>
      <c r="O61" s="79" t="e">
        <f t="shared" si="3"/>
        <v>#DIV/0!</v>
      </c>
      <c r="P61" s="80">
        <f t="shared" si="4"/>
        <v>0</v>
      </c>
      <c r="Q61" s="79">
        <f t="shared" si="5"/>
        <v>0.14153846153846156</v>
      </c>
      <c r="R61" s="81">
        <f t="shared" si="6"/>
        <v>0</v>
      </c>
      <c r="S61" s="107">
        <f t="shared" si="16"/>
        <v>195</v>
      </c>
      <c r="T61" s="83" t="e">
        <f t="shared" si="8"/>
        <v>#DIV/0!</v>
      </c>
      <c r="U61" s="135"/>
      <c r="V61" s="135"/>
      <c r="W61" s="135"/>
      <c r="X61" s="135"/>
      <c r="Y61" s="136"/>
      <c r="Z61" s="50"/>
      <c r="AA61" s="50"/>
    </row>
    <row r="62" spans="1:27" ht="12.75" hidden="1" outlineLevel="1" x14ac:dyDescent="0.2">
      <c r="A62" s="50"/>
      <c r="B62" s="137"/>
      <c r="C62" s="70" t="s">
        <v>44</v>
      </c>
      <c r="D62" s="108">
        <v>59.95</v>
      </c>
      <c r="E62" s="75"/>
      <c r="F62" s="73">
        <v>1</v>
      </c>
      <c r="G62" s="73">
        <v>1</v>
      </c>
      <c r="H62" s="74">
        <f t="shared" si="0"/>
        <v>1</v>
      </c>
      <c r="I62" s="75">
        <f t="shared" si="1"/>
        <v>59.95</v>
      </c>
      <c r="J62" s="76">
        <f t="shared" si="2"/>
        <v>59.95</v>
      </c>
      <c r="K62" s="108">
        <v>4.8099999999999996</v>
      </c>
      <c r="L62" s="73">
        <v>3791</v>
      </c>
      <c r="M62" s="73">
        <v>0</v>
      </c>
      <c r="N62" s="109">
        <v>0</v>
      </c>
      <c r="O62" s="79" t="e">
        <f t="shared" si="3"/>
        <v>#DIV/0!</v>
      </c>
      <c r="P62" s="80">
        <f t="shared" si="4"/>
        <v>0</v>
      </c>
      <c r="Q62" s="79">
        <f t="shared" si="5"/>
        <v>8.023352793994995E-2</v>
      </c>
      <c r="R62" s="81">
        <f t="shared" si="6"/>
        <v>0</v>
      </c>
      <c r="S62" s="110">
        <f t="shared" si="16"/>
        <v>59.95</v>
      </c>
      <c r="T62" s="83" t="e">
        <f t="shared" si="8"/>
        <v>#DIV/0!</v>
      </c>
      <c r="U62" s="135"/>
      <c r="V62" s="135"/>
      <c r="W62" s="135"/>
      <c r="X62" s="135"/>
      <c r="Y62" s="136"/>
      <c r="Z62" s="50"/>
      <c r="AA62" s="50"/>
    </row>
    <row r="63" spans="1:27" ht="12.75" hidden="1" outlineLevel="1" x14ac:dyDescent="0.2">
      <c r="A63" s="139"/>
      <c r="B63" s="137"/>
      <c r="C63" s="112" t="s">
        <v>45</v>
      </c>
      <c r="D63" s="71">
        <v>679.4</v>
      </c>
      <c r="E63" s="75"/>
      <c r="F63" s="73">
        <v>12</v>
      </c>
      <c r="G63" s="73">
        <v>9</v>
      </c>
      <c r="H63" s="74">
        <f t="shared" si="0"/>
        <v>1.3333333333333333</v>
      </c>
      <c r="I63" s="75">
        <f t="shared" si="1"/>
        <v>56.616666666666667</v>
      </c>
      <c r="J63" s="76">
        <f t="shared" si="2"/>
        <v>42.462500000000006</v>
      </c>
      <c r="K63" s="71">
        <v>0</v>
      </c>
      <c r="L63" s="73">
        <v>0</v>
      </c>
      <c r="M63" s="73">
        <v>0</v>
      </c>
      <c r="N63" s="78">
        <v>0</v>
      </c>
      <c r="O63" s="79" t="e">
        <f t="shared" si="3"/>
        <v>#DIV/0!</v>
      </c>
      <c r="P63" s="80" t="e">
        <f t="shared" si="4"/>
        <v>#DIV/0!</v>
      </c>
      <c r="Q63" s="79">
        <f t="shared" si="5"/>
        <v>0</v>
      </c>
      <c r="R63" s="81">
        <f t="shared" si="6"/>
        <v>0</v>
      </c>
      <c r="S63" s="82">
        <f t="shared" si="16"/>
        <v>679.4</v>
      </c>
      <c r="T63" s="83" t="e">
        <f t="shared" si="8"/>
        <v>#DIV/0!</v>
      </c>
      <c r="U63" s="140"/>
      <c r="V63" s="140"/>
      <c r="W63" s="140"/>
      <c r="X63" s="141"/>
      <c r="Y63" s="142"/>
      <c r="Z63" s="50"/>
      <c r="AA63" s="50"/>
    </row>
    <row r="64" spans="1:27" ht="12.75" hidden="1" outlineLevel="1" x14ac:dyDescent="0.2">
      <c r="A64" s="118"/>
      <c r="B64" s="69"/>
      <c r="C64" s="70" t="s">
        <v>46</v>
      </c>
      <c r="D64" s="116">
        <v>303.85000000000002</v>
      </c>
      <c r="E64" s="75"/>
      <c r="F64" s="73">
        <v>8</v>
      </c>
      <c r="G64" s="73">
        <v>15</v>
      </c>
      <c r="H64" s="74">
        <f t="shared" si="0"/>
        <v>0.53333333333333333</v>
      </c>
      <c r="I64" s="75">
        <f t="shared" si="1"/>
        <v>37.981250000000003</v>
      </c>
      <c r="J64" s="76">
        <f t="shared" si="2"/>
        <v>71.21484375</v>
      </c>
      <c r="K64" s="116">
        <v>128.01</v>
      </c>
      <c r="L64" s="73">
        <v>45345</v>
      </c>
      <c r="M64" s="73">
        <v>8</v>
      </c>
      <c r="N64" s="117">
        <v>251.72</v>
      </c>
      <c r="O64" s="79">
        <f t="shared" si="3"/>
        <v>0.50854123629429526</v>
      </c>
      <c r="P64" s="80">
        <f t="shared" si="4"/>
        <v>1.966408874306695</v>
      </c>
      <c r="Q64" s="79">
        <f t="shared" si="5"/>
        <v>0.42129340134934995</v>
      </c>
      <c r="R64" s="81">
        <f t="shared" si="6"/>
        <v>0.82843508310021385</v>
      </c>
      <c r="S64" s="82">
        <f t="shared" si="16"/>
        <v>52.130000000000024</v>
      </c>
      <c r="T64" s="83">
        <f t="shared" si="8"/>
        <v>16.001249999999999</v>
      </c>
      <c r="U64" s="135"/>
      <c r="V64" s="135"/>
      <c r="W64" s="135"/>
      <c r="X64" s="135"/>
      <c r="Y64" s="136"/>
      <c r="Z64" s="50"/>
      <c r="AA64" s="50"/>
    </row>
    <row r="65" spans="1:27" ht="12.75" hidden="1" outlineLevel="1" x14ac:dyDescent="0.2">
      <c r="A65" s="118" t="str">
        <f t="shared" ref="A65:A66" si="17">IFERROR(IF(B65&gt;0,MONTH(B65)&amp;"-"&amp;YEAR(B65),B65),)</f>
        <v>1-2025</v>
      </c>
      <c r="B65" s="69">
        <v>45661</v>
      </c>
      <c r="C65" s="148" t="s">
        <v>49</v>
      </c>
      <c r="D65" s="116">
        <v>156.76</v>
      </c>
      <c r="E65" s="75"/>
      <c r="F65" s="73">
        <v>1</v>
      </c>
      <c r="G65" s="73">
        <v>1</v>
      </c>
      <c r="H65" s="74">
        <f t="shared" si="0"/>
        <v>1</v>
      </c>
      <c r="I65" s="75">
        <f t="shared" si="1"/>
        <v>156.76</v>
      </c>
      <c r="J65" s="76">
        <f t="shared" si="2"/>
        <v>156.76</v>
      </c>
      <c r="K65" s="116">
        <v>2.2799999999999998</v>
      </c>
      <c r="L65" s="73">
        <v>7662</v>
      </c>
      <c r="M65" s="73">
        <v>0</v>
      </c>
      <c r="N65" s="117">
        <v>0</v>
      </c>
      <c r="O65" s="79" t="e">
        <f t="shared" si="3"/>
        <v>#DIV/0!</v>
      </c>
      <c r="P65" s="80">
        <f t="shared" si="4"/>
        <v>0</v>
      </c>
      <c r="Q65" s="79">
        <f t="shared" si="5"/>
        <v>1.4544526664965552E-2</v>
      </c>
      <c r="R65" s="81">
        <f t="shared" si="6"/>
        <v>0</v>
      </c>
      <c r="S65" s="82">
        <f t="shared" si="16"/>
        <v>156.76</v>
      </c>
      <c r="T65" s="83" t="e">
        <f t="shared" si="8"/>
        <v>#DIV/0!</v>
      </c>
      <c r="U65" s="135"/>
      <c r="V65" s="135"/>
      <c r="W65" s="135"/>
      <c r="X65" s="135"/>
      <c r="Y65" s="136"/>
      <c r="Z65" s="50"/>
      <c r="AA65" s="50"/>
    </row>
    <row r="66" spans="1:27" ht="12.75" collapsed="1" x14ac:dyDescent="0.2">
      <c r="A66" s="139">
        <f t="shared" si="17"/>
        <v>0</v>
      </c>
      <c r="B66" s="206" t="s">
        <v>129</v>
      </c>
      <c r="C66" s="207"/>
      <c r="D66" s="208">
        <f>SUM(D49:D65)</f>
        <v>19516.739999999998</v>
      </c>
      <c r="E66" s="211"/>
      <c r="F66" s="209">
        <f t="shared" ref="F66:G66" si="18">SUM(F49:F65)</f>
        <v>158</v>
      </c>
      <c r="G66" s="209">
        <f t="shared" si="18"/>
        <v>168</v>
      </c>
      <c r="H66" s="210">
        <f t="shared" si="0"/>
        <v>0.94047619047619047</v>
      </c>
      <c r="I66" s="211">
        <f t="shared" si="1"/>
        <v>123.52367088607593</v>
      </c>
      <c r="J66" s="212">
        <f t="shared" si="2"/>
        <v>131.34162473962505</v>
      </c>
      <c r="K66" s="213">
        <f t="shared" ref="K66:N66" si="19">SUM(K49:K65)</f>
        <v>1026.8799999999999</v>
      </c>
      <c r="L66" s="209">
        <f t="shared" si="19"/>
        <v>362485</v>
      </c>
      <c r="M66" s="209">
        <f t="shared" si="19"/>
        <v>35</v>
      </c>
      <c r="N66" s="208">
        <f t="shared" si="19"/>
        <v>2890.4799999999991</v>
      </c>
      <c r="O66" s="214">
        <f t="shared" si="3"/>
        <v>0.35526279372284197</v>
      </c>
      <c r="P66" s="215">
        <f t="shared" si="4"/>
        <v>2.814817700218136</v>
      </c>
      <c r="Q66" s="214">
        <f t="shared" si="5"/>
        <v>5.2615344570865828E-2</v>
      </c>
      <c r="R66" s="216">
        <f t="shared" si="6"/>
        <v>0.14810260320114935</v>
      </c>
      <c r="S66" s="217">
        <f>SUM(S49:S65)</f>
        <v>16626.260000000002</v>
      </c>
      <c r="T66" s="218">
        <f t="shared" si="8"/>
        <v>29.339428571428567</v>
      </c>
      <c r="U66" s="219">
        <f>IFERROR((D66-#REF!)/D66,)</f>
        <v>0</v>
      </c>
      <c r="V66" s="219">
        <f>IFERROR((F66-#REF!)/F66,)</f>
        <v>0</v>
      </c>
      <c r="W66" s="220">
        <f>IFERROR((D66-[1]monthly_reporting_2021!E49)/D66, )</f>
        <v>0</v>
      </c>
      <c r="X66" s="221">
        <f>IFERROR((F66-[1]monthly_reporting_2021!F49)/F66, )</f>
        <v>0</v>
      </c>
      <c r="Y66" s="50"/>
      <c r="Z66" s="50"/>
      <c r="AA66" s="50"/>
    </row>
    <row r="67" spans="1:27" ht="12.75" hidden="1" outlineLevel="1" x14ac:dyDescent="0.2">
      <c r="A67" s="50"/>
      <c r="B67" s="69">
        <v>45662</v>
      </c>
      <c r="C67" s="70" t="s">
        <v>32</v>
      </c>
      <c r="D67" s="71">
        <v>7753.96</v>
      </c>
      <c r="E67" s="75"/>
      <c r="F67" s="73">
        <v>24</v>
      </c>
      <c r="G67" s="73">
        <v>26</v>
      </c>
      <c r="H67" s="74">
        <f t="shared" si="0"/>
        <v>0.92307692307692313</v>
      </c>
      <c r="I67" s="75">
        <f t="shared" si="1"/>
        <v>323.08166666666665</v>
      </c>
      <c r="J67" s="76">
        <f t="shared" si="2"/>
        <v>350.00513888888884</v>
      </c>
      <c r="K67" s="77">
        <v>169.02</v>
      </c>
      <c r="L67" s="73">
        <v>44579</v>
      </c>
      <c r="M67" s="73">
        <v>16</v>
      </c>
      <c r="N67" s="78">
        <v>933.8</v>
      </c>
      <c r="O67" s="79">
        <f t="shared" si="3"/>
        <v>0.18100235596487471</v>
      </c>
      <c r="P67" s="80">
        <f t="shared" si="4"/>
        <v>5.5247899656845334</v>
      </c>
      <c r="Q67" s="79">
        <f t="shared" si="5"/>
        <v>2.1797894237267152E-2</v>
      </c>
      <c r="R67" s="81">
        <f t="shared" si="6"/>
        <v>0.12042878735510629</v>
      </c>
      <c r="S67" s="82">
        <f t="shared" ref="S67:S83" si="20">D67-N67</f>
        <v>6820.16</v>
      </c>
      <c r="T67" s="83">
        <f t="shared" si="8"/>
        <v>10.563750000000001</v>
      </c>
      <c r="U67" s="135"/>
      <c r="V67" s="135"/>
      <c r="W67" s="135"/>
      <c r="X67" s="135"/>
      <c r="Y67" s="136"/>
      <c r="Z67" s="50"/>
      <c r="AA67" s="50"/>
    </row>
    <row r="68" spans="1:27" ht="12.75" hidden="1" outlineLevel="1" x14ac:dyDescent="0.2">
      <c r="A68" s="50"/>
      <c r="B68" s="137"/>
      <c r="C68" s="70" t="s">
        <v>33</v>
      </c>
      <c r="D68" s="87">
        <v>1654.48</v>
      </c>
      <c r="E68" s="75"/>
      <c r="F68" s="73">
        <v>21</v>
      </c>
      <c r="G68" s="73">
        <v>27</v>
      </c>
      <c r="H68" s="74">
        <f t="shared" si="0"/>
        <v>0.77777777777777779</v>
      </c>
      <c r="I68" s="75">
        <f t="shared" si="1"/>
        <v>78.784761904761908</v>
      </c>
      <c r="J68" s="76">
        <f t="shared" si="2"/>
        <v>101.29469387755103</v>
      </c>
      <c r="K68" s="87">
        <v>104.29</v>
      </c>
      <c r="L68" s="73">
        <v>25301</v>
      </c>
      <c r="M68" s="73">
        <v>4</v>
      </c>
      <c r="N68" s="88">
        <v>951.9</v>
      </c>
      <c r="O68" s="79">
        <f t="shared" si="3"/>
        <v>0.10955982771299508</v>
      </c>
      <c r="P68" s="80">
        <f t="shared" si="4"/>
        <v>9.1274331191868825</v>
      </c>
      <c r="Q68" s="79">
        <f t="shared" si="5"/>
        <v>6.3034911271215133E-2</v>
      </c>
      <c r="R68" s="81">
        <f t="shared" si="6"/>
        <v>0.57534693680189541</v>
      </c>
      <c r="S68" s="89">
        <f t="shared" si="20"/>
        <v>702.58</v>
      </c>
      <c r="T68" s="83">
        <f t="shared" si="8"/>
        <v>26.072500000000002</v>
      </c>
      <c r="U68" s="135"/>
      <c r="V68" s="135"/>
      <c r="W68" s="135"/>
      <c r="X68" s="135"/>
      <c r="Y68" s="136"/>
      <c r="Z68" s="50"/>
      <c r="AA68" s="50"/>
    </row>
    <row r="69" spans="1:27" ht="12.75" hidden="1" outlineLevel="1" x14ac:dyDescent="0.2">
      <c r="A69" s="50"/>
      <c r="B69" s="137"/>
      <c r="C69" s="70" t="s">
        <v>34</v>
      </c>
      <c r="D69" s="90">
        <v>0</v>
      </c>
      <c r="E69" s="75"/>
      <c r="F69" s="73">
        <v>0</v>
      </c>
      <c r="G69" s="73">
        <v>0</v>
      </c>
      <c r="H69" s="74" t="e">
        <f t="shared" si="0"/>
        <v>#DIV/0!</v>
      </c>
      <c r="I69" s="75" t="e">
        <f t="shared" si="1"/>
        <v>#DIV/0!</v>
      </c>
      <c r="J69" s="76" t="e">
        <f t="shared" si="2"/>
        <v>#DIV/0!</v>
      </c>
      <c r="K69" s="90">
        <v>0</v>
      </c>
      <c r="L69" s="73">
        <v>0</v>
      </c>
      <c r="M69" s="73">
        <v>0</v>
      </c>
      <c r="N69" s="91">
        <v>0</v>
      </c>
      <c r="O69" s="79" t="e">
        <f t="shared" si="3"/>
        <v>#DIV/0!</v>
      </c>
      <c r="P69" s="80" t="e">
        <f t="shared" si="4"/>
        <v>#DIV/0!</v>
      </c>
      <c r="Q69" s="79" t="e">
        <f t="shared" si="5"/>
        <v>#DIV/0!</v>
      </c>
      <c r="R69" s="81" t="e">
        <f t="shared" si="6"/>
        <v>#DIV/0!</v>
      </c>
      <c r="S69" s="92">
        <f t="shared" si="20"/>
        <v>0</v>
      </c>
      <c r="T69" s="83" t="e">
        <f t="shared" si="8"/>
        <v>#DIV/0!</v>
      </c>
      <c r="U69" s="135"/>
      <c r="V69" s="135"/>
      <c r="W69" s="135"/>
      <c r="X69" s="135"/>
      <c r="Y69" s="136"/>
      <c r="Z69" s="50"/>
      <c r="AA69" s="50"/>
    </row>
    <row r="70" spans="1:27" ht="12.75" hidden="1" outlineLevel="1" x14ac:dyDescent="0.2">
      <c r="A70" s="50"/>
      <c r="B70" s="137"/>
      <c r="C70" s="70" t="s">
        <v>35</v>
      </c>
      <c r="D70" s="90">
        <v>0</v>
      </c>
      <c r="E70" s="75"/>
      <c r="F70" s="73">
        <v>0</v>
      </c>
      <c r="G70" s="73">
        <v>0</v>
      </c>
      <c r="H70" s="74" t="e">
        <f t="shared" si="0"/>
        <v>#DIV/0!</v>
      </c>
      <c r="I70" s="75" t="e">
        <f t="shared" si="1"/>
        <v>#DIV/0!</v>
      </c>
      <c r="J70" s="76" t="e">
        <f t="shared" si="2"/>
        <v>#DIV/0!</v>
      </c>
      <c r="K70" s="90">
        <v>0</v>
      </c>
      <c r="L70" s="73">
        <v>0</v>
      </c>
      <c r="M70" s="73">
        <v>0</v>
      </c>
      <c r="N70" s="91">
        <v>0</v>
      </c>
      <c r="O70" s="79" t="e">
        <f t="shared" si="3"/>
        <v>#DIV/0!</v>
      </c>
      <c r="P70" s="80" t="e">
        <f t="shared" si="4"/>
        <v>#DIV/0!</v>
      </c>
      <c r="Q70" s="79" t="e">
        <f t="shared" si="5"/>
        <v>#DIV/0!</v>
      </c>
      <c r="R70" s="81" t="e">
        <f t="shared" si="6"/>
        <v>#DIV/0!</v>
      </c>
      <c r="S70" s="92">
        <f t="shared" si="20"/>
        <v>0</v>
      </c>
      <c r="T70" s="83" t="e">
        <f t="shared" si="8"/>
        <v>#DIV/0!</v>
      </c>
      <c r="U70" s="135"/>
      <c r="V70" s="135"/>
      <c r="W70" s="135"/>
      <c r="X70" s="135"/>
      <c r="Y70" s="136"/>
      <c r="Z70" s="50"/>
      <c r="AA70" s="50"/>
    </row>
    <row r="71" spans="1:27" ht="12.75" hidden="1" outlineLevel="1" x14ac:dyDescent="0.2">
      <c r="A71" s="50"/>
      <c r="B71" s="137"/>
      <c r="C71" s="70" t="s">
        <v>62</v>
      </c>
      <c r="D71" s="200">
        <v>0</v>
      </c>
      <c r="E71" s="75"/>
      <c r="F71" s="73">
        <v>0</v>
      </c>
      <c r="G71" s="73">
        <v>0</v>
      </c>
      <c r="H71" s="74" t="e">
        <f t="shared" si="0"/>
        <v>#DIV/0!</v>
      </c>
      <c r="I71" s="75" t="e">
        <f t="shared" si="1"/>
        <v>#DIV/0!</v>
      </c>
      <c r="J71" s="76" t="e">
        <f t="shared" si="2"/>
        <v>#DIV/0!</v>
      </c>
      <c r="K71" s="200">
        <v>0</v>
      </c>
      <c r="L71" s="73">
        <v>0</v>
      </c>
      <c r="M71" s="73">
        <v>0</v>
      </c>
      <c r="N71" s="200">
        <v>0</v>
      </c>
      <c r="O71" s="79" t="e">
        <f t="shared" si="3"/>
        <v>#DIV/0!</v>
      </c>
      <c r="P71" s="80" t="e">
        <f t="shared" si="4"/>
        <v>#DIV/0!</v>
      </c>
      <c r="Q71" s="79" t="e">
        <f t="shared" si="5"/>
        <v>#DIV/0!</v>
      </c>
      <c r="R71" s="81" t="e">
        <f t="shared" si="6"/>
        <v>#DIV/0!</v>
      </c>
      <c r="S71" s="92">
        <f t="shared" si="20"/>
        <v>0</v>
      </c>
      <c r="T71" s="83" t="e">
        <f t="shared" si="8"/>
        <v>#DIV/0!</v>
      </c>
      <c r="U71" s="135"/>
      <c r="V71" s="135"/>
      <c r="W71" s="135"/>
      <c r="X71" s="135"/>
      <c r="Y71" s="136"/>
      <c r="Z71" s="50"/>
      <c r="AA71" s="50"/>
    </row>
    <row r="72" spans="1:27" ht="12.75" hidden="1" outlineLevel="1" x14ac:dyDescent="0.2">
      <c r="A72" s="50"/>
      <c r="B72" s="137"/>
      <c r="C72" s="70" t="s">
        <v>66</v>
      </c>
      <c r="D72" s="201">
        <v>64.95</v>
      </c>
      <c r="E72" s="75"/>
      <c r="F72" s="73">
        <v>1</v>
      </c>
      <c r="G72" s="73">
        <v>1</v>
      </c>
      <c r="H72" s="74">
        <f t="shared" si="0"/>
        <v>1</v>
      </c>
      <c r="I72" s="75">
        <f t="shared" si="1"/>
        <v>64.95</v>
      </c>
      <c r="J72" s="76">
        <f t="shared" si="2"/>
        <v>64.95</v>
      </c>
      <c r="K72" s="201">
        <v>42.63</v>
      </c>
      <c r="L72" s="73">
        <v>7041</v>
      </c>
      <c r="M72" s="73">
        <v>3</v>
      </c>
      <c r="N72" s="202">
        <v>184.93</v>
      </c>
      <c r="O72" s="79">
        <f t="shared" si="3"/>
        <v>0.23051965608608663</v>
      </c>
      <c r="P72" s="80">
        <f t="shared" si="4"/>
        <v>4.3380248651184612</v>
      </c>
      <c r="Q72" s="79">
        <f t="shared" si="5"/>
        <v>0.65635103926096994</v>
      </c>
      <c r="R72" s="81">
        <f t="shared" si="6"/>
        <v>2.8472671285604312</v>
      </c>
      <c r="S72" s="203">
        <f t="shared" si="20"/>
        <v>-119.98</v>
      </c>
      <c r="T72" s="83">
        <f t="shared" si="8"/>
        <v>14.21</v>
      </c>
      <c r="U72" s="135"/>
      <c r="V72" s="135"/>
      <c r="W72" s="135"/>
      <c r="X72" s="135"/>
      <c r="Y72" s="136"/>
      <c r="Z72" s="50"/>
      <c r="AA72" s="50"/>
    </row>
    <row r="73" spans="1:27" ht="12.75" hidden="1" outlineLevel="1" x14ac:dyDescent="0.2">
      <c r="A73" s="50"/>
      <c r="B73" s="137"/>
      <c r="C73" s="70" t="s">
        <v>36</v>
      </c>
      <c r="D73" s="90">
        <v>929.86</v>
      </c>
      <c r="E73" s="75"/>
      <c r="F73" s="73">
        <v>14</v>
      </c>
      <c r="G73" s="73">
        <v>14</v>
      </c>
      <c r="H73" s="74">
        <f t="shared" si="0"/>
        <v>1</v>
      </c>
      <c r="I73" s="75">
        <f t="shared" si="1"/>
        <v>66.418571428571425</v>
      </c>
      <c r="J73" s="76">
        <f t="shared" si="2"/>
        <v>66.418571428571425</v>
      </c>
      <c r="K73" s="90">
        <v>123.76</v>
      </c>
      <c r="L73" s="73">
        <v>5860</v>
      </c>
      <c r="M73" s="73">
        <v>3</v>
      </c>
      <c r="N73" s="91">
        <v>199.85</v>
      </c>
      <c r="O73" s="79">
        <f t="shared" si="3"/>
        <v>0.61926444833625227</v>
      </c>
      <c r="P73" s="80">
        <f t="shared" si="4"/>
        <v>1.6148190045248867</v>
      </c>
      <c r="Q73" s="79">
        <f t="shared" si="5"/>
        <v>0.13309530466952016</v>
      </c>
      <c r="R73" s="81">
        <f t="shared" si="6"/>
        <v>0.21492482739337104</v>
      </c>
      <c r="S73" s="92">
        <f t="shared" si="20"/>
        <v>730.01</v>
      </c>
      <c r="T73" s="83">
        <f t="shared" si="8"/>
        <v>41.253333333333337</v>
      </c>
      <c r="U73" s="135"/>
      <c r="V73" s="135"/>
      <c r="W73" s="135"/>
      <c r="X73" s="135"/>
      <c r="Y73" s="136"/>
      <c r="Z73" s="50"/>
      <c r="AA73" s="50"/>
    </row>
    <row r="74" spans="1:27" ht="12.75" hidden="1" outlineLevel="1" x14ac:dyDescent="0.2">
      <c r="A74" s="50"/>
      <c r="B74" s="69" t="s">
        <v>37</v>
      </c>
      <c r="C74" s="70" t="s">
        <v>38</v>
      </c>
      <c r="D74" s="93">
        <v>1117.44</v>
      </c>
      <c r="E74" s="75"/>
      <c r="F74" s="73">
        <v>19</v>
      </c>
      <c r="G74" s="73">
        <v>20</v>
      </c>
      <c r="H74" s="74">
        <f t="shared" si="0"/>
        <v>0.95</v>
      </c>
      <c r="I74" s="75">
        <f t="shared" si="1"/>
        <v>58.812631578947368</v>
      </c>
      <c r="J74" s="76">
        <f t="shared" si="2"/>
        <v>61.908033240997234</v>
      </c>
      <c r="K74" s="93">
        <v>143.4</v>
      </c>
      <c r="L74" s="73">
        <v>20285</v>
      </c>
      <c r="M74" s="73">
        <v>7</v>
      </c>
      <c r="N74" s="94">
        <v>107.8</v>
      </c>
      <c r="O74" s="79">
        <f t="shared" si="3"/>
        <v>1.3302411873840445</v>
      </c>
      <c r="P74" s="80">
        <f t="shared" si="4"/>
        <v>0.75174337517433742</v>
      </c>
      <c r="Q74" s="79">
        <f t="shared" si="5"/>
        <v>0.12832903780068727</v>
      </c>
      <c r="R74" s="81">
        <f t="shared" si="6"/>
        <v>9.6470504009163793E-2</v>
      </c>
      <c r="S74" s="95">
        <f t="shared" si="20"/>
        <v>1009.6400000000001</v>
      </c>
      <c r="T74" s="83">
        <f t="shared" si="8"/>
        <v>20.485714285714288</v>
      </c>
      <c r="U74" s="135"/>
      <c r="V74" s="135"/>
      <c r="W74" s="135"/>
      <c r="X74" s="135"/>
      <c r="Y74" s="136"/>
      <c r="Z74" s="50"/>
      <c r="AA74" s="50"/>
    </row>
    <row r="75" spans="1:27" ht="12.75" hidden="1" outlineLevel="1" x14ac:dyDescent="0.2">
      <c r="A75" s="50"/>
      <c r="B75" s="137"/>
      <c r="C75" s="70" t="s">
        <v>39</v>
      </c>
      <c r="D75" s="96">
        <v>99.95</v>
      </c>
      <c r="E75" s="75"/>
      <c r="F75" s="73">
        <v>1</v>
      </c>
      <c r="G75" s="73">
        <v>1</v>
      </c>
      <c r="H75" s="74">
        <f t="shared" si="0"/>
        <v>1</v>
      </c>
      <c r="I75" s="75">
        <f t="shared" si="1"/>
        <v>99.95</v>
      </c>
      <c r="J75" s="76">
        <f t="shared" si="2"/>
        <v>99.95</v>
      </c>
      <c r="K75" s="96">
        <v>108.68</v>
      </c>
      <c r="L75" s="73">
        <v>119332</v>
      </c>
      <c r="M75" s="73">
        <v>0</v>
      </c>
      <c r="N75" s="97">
        <v>0</v>
      </c>
      <c r="O75" s="79" t="e">
        <f t="shared" si="3"/>
        <v>#DIV/0!</v>
      </c>
      <c r="P75" s="80">
        <f t="shared" si="4"/>
        <v>0</v>
      </c>
      <c r="Q75" s="79">
        <f t="shared" si="5"/>
        <v>1.087343671835918</v>
      </c>
      <c r="R75" s="81">
        <f t="shared" si="6"/>
        <v>0</v>
      </c>
      <c r="S75" s="98">
        <f t="shared" si="20"/>
        <v>99.95</v>
      </c>
      <c r="T75" s="83" t="e">
        <f t="shared" si="8"/>
        <v>#DIV/0!</v>
      </c>
      <c r="U75" s="135"/>
      <c r="V75" s="135"/>
      <c r="W75" s="135"/>
      <c r="X75" s="135"/>
      <c r="Y75" s="136"/>
      <c r="Z75" s="50"/>
      <c r="AA75" s="50"/>
    </row>
    <row r="76" spans="1:27" ht="12.75" hidden="1" outlineLevel="1" x14ac:dyDescent="0.2">
      <c r="A76" s="50"/>
      <c r="B76" s="137"/>
      <c r="C76" s="70" t="s">
        <v>40</v>
      </c>
      <c r="D76" s="99">
        <v>-54.95</v>
      </c>
      <c r="E76" s="75"/>
      <c r="F76" s="73">
        <v>-1</v>
      </c>
      <c r="G76" s="73">
        <v>0</v>
      </c>
      <c r="H76" s="74" t="e">
        <f t="shared" si="0"/>
        <v>#DIV/0!</v>
      </c>
      <c r="I76" s="75">
        <f t="shared" si="1"/>
        <v>54.95</v>
      </c>
      <c r="J76" s="76" t="e">
        <f t="shared" si="2"/>
        <v>#DIV/0!</v>
      </c>
      <c r="K76" s="99">
        <v>0</v>
      </c>
      <c r="L76" s="73">
        <v>0</v>
      </c>
      <c r="M76" s="73">
        <v>0</v>
      </c>
      <c r="N76" s="100">
        <v>0</v>
      </c>
      <c r="O76" s="79" t="e">
        <f t="shared" si="3"/>
        <v>#DIV/0!</v>
      </c>
      <c r="P76" s="80" t="e">
        <f t="shared" si="4"/>
        <v>#DIV/0!</v>
      </c>
      <c r="Q76" s="79">
        <f t="shared" si="5"/>
        <v>0</v>
      </c>
      <c r="R76" s="81">
        <f t="shared" si="6"/>
        <v>0</v>
      </c>
      <c r="S76" s="101">
        <f t="shared" si="20"/>
        <v>-54.95</v>
      </c>
      <c r="T76" s="83" t="e">
        <f t="shared" si="8"/>
        <v>#DIV/0!</v>
      </c>
      <c r="U76" s="135"/>
      <c r="V76" s="135"/>
      <c r="W76" s="135"/>
      <c r="X76" s="135"/>
      <c r="Y76" s="136"/>
      <c r="Z76" s="50"/>
      <c r="AA76" s="50"/>
    </row>
    <row r="77" spans="1:27" ht="12.75" hidden="1" outlineLevel="1" x14ac:dyDescent="0.2">
      <c r="A77" s="50"/>
      <c r="B77" s="137"/>
      <c r="C77" s="70" t="s">
        <v>41</v>
      </c>
      <c r="D77" s="102">
        <v>2116.5500000000002</v>
      </c>
      <c r="E77" s="75"/>
      <c r="F77" s="73">
        <v>32</v>
      </c>
      <c r="G77" s="73">
        <v>29</v>
      </c>
      <c r="H77" s="74">
        <f t="shared" si="0"/>
        <v>1.103448275862069</v>
      </c>
      <c r="I77" s="75">
        <f t="shared" si="1"/>
        <v>66.142187500000006</v>
      </c>
      <c r="J77" s="76">
        <f t="shared" si="2"/>
        <v>59.941357421875004</v>
      </c>
      <c r="K77" s="102">
        <v>119.38</v>
      </c>
      <c r="L77" s="73">
        <v>28955</v>
      </c>
      <c r="M77" s="73">
        <v>12</v>
      </c>
      <c r="N77" s="103">
        <v>1170.25</v>
      </c>
      <c r="O77" s="79">
        <f t="shared" si="3"/>
        <v>0.10201239051484726</v>
      </c>
      <c r="P77" s="80">
        <f t="shared" si="4"/>
        <v>9.8027307756743181</v>
      </c>
      <c r="Q77" s="79">
        <f t="shared" si="5"/>
        <v>5.6403108832770305E-2</v>
      </c>
      <c r="R77" s="81">
        <f t="shared" si="6"/>
        <v>0.55290449079870541</v>
      </c>
      <c r="S77" s="104">
        <f t="shared" si="20"/>
        <v>946.30000000000018</v>
      </c>
      <c r="T77" s="83">
        <f t="shared" si="8"/>
        <v>9.9483333333333324</v>
      </c>
      <c r="U77" s="135"/>
      <c r="V77" s="135"/>
      <c r="W77" s="135"/>
      <c r="X77" s="135"/>
      <c r="Y77" s="136"/>
      <c r="Z77" s="50"/>
      <c r="AA77" s="50"/>
    </row>
    <row r="78" spans="1:27" ht="12.75" hidden="1" outlineLevel="1" x14ac:dyDescent="0.2">
      <c r="A78" s="50"/>
      <c r="B78" s="137"/>
      <c r="C78" s="70" t="s">
        <v>42</v>
      </c>
      <c r="D78" s="90">
        <v>29.98</v>
      </c>
      <c r="E78" s="75"/>
      <c r="F78" s="73">
        <v>2</v>
      </c>
      <c r="G78" s="73">
        <v>2</v>
      </c>
      <c r="H78" s="74">
        <f t="shared" si="0"/>
        <v>1</v>
      </c>
      <c r="I78" s="75">
        <f t="shared" si="1"/>
        <v>14.99</v>
      </c>
      <c r="J78" s="76">
        <f t="shared" si="2"/>
        <v>14.99</v>
      </c>
      <c r="K78" s="90">
        <v>16.170000000000002</v>
      </c>
      <c r="L78" s="73">
        <v>22820</v>
      </c>
      <c r="M78" s="73">
        <v>0</v>
      </c>
      <c r="N78" s="91">
        <v>0</v>
      </c>
      <c r="O78" s="79" t="e">
        <f t="shared" si="3"/>
        <v>#DIV/0!</v>
      </c>
      <c r="P78" s="80">
        <f t="shared" si="4"/>
        <v>0</v>
      </c>
      <c r="Q78" s="79">
        <f t="shared" si="5"/>
        <v>0.53935957304869919</v>
      </c>
      <c r="R78" s="81">
        <f t="shared" si="6"/>
        <v>0</v>
      </c>
      <c r="S78" s="92">
        <f t="shared" si="20"/>
        <v>29.98</v>
      </c>
      <c r="T78" s="83" t="e">
        <f t="shared" si="8"/>
        <v>#DIV/0!</v>
      </c>
      <c r="U78" s="135"/>
      <c r="V78" s="135"/>
      <c r="W78" s="135"/>
      <c r="X78" s="135"/>
      <c r="Y78" s="136"/>
      <c r="Z78" s="50"/>
      <c r="AA78" s="50"/>
    </row>
    <row r="79" spans="1:27" ht="12.75" hidden="1" outlineLevel="1" x14ac:dyDescent="0.2">
      <c r="A79" s="50"/>
      <c r="B79" s="137"/>
      <c r="C79" s="70" t="s">
        <v>43</v>
      </c>
      <c r="D79" s="105">
        <v>39</v>
      </c>
      <c r="E79" s="75"/>
      <c r="F79" s="73">
        <v>0</v>
      </c>
      <c r="G79" s="73">
        <v>1</v>
      </c>
      <c r="H79" s="74">
        <f t="shared" si="0"/>
        <v>0</v>
      </c>
      <c r="I79" s="75" t="e">
        <f t="shared" si="1"/>
        <v>#DIV/0!</v>
      </c>
      <c r="J79" s="76" t="e">
        <f t="shared" si="2"/>
        <v>#DIV/0!</v>
      </c>
      <c r="K79" s="105">
        <v>13.25</v>
      </c>
      <c r="L79" s="73">
        <v>21425</v>
      </c>
      <c r="M79" s="73">
        <v>0</v>
      </c>
      <c r="N79" s="106">
        <v>0</v>
      </c>
      <c r="O79" s="79" t="e">
        <f t="shared" si="3"/>
        <v>#DIV/0!</v>
      </c>
      <c r="P79" s="80">
        <f t="shared" si="4"/>
        <v>0</v>
      </c>
      <c r="Q79" s="79">
        <f t="shared" si="5"/>
        <v>0.33974358974358976</v>
      </c>
      <c r="R79" s="81">
        <f t="shared" si="6"/>
        <v>0</v>
      </c>
      <c r="S79" s="107">
        <f t="shared" si="20"/>
        <v>39</v>
      </c>
      <c r="T79" s="83" t="e">
        <f t="shared" si="8"/>
        <v>#DIV/0!</v>
      </c>
      <c r="U79" s="135"/>
      <c r="V79" s="135"/>
      <c r="W79" s="135"/>
      <c r="X79" s="135"/>
      <c r="Y79" s="136"/>
      <c r="Z79" s="50"/>
      <c r="AA79" s="50"/>
    </row>
    <row r="80" spans="1:27" ht="12.75" hidden="1" outlineLevel="1" x14ac:dyDescent="0.2">
      <c r="A80" s="50"/>
      <c r="B80" s="137"/>
      <c r="C80" s="70" t="s">
        <v>44</v>
      </c>
      <c r="D80" s="108">
        <v>59.95</v>
      </c>
      <c r="E80" s="75"/>
      <c r="F80" s="73">
        <v>1</v>
      </c>
      <c r="G80" s="73">
        <v>1</v>
      </c>
      <c r="H80" s="74">
        <f t="shared" si="0"/>
        <v>1</v>
      </c>
      <c r="I80" s="75">
        <f t="shared" si="1"/>
        <v>59.95</v>
      </c>
      <c r="J80" s="76">
        <f t="shared" si="2"/>
        <v>59.95</v>
      </c>
      <c r="K80" s="108">
        <v>4.8499999999999996</v>
      </c>
      <c r="L80" s="73">
        <v>1339</v>
      </c>
      <c r="M80" s="73">
        <v>1</v>
      </c>
      <c r="N80" s="109">
        <v>59.95</v>
      </c>
      <c r="O80" s="79">
        <f t="shared" si="3"/>
        <v>8.0900750625521253E-2</v>
      </c>
      <c r="P80" s="80">
        <f t="shared" si="4"/>
        <v>12.360824742268044</v>
      </c>
      <c r="Q80" s="79">
        <f t="shared" si="5"/>
        <v>8.0900750625521253E-2</v>
      </c>
      <c r="R80" s="81">
        <f t="shared" si="6"/>
        <v>1</v>
      </c>
      <c r="S80" s="110">
        <f t="shared" si="20"/>
        <v>0</v>
      </c>
      <c r="T80" s="83">
        <f t="shared" si="8"/>
        <v>4.8499999999999996</v>
      </c>
      <c r="U80" s="135"/>
      <c r="V80" s="135"/>
      <c r="W80" s="135"/>
      <c r="X80" s="135"/>
      <c r="Y80" s="136"/>
      <c r="Z80" s="50"/>
      <c r="AA80" s="50"/>
    </row>
    <row r="81" spans="1:27" ht="12.75" hidden="1" outlineLevel="1" x14ac:dyDescent="0.2">
      <c r="A81" s="139"/>
      <c r="B81" s="137"/>
      <c r="C81" s="112" t="s">
        <v>45</v>
      </c>
      <c r="D81" s="71">
        <v>419.93</v>
      </c>
      <c r="E81" s="75"/>
      <c r="F81" s="73">
        <v>7</v>
      </c>
      <c r="G81" s="73">
        <v>6</v>
      </c>
      <c r="H81" s="74">
        <f t="shared" si="0"/>
        <v>1.1666666666666667</v>
      </c>
      <c r="I81" s="75">
        <f t="shared" si="1"/>
        <v>59.99</v>
      </c>
      <c r="J81" s="76">
        <f t="shared" si="2"/>
        <v>51.42</v>
      </c>
      <c r="K81" s="71">
        <v>0</v>
      </c>
      <c r="L81" s="73">
        <v>37401</v>
      </c>
      <c r="M81" s="73">
        <v>0</v>
      </c>
      <c r="N81" s="78">
        <v>251.72</v>
      </c>
      <c r="O81" s="79">
        <f t="shared" si="3"/>
        <v>0</v>
      </c>
      <c r="P81" s="80" t="e">
        <f t="shared" si="4"/>
        <v>#DIV/0!</v>
      </c>
      <c r="Q81" s="79">
        <f t="shared" si="5"/>
        <v>0</v>
      </c>
      <c r="R81" s="81">
        <f t="shared" si="6"/>
        <v>0.59943323887314548</v>
      </c>
      <c r="S81" s="82">
        <f t="shared" si="20"/>
        <v>168.21</v>
      </c>
      <c r="T81" s="83" t="e">
        <f t="shared" si="8"/>
        <v>#DIV/0!</v>
      </c>
      <c r="U81" s="140"/>
      <c r="V81" s="140"/>
      <c r="W81" s="140"/>
      <c r="X81" s="141"/>
      <c r="Y81" s="142"/>
      <c r="Z81" s="50"/>
      <c r="AA81" s="50"/>
    </row>
    <row r="82" spans="1:27" ht="12.75" hidden="1" outlineLevel="1" x14ac:dyDescent="0.2">
      <c r="A82" s="50"/>
      <c r="B82" s="137"/>
      <c r="C82" s="70" t="s">
        <v>46</v>
      </c>
      <c r="D82" s="116">
        <v>472.87</v>
      </c>
      <c r="E82" s="75"/>
      <c r="F82" s="73">
        <v>13</v>
      </c>
      <c r="G82" s="73">
        <v>13</v>
      </c>
      <c r="H82" s="74">
        <f t="shared" si="0"/>
        <v>1</v>
      </c>
      <c r="I82" s="75">
        <f t="shared" si="1"/>
        <v>36.374615384615382</v>
      </c>
      <c r="J82" s="76">
        <f t="shared" si="2"/>
        <v>36.374615384615382</v>
      </c>
      <c r="K82" s="116">
        <v>120.98</v>
      </c>
      <c r="L82" s="73">
        <v>0</v>
      </c>
      <c r="M82" s="73">
        <v>8</v>
      </c>
      <c r="N82" s="117">
        <v>0</v>
      </c>
      <c r="O82" s="79" t="e">
        <f t="shared" si="3"/>
        <v>#DIV/0!</v>
      </c>
      <c r="P82" s="80">
        <f t="shared" si="4"/>
        <v>0</v>
      </c>
      <c r="Q82" s="79">
        <f t="shared" si="5"/>
        <v>0.25584198616956033</v>
      </c>
      <c r="R82" s="81">
        <f t="shared" si="6"/>
        <v>0</v>
      </c>
      <c r="S82" s="82">
        <f t="shared" si="20"/>
        <v>472.87</v>
      </c>
      <c r="T82" s="83">
        <f t="shared" si="8"/>
        <v>15.1225</v>
      </c>
      <c r="U82" s="135"/>
      <c r="V82" s="135"/>
      <c r="W82" s="135"/>
      <c r="X82" s="135"/>
      <c r="Y82" s="136"/>
      <c r="Z82" s="50"/>
      <c r="AA82" s="50"/>
    </row>
    <row r="83" spans="1:27" ht="12.75" hidden="1" outlineLevel="1" x14ac:dyDescent="0.2">
      <c r="A83" s="118" t="str">
        <f t="shared" ref="A83:A84" si="21">IFERROR(IF(B83&gt;0,MONTH(B83)&amp;"-"&amp;YEAR(B83),B83),)</f>
        <v>1-2025</v>
      </c>
      <c r="B83" s="69">
        <v>45668</v>
      </c>
      <c r="C83" s="70" t="s">
        <v>49</v>
      </c>
      <c r="D83" s="116">
        <v>0</v>
      </c>
      <c r="E83" s="75"/>
      <c r="F83" s="73">
        <v>0</v>
      </c>
      <c r="G83" s="73">
        <v>0</v>
      </c>
      <c r="H83" s="74" t="e">
        <f t="shared" si="0"/>
        <v>#DIV/0!</v>
      </c>
      <c r="I83" s="75" t="e">
        <f t="shared" si="1"/>
        <v>#DIV/0!</v>
      </c>
      <c r="J83" s="76" t="e">
        <f t="shared" si="2"/>
        <v>#DIV/0!</v>
      </c>
      <c r="K83" s="116">
        <v>3.71</v>
      </c>
      <c r="L83" s="73">
        <v>6184</v>
      </c>
      <c r="M83" s="73">
        <v>0</v>
      </c>
      <c r="N83" s="117">
        <v>0</v>
      </c>
      <c r="O83" s="79" t="e">
        <f t="shared" si="3"/>
        <v>#DIV/0!</v>
      </c>
      <c r="P83" s="80">
        <f t="shared" si="4"/>
        <v>0</v>
      </c>
      <c r="Q83" s="79" t="e">
        <f t="shared" si="5"/>
        <v>#DIV/0!</v>
      </c>
      <c r="R83" s="81" t="e">
        <f t="shared" si="6"/>
        <v>#DIV/0!</v>
      </c>
      <c r="S83" s="82">
        <f t="shared" si="20"/>
        <v>0</v>
      </c>
      <c r="T83" s="83" t="e">
        <f t="shared" si="8"/>
        <v>#DIV/0!</v>
      </c>
      <c r="U83" s="135"/>
      <c r="V83" s="135"/>
      <c r="W83" s="135"/>
      <c r="X83" s="135"/>
      <c r="Y83" s="136"/>
      <c r="Z83" s="50"/>
      <c r="AA83" s="50"/>
    </row>
    <row r="84" spans="1:27" ht="12.75" collapsed="1" x14ac:dyDescent="0.2">
      <c r="A84" s="139">
        <f t="shared" si="21"/>
        <v>0</v>
      </c>
      <c r="B84" s="206" t="s">
        <v>130</v>
      </c>
      <c r="C84" s="207"/>
      <c r="D84" s="208">
        <f>SUM(D67:D83)</f>
        <v>14703.970000000003</v>
      </c>
      <c r="E84" s="211"/>
      <c r="F84" s="209">
        <f t="shared" ref="F84:G84" si="22">SUM(F67:F83)</f>
        <v>134</v>
      </c>
      <c r="G84" s="209">
        <f t="shared" si="22"/>
        <v>141</v>
      </c>
      <c r="H84" s="210">
        <f t="shared" si="0"/>
        <v>0.95035460992907805</v>
      </c>
      <c r="I84" s="211">
        <f t="shared" si="1"/>
        <v>109.7311194029851</v>
      </c>
      <c r="J84" s="212">
        <f t="shared" si="2"/>
        <v>115.46334205836492</v>
      </c>
      <c r="K84" s="213">
        <f t="shared" ref="K84:N84" si="23">SUM(K67:K83)</f>
        <v>970.12</v>
      </c>
      <c r="L84" s="209">
        <f t="shared" si="23"/>
        <v>340522</v>
      </c>
      <c r="M84" s="209">
        <f t="shared" si="23"/>
        <v>54</v>
      </c>
      <c r="N84" s="208">
        <f t="shared" si="23"/>
        <v>3860.1999999999994</v>
      </c>
      <c r="O84" s="214">
        <f t="shared" si="3"/>
        <v>0.25131340345059844</v>
      </c>
      <c r="P84" s="215">
        <f t="shared" si="4"/>
        <v>3.9790953696449916</v>
      </c>
      <c r="Q84" s="214">
        <f t="shared" si="5"/>
        <v>6.5976739615219548E-2</v>
      </c>
      <c r="R84" s="216">
        <f t="shared" si="6"/>
        <v>0.2625277391071934</v>
      </c>
      <c r="S84" s="217">
        <f>SUM(S67:S83)</f>
        <v>10843.769999999999</v>
      </c>
      <c r="T84" s="218">
        <f t="shared" si="8"/>
        <v>17.965185185185184</v>
      </c>
      <c r="U84" s="219">
        <f>IFERROR((D84-#REF!)/D84,)</f>
        <v>0</v>
      </c>
      <c r="V84" s="219">
        <f>IFERROR((F84-#REF!)/F84,)</f>
        <v>0</v>
      </c>
      <c r="W84" s="220">
        <f>IFERROR((D84-[1]monthly_reporting_2021!E49)/D84, )</f>
        <v>0</v>
      </c>
      <c r="X84" s="221">
        <f>IFERROR((F84-[1]monthly_reporting_2021!F49)/F84, )</f>
        <v>0</v>
      </c>
      <c r="Y84" s="50"/>
      <c r="Z84" s="50"/>
      <c r="AA84" s="50"/>
    </row>
    <row r="85" spans="1:27" ht="12.75" hidden="1" outlineLevel="1" x14ac:dyDescent="0.2">
      <c r="A85" s="50"/>
      <c r="B85" s="69">
        <v>45669</v>
      </c>
      <c r="C85" s="70" t="s">
        <v>32</v>
      </c>
      <c r="D85" s="71">
        <v>10610.64</v>
      </c>
      <c r="E85" s="75"/>
      <c r="F85" s="73">
        <v>26</v>
      </c>
      <c r="G85" s="73">
        <v>31</v>
      </c>
      <c r="H85" s="74">
        <f t="shared" si="0"/>
        <v>0.83870967741935487</v>
      </c>
      <c r="I85" s="75">
        <f t="shared" si="1"/>
        <v>408.10153846153844</v>
      </c>
      <c r="J85" s="76">
        <f t="shared" si="2"/>
        <v>486.5826035502958</v>
      </c>
      <c r="K85" s="77">
        <v>89.05</v>
      </c>
      <c r="L85" s="73">
        <v>25999</v>
      </c>
      <c r="M85" s="73">
        <v>10</v>
      </c>
      <c r="N85" s="78">
        <v>2795.9</v>
      </c>
      <c r="O85" s="79">
        <f t="shared" si="3"/>
        <v>3.1850209234951174E-2</v>
      </c>
      <c r="P85" s="80">
        <f t="shared" si="4"/>
        <v>31.396967995508142</v>
      </c>
      <c r="Q85" s="79">
        <f t="shared" si="5"/>
        <v>8.39251920713548E-3</v>
      </c>
      <c r="R85" s="81">
        <f t="shared" si="6"/>
        <v>0.26349965694812</v>
      </c>
      <c r="S85" s="82">
        <f t="shared" ref="S85:S101" si="24">D85-N85</f>
        <v>7814.74</v>
      </c>
      <c r="T85" s="83">
        <f t="shared" si="8"/>
        <v>8.9049999999999994</v>
      </c>
      <c r="U85" s="135"/>
      <c r="V85" s="135"/>
      <c r="W85" s="135"/>
      <c r="X85" s="135"/>
      <c r="Y85" s="136"/>
      <c r="Z85" s="50"/>
      <c r="AA85" s="50"/>
    </row>
    <row r="86" spans="1:27" ht="12.75" hidden="1" outlineLevel="1" x14ac:dyDescent="0.2">
      <c r="A86" s="50"/>
      <c r="B86" s="137"/>
      <c r="C86" s="70" t="s">
        <v>33</v>
      </c>
      <c r="D86" s="87">
        <v>-422.05</v>
      </c>
      <c r="E86" s="75"/>
      <c r="F86" s="73">
        <v>14</v>
      </c>
      <c r="G86" s="73">
        <v>20</v>
      </c>
      <c r="H86" s="74">
        <f t="shared" si="0"/>
        <v>0.7</v>
      </c>
      <c r="I86" s="75">
        <f t="shared" si="1"/>
        <v>-30.146428571428572</v>
      </c>
      <c r="J86" s="76">
        <f t="shared" si="2"/>
        <v>-43.066326530612251</v>
      </c>
      <c r="K86" s="87">
        <v>129.86000000000001</v>
      </c>
      <c r="L86" s="73">
        <v>35081</v>
      </c>
      <c r="M86" s="73">
        <v>1</v>
      </c>
      <c r="N86" s="88">
        <v>0</v>
      </c>
      <c r="O86" s="79" t="e">
        <f t="shared" si="3"/>
        <v>#DIV/0!</v>
      </c>
      <c r="P86" s="80">
        <f t="shared" si="4"/>
        <v>0</v>
      </c>
      <c r="Q86" s="79">
        <f t="shared" si="5"/>
        <v>-0.30768866248074878</v>
      </c>
      <c r="R86" s="81">
        <f t="shared" si="6"/>
        <v>0</v>
      </c>
      <c r="S86" s="89">
        <f t="shared" si="24"/>
        <v>-422.05</v>
      </c>
      <c r="T86" s="83">
        <f t="shared" si="8"/>
        <v>129.86000000000001</v>
      </c>
      <c r="U86" s="135"/>
      <c r="V86" s="135"/>
      <c r="W86" s="135"/>
      <c r="X86" s="135"/>
      <c r="Y86" s="136"/>
      <c r="Z86" s="50"/>
      <c r="AA86" s="50"/>
    </row>
    <row r="87" spans="1:27" ht="12.75" hidden="1" outlineLevel="1" x14ac:dyDescent="0.2">
      <c r="A87" s="50"/>
      <c r="B87" s="137"/>
      <c r="C87" s="70" t="s">
        <v>34</v>
      </c>
      <c r="D87" s="90">
        <v>0</v>
      </c>
      <c r="E87" s="75"/>
      <c r="F87" s="73">
        <v>0</v>
      </c>
      <c r="G87" s="73">
        <v>0</v>
      </c>
      <c r="H87" s="74" t="e">
        <f t="shared" si="0"/>
        <v>#DIV/0!</v>
      </c>
      <c r="I87" s="75" t="e">
        <f t="shared" si="1"/>
        <v>#DIV/0!</v>
      </c>
      <c r="J87" s="76" t="e">
        <f t="shared" si="2"/>
        <v>#DIV/0!</v>
      </c>
      <c r="K87" s="90">
        <v>0</v>
      </c>
      <c r="L87" s="73">
        <v>0</v>
      </c>
      <c r="M87" s="73">
        <v>0</v>
      </c>
      <c r="N87" s="91">
        <v>0</v>
      </c>
      <c r="O87" s="79" t="e">
        <f t="shared" si="3"/>
        <v>#DIV/0!</v>
      </c>
      <c r="P87" s="80" t="e">
        <f t="shared" si="4"/>
        <v>#DIV/0!</v>
      </c>
      <c r="Q87" s="79" t="e">
        <f t="shared" si="5"/>
        <v>#DIV/0!</v>
      </c>
      <c r="R87" s="81" t="e">
        <f t="shared" si="6"/>
        <v>#DIV/0!</v>
      </c>
      <c r="S87" s="92">
        <f t="shared" si="24"/>
        <v>0</v>
      </c>
      <c r="T87" s="83" t="e">
        <f t="shared" si="8"/>
        <v>#DIV/0!</v>
      </c>
      <c r="U87" s="135"/>
      <c r="V87" s="135"/>
      <c r="W87" s="135"/>
      <c r="X87" s="135"/>
      <c r="Y87" s="136"/>
      <c r="Z87" s="50"/>
      <c r="AA87" s="50"/>
    </row>
    <row r="88" spans="1:27" ht="12.75" hidden="1" outlineLevel="1" x14ac:dyDescent="0.2">
      <c r="A88" s="50"/>
      <c r="B88" s="137"/>
      <c r="C88" s="70" t="s">
        <v>35</v>
      </c>
      <c r="D88" s="90">
        <v>251.8</v>
      </c>
      <c r="E88" s="75"/>
      <c r="F88" s="73">
        <v>4</v>
      </c>
      <c r="G88" s="73">
        <v>2</v>
      </c>
      <c r="H88" s="74">
        <f t="shared" si="0"/>
        <v>2</v>
      </c>
      <c r="I88" s="75">
        <f t="shared" si="1"/>
        <v>62.95</v>
      </c>
      <c r="J88" s="76">
        <f t="shared" si="2"/>
        <v>31.475000000000001</v>
      </c>
      <c r="K88" s="90">
        <v>0</v>
      </c>
      <c r="L88" s="73">
        <v>0</v>
      </c>
      <c r="M88" s="73">
        <v>0</v>
      </c>
      <c r="N88" s="91">
        <v>0</v>
      </c>
      <c r="O88" s="79" t="e">
        <f t="shared" si="3"/>
        <v>#DIV/0!</v>
      </c>
      <c r="P88" s="80" t="e">
        <f t="shared" si="4"/>
        <v>#DIV/0!</v>
      </c>
      <c r="Q88" s="79">
        <f t="shared" si="5"/>
        <v>0</v>
      </c>
      <c r="R88" s="81">
        <f t="shared" si="6"/>
        <v>0</v>
      </c>
      <c r="S88" s="92">
        <f t="shared" si="24"/>
        <v>251.8</v>
      </c>
      <c r="T88" s="83" t="e">
        <f t="shared" si="8"/>
        <v>#DIV/0!</v>
      </c>
      <c r="U88" s="135"/>
      <c r="V88" s="135"/>
      <c r="W88" s="135"/>
      <c r="X88" s="135"/>
      <c r="Y88" s="136"/>
      <c r="Z88" s="50"/>
      <c r="AA88" s="50"/>
    </row>
    <row r="89" spans="1:27" ht="12.75" hidden="1" outlineLevel="1" x14ac:dyDescent="0.2">
      <c r="A89" s="50"/>
      <c r="B89" s="137"/>
      <c r="C89" s="70" t="s">
        <v>62</v>
      </c>
      <c r="D89" s="200">
        <v>0</v>
      </c>
      <c r="E89" s="75"/>
      <c r="F89" s="73">
        <v>0</v>
      </c>
      <c r="G89" s="73">
        <v>0</v>
      </c>
      <c r="H89" s="74" t="e">
        <f t="shared" si="0"/>
        <v>#DIV/0!</v>
      </c>
      <c r="I89" s="75" t="e">
        <f t="shared" si="1"/>
        <v>#DIV/0!</v>
      </c>
      <c r="J89" s="76" t="e">
        <f t="shared" si="2"/>
        <v>#DIV/0!</v>
      </c>
      <c r="K89" s="200">
        <v>0</v>
      </c>
      <c r="L89" s="73">
        <v>0</v>
      </c>
      <c r="M89" s="73">
        <v>0</v>
      </c>
      <c r="N89" s="200">
        <v>0</v>
      </c>
      <c r="O89" s="79" t="e">
        <f t="shared" si="3"/>
        <v>#DIV/0!</v>
      </c>
      <c r="P89" s="80" t="e">
        <f t="shared" si="4"/>
        <v>#DIV/0!</v>
      </c>
      <c r="Q89" s="79" t="e">
        <f t="shared" si="5"/>
        <v>#DIV/0!</v>
      </c>
      <c r="R89" s="81" t="e">
        <f t="shared" si="6"/>
        <v>#DIV/0!</v>
      </c>
      <c r="S89" s="92">
        <f t="shared" si="24"/>
        <v>0</v>
      </c>
      <c r="T89" s="83" t="e">
        <f t="shared" si="8"/>
        <v>#DIV/0!</v>
      </c>
      <c r="U89" s="135"/>
      <c r="V89" s="135"/>
      <c r="W89" s="135"/>
      <c r="X89" s="135"/>
      <c r="Y89" s="136"/>
      <c r="Z89" s="50"/>
      <c r="AA89" s="50"/>
    </row>
    <row r="90" spans="1:27" ht="12.75" hidden="1" outlineLevel="1" x14ac:dyDescent="0.2">
      <c r="A90" s="50"/>
      <c r="B90" s="137"/>
      <c r="C90" s="70" t="s">
        <v>66</v>
      </c>
      <c r="D90" s="201">
        <v>0</v>
      </c>
      <c r="E90" s="75"/>
      <c r="F90" s="73">
        <v>0</v>
      </c>
      <c r="G90" s="73">
        <v>0</v>
      </c>
      <c r="H90" s="74" t="e">
        <f t="shared" si="0"/>
        <v>#DIV/0!</v>
      </c>
      <c r="I90" s="75" t="e">
        <f t="shared" si="1"/>
        <v>#DIV/0!</v>
      </c>
      <c r="J90" s="76" t="e">
        <f t="shared" si="2"/>
        <v>#DIV/0!</v>
      </c>
      <c r="K90" s="201">
        <v>2.13</v>
      </c>
      <c r="L90" s="73">
        <v>1611</v>
      </c>
      <c r="M90" s="73">
        <v>0</v>
      </c>
      <c r="N90" s="202">
        <v>0</v>
      </c>
      <c r="O90" s="79" t="e">
        <f t="shared" si="3"/>
        <v>#DIV/0!</v>
      </c>
      <c r="P90" s="80">
        <f t="shared" si="4"/>
        <v>0</v>
      </c>
      <c r="Q90" s="79" t="e">
        <f t="shared" si="5"/>
        <v>#DIV/0!</v>
      </c>
      <c r="R90" s="81" t="e">
        <f t="shared" si="6"/>
        <v>#DIV/0!</v>
      </c>
      <c r="S90" s="203">
        <f t="shared" si="24"/>
        <v>0</v>
      </c>
      <c r="T90" s="83" t="e">
        <f t="shared" si="8"/>
        <v>#DIV/0!</v>
      </c>
      <c r="U90" s="135"/>
      <c r="V90" s="135"/>
      <c r="W90" s="135"/>
      <c r="X90" s="135"/>
      <c r="Y90" s="136"/>
      <c r="Z90" s="50"/>
      <c r="AA90" s="50"/>
    </row>
    <row r="91" spans="1:27" ht="12.75" hidden="1" outlineLevel="1" x14ac:dyDescent="0.2">
      <c r="A91" s="50"/>
      <c r="B91" s="137"/>
      <c r="C91" s="70" t="s">
        <v>36</v>
      </c>
      <c r="D91" s="90">
        <v>569.83000000000004</v>
      </c>
      <c r="E91" s="75"/>
      <c r="F91" s="73">
        <v>9</v>
      </c>
      <c r="G91" s="73">
        <v>9</v>
      </c>
      <c r="H91" s="74">
        <f t="shared" si="0"/>
        <v>1</v>
      </c>
      <c r="I91" s="75">
        <f t="shared" si="1"/>
        <v>63.314444444444447</v>
      </c>
      <c r="J91" s="76">
        <f t="shared" si="2"/>
        <v>63.314444444444447</v>
      </c>
      <c r="K91" s="90">
        <v>302.45999999999998</v>
      </c>
      <c r="L91" s="73">
        <v>6203</v>
      </c>
      <c r="M91" s="73">
        <v>1</v>
      </c>
      <c r="N91" s="91">
        <v>69.95</v>
      </c>
      <c r="O91" s="79">
        <f t="shared" si="3"/>
        <v>4.323945675482487</v>
      </c>
      <c r="P91" s="80">
        <f t="shared" si="4"/>
        <v>0.23127025061165116</v>
      </c>
      <c r="Q91" s="79">
        <f t="shared" si="5"/>
        <v>0.53078988470245503</v>
      </c>
      <c r="R91" s="81">
        <f t="shared" si="6"/>
        <v>0.1227559096572662</v>
      </c>
      <c r="S91" s="92">
        <f t="shared" si="24"/>
        <v>499.88000000000005</v>
      </c>
      <c r="T91" s="83">
        <f t="shared" si="8"/>
        <v>302.45999999999998</v>
      </c>
      <c r="U91" s="135"/>
      <c r="V91" s="135"/>
      <c r="W91" s="135"/>
      <c r="X91" s="135"/>
      <c r="Y91" s="136"/>
      <c r="Z91" s="50"/>
      <c r="AA91" s="50"/>
    </row>
    <row r="92" spans="1:27" ht="12.75" hidden="1" outlineLevel="1" x14ac:dyDescent="0.2">
      <c r="A92" s="50"/>
      <c r="B92" s="69" t="s">
        <v>37</v>
      </c>
      <c r="C92" s="70" t="s">
        <v>38</v>
      </c>
      <c r="D92" s="93">
        <v>1344.93</v>
      </c>
      <c r="E92" s="75"/>
      <c r="F92" s="73">
        <v>27</v>
      </c>
      <c r="G92" s="73">
        <v>26</v>
      </c>
      <c r="H92" s="74">
        <f t="shared" si="0"/>
        <v>1.0384615384615385</v>
      </c>
      <c r="I92" s="75">
        <f t="shared" si="1"/>
        <v>49.812222222222225</v>
      </c>
      <c r="J92" s="76">
        <f t="shared" si="2"/>
        <v>47.967325102880658</v>
      </c>
      <c r="K92" s="93">
        <v>153.1</v>
      </c>
      <c r="L92" s="73">
        <v>17899</v>
      </c>
      <c r="M92" s="73">
        <v>8</v>
      </c>
      <c r="N92" s="94">
        <v>249.74</v>
      </c>
      <c r="O92" s="79">
        <f t="shared" si="3"/>
        <v>0.61303755906142388</v>
      </c>
      <c r="P92" s="80">
        <f t="shared" si="4"/>
        <v>1.6312214239059439</v>
      </c>
      <c r="Q92" s="79">
        <f t="shared" si="5"/>
        <v>0.11383492077654599</v>
      </c>
      <c r="R92" s="81">
        <f t="shared" si="6"/>
        <v>0.18568996155933765</v>
      </c>
      <c r="S92" s="95">
        <f t="shared" si="24"/>
        <v>1095.19</v>
      </c>
      <c r="T92" s="83">
        <f t="shared" si="8"/>
        <v>19.137499999999999</v>
      </c>
      <c r="U92" s="135"/>
      <c r="V92" s="135"/>
      <c r="W92" s="135"/>
      <c r="X92" s="135"/>
      <c r="Y92" s="136"/>
      <c r="Z92" s="50"/>
      <c r="AA92" s="50"/>
    </row>
    <row r="93" spans="1:27" ht="12.75" hidden="1" outlineLevel="1" x14ac:dyDescent="0.2">
      <c r="A93" s="50"/>
      <c r="B93" s="137"/>
      <c r="C93" s="70" t="s">
        <v>39</v>
      </c>
      <c r="D93" s="96">
        <v>0</v>
      </c>
      <c r="E93" s="75"/>
      <c r="F93" s="73">
        <v>0</v>
      </c>
      <c r="G93" s="73">
        <v>0</v>
      </c>
      <c r="H93" s="74" t="e">
        <f t="shared" si="0"/>
        <v>#DIV/0!</v>
      </c>
      <c r="I93" s="75" t="e">
        <f t="shared" si="1"/>
        <v>#DIV/0!</v>
      </c>
      <c r="J93" s="76" t="e">
        <f t="shared" si="2"/>
        <v>#DIV/0!</v>
      </c>
      <c r="K93" s="96">
        <v>73.569999999999993</v>
      </c>
      <c r="L93" s="73">
        <v>99519</v>
      </c>
      <c r="M93" s="73">
        <v>0</v>
      </c>
      <c r="N93" s="97">
        <v>0</v>
      </c>
      <c r="O93" s="79" t="e">
        <f t="shared" si="3"/>
        <v>#DIV/0!</v>
      </c>
      <c r="P93" s="80">
        <f t="shared" si="4"/>
        <v>0</v>
      </c>
      <c r="Q93" s="79" t="e">
        <f t="shared" si="5"/>
        <v>#DIV/0!</v>
      </c>
      <c r="R93" s="81" t="e">
        <f t="shared" si="6"/>
        <v>#DIV/0!</v>
      </c>
      <c r="S93" s="98">
        <f t="shared" si="24"/>
        <v>0</v>
      </c>
      <c r="T93" s="83" t="e">
        <f t="shared" si="8"/>
        <v>#DIV/0!</v>
      </c>
      <c r="U93" s="135"/>
      <c r="V93" s="135"/>
      <c r="W93" s="135"/>
      <c r="X93" s="135"/>
      <c r="Y93" s="136"/>
      <c r="Z93" s="50"/>
      <c r="AA93" s="50"/>
    </row>
    <row r="94" spans="1:27" ht="12.75" hidden="1" outlineLevel="1" x14ac:dyDescent="0.2">
      <c r="A94" s="50"/>
      <c r="B94" s="137"/>
      <c r="C94" s="70" t="s">
        <v>40</v>
      </c>
      <c r="D94" s="99">
        <v>54.95</v>
      </c>
      <c r="E94" s="75"/>
      <c r="F94" s="73">
        <v>1</v>
      </c>
      <c r="G94" s="73">
        <v>1</v>
      </c>
      <c r="H94" s="74">
        <f t="shared" si="0"/>
        <v>1</v>
      </c>
      <c r="I94" s="75">
        <f t="shared" si="1"/>
        <v>54.95</v>
      </c>
      <c r="J94" s="76">
        <f t="shared" si="2"/>
        <v>54.95</v>
      </c>
      <c r="K94" s="99">
        <v>0</v>
      </c>
      <c r="L94" s="73">
        <v>0</v>
      </c>
      <c r="M94" s="73">
        <v>0</v>
      </c>
      <c r="N94" s="100">
        <v>0</v>
      </c>
      <c r="O94" s="79" t="e">
        <f t="shared" si="3"/>
        <v>#DIV/0!</v>
      </c>
      <c r="P94" s="80" t="e">
        <f t="shared" si="4"/>
        <v>#DIV/0!</v>
      </c>
      <c r="Q94" s="79">
        <f t="shared" si="5"/>
        <v>0</v>
      </c>
      <c r="R94" s="81">
        <f t="shared" si="6"/>
        <v>0</v>
      </c>
      <c r="S94" s="101">
        <f t="shared" si="24"/>
        <v>54.95</v>
      </c>
      <c r="T94" s="83" t="e">
        <f t="shared" si="8"/>
        <v>#DIV/0!</v>
      </c>
      <c r="U94" s="135"/>
      <c r="V94" s="135"/>
      <c r="W94" s="135"/>
      <c r="X94" s="135"/>
      <c r="Y94" s="136"/>
      <c r="Z94" s="50"/>
      <c r="AA94" s="50"/>
    </row>
    <row r="95" spans="1:27" ht="12.75" hidden="1" outlineLevel="1" x14ac:dyDescent="0.2">
      <c r="A95" s="50"/>
      <c r="B95" s="137"/>
      <c r="C95" s="70" t="s">
        <v>41</v>
      </c>
      <c r="D95" s="102">
        <v>613.44000000000005</v>
      </c>
      <c r="E95" s="75"/>
      <c r="F95" s="73">
        <v>15</v>
      </c>
      <c r="G95" s="73">
        <v>16</v>
      </c>
      <c r="H95" s="74">
        <f t="shared" si="0"/>
        <v>0.9375</v>
      </c>
      <c r="I95" s="75">
        <f t="shared" si="1"/>
        <v>40.896000000000001</v>
      </c>
      <c r="J95" s="76">
        <f t="shared" si="2"/>
        <v>43.622399999999999</v>
      </c>
      <c r="K95" s="102">
        <v>39.18</v>
      </c>
      <c r="L95" s="73">
        <v>5351</v>
      </c>
      <c r="M95" s="73">
        <v>8</v>
      </c>
      <c r="N95" s="103">
        <v>524</v>
      </c>
      <c r="O95" s="79">
        <f t="shared" si="3"/>
        <v>7.4770992366412214E-2</v>
      </c>
      <c r="P95" s="80">
        <f t="shared" si="4"/>
        <v>13.374170495150587</v>
      </c>
      <c r="Q95" s="79">
        <f t="shared" si="5"/>
        <v>6.3869327073552418E-2</v>
      </c>
      <c r="R95" s="81">
        <f t="shared" si="6"/>
        <v>0.85419926969222737</v>
      </c>
      <c r="S95" s="104">
        <f t="shared" si="24"/>
        <v>89.440000000000055</v>
      </c>
      <c r="T95" s="83">
        <f t="shared" si="8"/>
        <v>4.8975</v>
      </c>
      <c r="U95" s="135"/>
      <c r="V95" s="135"/>
      <c r="W95" s="135"/>
      <c r="X95" s="135"/>
      <c r="Y95" s="136"/>
      <c r="Z95" s="50"/>
      <c r="AA95" s="50"/>
    </row>
    <row r="96" spans="1:27" ht="12.75" hidden="1" outlineLevel="1" x14ac:dyDescent="0.2">
      <c r="A96" s="50"/>
      <c r="B96" s="137"/>
      <c r="C96" s="70" t="s">
        <v>42</v>
      </c>
      <c r="D96" s="90">
        <v>49.95</v>
      </c>
      <c r="E96" s="75"/>
      <c r="F96" s="73">
        <v>5</v>
      </c>
      <c r="G96" s="73">
        <v>4</v>
      </c>
      <c r="H96" s="74">
        <f t="shared" si="0"/>
        <v>1.25</v>
      </c>
      <c r="I96" s="75">
        <f t="shared" si="1"/>
        <v>9.99</v>
      </c>
      <c r="J96" s="76">
        <f t="shared" si="2"/>
        <v>7.992</v>
      </c>
      <c r="K96" s="90">
        <v>9.31</v>
      </c>
      <c r="L96" s="73">
        <v>24144</v>
      </c>
      <c r="M96" s="73">
        <v>2</v>
      </c>
      <c r="N96" s="91">
        <v>19.989999999999998</v>
      </c>
      <c r="O96" s="79">
        <f t="shared" si="3"/>
        <v>0.46573286643321665</v>
      </c>
      <c r="P96" s="80">
        <f t="shared" si="4"/>
        <v>2.1471535982814176</v>
      </c>
      <c r="Q96" s="79">
        <f t="shared" si="5"/>
        <v>0.18638638638638638</v>
      </c>
      <c r="R96" s="81">
        <f t="shared" si="6"/>
        <v>0.40020020020020014</v>
      </c>
      <c r="S96" s="92">
        <f t="shared" si="24"/>
        <v>29.960000000000004</v>
      </c>
      <c r="T96" s="83">
        <f t="shared" si="8"/>
        <v>4.6550000000000002</v>
      </c>
      <c r="U96" s="135"/>
      <c r="V96" s="135"/>
      <c r="W96" s="135"/>
      <c r="X96" s="135"/>
      <c r="Y96" s="136"/>
      <c r="Z96" s="50"/>
      <c r="AA96" s="50"/>
    </row>
    <row r="97" spans="1:27" ht="12.75" hidden="1" outlineLevel="1" x14ac:dyDescent="0.2">
      <c r="A97" s="50"/>
      <c r="B97" s="137"/>
      <c r="C97" s="70" t="s">
        <v>43</v>
      </c>
      <c r="D97" s="105">
        <v>344</v>
      </c>
      <c r="E97" s="75"/>
      <c r="F97" s="73">
        <v>2</v>
      </c>
      <c r="G97" s="73">
        <v>2</v>
      </c>
      <c r="H97" s="74">
        <f t="shared" si="0"/>
        <v>1</v>
      </c>
      <c r="I97" s="75">
        <f t="shared" si="1"/>
        <v>172</v>
      </c>
      <c r="J97" s="76">
        <f t="shared" si="2"/>
        <v>172</v>
      </c>
      <c r="K97" s="105">
        <v>16.25</v>
      </c>
      <c r="L97" s="73">
        <v>21537</v>
      </c>
      <c r="M97" s="73">
        <v>1</v>
      </c>
      <c r="N97" s="106">
        <v>195</v>
      </c>
      <c r="O97" s="79">
        <f t="shared" si="3"/>
        <v>8.3333333333333329E-2</v>
      </c>
      <c r="P97" s="80">
        <f t="shared" si="4"/>
        <v>12</v>
      </c>
      <c r="Q97" s="79">
        <f t="shared" si="5"/>
        <v>4.7238372093023256E-2</v>
      </c>
      <c r="R97" s="81">
        <f t="shared" si="6"/>
        <v>0.56686046511627908</v>
      </c>
      <c r="S97" s="107">
        <f t="shared" si="24"/>
        <v>149</v>
      </c>
      <c r="T97" s="83">
        <f t="shared" si="8"/>
        <v>16.25</v>
      </c>
      <c r="U97" s="135"/>
      <c r="V97" s="135"/>
      <c r="W97" s="135"/>
      <c r="X97" s="135"/>
      <c r="Y97" s="136"/>
      <c r="Z97" s="50"/>
      <c r="AA97" s="50"/>
    </row>
    <row r="98" spans="1:27" ht="12.75" hidden="1" outlineLevel="1" x14ac:dyDescent="0.2">
      <c r="A98" s="50"/>
      <c r="B98" s="137"/>
      <c r="C98" s="70" t="s">
        <v>44</v>
      </c>
      <c r="D98" s="108">
        <v>0</v>
      </c>
      <c r="E98" s="75"/>
      <c r="F98" s="73">
        <v>0</v>
      </c>
      <c r="G98" s="73">
        <v>0</v>
      </c>
      <c r="H98" s="74" t="e">
        <f t="shared" si="0"/>
        <v>#DIV/0!</v>
      </c>
      <c r="I98" s="75" t="e">
        <f t="shared" si="1"/>
        <v>#DIV/0!</v>
      </c>
      <c r="J98" s="76" t="e">
        <f t="shared" si="2"/>
        <v>#DIV/0!</v>
      </c>
      <c r="K98" s="108">
        <v>1.89</v>
      </c>
      <c r="L98" s="73">
        <v>1230</v>
      </c>
      <c r="M98" s="73">
        <v>0</v>
      </c>
      <c r="N98" s="109">
        <v>0</v>
      </c>
      <c r="O98" s="79" t="e">
        <f t="shared" si="3"/>
        <v>#DIV/0!</v>
      </c>
      <c r="P98" s="80">
        <f t="shared" si="4"/>
        <v>0</v>
      </c>
      <c r="Q98" s="79" t="e">
        <f t="shared" si="5"/>
        <v>#DIV/0!</v>
      </c>
      <c r="R98" s="81" t="e">
        <f t="shared" si="6"/>
        <v>#DIV/0!</v>
      </c>
      <c r="S98" s="110">
        <f t="shared" si="24"/>
        <v>0</v>
      </c>
      <c r="T98" s="83" t="e">
        <f t="shared" si="8"/>
        <v>#DIV/0!</v>
      </c>
      <c r="U98" s="135"/>
      <c r="V98" s="135"/>
      <c r="W98" s="135"/>
      <c r="X98" s="135"/>
      <c r="Y98" s="136"/>
      <c r="Z98" s="50"/>
      <c r="AA98" s="50"/>
    </row>
    <row r="99" spans="1:27" ht="12.75" hidden="1" outlineLevel="1" x14ac:dyDescent="0.2">
      <c r="A99" s="139"/>
      <c r="B99" s="137"/>
      <c r="C99" s="112" t="s">
        <v>45</v>
      </c>
      <c r="D99" s="71">
        <v>0</v>
      </c>
      <c r="E99" s="75"/>
      <c r="F99" s="73">
        <v>0</v>
      </c>
      <c r="G99" s="73">
        <v>0</v>
      </c>
      <c r="H99" s="74" t="e">
        <f t="shared" si="0"/>
        <v>#DIV/0!</v>
      </c>
      <c r="I99" s="75" t="e">
        <f t="shared" si="1"/>
        <v>#DIV/0!</v>
      </c>
      <c r="J99" s="76" t="e">
        <f t="shared" si="2"/>
        <v>#DIV/0!</v>
      </c>
      <c r="K99" s="71">
        <v>0</v>
      </c>
      <c r="L99" s="73">
        <v>0</v>
      </c>
      <c r="M99" s="73">
        <v>0</v>
      </c>
      <c r="N99" s="78">
        <v>0</v>
      </c>
      <c r="O99" s="79" t="e">
        <f t="shared" si="3"/>
        <v>#DIV/0!</v>
      </c>
      <c r="P99" s="80" t="e">
        <f t="shared" si="4"/>
        <v>#DIV/0!</v>
      </c>
      <c r="Q99" s="79" t="e">
        <f t="shared" si="5"/>
        <v>#DIV/0!</v>
      </c>
      <c r="R99" s="81" t="e">
        <f t="shared" si="6"/>
        <v>#DIV/0!</v>
      </c>
      <c r="S99" s="82">
        <f t="shared" si="24"/>
        <v>0</v>
      </c>
      <c r="T99" s="83" t="e">
        <f t="shared" si="8"/>
        <v>#DIV/0!</v>
      </c>
      <c r="U99" s="140"/>
      <c r="V99" s="140"/>
      <c r="W99" s="140"/>
      <c r="X99" s="141"/>
      <c r="Y99" s="142"/>
      <c r="Z99" s="50"/>
      <c r="AA99" s="50"/>
    </row>
    <row r="100" spans="1:27" ht="12.75" hidden="1" outlineLevel="1" x14ac:dyDescent="0.2">
      <c r="A100" s="50"/>
      <c r="B100" s="137"/>
      <c r="C100" s="70" t="s">
        <v>46</v>
      </c>
      <c r="D100" s="116">
        <v>940.35</v>
      </c>
      <c r="E100" s="75"/>
      <c r="F100" s="73">
        <v>26</v>
      </c>
      <c r="G100" s="73">
        <v>25</v>
      </c>
      <c r="H100" s="74">
        <f t="shared" si="0"/>
        <v>1.04</v>
      </c>
      <c r="I100" s="75">
        <f t="shared" si="1"/>
        <v>36.167307692307695</v>
      </c>
      <c r="J100" s="76">
        <f t="shared" si="2"/>
        <v>34.776257396449708</v>
      </c>
      <c r="K100" s="116">
        <v>111.95</v>
      </c>
      <c r="L100" s="73">
        <v>38466</v>
      </c>
      <c r="M100" s="73">
        <v>14</v>
      </c>
      <c r="N100" s="117">
        <v>323.64</v>
      </c>
      <c r="O100" s="79">
        <f t="shared" si="3"/>
        <v>0.34590903472994688</v>
      </c>
      <c r="P100" s="80">
        <f t="shared" si="4"/>
        <v>2.8909334524341221</v>
      </c>
      <c r="Q100" s="79">
        <f t="shared" si="5"/>
        <v>0.11905141702557559</v>
      </c>
      <c r="R100" s="81">
        <f t="shared" si="6"/>
        <v>0.34416972403892165</v>
      </c>
      <c r="S100" s="82">
        <f t="shared" si="24"/>
        <v>616.71</v>
      </c>
      <c r="T100" s="83">
        <f t="shared" si="8"/>
        <v>7.9964285714285719</v>
      </c>
      <c r="U100" s="135"/>
      <c r="V100" s="135"/>
      <c r="W100" s="135"/>
      <c r="X100" s="135"/>
      <c r="Y100" s="136"/>
      <c r="Z100" s="50"/>
      <c r="AA100" s="50"/>
    </row>
    <row r="101" spans="1:27" ht="12.75" hidden="1" outlineLevel="1" x14ac:dyDescent="0.2">
      <c r="A101" s="118" t="str">
        <f t="shared" ref="A101:A102" si="25">IFERROR(IF(B101&gt;0,MONTH(B101)&amp;"-"&amp;YEAR(B101),B101),)</f>
        <v>1-2025</v>
      </c>
      <c r="B101" s="69">
        <v>45675</v>
      </c>
      <c r="C101" s="70" t="s">
        <v>49</v>
      </c>
      <c r="D101" s="116">
        <v>0</v>
      </c>
      <c r="E101" s="75"/>
      <c r="F101" s="73">
        <v>0</v>
      </c>
      <c r="G101" s="73">
        <v>0</v>
      </c>
      <c r="H101" s="74" t="e">
        <f t="shared" si="0"/>
        <v>#DIV/0!</v>
      </c>
      <c r="I101" s="75" t="e">
        <f t="shared" si="1"/>
        <v>#DIV/0!</v>
      </c>
      <c r="J101" s="76" t="e">
        <f t="shared" si="2"/>
        <v>#DIV/0!</v>
      </c>
      <c r="K101" s="116">
        <v>5.13</v>
      </c>
      <c r="L101" s="73">
        <v>7342</v>
      </c>
      <c r="M101" s="73">
        <v>0</v>
      </c>
      <c r="N101" s="117">
        <v>0</v>
      </c>
      <c r="O101" s="79" t="e">
        <f t="shared" si="3"/>
        <v>#DIV/0!</v>
      </c>
      <c r="P101" s="80">
        <f t="shared" si="4"/>
        <v>0</v>
      </c>
      <c r="Q101" s="79" t="e">
        <f t="shared" si="5"/>
        <v>#DIV/0!</v>
      </c>
      <c r="R101" s="81" t="e">
        <f t="shared" si="6"/>
        <v>#DIV/0!</v>
      </c>
      <c r="S101" s="82">
        <f t="shared" si="24"/>
        <v>0</v>
      </c>
      <c r="T101" s="83" t="e">
        <f t="shared" si="8"/>
        <v>#DIV/0!</v>
      </c>
      <c r="U101" s="135"/>
      <c r="V101" s="135"/>
      <c r="W101" s="135"/>
      <c r="X101" s="135"/>
      <c r="Y101" s="136"/>
      <c r="Z101" s="50"/>
      <c r="AA101" s="50"/>
    </row>
    <row r="102" spans="1:27" ht="12.75" collapsed="1" x14ac:dyDescent="0.2">
      <c r="A102" s="139">
        <f t="shared" si="25"/>
        <v>0</v>
      </c>
      <c r="B102" s="206" t="s">
        <v>131</v>
      </c>
      <c r="C102" s="207"/>
      <c r="D102" s="208">
        <f>SUM(D85:D101)</f>
        <v>14357.840000000002</v>
      </c>
      <c r="E102" s="211"/>
      <c r="F102" s="209">
        <f t="shared" ref="F102:G102" si="26">SUM(F85:F101)</f>
        <v>129</v>
      </c>
      <c r="G102" s="209">
        <f t="shared" si="26"/>
        <v>136</v>
      </c>
      <c r="H102" s="210">
        <f t="shared" si="0"/>
        <v>0.94852941176470584</v>
      </c>
      <c r="I102" s="211">
        <f t="shared" si="1"/>
        <v>111.30108527131785</v>
      </c>
      <c r="J102" s="212">
        <f t="shared" si="2"/>
        <v>117.34067904573044</v>
      </c>
      <c r="K102" s="213">
        <f t="shared" ref="K102:N102" si="27">SUM(K85:K101)</f>
        <v>933.88</v>
      </c>
      <c r="L102" s="209">
        <f t="shared" si="27"/>
        <v>284382</v>
      </c>
      <c r="M102" s="209">
        <f t="shared" si="27"/>
        <v>45</v>
      </c>
      <c r="N102" s="208">
        <f t="shared" si="27"/>
        <v>4178.22</v>
      </c>
      <c r="O102" s="214">
        <f t="shared" si="3"/>
        <v>0.22351144745848708</v>
      </c>
      <c r="P102" s="215">
        <f t="shared" si="4"/>
        <v>4.474043774360732</v>
      </c>
      <c r="Q102" s="214">
        <f t="shared" si="5"/>
        <v>6.5043209842148952E-2</v>
      </c>
      <c r="R102" s="216">
        <f t="shared" si="6"/>
        <v>0.29100616805870516</v>
      </c>
      <c r="S102" s="217">
        <f>SUM(S85:S101)</f>
        <v>10179.619999999999</v>
      </c>
      <c r="T102" s="218">
        <f t="shared" si="8"/>
        <v>20.75288888888889</v>
      </c>
      <c r="U102" s="219">
        <f>IFERROR((D102-#REF!)/D102,)</f>
        <v>0</v>
      </c>
      <c r="V102" s="219">
        <f>IFERROR((F102-#REF!)/F102,)</f>
        <v>0</v>
      </c>
      <c r="W102" s="220">
        <f>IFERROR((D102-[1]monthly_reporting_2021!E49)/D102, )</f>
        <v>0</v>
      </c>
      <c r="X102" s="221">
        <f>IFERROR((F102-[1]monthly_reporting_2021!F49)/F102, )</f>
        <v>0</v>
      </c>
      <c r="Y102" s="50"/>
      <c r="Z102" s="50"/>
      <c r="AA102" s="50"/>
    </row>
    <row r="103" spans="1:27" ht="12.75" hidden="1" outlineLevel="1" x14ac:dyDescent="0.2">
      <c r="A103" s="50"/>
      <c r="B103" s="69">
        <v>45676</v>
      </c>
      <c r="C103" s="70" t="s">
        <v>32</v>
      </c>
      <c r="D103" s="71">
        <v>5219.09</v>
      </c>
      <c r="E103" s="75"/>
      <c r="F103" s="73">
        <v>30</v>
      </c>
      <c r="G103" s="73">
        <v>31</v>
      </c>
      <c r="H103" s="74">
        <f t="shared" si="0"/>
        <v>0.967741935483871</v>
      </c>
      <c r="I103" s="75">
        <f t="shared" si="1"/>
        <v>173.96966666666668</v>
      </c>
      <c r="J103" s="76">
        <f t="shared" si="2"/>
        <v>179.76865555555557</v>
      </c>
      <c r="K103" s="77">
        <v>251.03</v>
      </c>
      <c r="L103" s="73">
        <v>30736</v>
      </c>
      <c r="M103" s="73">
        <v>8</v>
      </c>
      <c r="N103" s="78">
        <v>514.85</v>
      </c>
      <c r="O103" s="79">
        <f t="shared" si="3"/>
        <v>0.48757890647761482</v>
      </c>
      <c r="P103" s="80">
        <f t="shared" si="4"/>
        <v>2.0509500856471341</v>
      </c>
      <c r="Q103" s="79">
        <f t="shared" si="5"/>
        <v>4.8098423288351032E-2</v>
      </c>
      <c r="R103" s="81">
        <f t="shared" si="6"/>
        <v>9.8647465362735651E-2</v>
      </c>
      <c r="S103" s="82">
        <f t="shared" ref="S103:S119" si="28">D103-N103</f>
        <v>4704.24</v>
      </c>
      <c r="T103" s="83">
        <f t="shared" si="8"/>
        <v>31.37875</v>
      </c>
      <c r="U103" s="135"/>
      <c r="V103" s="135"/>
      <c r="W103" s="135"/>
      <c r="X103" s="135"/>
      <c r="Y103" s="136"/>
      <c r="Z103" s="50"/>
      <c r="AA103" s="50"/>
    </row>
    <row r="104" spans="1:27" ht="12.75" hidden="1" outlineLevel="1" x14ac:dyDescent="0.2">
      <c r="A104" s="50"/>
      <c r="B104" s="137"/>
      <c r="C104" s="70" t="s">
        <v>33</v>
      </c>
      <c r="D104" s="87">
        <v>1471.06</v>
      </c>
      <c r="E104" s="75"/>
      <c r="F104" s="73">
        <v>16</v>
      </c>
      <c r="G104" s="73">
        <v>21</v>
      </c>
      <c r="H104" s="74">
        <f t="shared" si="0"/>
        <v>0.76190476190476186</v>
      </c>
      <c r="I104" s="75">
        <f t="shared" si="1"/>
        <v>91.941249999999997</v>
      </c>
      <c r="J104" s="76">
        <f t="shared" si="2"/>
        <v>120.67289062500001</v>
      </c>
      <c r="K104" s="87">
        <v>228.59</v>
      </c>
      <c r="L104" s="73">
        <v>65754</v>
      </c>
      <c r="M104" s="73">
        <v>4</v>
      </c>
      <c r="N104" s="88">
        <v>542.9</v>
      </c>
      <c r="O104" s="79">
        <f t="shared" si="3"/>
        <v>0.42105360103149753</v>
      </c>
      <c r="P104" s="80">
        <f t="shared" si="4"/>
        <v>2.3749945316942997</v>
      </c>
      <c r="Q104" s="79">
        <f t="shared" si="5"/>
        <v>0.15539135045477412</v>
      </c>
      <c r="R104" s="81">
        <f t="shared" si="6"/>
        <v>0.36905360760268108</v>
      </c>
      <c r="S104" s="89">
        <f t="shared" si="28"/>
        <v>928.16</v>
      </c>
      <c r="T104" s="83">
        <f t="shared" si="8"/>
        <v>57.147500000000001</v>
      </c>
      <c r="U104" s="135"/>
      <c r="V104" s="135"/>
      <c r="W104" s="135"/>
      <c r="X104" s="135"/>
      <c r="Y104" s="136"/>
      <c r="Z104" s="50"/>
      <c r="AA104" s="50"/>
    </row>
    <row r="105" spans="1:27" ht="12.75" hidden="1" outlineLevel="1" x14ac:dyDescent="0.2">
      <c r="A105" s="50"/>
      <c r="B105" s="137"/>
      <c r="C105" s="70" t="s">
        <v>34</v>
      </c>
      <c r="D105" s="90">
        <v>0</v>
      </c>
      <c r="E105" s="75"/>
      <c r="F105" s="73">
        <v>0</v>
      </c>
      <c r="G105" s="73">
        <v>0</v>
      </c>
      <c r="H105" s="74" t="e">
        <f t="shared" si="0"/>
        <v>#DIV/0!</v>
      </c>
      <c r="I105" s="75" t="e">
        <f t="shared" si="1"/>
        <v>#DIV/0!</v>
      </c>
      <c r="J105" s="76" t="e">
        <f t="shared" si="2"/>
        <v>#DIV/0!</v>
      </c>
      <c r="K105" s="90">
        <v>0</v>
      </c>
      <c r="L105" s="73">
        <v>0</v>
      </c>
      <c r="M105" s="73">
        <v>0</v>
      </c>
      <c r="N105" s="91">
        <v>0</v>
      </c>
      <c r="O105" s="79" t="e">
        <f t="shared" si="3"/>
        <v>#DIV/0!</v>
      </c>
      <c r="P105" s="80" t="e">
        <f t="shared" si="4"/>
        <v>#DIV/0!</v>
      </c>
      <c r="Q105" s="79" t="e">
        <f t="shared" si="5"/>
        <v>#DIV/0!</v>
      </c>
      <c r="R105" s="81" t="e">
        <f t="shared" si="6"/>
        <v>#DIV/0!</v>
      </c>
      <c r="S105" s="92">
        <f t="shared" si="28"/>
        <v>0</v>
      </c>
      <c r="T105" s="83" t="e">
        <f t="shared" si="8"/>
        <v>#DIV/0!</v>
      </c>
      <c r="U105" s="135"/>
      <c r="V105" s="135"/>
      <c r="W105" s="135"/>
      <c r="X105" s="135"/>
      <c r="Y105" s="136"/>
      <c r="Z105" s="50"/>
      <c r="AA105" s="50"/>
    </row>
    <row r="106" spans="1:27" ht="12.75" hidden="1" outlineLevel="1" x14ac:dyDescent="0.2">
      <c r="A106" s="50"/>
      <c r="B106" s="137"/>
      <c r="C106" s="70" t="s">
        <v>35</v>
      </c>
      <c r="D106" s="90">
        <v>314.75</v>
      </c>
      <c r="E106" s="75"/>
      <c r="F106" s="73">
        <v>5</v>
      </c>
      <c r="G106" s="73">
        <v>2</v>
      </c>
      <c r="H106" s="74">
        <f t="shared" si="0"/>
        <v>2.5</v>
      </c>
      <c r="I106" s="75">
        <f t="shared" si="1"/>
        <v>62.95</v>
      </c>
      <c r="J106" s="76">
        <f t="shared" si="2"/>
        <v>25.18</v>
      </c>
      <c r="K106" s="90">
        <v>0</v>
      </c>
      <c r="L106" s="73">
        <v>0</v>
      </c>
      <c r="M106" s="73">
        <v>0</v>
      </c>
      <c r="N106" s="91">
        <v>0</v>
      </c>
      <c r="O106" s="79" t="e">
        <f t="shared" si="3"/>
        <v>#DIV/0!</v>
      </c>
      <c r="P106" s="80" t="e">
        <f t="shared" si="4"/>
        <v>#DIV/0!</v>
      </c>
      <c r="Q106" s="79">
        <f t="shared" si="5"/>
        <v>0</v>
      </c>
      <c r="R106" s="81">
        <f t="shared" si="6"/>
        <v>0</v>
      </c>
      <c r="S106" s="92">
        <f t="shared" si="28"/>
        <v>314.75</v>
      </c>
      <c r="T106" s="83" t="e">
        <f t="shared" si="8"/>
        <v>#DIV/0!</v>
      </c>
      <c r="U106" s="135"/>
      <c r="V106" s="135"/>
      <c r="W106" s="135"/>
      <c r="X106" s="135"/>
      <c r="Y106" s="136"/>
      <c r="Z106" s="50"/>
      <c r="AA106" s="50"/>
    </row>
    <row r="107" spans="1:27" ht="12.75" hidden="1" outlineLevel="1" x14ac:dyDescent="0.2">
      <c r="A107" s="50"/>
      <c r="B107" s="137"/>
      <c r="C107" s="70" t="s">
        <v>62</v>
      </c>
      <c r="D107" s="200">
        <v>0</v>
      </c>
      <c r="E107" s="75"/>
      <c r="F107" s="73">
        <v>0</v>
      </c>
      <c r="G107" s="73">
        <v>0</v>
      </c>
      <c r="H107" s="74" t="e">
        <f t="shared" si="0"/>
        <v>#DIV/0!</v>
      </c>
      <c r="I107" s="75" t="e">
        <f t="shared" si="1"/>
        <v>#DIV/0!</v>
      </c>
      <c r="J107" s="76" t="e">
        <f t="shared" si="2"/>
        <v>#DIV/0!</v>
      </c>
      <c r="K107" s="200">
        <v>0</v>
      </c>
      <c r="L107" s="73">
        <v>0</v>
      </c>
      <c r="M107" s="73">
        <v>0</v>
      </c>
      <c r="N107" s="200">
        <v>0</v>
      </c>
      <c r="O107" s="79" t="e">
        <f t="shared" si="3"/>
        <v>#DIV/0!</v>
      </c>
      <c r="P107" s="80" t="e">
        <f t="shared" si="4"/>
        <v>#DIV/0!</v>
      </c>
      <c r="Q107" s="79" t="e">
        <f t="shared" si="5"/>
        <v>#DIV/0!</v>
      </c>
      <c r="R107" s="81" t="e">
        <f t="shared" si="6"/>
        <v>#DIV/0!</v>
      </c>
      <c r="S107" s="92">
        <f t="shared" si="28"/>
        <v>0</v>
      </c>
      <c r="T107" s="83" t="e">
        <f t="shared" si="8"/>
        <v>#DIV/0!</v>
      </c>
      <c r="U107" s="135"/>
      <c r="V107" s="135"/>
      <c r="W107" s="135"/>
      <c r="X107" s="135"/>
      <c r="Y107" s="136"/>
      <c r="Z107" s="50"/>
      <c r="AA107" s="50"/>
    </row>
    <row r="108" spans="1:27" ht="12.75" hidden="1" outlineLevel="1" x14ac:dyDescent="0.2">
      <c r="A108" s="50"/>
      <c r="B108" s="137"/>
      <c r="C108" s="70" t="s">
        <v>66</v>
      </c>
      <c r="D108" s="201">
        <v>-59.99</v>
      </c>
      <c r="E108" s="75"/>
      <c r="F108" s="73">
        <v>-1</v>
      </c>
      <c r="G108" s="73">
        <v>0</v>
      </c>
      <c r="H108" s="74" t="e">
        <f t="shared" si="0"/>
        <v>#DIV/0!</v>
      </c>
      <c r="I108" s="75">
        <f t="shared" si="1"/>
        <v>59.99</v>
      </c>
      <c r="J108" s="76" t="e">
        <f t="shared" si="2"/>
        <v>#DIV/0!</v>
      </c>
      <c r="K108" s="201">
        <v>2</v>
      </c>
      <c r="L108" s="73">
        <v>1511</v>
      </c>
      <c r="M108" s="73">
        <v>0</v>
      </c>
      <c r="N108" s="202">
        <v>0</v>
      </c>
      <c r="O108" s="79" t="e">
        <f t="shared" si="3"/>
        <v>#DIV/0!</v>
      </c>
      <c r="P108" s="80">
        <f t="shared" si="4"/>
        <v>0</v>
      </c>
      <c r="Q108" s="79">
        <f t="shared" si="5"/>
        <v>-3.3338889814969158E-2</v>
      </c>
      <c r="R108" s="81">
        <f t="shared" si="6"/>
        <v>0</v>
      </c>
      <c r="S108" s="203">
        <f t="shared" si="28"/>
        <v>-59.99</v>
      </c>
      <c r="T108" s="83" t="e">
        <f t="shared" si="8"/>
        <v>#DIV/0!</v>
      </c>
      <c r="U108" s="135"/>
      <c r="V108" s="135"/>
      <c r="W108" s="135"/>
      <c r="X108" s="135"/>
      <c r="Y108" s="136"/>
      <c r="Z108" s="50"/>
      <c r="AA108" s="50"/>
    </row>
    <row r="109" spans="1:27" ht="12.75" hidden="1" outlineLevel="1" x14ac:dyDescent="0.2">
      <c r="A109" s="50"/>
      <c r="B109" s="137"/>
      <c r="C109" s="70" t="s">
        <v>36</v>
      </c>
      <c r="D109" s="90">
        <v>580.11</v>
      </c>
      <c r="E109" s="75"/>
      <c r="F109" s="73">
        <v>9</v>
      </c>
      <c r="G109" s="73">
        <v>10</v>
      </c>
      <c r="H109" s="74">
        <f t="shared" si="0"/>
        <v>0.9</v>
      </c>
      <c r="I109" s="75">
        <f t="shared" si="1"/>
        <v>64.456666666666663</v>
      </c>
      <c r="J109" s="76">
        <f t="shared" si="2"/>
        <v>71.618518518518513</v>
      </c>
      <c r="K109" s="90">
        <v>217.73</v>
      </c>
      <c r="L109" s="73">
        <v>5546</v>
      </c>
      <c r="M109" s="73">
        <v>2</v>
      </c>
      <c r="N109" s="91">
        <v>119.9</v>
      </c>
      <c r="O109" s="79">
        <f t="shared" si="3"/>
        <v>1.8159299416180148</v>
      </c>
      <c r="P109" s="80">
        <f t="shared" si="4"/>
        <v>0.55068203738575305</v>
      </c>
      <c r="Q109" s="79">
        <f t="shared" si="5"/>
        <v>0.37532536932650701</v>
      </c>
      <c r="R109" s="81">
        <f t="shared" si="6"/>
        <v>0.20668493906328111</v>
      </c>
      <c r="S109" s="92">
        <f t="shared" si="28"/>
        <v>460.21000000000004</v>
      </c>
      <c r="T109" s="83">
        <f t="shared" si="8"/>
        <v>108.86499999999999</v>
      </c>
      <c r="U109" s="135"/>
      <c r="V109" s="135"/>
      <c r="W109" s="135"/>
      <c r="X109" s="135"/>
      <c r="Y109" s="136"/>
      <c r="Z109" s="50"/>
      <c r="AA109" s="50"/>
    </row>
    <row r="110" spans="1:27" ht="12.75" hidden="1" outlineLevel="1" x14ac:dyDescent="0.2">
      <c r="A110" s="50"/>
      <c r="B110" s="69" t="s">
        <v>37</v>
      </c>
      <c r="C110" s="70" t="s">
        <v>38</v>
      </c>
      <c r="D110" s="93">
        <v>592.11</v>
      </c>
      <c r="E110" s="75"/>
      <c r="F110" s="73">
        <v>10</v>
      </c>
      <c r="G110" s="73">
        <v>15</v>
      </c>
      <c r="H110" s="74">
        <f t="shared" si="0"/>
        <v>0.66666666666666663</v>
      </c>
      <c r="I110" s="75">
        <f t="shared" si="1"/>
        <v>59.210999999999999</v>
      </c>
      <c r="J110" s="76">
        <f t="shared" si="2"/>
        <v>88.816500000000005</v>
      </c>
      <c r="K110" s="93">
        <v>160.22999999999999</v>
      </c>
      <c r="L110" s="73">
        <v>16248</v>
      </c>
      <c r="M110" s="73">
        <v>6</v>
      </c>
      <c r="N110" s="94">
        <v>64.680000000000007</v>
      </c>
      <c r="O110" s="79">
        <f t="shared" si="3"/>
        <v>2.4772727272727271</v>
      </c>
      <c r="P110" s="80">
        <f t="shared" si="4"/>
        <v>0.40366972477064228</v>
      </c>
      <c r="Q110" s="79">
        <f t="shared" si="5"/>
        <v>0.27060850179865226</v>
      </c>
      <c r="R110" s="81">
        <f t="shared" si="6"/>
        <v>0.10923645944165782</v>
      </c>
      <c r="S110" s="95">
        <f t="shared" si="28"/>
        <v>527.43000000000006</v>
      </c>
      <c r="T110" s="83">
        <f t="shared" si="8"/>
        <v>26.704999999999998</v>
      </c>
      <c r="U110" s="135"/>
      <c r="V110" s="135"/>
      <c r="W110" s="135"/>
      <c r="X110" s="135"/>
      <c r="Y110" s="136"/>
      <c r="Z110" s="50"/>
      <c r="AA110" s="50"/>
    </row>
    <row r="111" spans="1:27" ht="12.75" hidden="1" outlineLevel="1" x14ac:dyDescent="0.2">
      <c r="A111" s="50"/>
      <c r="B111" s="137"/>
      <c r="C111" s="70" t="s">
        <v>39</v>
      </c>
      <c r="D111" s="96">
        <v>35.9</v>
      </c>
      <c r="E111" s="75"/>
      <c r="F111" s="73">
        <v>1</v>
      </c>
      <c r="G111" s="73">
        <v>1</v>
      </c>
      <c r="H111" s="74">
        <f t="shared" si="0"/>
        <v>1</v>
      </c>
      <c r="I111" s="75">
        <f t="shared" si="1"/>
        <v>35.9</v>
      </c>
      <c r="J111" s="76">
        <f t="shared" si="2"/>
        <v>35.9</v>
      </c>
      <c r="K111" s="96">
        <v>68.180000000000007</v>
      </c>
      <c r="L111" s="73">
        <v>35241</v>
      </c>
      <c r="M111" s="73">
        <v>0</v>
      </c>
      <c r="N111" s="97">
        <v>0</v>
      </c>
      <c r="O111" s="79" t="e">
        <f t="shared" si="3"/>
        <v>#DIV/0!</v>
      </c>
      <c r="P111" s="80">
        <f t="shared" si="4"/>
        <v>0</v>
      </c>
      <c r="Q111" s="79">
        <f t="shared" si="5"/>
        <v>1.8991643454039</v>
      </c>
      <c r="R111" s="81">
        <f t="shared" si="6"/>
        <v>0</v>
      </c>
      <c r="S111" s="98">
        <f t="shared" si="28"/>
        <v>35.9</v>
      </c>
      <c r="T111" s="83" t="e">
        <f t="shared" si="8"/>
        <v>#DIV/0!</v>
      </c>
      <c r="U111" s="135"/>
      <c r="V111" s="135"/>
      <c r="W111" s="135"/>
      <c r="X111" s="135"/>
      <c r="Y111" s="136"/>
      <c r="Z111" s="50"/>
      <c r="AA111" s="50"/>
    </row>
    <row r="112" spans="1:27" ht="12.75" hidden="1" outlineLevel="1" x14ac:dyDescent="0.2">
      <c r="A112" s="50"/>
      <c r="B112" s="137"/>
      <c r="C112" s="70" t="s">
        <v>40</v>
      </c>
      <c r="D112" s="99">
        <v>329.7</v>
      </c>
      <c r="E112" s="75"/>
      <c r="F112" s="73">
        <v>6</v>
      </c>
      <c r="G112" s="73">
        <v>5</v>
      </c>
      <c r="H112" s="74">
        <f t="shared" si="0"/>
        <v>1.2</v>
      </c>
      <c r="I112" s="75">
        <f t="shared" si="1"/>
        <v>54.949999999999996</v>
      </c>
      <c r="J112" s="76">
        <f t="shared" si="2"/>
        <v>45.791666666666664</v>
      </c>
      <c r="K112" s="99">
        <v>0</v>
      </c>
      <c r="L112" s="73">
        <v>0</v>
      </c>
      <c r="M112" s="73">
        <v>0</v>
      </c>
      <c r="N112" s="100">
        <v>0</v>
      </c>
      <c r="O112" s="79" t="e">
        <f t="shared" si="3"/>
        <v>#DIV/0!</v>
      </c>
      <c r="P112" s="80" t="e">
        <f t="shared" si="4"/>
        <v>#DIV/0!</v>
      </c>
      <c r="Q112" s="79">
        <f t="shared" si="5"/>
        <v>0</v>
      </c>
      <c r="R112" s="81">
        <f t="shared" si="6"/>
        <v>0</v>
      </c>
      <c r="S112" s="101">
        <f t="shared" si="28"/>
        <v>329.7</v>
      </c>
      <c r="T112" s="83" t="e">
        <f t="shared" si="8"/>
        <v>#DIV/0!</v>
      </c>
      <c r="U112" s="135"/>
      <c r="V112" s="135"/>
      <c r="W112" s="135"/>
      <c r="X112" s="135"/>
      <c r="Y112" s="136"/>
      <c r="Z112" s="50"/>
      <c r="AA112" s="50"/>
    </row>
    <row r="113" spans="1:27" ht="12.75" hidden="1" outlineLevel="1" x14ac:dyDescent="0.2">
      <c r="A113" s="50"/>
      <c r="B113" s="137"/>
      <c r="C113" s="70" t="s">
        <v>41</v>
      </c>
      <c r="D113" s="102">
        <v>220</v>
      </c>
      <c r="E113" s="75"/>
      <c r="F113" s="73">
        <v>4</v>
      </c>
      <c r="G113" s="73">
        <v>2</v>
      </c>
      <c r="H113" s="74">
        <f t="shared" si="0"/>
        <v>2</v>
      </c>
      <c r="I113" s="75">
        <f t="shared" si="1"/>
        <v>55</v>
      </c>
      <c r="J113" s="76">
        <f t="shared" si="2"/>
        <v>27.5</v>
      </c>
      <c r="K113" s="102">
        <v>0</v>
      </c>
      <c r="L113" s="73">
        <v>15</v>
      </c>
      <c r="M113" s="73">
        <v>0</v>
      </c>
      <c r="N113" s="103">
        <v>0</v>
      </c>
      <c r="O113" s="79" t="e">
        <f t="shared" si="3"/>
        <v>#DIV/0!</v>
      </c>
      <c r="P113" s="80" t="e">
        <f t="shared" si="4"/>
        <v>#DIV/0!</v>
      </c>
      <c r="Q113" s="79">
        <f t="shared" si="5"/>
        <v>0</v>
      </c>
      <c r="R113" s="81">
        <f t="shared" si="6"/>
        <v>0</v>
      </c>
      <c r="S113" s="104">
        <f t="shared" si="28"/>
        <v>220</v>
      </c>
      <c r="T113" s="83" t="e">
        <f t="shared" si="8"/>
        <v>#DIV/0!</v>
      </c>
      <c r="U113" s="135"/>
      <c r="V113" s="135"/>
      <c r="W113" s="135"/>
      <c r="X113" s="135"/>
      <c r="Y113" s="136"/>
      <c r="Z113" s="50"/>
      <c r="AA113" s="50"/>
    </row>
    <row r="114" spans="1:27" ht="12.75" hidden="1" outlineLevel="1" x14ac:dyDescent="0.2">
      <c r="A114" s="50"/>
      <c r="B114" s="137"/>
      <c r="C114" s="70" t="s">
        <v>42</v>
      </c>
      <c r="D114" s="90">
        <v>-69.959999999999994</v>
      </c>
      <c r="E114" s="75"/>
      <c r="F114" s="73">
        <v>0</v>
      </c>
      <c r="G114" s="73">
        <v>2</v>
      </c>
      <c r="H114" s="74">
        <f t="shared" si="0"/>
        <v>0</v>
      </c>
      <c r="I114" s="75" t="e">
        <f t="shared" si="1"/>
        <v>#DIV/0!</v>
      </c>
      <c r="J114" s="76" t="e">
        <f t="shared" si="2"/>
        <v>#DIV/0!</v>
      </c>
      <c r="K114" s="90">
        <v>12.11</v>
      </c>
      <c r="L114" s="73">
        <v>16322</v>
      </c>
      <c r="M114" s="73">
        <v>2</v>
      </c>
      <c r="N114" s="91">
        <v>19.989999999999998</v>
      </c>
      <c r="O114" s="79">
        <f t="shared" si="3"/>
        <v>0.60580290145072535</v>
      </c>
      <c r="P114" s="80">
        <f t="shared" si="4"/>
        <v>1.6507018992568125</v>
      </c>
      <c r="Q114" s="79">
        <f t="shared" si="5"/>
        <v>-0.17309891366495142</v>
      </c>
      <c r="R114" s="81">
        <f t="shared" si="6"/>
        <v>-0.28573470554602631</v>
      </c>
      <c r="S114" s="92">
        <f t="shared" si="28"/>
        <v>-89.949999999999989</v>
      </c>
      <c r="T114" s="83">
        <f t="shared" si="8"/>
        <v>6.0549999999999997</v>
      </c>
      <c r="U114" s="135"/>
      <c r="V114" s="135"/>
      <c r="W114" s="135"/>
      <c r="X114" s="135"/>
      <c r="Y114" s="136"/>
      <c r="Z114" s="50"/>
      <c r="AA114" s="50"/>
    </row>
    <row r="115" spans="1:27" ht="12.75" hidden="1" outlineLevel="1" x14ac:dyDescent="0.2">
      <c r="A115" s="50"/>
      <c r="B115" s="137"/>
      <c r="C115" s="70" t="s">
        <v>43</v>
      </c>
      <c r="D115" s="105">
        <v>298</v>
      </c>
      <c r="E115" s="75"/>
      <c r="F115" s="73">
        <v>2</v>
      </c>
      <c r="G115" s="73">
        <v>2</v>
      </c>
      <c r="H115" s="74">
        <f t="shared" si="0"/>
        <v>1</v>
      </c>
      <c r="I115" s="75">
        <f t="shared" si="1"/>
        <v>149</v>
      </c>
      <c r="J115" s="76">
        <f t="shared" si="2"/>
        <v>149</v>
      </c>
      <c r="K115" s="105">
        <v>29.35</v>
      </c>
      <c r="L115" s="73">
        <v>23712</v>
      </c>
      <c r="M115" s="73">
        <v>0</v>
      </c>
      <c r="N115" s="106">
        <v>0</v>
      </c>
      <c r="O115" s="79" t="e">
        <f t="shared" si="3"/>
        <v>#DIV/0!</v>
      </c>
      <c r="P115" s="80">
        <f t="shared" si="4"/>
        <v>0</v>
      </c>
      <c r="Q115" s="79">
        <f t="shared" si="5"/>
        <v>9.8489932885906045E-2</v>
      </c>
      <c r="R115" s="81">
        <f t="shared" si="6"/>
        <v>0</v>
      </c>
      <c r="S115" s="107">
        <f t="shared" si="28"/>
        <v>298</v>
      </c>
      <c r="T115" s="83" t="e">
        <f t="shared" si="8"/>
        <v>#DIV/0!</v>
      </c>
      <c r="U115" s="135"/>
      <c r="V115" s="135"/>
      <c r="W115" s="135"/>
      <c r="X115" s="135"/>
      <c r="Y115" s="136"/>
      <c r="Z115" s="50"/>
      <c r="AA115" s="50"/>
    </row>
    <row r="116" spans="1:27" ht="12.75" hidden="1" outlineLevel="1" x14ac:dyDescent="0.2">
      <c r="A116" s="50"/>
      <c r="B116" s="137"/>
      <c r="C116" s="70" t="s">
        <v>44</v>
      </c>
      <c r="D116" s="108">
        <v>239.8</v>
      </c>
      <c r="E116" s="75"/>
      <c r="F116" s="73">
        <v>4</v>
      </c>
      <c r="G116" s="73">
        <v>4</v>
      </c>
      <c r="H116" s="74">
        <f t="shared" si="0"/>
        <v>1</v>
      </c>
      <c r="I116" s="75">
        <f t="shared" si="1"/>
        <v>59.95</v>
      </c>
      <c r="J116" s="76">
        <f t="shared" si="2"/>
        <v>59.95</v>
      </c>
      <c r="K116" s="108">
        <v>5.89</v>
      </c>
      <c r="L116" s="73">
        <v>872</v>
      </c>
      <c r="M116" s="73">
        <v>1</v>
      </c>
      <c r="N116" s="109">
        <v>59.95</v>
      </c>
      <c r="O116" s="79">
        <f t="shared" si="3"/>
        <v>9.8248540450375302E-2</v>
      </c>
      <c r="P116" s="80">
        <f t="shared" si="4"/>
        <v>10.178268251273346</v>
      </c>
      <c r="Q116" s="79">
        <f t="shared" si="5"/>
        <v>2.4562135112593825E-2</v>
      </c>
      <c r="R116" s="81">
        <f t="shared" si="6"/>
        <v>0.25</v>
      </c>
      <c r="S116" s="110">
        <f t="shared" si="28"/>
        <v>179.85000000000002</v>
      </c>
      <c r="T116" s="83">
        <f t="shared" si="8"/>
        <v>5.89</v>
      </c>
      <c r="U116" s="135"/>
      <c r="V116" s="135"/>
      <c r="W116" s="135"/>
      <c r="X116" s="135"/>
      <c r="Y116" s="136"/>
      <c r="Z116" s="50"/>
      <c r="AA116" s="50"/>
    </row>
    <row r="117" spans="1:27" ht="12.75" hidden="1" outlineLevel="1" x14ac:dyDescent="0.2">
      <c r="A117" s="139"/>
      <c r="B117" s="137"/>
      <c r="C117" s="112" t="s">
        <v>45</v>
      </c>
      <c r="D117" s="71">
        <v>19.95</v>
      </c>
      <c r="E117" s="75"/>
      <c r="F117" s="73">
        <v>1</v>
      </c>
      <c r="G117" s="73">
        <v>1</v>
      </c>
      <c r="H117" s="74">
        <f t="shared" si="0"/>
        <v>1</v>
      </c>
      <c r="I117" s="75">
        <f t="shared" si="1"/>
        <v>19.95</v>
      </c>
      <c r="J117" s="76">
        <f t="shared" si="2"/>
        <v>19.95</v>
      </c>
      <c r="K117" s="71">
        <v>0</v>
      </c>
      <c r="L117" s="73">
        <v>0</v>
      </c>
      <c r="M117" s="73">
        <v>0</v>
      </c>
      <c r="N117" s="78">
        <v>0</v>
      </c>
      <c r="O117" s="79" t="e">
        <f t="shared" si="3"/>
        <v>#DIV/0!</v>
      </c>
      <c r="P117" s="80" t="e">
        <f t="shared" si="4"/>
        <v>#DIV/0!</v>
      </c>
      <c r="Q117" s="79">
        <f t="shared" si="5"/>
        <v>0</v>
      </c>
      <c r="R117" s="81">
        <f t="shared" si="6"/>
        <v>0</v>
      </c>
      <c r="S117" s="82">
        <f t="shared" si="28"/>
        <v>19.95</v>
      </c>
      <c r="T117" s="83" t="e">
        <f t="shared" si="8"/>
        <v>#DIV/0!</v>
      </c>
      <c r="U117" s="140"/>
      <c r="V117" s="140"/>
      <c r="W117" s="140"/>
      <c r="X117" s="141"/>
      <c r="Y117" s="142"/>
      <c r="Z117" s="50"/>
      <c r="AA117" s="50"/>
    </row>
    <row r="118" spans="1:27" ht="12.75" hidden="1" outlineLevel="1" x14ac:dyDescent="0.2">
      <c r="A118" s="50"/>
      <c r="B118" s="137"/>
      <c r="C118" s="70" t="s">
        <v>46</v>
      </c>
      <c r="D118" s="116">
        <v>638.64</v>
      </c>
      <c r="E118" s="75"/>
      <c r="F118" s="73">
        <v>18</v>
      </c>
      <c r="G118" s="73">
        <v>20</v>
      </c>
      <c r="H118" s="74">
        <f t="shared" si="0"/>
        <v>0.9</v>
      </c>
      <c r="I118" s="75">
        <f t="shared" si="1"/>
        <v>35.479999999999997</v>
      </c>
      <c r="J118" s="76">
        <f t="shared" si="2"/>
        <v>39.422222222222217</v>
      </c>
      <c r="K118" s="116">
        <v>117.81</v>
      </c>
      <c r="L118" s="73">
        <v>43098</v>
      </c>
      <c r="M118" s="73">
        <v>9</v>
      </c>
      <c r="N118" s="117">
        <v>277.68</v>
      </c>
      <c r="O118" s="79">
        <f t="shared" si="3"/>
        <v>0.42426534140017286</v>
      </c>
      <c r="P118" s="80">
        <f t="shared" si="4"/>
        <v>2.3570155334861216</v>
      </c>
      <c r="Q118" s="79">
        <f t="shared" si="5"/>
        <v>0.18447012401352875</v>
      </c>
      <c r="R118" s="81">
        <f t="shared" si="6"/>
        <v>0.43479894776399852</v>
      </c>
      <c r="S118" s="82">
        <f t="shared" si="28"/>
        <v>360.96</v>
      </c>
      <c r="T118" s="83">
        <f t="shared" si="8"/>
        <v>13.09</v>
      </c>
      <c r="U118" s="135"/>
      <c r="V118" s="135"/>
      <c r="W118" s="135"/>
      <c r="X118" s="135"/>
      <c r="Y118" s="136"/>
      <c r="Z118" s="50"/>
      <c r="AA118" s="50"/>
    </row>
    <row r="119" spans="1:27" ht="12.75" hidden="1" outlineLevel="1" x14ac:dyDescent="0.2">
      <c r="A119" s="118" t="str">
        <f t="shared" ref="A119:A120" si="29">IFERROR(IF(B119&gt;0,MONTH(B119)&amp;"-"&amp;YEAR(B119),B119),)</f>
        <v>1-2025</v>
      </c>
      <c r="B119" s="69">
        <v>45682</v>
      </c>
      <c r="C119" s="70" t="s">
        <v>49</v>
      </c>
      <c r="D119" s="116">
        <v>0</v>
      </c>
      <c r="E119" s="75"/>
      <c r="F119" s="73">
        <v>0</v>
      </c>
      <c r="G119" s="73">
        <v>0</v>
      </c>
      <c r="H119" s="74" t="e">
        <f t="shared" si="0"/>
        <v>#DIV/0!</v>
      </c>
      <c r="I119" s="75" t="e">
        <f t="shared" si="1"/>
        <v>#DIV/0!</v>
      </c>
      <c r="J119" s="76" t="e">
        <f t="shared" si="2"/>
        <v>#DIV/0!</v>
      </c>
      <c r="K119" s="116">
        <v>1.2</v>
      </c>
      <c r="L119" s="73">
        <v>7739</v>
      </c>
      <c r="M119" s="73">
        <v>0</v>
      </c>
      <c r="N119" s="117">
        <v>0</v>
      </c>
      <c r="O119" s="79" t="e">
        <f t="shared" si="3"/>
        <v>#DIV/0!</v>
      </c>
      <c r="P119" s="80">
        <f t="shared" si="4"/>
        <v>0</v>
      </c>
      <c r="Q119" s="79" t="e">
        <f t="shared" si="5"/>
        <v>#DIV/0!</v>
      </c>
      <c r="R119" s="81" t="e">
        <f t="shared" si="6"/>
        <v>#DIV/0!</v>
      </c>
      <c r="S119" s="82">
        <f t="shared" si="28"/>
        <v>0</v>
      </c>
      <c r="T119" s="83" t="e">
        <f t="shared" si="8"/>
        <v>#DIV/0!</v>
      </c>
      <c r="U119" s="135"/>
      <c r="V119" s="135"/>
      <c r="W119" s="135"/>
      <c r="X119" s="135"/>
      <c r="Y119" s="136"/>
      <c r="Z119" s="50"/>
      <c r="AA119" s="50"/>
    </row>
    <row r="120" spans="1:27" ht="12.75" collapsed="1" x14ac:dyDescent="0.2">
      <c r="A120" s="139">
        <f t="shared" si="29"/>
        <v>0</v>
      </c>
      <c r="B120" s="206" t="s">
        <v>132</v>
      </c>
      <c r="C120" s="207"/>
      <c r="D120" s="208">
        <f>SUM(D103:D119)</f>
        <v>9829.16</v>
      </c>
      <c r="E120" s="211"/>
      <c r="F120" s="209">
        <f t="shared" ref="F120:G120" si="30">SUM(F103:F119)</f>
        <v>105</v>
      </c>
      <c r="G120" s="209">
        <f t="shared" si="30"/>
        <v>116</v>
      </c>
      <c r="H120" s="210">
        <f t="shared" si="0"/>
        <v>0.90517241379310343</v>
      </c>
      <c r="I120" s="211">
        <f t="shared" si="1"/>
        <v>93.611047619047611</v>
      </c>
      <c r="J120" s="212">
        <f t="shared" si="2"/>
        <v>103.41791927437642</v>
      </c>
      <c r="K120" s="213">
        <f t="shared" ref="K120:N120" si="31">SUM(K103:K119)</f>
        <v>1094.1200000000001</v>
      </c>
      <c r="L120" s="209">
        <f t="shared" si="31"/>
        <v>246794</v>
      </c>
      <c r="M120" s="209">
        <f t="shared" si="31"/>
        <v>32</v>
      </c>
      <c r="N120" s="208">
        <f t="shared" si="31"/>
        <v>1599.9500000000003</v>
      </c>
      <c r="O120" s="214">
        <f t="shared" si="3"/>
        <v>0.68384637019906869</v>
      </c>
      <c r="P120" s="215">
        <f t="shared" si="4"/>
        <v>1.4623167477059189</v>
      </c>
      <c r="Q120" s="214">
        <f t="shared" si="5"/>
        <v>0.11131368295968325</v>
      </c>
      <c r="R120" s="216">
        <f t="shared" si="6"/>
        <v>0.16277586284077178</v>
      </c>
      <c r="S120" s="217">
        <f>SUM(S103:S119)</f>
        <v>8229.2099999999991</v>
      </c>
      <c r="T120" s="218">
        <f t="shared" si="8"/>
        <v>34.191250000000004</v>
      </c>
      <c r="U120" s="219">
        <f>IFERROR((D120-#REF!)/D120,)</f>
        <v>0</v>
      </c>
      <c r="V120" s="219">
        <f>IFERROR((F120-#REF!)/F120,)</f>
        <v>0</v>
      </c>
      <c r="W120" s="220">
        <f>IFERROR((D120-[1]monthly_reporting_2021!E49)/D120, )</f>
        <v>0</v>
      </c>
      <c r="X120" s="221">
        <f>IFERROR((F120-[1]monthly_reporting_2021!F49)/F120, )</f>
        <v>0</v>
      </c>
      <c r="Y120" s="50"/>
      <c r="Z120" s="50"/>
      <c r="AA120" s="50"/>
    </row>
    <row r="121" spans="1:27" ht="12.75" hidden="1" outlineLevel="1" x14ac:dyDescent="0.2">
      <c r="A121" s="50"/>
      <c r="B121" s="69">
        <v>45683</v>
      </c>
      <c r="C121" s="70" t="s">
        <v>32</v>
      </c>
      <c r="D121" s="71">
        <v>3275.99</v>
      </c>
      <c r="E121" s="75"/>
      <c r="F121" s="73">
        <v>9</v>
      </c>
      <c r="G121" s="73">
        <v>15</v>
      </c>
      <c r="H121" s="74">
        <f t="shared" si="0"/>
        <v>0.6</v>
      </c>
      <c r="I121" s="75">
        <f t="shared" si="1"/>
        <v>363.99888888888887</v>
      </c>
      <c r="J121" s="76">
        <f t="shared" si="2"/>
        <v>606.6648148148148</v>
      </c>
      <c r="K121" s="77">
        <v>480.63</v>
      </c>
      <c r="L121" s="73">
        <v>48160</v>
      </c>
      <c r="M121" s="73">
        <v>5</v>
      </c>
      <c r="N121" s="78">
        <v>1033</v>
      </c>
      <c r="O121" s="79">
        <f t="shared" si="3"/>
        <v>0.46527589545014519</v>
      </c>
      <c r="P121" s="80">
        <f t="shared" si="4"/>
        <v>2.149262426398685</v>
      </c>
      <c r="Q121" s="79">
        <f t="shared" si="5"/>
        <v>0.14671290205403559</v>
      </c>
      <c r="R121" s="81">
        <f t="shared" si="6"/>
        <v>0.31532452785264914</v>
      </c>
      <c r="S121" s="82">
        <f t="shared" ref="S121:S137" si="32">D121-N121</f>
        <v>2242.9899999999998</v>
      </c>
      <c r="T121" s="83">
        <f t="shared" si="8"/>
        <v>96.126000000000005</v>
      </c>
      <c r="U121" s="135"/>
      <c r="V121" s="135"/>
      <c r="W121" s="135"/>
      <c r="X121" s="135"/>
      <c r="Y121" s="136"/>
      <c r="Z121" s="50"/>
      <c r="AA121" s="50"/>
    </row>
    <row r="122" spans="1:27" ht="12.75" hidden="1" outlineLevel="1" x14ac:dyDescent="0.2">
      <c r="A122" s="50"/>
      <c r="B122" s="137"/>
      <c r="C122" s="70" t="s">
        <v>33</v>
      </c>
      <c r="D122" s="87">
        <v>452.55</v>
      </c>
      <c r="E122" s="75"/>
      <c r="F122" s="73">
        <v>40</v>
      </c>
      <c r="G122" s="73">
        <v>37</v>
      </c>
      <c r="H122" s="74">
        <f t="shared" si="0"/>
        <v>1.0810810810810811</v>
      </c>
      <c r="I122" s="75">
        <f t="shared" si="1"/>
        <v>11.313750000000001</v>
      </c>
      <c r="J122" s="76">
        <f t="shared" si="2"/>
        <v>10.46521875</v>
      </c>
      <c r="K122" s="87">
        <v>401.67</v>
      </c>
      <c r="L122" s="73">
        <v>107458</v>
      </c>
      <c r="M122" s="73">
        <v>4</v>
      </c>
      <c r="N122" s="88">
        <v>289.8</v>
      </c>
      <c r="O122" s="79">
        <f t="shared" si="3"/>
        <v>1.3860248447204968</v>
      </c>
      <c r="P122" s="80">
        <f t="shared" si="4"/>
        <v>0.72148778848308315</v>
      </c>
      <c r="Q122" s="79">
        <f t="shared" si="5"/>
        <v>0.8875704342061651</v>
      </c>
      <c r="R122" s="81">
        <f t="shared" si="6"/>
        <v>0.6403712296983759</v>
      </c>
      <c r="S122" s="89">
        <f t="shared" si="32"/>
        <v>162.75</v>
      </c>
      <c r="T122" s="83">
        <f t="shared" si="8"/>
        <v>100.4175</v>
      </c>
      <c r="U122" s="135"/>
      <c r="V122" s="135"/>
      <c r="W122" s="135"/>
      <c r="X122" s="135"/>
      <c r="Y122" s="136"/>
      <c r="Z122" s="50"/>
      <c r="AA122" s="50"/>
    </row>
    <row r="123" spans="1:27" ht="12.75" hidden="1" outlineLevel="1" x14ac:dyDescent="0.2">
      <c r="A123" s="50"/>
      <c r="B123" s="137"/>
      <c r="C123" s="70" t="s">
        <v>34</v>
      </c>
      <c r="D123" s="90">
        <v>0</v>
      </c>
      <c r="E123" s="75"/>
      <c r="F123" s="73">
        <v>0</v>
      </c>
      <c r="G123" s="73">
        <v>0</v>
      </c>
      <c r="H123" s="74" t="e">
        <f t="shared" si="0"/>
        <v>#DIV/0!</v>
      </c>
      <c r="I123" s="75" t="e">
        <f t="shared" si="1"/>
        <v>#DIV/0!</v>
      </c>
      <c r="J123" s="76" t="e">
        <f t="shared" si="2"/>
        <v>#DIV/0!</v>
      </c>
      <c r="K123" s="90">
        <v>0</v>
      </c>
      <c r="L123" s="73">
        <v>0</v>
      </c>
      <c r="M123" s="73">
        <v>0</v>
      </c>
      <c r="N123" s="91">
        <v>0</v>
      </c>
      <c r="O123" s="79" t="e">
        <f t="shared" si="3"/>
        <v>#DIV/0!</v>
      </c>
      <c r="P123" s="80" t="e">
        <f t="shared" si="4"/>
        <v>#DIV/0!</v>
      </c>
      <c r="Q123" s="79" t="e">
        <f t="shared" si="5"/>
        <v>#DIV/0!</v>
      </c>
      <c r="R123" s="81" t="e">
        <f t="shared" si="6"/>
        <v>#DIV/0!</v>
      </c>
      <c r="S123" s="92">
        <f t="shared" si="32"/>
        <v>0</v>
      </c>
      <c r="T123" s="83" t="e">
        <f t="shared" si="8"/>
        <v>#DIV/0!</v>
      </c>
      <c r="U123" s="135"/>
      <c r="V123" s="135"/>
      <c r="W123" s="135"/>
      <c r="X123" s="135"/>
      <c r="Y123" s="136"/>
      <c r="Z123" s="50"/>
      <c r="AA123" s="50"/>
    </row>
    <row r="124" spans="1:27" ht="12.75" hidden="1" outlineLevel="1" x14ac:dyDescent="0.2">
      <c r="A124" s="50"/>
      <c r="B124" s="137"/>
      <c r="C124" s="70" t="s">
        <v>35</v>
      </c>
      <c r="D124" s="90">
        <v>395.65</v>
      </c>
      <c r="E124" s="75"/>
      <c r="F124" s="73">
        <v>7</v>
      </c>
      <c r="G124" s="73">
        <v>7</v>
      </c>
      <c r="H124" s="74">
        <f t="shared" si="0"/>
        <v>1</v>
      </c>
      <c r="I124" s="75">
        <f t="shared" si="1"/>
        <v>56.521428571428565</v>
      </c>
      <c r="J124" s="76">
        <f t="shared" si="2"/>
        <v>56.521428571428565</v>
      </c>
      <c r="K124" s="90">
        <v>52.21</v>
      </c>
      <c r="L124" s="73">
        <v>4185</v>
      </c>
      <c r="M124" s="73">
        <v>3</v>
      </c>
      <c r="N124" s="91">
        <v>161.85</v>
      </c>
      <c r="O124" s="79">
        <f t="shared" si="3"/>
        <v>0.32258263824528888</v>
      </c>
      <c r="P124" s="80">
        <f t="shared" si="4"/>
        <v>3.0999808465811145</v>
      </c>
      <c r="Q124" s="79">
        <f t="shared" si="5"/>
        <v>0.1319600657146468</v>
      </c>
      <c r="R124" s="81">
        <f t="shared" si="6"/>
        <v>0.40907367622899027</v>
      </c>
      <c r="S124" s="92">
        <f t="shared" si="32"/>
        <v>233.79999999999998</v>
      </c>
      <c r="T124" s="83">
        <f t="shared" si="8"/>
        <v>17.403333333333332</v>
      </c>
      <c r="U124" s="135"/>
      <c r="V124" s="135"/>
      <c r="W124" s="135"/>
      <c r="X124" s="135"/>
      <c r="Y124" s="136"/>
      <c r="Z124" s="50"/>
      <c r="AA124" s="50"/>
    </row>
    <row r="125" spans="1:27" ht="12.75" hidden="1" outlineLevel="1" x14ac:dyDescent="0.2">
      <c r="A125" s="50"/>
      <c r="B125" s="137"/>
      <c r="C125" s="70" t="s">
        <v>62</v>
      </c>
      <c r="D125" s="200">
        <v>39</v>
      </c>
      <c r="E125" s="75"/>
      <c r="F125" s="73">
        <v>1</v>
      </c>
      <c r="G125" s="73">
        <v>1</v>
      </c>
      <c r="H125" s="74">
        <f t="shared" si="0"/>
        <v>1</v>
      </c>
      <c r="I125" s="75">
        <f t="shared" si="1"/>
        <v>39</v>
      </c>
      <c r="J125" s="76">
        <f t="shared" si="2"/>
        <v>39</v>
      </c>
      <c r="K125" s="200">
        <v>0</v>
      </c>
      <c r="L125" s="73">
        <v>0</v>
      </c>
      <c r="M125" s="73">
        <v>0</v>
      </c>
      <c r="N125" s="200">
        <v>0</v>
      </c>
      <c r="O125" s="79" t="e">
        <f t="shared" si="3"/>
        <v>#DIV/0!</v>
      </c>
      <c r="P125" s="80" t="e">
        <f t="shared" si="4"/>
        <v>#DIV/0!</v>
      </c>
      <c r="Q125" s="79">
        <f t="shared" si="5"/>
        <v>0</v>
      </c>
      <c r="R125" s="81">
        <f t="shared" si="6"/>
        <v>0</v>
      </c>
      <c r="S125" s="92">
        <f t="shared" si="32"/>
        <v>39</v>
      </c>
      <c r="T125" s="83" t="e">
        <f t="shared" si="8"/>
        <v>#DIV/0!</v>
      </c>
      <c r="U125" s="135"/>
      <c r="V125" s="135"/>
      <c r="W125" s="135"/>
      <c r="X125" s="135"/>
      <c r="Y125" s="136"/>
      <c r="Z125" s="50"/>
      <c r="AA125" s="50"/>
    </row>
    <row r="126" spans="1:27" ht="12.75" hidden="1" outlineLevel="1" x14ac:dyDescent="0.2">
      <c r="A126" s="50"/>
      <c r="B126" s="137"/>
      <c r="C126" s="70" t="s">
        <v>66</v>
      </c>
      <c r="D126" s="201">
        <v>0</v>
      </c>
      <c r="E126" s="75"/>
      <c r="F126" s="73">
        <v>0</v>
      </c>
      <c r="G126" s="73">
        <v>0</v>
      </c>
      <c r="H126" s="74" t="e">
        <f t="shared" si="0"/>
        <v>#DIV/0!</v>
      </c>
      <c r="I126" s="75" t="e">
        <f t="shared" si="1"/>
        <v>#DIV/0!</v>
      </c>
      <c r="J126" s="76" t="e">
        <f t="shared" si="2"/>
        <v>#DIV/0!</v>
      </c>
      <c r="K126" s="201">
        <v>24.06</v>
      </c>
      <c r="L126" s="73">
        <v>4657</v>
      </c>
      <c r="M126" s="73">
        <v>1</v>
      </c>
      <c r="N126" s="202">
        <v>59.99</v>
      </c>
      <c r="O126" s="79">
        <f t="shared" si="3"/>
        <v>0.40106684447407898</v>
      </c>
      <c r="P126" s="80">
        <f t="shared" si="4"/>
        <v>2.4933499584372405</v>
      </c>
      <c r="Q126" s="79" t="e">
        <f t="shared" si="5"/>
        <v>#DIV/0!</v>
      </c>
      <c r="R126" s="81" t="e">
        <f t="shared" si="6"/>
        <v>#DIV/0!</v>
      </c>
      <c r="S126" s="203">
        <f t="shared" si="32"/>
        <v>-59.99</v>
      </c>
      <c r="T126" s="83">
        <f t="shared" si="8"/>
        <v>24.06</v>
      </c>
      <c r="U126" s="135"/>
      <c r="V126" s="135"/>
      <c r="W126" s="135"/>
      <c r="X126" s="135"/>
      <c r="Y126" s="136"/>
      <c r="Z126" s="50"/>
      <c r="AA126" s="50"/>
    </row>
    <row r="127" spans="1:27" ht="12.75" hidden="1" outlineLevel="1" x14ac:dyDescent="0.2">
      <c r="A127" s="50"/>
      <c r="B127" s="137"/>
      <c r="C127" s="70" t="s">
        <v>36</v>
      </c>
      <c r="D127" s="90">
        <v>189.57</v>
      </c>
      <c r="E127" s="75"/>
      <c r="F127" s="73">
        <v>3</v>
      </c>
      <c r="G127" s="73">
        <v>4</v>
      </c>
      <c r="H127" s="74">
        <f t="shared" si="0"/>
        <v>0.75</v>
      </c>
      <c r="I127" s="75">
        <f t="shared" si="1"/>
        <v>63.19</v>
      </c>
      <c r="J127" s="76">
        <f t="shared" si="2"/>
        <v>84.25333333333333</v>
      </c>
      <c r="K127" s="90">
        <v>105.38</v>
      </c>
      <c r="L127" s="73">
        <v>5971</v>
      </c>
      <c r="M127" s="73">
        <v>2</v>
      </c>
      <c r="N127" s="91">
        <v>139.9</v>
      </c>
      <c r="O127" s="79">
        <f t="shared" si="3"/>
        <v>0.75325232308791989</v>
      </c>
      <c r="P127" s="80">
        <f t="shared" si="4"/>
        <v>1.3275763902068705</v>
      </c>
      <c r="Q127" s="79">
        <f t="shared" si="5"/>
        <v>0.555889644986021</v>
      </c>
      <c r="R127" s="81">
        <f t="shared" si="6"/>
        <v>0.73798596824392049</v>
      </c>
      <c r="S127" s="92">
        <f t="shared" si="32"/>
        <v>49.669999999999987</v>
      </c>
      <c r="T127" s="83">
        <f t="shared" si="8"/>
        <v>52.69</v>
      </c>
      <c r="U127" s="135"/>
      <c r="V127" s="135"/>
      <c r="W127" s="135"/>
      <c r="X127" s="135"/>
      <c r="Y127" s="136"/>
      <c r="Z127" s="50"/>
      <c r="AA127" s="50"/>
    </row>
    <row r="128" spans="1:27" ht="12.75" hidden="1" outlineLevel="1" x14ac:dyDescent="0.2">
      <c r="A128" s="50"/>
      <c r="B128" s="69" t="s">
        <v>37</v>
      </c>
      <c r="C128" s="70" t="s">
        <v>38</v>
      </c>
      <c r="D128" s="93">
        <v>851.99</v>
      </c>
      <c r="E128" s="75"/>
      <c r="F128" s="73">
        <v>15</v>
      </c>
      <c r="G128" s="73">
        <v>16</v>
      </c>
      <c r="H128" s="74">
        <f t="shared" si="0"/>
        <v>0.9375</v>
      </c>
      <c r="I128" s="75">
        <f t="shared" si="1"/>
        <v>56.799333333333337</v>
      </c>
      <c r="J128" s="76">
        <f t="shared" si="2"/>
        <v>60.585955555555557</v>
      </c>
      <c r="K128" s="93">
        <v>154</v>
      </c>
      <c r="L128" s="73">
        <v>14576</v>
      </c>
      <c r="M128" s="73">
        <v>5</v>
      </c>
      <c r="N128" s="94">
        <v>172.45</v>
      </c>
      <c r="O128" s="79">
        <f t="shared" si="3"/>
        <v>0.89301246738184992</v>
      </c>
      <c r="P128" s="80">
        <f t="shared" si="4"/>
        <v>1.1198051948051948</v>
      </c>
      <c r="Q128" s="79">
        <f t="shared" si="5"/>
        <v>0.1807532952264698</v>
      </c>
      <c r="R128" s="81">
        <f t="shared" si="6"/>
        <v>0.20240847897275788</v>
      </c>
      <c r="S128" s="95">
        <f t="shared" si="32"/>
        <v>679.54</v>
      </c>
      <c r="T128" s="83">
        <f t="shared" si="8"/>
        <v>30.8</v>
      </c>
      <c r="U128" s="135"/>
      <c r="V128" s="135"/>
      <c r="W128" s="135"/>
      <c r="X128" s="135"/>
      <c r="Y128" s="136"/>
      <c r="Z128" s="50"/>
      <c r="AA128" s="50"/>
    </row>
    <row r="129" spans="1:27" ht="12.75" hidden="1" outlineLevel="1" x14ac:dyDescent="0.2">
      <c r="A129" s="50"/>
      <c r="B129" s="137"/>
      <c r="C129" s="70" t="s">
        <v>39</v>
      </c>
      <c r="D129" s="96">
        <v>0</v>
      </c>
      <c r="E129" s="75"/>
      <c r="F129" s="73">
        <v>0</v>
      </c>
      <c r="G129" s="73">
        <v>0</v>
      </c>
      <c r="H129" s="74" t="e">
        <f t="shared" si="0"/>
        <v>#DIV/0!</v>
      </c>
      <c r="I129" s="75" t="e">
        <f t="shared" si="1"/>
        <v>#DIV/0!</v>
      </c>
      <c r="J129" s="76" t="e">
        <f t="shared" si="2"/>
        <v>#DIV/0!</v>
      </c>
      <c r="K129" s="96">
        <v>84.87</v>
      </c>
      <c r="L129" s="73">
        <v>58326</v>
      </c>
      <c r="M129" s="73">
        <v>0</v>
      </c>
      <c r="N129" s="97">
        <v>0</v>
      </c>
      <c r="O129" s="79" t="e">
        <f t="shared" si="3"/>
        <v>#DIV/0!</v>
      </c>
      <c r="P129" s="80">
        <f t="shared" si="4"/>
        <v>0</v>
      </c>
      <c r="Q129" s="79" t="e">
        <f t="shared" si="5"/>
        <v>#DIV/0!</v>
      </c>
      <c r="R129" s="81" t="e">
        <f t="shared" si="6"/>
        <v>#DIV/0!</v>
      </c>
      <c r="S129" s="98">
        <f t="shared" si="32"/>
        <v>0</v>
      </c>
      <c r="T129" s="83" t="e">
        <f t="shared" si="8"/>
        <v>#DIV/0!</v>
      </c>
      <c r="U129" s="135"/>
      <c r="V129" s="135"/>
      <c r="W129" s="135"/>
      <c r="X129" s="135"/>
      <c r="Y129" s="136"/>
      <c r="Z129" s="50"/>
      <c r="AA129" s="50"/>
    </row>
    <row r="130" spans="1:27" ht="12.75" hidden="1" outlineLevel="1" x14ac:dyDescent="0.2">
      <c r="A130" s="50"/>
      <c r="B130" s="137"/>
      <c r="C130" s="70" t="s">
        <v>40</v>
      </c>
      <c r="D130" s="99">
        <v>439.6</v>
      </c>
      <c r="E130" s="75"/>
      <c r="F130" s="73">
        <v>8</v>
      </c>
      <c r="G130" s="73">
        <v>4</v>
      </c>
      <c r="H130" s="74">
        <f t="shared" si="0"/>
        <v>2</v>
      </c>
      <c r="I130" s="75">
        <f t="shared" si="1"/>
        <v>54.95</v>
      </c>
      <c r="J130" s="76">
        <f t="shared" si="2"/>
        <v>27.475000000000001</v>
      </c>
      <c r="K130" s="99">
        <v>0</v>
      </c>
      <c r="L130" s="73">
        <v>0</v>
      </c>
      <c r="M130" s="73">
        <v>0</v>
      </c>
      <c r="N130" s="100">
        <v>0</v>
      </c>
      <c r="O130" s="79" t="e">
        <f t="shared" si="3"/>
        <v>#DIV/0!</v>
      </c>
      <c r="P130" s="80" t="e">
        <f t="shared" si="4"/>
        <v>#DIV/0!</v>
      </c>
      <c r="Q130" s="79">
        <f t="shared" si="5"/>
        <v>0</v>
      </c>
      <c r="R130" s="81">
        <f t="shared" si="6"/>
        <v>0</v>
      </c>
      <c r="S130" s="101">
        <f t="shared" si="32"/>
        <v>439.6</v>
      </c>
      <c r="T130" s="83" t="e">
        <f t="shared" si="8"/>
        <v>#DIV/0!</v>
      </c>
      <c r="U130" s="135"/>
      <c r="V130" s="135"/>
      <c r="W130" s="135"/>
      <c r="X130" s="135"/>
      <c r="Y130" s="136"/>
      <c r="Z130" s="50"/>
      <c r="AA130" s="50"/>
    </row>
    <row r="131" spans="1:27" ht="12.75" hidden="1" outlineLevel="1" x14ac:dyDescent="0.2">
      <c r="A131" s="50"/>
      <c r="B131" s="137"/>
      <c r="C131" s="70" t="s">
        <v>41</v>
      </c>
      <c r="D131" s="102">
        <v>330</v>
      </c>
      <c r="E131" s="75"/>
      <c r="F131" s="73">
        <v>6</v>
      </c>
      <c r="G131" s="73">
        <v>6</v>
      </c>
      <c r="H131" s="74">
        <f t="shared" si="0"/>
        <v>1</v>
      </c>
      <c r="I131" s="75">
        <f t="shared" si="1"/>
        <v>55</v>
      </c>
      <c r="J131" s="76">
        <f t="shared" si="2"/>
        <v>55</v>
      </c>
      <c r="K131" s="102">
        <v>38.86</v>
      </c>
      <c r="L131" s="73">
        <v>6385</v>
      </c>
      <c r="M131" s="73">
        <v>0</v>
      </c>
      <c r="N131" s="103">
        <v>0</v>
      </c>
      <c r="O131" s="79" t="e">
        <f t="shared" si="3"/>
        <v>#DIV/0!</v>
      </c>
      <c r="P131" s="80">
        <f t="shared" si="4"/>
        <v>0</v>
      </c>
      <c r="Q131" s="79">
        <f t="shared" si="5"/>
        <v>0.11775757575757576</v>
      </c>
      <c r="R131" s="81">
        <f t="shared" si="6"/>
        <v>0</v>
      </c>
      <c r="S131" s="104">
        <f t="shared" si="32"/>
        <v>330</v>
      </c>
      <c r="T131" s="83" t="e">
        <f t="shared" si="8"/>
        <v>#DIV/0!</v>
      </c>
      <c r="U131" s="135"/>
      <c r="V131" s="135"/>
      <c r="W131" s="135"/>
      <c r="X131" s="135"/>
      <c r="Y131" s="136"/>
      <c r="Z131" s="50"/>
      <c r="AA131" s="50"/>
    </row>
    <row r="132" spans="1:27" ht="12.75" hidden="1" outlineLevel="1" x14ac:dyDescent="0.2">
      <c r="A132" s="50"/>
      <c r="B132" s="137"/>
      <c r="C132" s="70" t="s">
        <v>42</v>
      </c>
      <c r="D132" s="90">
        <v>39.979999999999997</v>
      </c>
      <c r="E132" s="75"/>
      <c r="F132" s="73">
        <v>2</v>
      </c>
      <c r="G132" s="73">
        <v>1</v>
      </c>
      <c r="H132" s="74">
        <f t="shared" si="0"/>
        <v>2</v>
      </c>
      <c r="I132" s="75">
        <f t="shared" si="1"/>
        <v>19.989999999999998</v>
      </c>
      <c r="J132" s="76">
        <f t="shared" si="2"/>
        <v>9.9949999999999992</v>
      </c>
      <c r="K132" s="90">
        <v>6.94</v>
      </c>
      <c r="L132" s="73">
        <v>21359</v>
      </c>
      <c r="M132" s="73">
        <v>2</v>
      </c>
      <c r="N132" s="91">
        <v>39.979999999999997</v>
      </c>
      <c r="O132" s="79">
        <f t="shared" si="3"/>
        <v>0.17358679339669839</v>
      </c>
      <c r="P132" s="80">
        <f t="shared" si="4"/>
        <v>5.7608069164265121</v>
      </c>
      <c r="Q132" s="79">
        <f t="shared" si="5"/>
        <v>0.17358679339669839</v>
      </c>
      <c r="R132" s="81">
        <f t="shared" si="6"/>
        <v>1</v>
      </c>
      <c r="S132" s="92">
        <f t="shared" si="32"/>
        <v>0</v>
      </c>
      <c r="T132" s="83">
        <f t="shared" si="8"/>
        <v>3.47</v>
      </c>
      <c r="U132" s="135"/>
      <c r="V132" s="135"/>
      <c r="W132" s="135"/>
      <c r="X132" s="135"/>
      <c r="Y132" s="136"/>
      <c r="Z132" s="50"/>
      <c r="AA132" s="50"/>
    </row>
    <row r="133" spans="1:27" ht="12.75" hidden="1" outlineLevel="1" x14ac:dyDescent="0.2">
      <c r="A133" s="50"/>
      <c r="B133" s="137"/>
      <c r="C133" s="70" t="s">
        <v>43</v>
      </c>
      <c r="D133" s="105">
        <v>447</v>
      </c>
      <c r="E133" s="75"/>
      <c r="F133" s="73">
        <v>3</v>
      </c>
      <c r="G133" s="73">
        <v>3</v>
      </c>
      <c r="H133" s="74">
        <f t="shared" si="0"/>
        <v>1</v>
      </c>
      <c r="I133" s="75">
        <f t="shared" si="1"/>
        <v>149</v>
      </c>
      <c r="J133" s="76">
        <f t="shared" si="2"/>
        <v>149</v>
      </c>
      <c r="K133" s="105">
        <v>42.91</v>
      </c>
      <c r="L133" s="73">
        <v>27786</v>
      </c>
      <c r="M133" s="73">
        <v>0</v>
      </c>
      <c r="N133" s="106">
        <v>0</v>
      </c>
      <c r="O133" s="79" t="e">
        <f t="shared" si="3"/>
        <v>#DIV/0!</v>
      </c>
      <c r="P133" s="80">
        <f t="shared" si="4"/>
        <v>0</v>
      </c>
      <c r="Q133" s="79">
        <f t="shared" si="5"/>
        <v>9.5995525727069347E-2</v>
      </c>
      <c r="R133" s="81">
        <f t="shared" si="6"/>
        <v>0</v>
      </c>
      <c r="S133" s="107">
        <f t="shared" si="32"/>
        <v>447</v>
      </c>
      <c r="T133" s="83" t="e">
        <f t="shared" si="8"/>
        <v>#DIV/0!</v>
      </c>
      <c r="U133" s="135"/>
      <c r="V133" s="135"/>
      <c r="W133" s="135"/>
      <c r="X133" s="135"/>
      <c r="Y133" s="136"/>
      <c r="Z133" s="50"/>
      <c r="AA133" s="50"/>
    </row>
    <row r="134" spans="1:27" ht="12.75" hidden="1" outlineLevel="1" x14ac:dyDescent="0.2">
      <c r="A134" s="50"/>
      <c r="B134" s="137"/>
      <c r="C134" s="70" t="s">
        <v>44</v>
      </c>
      <c r="D134" s="108">
        <v>119.9</v>
      </c>
      <c r="E134" s="75"/>
      <c r="F134" s="73">
        <v>2</v>
      </c>
      <c r="G134" s="73">
        <v>1</v>
      </c>
      <c r="H134" s="74">
        <f t="shared" si="0"/>
        <v>2</v>
      </c>
      <c r="I134" s="75">
        <f t="shared" si="1"/>
        <v>59.95</v>
      </c>
      <c r="J134" s="76">
        <f t="shared" si="2"/>
        <v>29.975000000000001</v>
      </c>
      <c r="K134" s="108">
        <v>7.41</v>
      </c>
      <c r="L134" s="73">
        <v>1796</v>
      </c>
      <c r="M134" s="73">
        <v>0</v>
      </c>
      <c r="N134" s="109">
        <v>0</v>
      </c>
      <c r="O134" s="79" t="e">
        <f t="shared" si="3"/>
        <v>#DIV/0!</v>
      </c>
      <c r="P134" s="80">
        <f t="shared" si="4"/>
        <v>0</v>
      </c>
      <c r="Q134" s="79">
        <f t="shared" si="5"/>
        <v>6.1801501251042536E-2</v>
      </c>
      <c r="R134" s="81">
        <f t="shared" si="6"/>
        <v>0</v>
      </c>
      <c r="S134" s="110">
        <f t="shared" si="32"/>
        <v>119.9</v>
      </c>
      <c r="T134" s="83" t="e">
        <f t="shared" si="8"/>
        <v>#DIV/0!</v>
      </c>
      <c r="U134" s="135"/>
      <c r="V134" s="135"/>
      <c r="W134" s="135"/>
      <c r="X134" s="135"/>
      <c r="Y134" s="136"/>
      <c r="Z134" s="50"/>
      <c r="AA134" s="50"/>
    </row>
    <row r="135" spans="1:27" ht="12.75" hidden="1" outlineLevel="1" x14ac:dyDescent="0.2">
      <c r="A135" s="139"/>
      <c r="B135" s="137"/>
      <c r="C135" s="112" t="s">
        <v>45</v>
      </c>
      <c r="D135" s="71">
        <v>99.89</v>
      </c>
      <c r="E135" s="75"/>
      <c r="F135" s="73">
        <v>3</v>
      </c>
      <c r="G135" s="73">
        <v>3</v>
      </c>
      <c r="H135" s="74">
        <f t="shared" si="0"/>
        <v>1</v>
      </c>
      <c r="I135" s="75">
        <f t="shared" si="1"/>
        <v>33.296666666666667</v>
      </c>
      <c r="J135" s="76">
        <f t="shared" si="2"/>
        <v>33.296666666666667</v>
      </c>
      <c r="K135" s="71">
        <v>0</v>
      </c>
      <c r="L135" s="73">
        <v>0</v>
      </c>
      <c r="M135" s="73">
        <v>0</v>
      </c>
      <c r="N135" s="78">
        <v>0</v>
      </c>
      <c r="O135" s="79" t="e">
        <f t="shared" si="3"/>
        <v>#DIV/0!</v>
      </c>
      <c r="P135" s="80" t="e">
        <f t="shared" si="4"/>
        <v>#DIV/0!</v>
      </c>
      <c r="Q135" s="79">
        <f t="shared" si="5"/>
        <v>0</v>
      </c>
      <c r="R135" s="81">
        <f t="shared" si="6"/>
        <v>0</v>
      </c>
      <c r="S135" s="82">
        <f t="shared" si="32"/>
        <v>99.89</v>
      </c>
      <c r="T135" s="83" t="e">
        <f t="shared" si="8"/>
        <v>#DIV/0!</v>
      </c>
      <c r="U135" s="140"/>
      <c r="V135" s="140"/>
      <c r="W135" s="140"/>
      <c r="X135" s="141"/>
      <c r="Y135" s="142"/>
      <c r="Z135" s="50"/>
      <c r="AA135" s="50"/>
    </row>
    <row r="136" spans="1:27" ht="12.75" hidden="1" outlineLevel="1" x14ac:dyDescent="0.2">
      <c r="A136" s="50"/>
      <c r="B136" s="137"/>
      <c r="C136" s="70" t="s">
        <v>46</v>
      </c>
      <c r="D136" s="116">
        <v>359.6</v>
      </c>
      <c r="E136" s="75"/>
      <c r="F136" s="73">
        <v>10</v>
      </c>
      <c r="G136" s="73">
        <v>13</v>
      </c>
      <c r="H136" s="74">
        <f t="shared" si="0"/>
        <v>0.76923076923076927</v>
      </c>
      <c r="I136" s="75">
        <f t="shared" si="1"/>
        <v>35.96</v>
      </c>
      <c r="J136" s="76">
        <f t="shared" si="2"/>
        <v>46.747999999999998</v>
      </c>
      <c r="K136" s="116">
        <v>159.04</v>
      </c>
      <c r="L136" s="73">
        <v>41214</v>
      </c>
      <c r="M136" s="73">
        <v>8</v>
      </c>
      <c r="N136" s="117">
        <v>287.68</v>
      </c>
      <c r="O136" s="79">
        <f t="shared" si="3"/>
        <v>0.55283648498331472</v>
      </c>
      <c r="P136" s="80">
        <f t="shared" si="4"/>
        <v>1.8088531187122738</v>
      </c>
      <c r="Q136" s="79">
        <f t="shared" si="5"/>
        <v>0.44226918798665177</v>
      </c>
      <c r="R136" s="81">
        <f t="shared" si="6"/>
        <v>0.79999999999999993</v>
      </c>
      <c r="S136" s="82">
        <f t="shared" si="32"/>
        <v>71.920000000000016</v>
      </c>
      <c r="T136" s="83">
        <f t="shared" si="8"/>
        <v>19.88</v>
      </c>
      <c r="U136" s="135"/>
      <c r="V136" s="135"/>
      <c r="W136" s="135"/>
      <c r="X136" s="135"/>
      <c r="Y136" s="136"/>
      <c r="Z136" s="50"/>
      <c r="AA136" s="50"/>
    </row>
    <row r="137" spans="1:27" ht="12.75" hidden="1" outlineLevel="1" x14ac:dyDescent="0.2">
      <c r="A137" s="118" t="str">
        <f t="shared" ref="A137:A138" si="33">IFERROR(IF(B137&gt;0,MONTH(B137)&amp;"-"&amp;YEAR(B137),B137),)</f>
        <v>2-2025</v>
      </c>
      <c r="B137" s="69">
        <v>45689</v>
      </c>
      <c r="C137" s="70" t="s">
        <v>49</v>
      </c>
      <c r="D137" s="116">
        <v>0</v>
      </c>
      <c r="E137" s="75"/>
      <c r="F137" s="73">
        <v>0</v>
      </c>
      <c r="G137" s="73">
        <v>0</v>
      </c>
      <c r="H137" s="74" t="e">
        <f t="shared" si="0"/>
        <v>#DIV/0!</v>
      </c>
      <c r="I137" s="75" t="e">
        <f t="shared" si="1"/>
        <v>#DIV/0!</v>
      </c>
      <c r="J137" s="76" t="e">
        <f t="shared" si="2"/>
        <v>#DIV/0!</v>
      </c>
      <c r="K137" s="116">
        <v>4</v>
      </c>
      <c r="L137" s="73">
        <v>6557</v>
      </c>
      <c r="M137" s="73">
        <v>0</v>
      </c>
      <c r="N137" s="117">
        <v>0</v>
      </c>
      <c r="O137" s="79" t="e">
        <f t="shared" si="3"/>
        <v>#DIV/0!</v>
      </c>
      <c r="P137" s="80">
        <f t="shared" si="4"/>
        <v>0</v>
      </c>
      <c r="Q137" s="79" t="e">
        <f t="shared" si="5"/>
        <v>#DIV/0!</v>
      </c>
      <c r="R137" s="81" t="e">
        <f t="shared" si="6"/>
        <v>#DIV/0!</v>
      </c>
      <c r="S137" s="82">
        <f t="shared" si="32"/>
        <v>0</v>
      </c>
      <c r="T137" s="83" t="e">
        <f t="shared" si="8"/>
        <v>#DIV/0!</v>
      </c>
      <c r="U137" s="135"/>
      <c r="V137" s="135"/>
      <c r="W137" s="135"/>
      <c r="X137" s="135"/>
      <c r="Y137" s="136"/>
      <c r="Z137" s="50"/>
      <c r="AA137" s="50"/>
    </row>
    <row r="138" spans="1:27" ht="17.25" customHeight="1" collapsed="1" x14ac:dyDescent="0.2">
      <c r="A138" s="139">
        <f t="shared" si="33"/>
        <v>0</v>
      </c>
      <c r="B138" s="206" t="s">
        <v>133</v>
      </c>
      <c r="C138" s="207"/>
      <c r="D138" s="208">
        <f>SUM(D121:D137)</f>
        <v>7040.7199999999993</v>
      </c>
      <c r="E138" s="211"/>
      <c r="F138" s="209">
        <f t="shared" ref="F138:G138" si="34">SUM(F121:F137)</f>
        <v>109</v>
      </c>
      <c r="G138" s="209">
        <f t="shared" si="34"/>
        <v>111</v>
      </c>
      <c r="H138" s="210">
        <f t="shared" si="0"/>
        <v>0.98198198198198194</v>
      </c>
      <c r="I138" s="211">
        <f t="shared" si="1"/>
        <v>64.593761467889905</v>
      </c>
      <c r="J138" s="212">
        <f t="shared" si="2"/>
        <v>65.778968100328257</v>
      </c>
      <c r="K138" s="213">
        <f t="shared" ref="K138:N138" si="35">SUM(K121:K137)</f>
        <v>1561.9799999999998</v>
      </c>
      <c r="L138" s="209">
        <f t="shared" si="35"/>
        <v>348430</v>
      </c>
      <c r="M138" s="209">
        <f t="shared" si="35"/>
        <v>30</v>
      </c>
      <c r="N138" s="208">
        <f t="shared" si="35"/>
        <v>2184.65</v>
      </c>
      <c r="O138" s="214">
        <f t="shared" si="3"/>
        <v>0.71497951616963806</v>
      </c>
      <c r="P138" s="215">
        <f t="shared" si="4"/>
        <v>1.3986414678805108</v>
      </c>
      <c r="Q138" s="214">
        <f t="shared" si="5"/>
        <v>0.22184946994057425</v>
      </c>
      <c r="R138" s="216">
        <f t="shared" si="6"/>
        <v>0.31028786828619803</v>
      </c>
      <c r="S138" s="217">
        <f>SUM(S121:S137)</f>
        <v>4856.0700000000006</v>
      </c>
      <c r="T138" s="218">
        <f t="shared" si="8"/>
        <v>52.065999999999995</v>
      </c>
      <c r="U138" s="219">
        <f>IFERROR((D138-#REF!)/D138,)</f>
        <v>0</v>
      </c>
      <c r="V138" s="219">
        <f>IFERROR((F138-#REF!)/F138,)</f>
        <v>0</v>
      </c>
      <c r="W138" s="220">
        <f>IFERROR((D138-[1]monthly_reporting_2021!E49)/D138, )</f>
        <v>0</v>
      </c>
      <c r="X138" s="221">
        <f>IFERROR((F138-[1]monthly_reporting_2021!F49)/F138, )</f>
        <v>0</v>
      </c>
      <c r="Y138" s="50"/>
      <c r="Z138" s="50"/>
      <c r="AA138" s="50"/>
    </row>
    <row r="139" spans="1:27" ht="12.75" hidden="1" outlineLevel="1" x14ac:dyDescent="0.2">
      <c r="A139" s="50"/>
      <c r="B139" s="69">
        <v>45690</v>
      </c>
      <c r="C139" s="70" t="s">
        <v>32</v>
      </c>
      <c r="D139" s="71">
        <v>4622.6000000000004</v>
      </c>
      <c r="E139" s="75"/>
      <c r="F139" s="73">
        <v>15</v>
      </c>
      <c r="G139" s="73">
        <v>20</v>
      </c>
      <c r="H139" s="74">
        <f t="shared" si="0"/>
        <v>0.75</v>
      </c>
      <c r="I139" s="75">
        <f t="shared" si="1"/>
        <v>308.17333333333335</v>
      </c>
      <c r="J139" s="76">
        <f t="shared" si="2"/>
        <v>410.89777777777778</v>
      </c>
      <c r="K139" s="77">
        <v>682.26</v>
      </c>
      <c r="L139" s="73">
        <v>63764</v>
      </c>
      <c r="M139" s="73">
        <v>8</v>
      </c>
      <c r="N139" s="78">
        <v>4704</v>
      </c>
      <c r="O139" s="79">
        <f t="shared" si="3"/>
        <v>0.14503826530612246</v>
      </c>
      <c r="P139" s="80">
        <f t="shared" si="4"/>
        <v>6.8947322135256357</v>
      </c>
      <c r="Q139" s="79">
        <f t="shared" si="5"/>
        <v>0.14759226409380002</v>
      </c>
      <c r="R139" s="81">
        <f t="shared" si="6"/>
        <v>1.0176091377147058</v>
      </c>
      <c r="S139" s="82">
        <f t="shared" ref="S139:S155" si="36">D139-N139</f>
        <v>-81.399999999999636</v>
      </c>
      <c r="T139" s="83">
        <f t="shared" si="8"/>
        <v>85.282499999999999</v>
      </c>
      <c r="U139" s="135"/>
      <c r="V139" s="135"/>
      <c r="W139" s="135"/>
      <c r="X139" s="135"/>
      <c r="Y139" s="136"/>
      <c r="Z139" s="50"/>
      <c r="AA139" s="50"/>
    </row>
    <row r="140" spans="1:27" ht="12.75" hidden="1" outlineLevel="1" x14ac:dyDescent="0.2">
      <c r="A140" s="50"/>
      <c r="B140" s="137"/>
      <c r="C140" s="70" t="s">
        <v>33</v>
      </c>
      <c r="D140" s="87">
        <v>2343.89</v>
      </c>
      <c r="E140" s="75"/>
      <c r="F140" s="73">
        <v>32</v>
      </c>
      <c r="G140" s="73">
        <v>33</v>
      </c>
      <c r="H140" s="74">
        <f t="shared" si="0"/>
        <v>0.96969696969696972</v>
      </c>
      <c r="I140" s="75">
        <f t="shared" si="1"/>
        <v>73.246562499999996</v>
      </c>
      <c r="J140" s="76">
        <f t="shared" si="2"/>
        <v>75.535517578124995</v>
      </c>
      <c r="K140" s="87">
        <v>408.41</v>
      </c>
      <c r="L140" s="73">
        <v>93358</v>
      </c>
      <c r="M140" s="73">
        <v>10</v>
      </c>
      <c r="N140" s="88">
        <v>413.8</v>
      </c>
      <c r="O140" s="79">
        <f t="shared" si="3"/>
        <v>0.98697438376027069</v>
      </c>
      <c r="P140" s="80">
        <f t="shared" si="4"/>
        <v>1.0131975220978917</v>
      </c>
      <c r="Q140" s="79">
        <f t="shared" si="5"/>
        <v>0.17424452512703242</v>
      </c>
      <c r="R140" s="81">
        <f t="shared" si="6"/>
        <v>0.1765441210978331</v>
      </c>
      <c r="S140" s="89">
        <f t="shared" si="36"/>
        <v>1930.09</v>
      </c>
      <c r="T140" s="83">
        <f t="shared" si="8"/>
        <v>40.841000000000001</v>
      </c>
      <c r="U140" s="135"/>
      <c r="V140" s="135"/>
      <c r="W140" s="135"/>
      <c r="X140" s="135"/>
      <c r="Y140" s="136"/>
      <c r="Z140" s="50"/>
      <c r="AA140" s="50"/>
    </row>
    <row r="141" spans="1:27" ht="12.75" hidden="1" outlineLevel="1" x14ac:dyDescent="0.2">
      <c r="A141" s="50"/>
      <c r="B141" s="137"/>
      <c r="C141" s="70" t="s">
        <v>34</v>
      </c>
      <c r="D141" s="90">
        <v>0</v>
      </c>
      <c r="E141" s="75"/>
      <c r="F141" s="73">
        <v>0</v>
      </c>
      <c r="G141" s="73">
        <v>0</v>
      </c>
      <c r="H141" s="74" t="e">
        <f t="shared" si="0"/>
        <v>#DIV/0!</v>
      </c>
      <c r="I141" s="75" t="e">
        <f t="shared" si="1"/>
        <v>#DIV/0!</v>
      </c>
      <c r="J141" s="76" t="e">
        <f t="shared" si="2"/>
        <v>#DIV/0!</v>
      </c>
      <c r="K141" s="90">
        <v>0</v>
      </c>
      <c r="L141" s="73">
        <v>0</v>
      </c>
      <c r="M141" s="73">
        <v>0</v>
      </c>
      <c r="N141" s="91">
        <v>0</v>
      </c>
      <c r="O141" s="79" t="e">
        <f>(K141/N141)</f>
        <v>#DIV/0!</v>
      </c>
      <c r="P141" s="80" t="e">
        <f t="shared" si="4"/>
        <v>#DIV/0!</v>
      </c>
      <c r="Q141" s="79" t="e">
        <f t="shared" si="5"/>
        <v>#DIV/0!</v>
      </c>
      <c r="R141" s="81" t="e">
        <f t="shared" si="6"/>
        <v>#DIV/0!</v>
      </c>
      <c r="S141" s="92">
        <f t="shared" si="36"/>
        <v>0</v>
      </c>
      <c r="T141" s="83" t="e">
        <f t="shared" si="8"/>
        <v>#DIV/0!</v>
      </c>
      <c r="U141" s="135"/>
      <c r="V141" s="135"/>
      <c r="W141" s="135"/>
      <c r="X141" s="135"/>
      <c r="Y141" s="136"/>
      <c r="Z141" s="50"/>
      <c r="AA141" s="50"/>
    </row>
    <row r="142" spans="1:27" ht="12.75" hidden="1" outlineLevel="1" x14ac:dyDescent="0.2">
      <c r="A142" s="50"/>
      <c r="B142" s="137"/>
      <c r="C142" s="70" t="s">
        <v>35</v>
      </c>
      <c r="D142" s="90">
        <v>557.5</v>
      </c>
      <c r="E142" s="75"/>
      <c r="F142" s="73">
        <v>10</v>
      </c>
      <c r="G142" s="73">
        <v>7</v>
      </c>
      <c r="H142" s="74">
        <f t="shared" si="0"/>
        <v>1.4285714285714286</v>
      </c>
      <c r="I142" s="75">
        <f t="shared" si="1"/>
        <v>55.75</v>
      </c>
      <c r="J142" s="76">
        <f t="shared" si="2"/>
        <v>39.024999999999999</v>
      </c>
      <c r="K142" s="90">
        <v>94.66</v>
      </c>
      <c r="L142" s="73">
        <v>7555</v>
      </c>
      <c r="M142" s="73">
        <v>4</v>
      </c>
      <c r="N142" s="91">
        <v>215.8</v>
      </c>
      <c r="O142" s="79">
        <f t="shared" ref="O142:O158" si="37">K142/N142</f>
        <v>0.43864689527340128</v>
      </c>
      <c r="P142" s="80">
        <f t="shared" si="4"/>
        <v>2.2797380097189945</v>
      </c>
      <c r="Q142" s="79">
        <f t="shared" si="5"/>
        <v>0.16979372197309417</v>
      </c>
      <c r="R142" s="81">
        <f t="shared" si="6"/>
        <v>0.38708520179372197</v>
      </c>
      <c r="S142" s="92">
        <f t="shared" si="36"/>
        <v>341.7</v>
      </c>
      <c r="T142" s="83">
        <f t="shared" si="8"/>
        <v>23.664999999999999</v>
      </c>
      <c r="U142" s="135"/>
      <c r="V142" s="135"/>
      <c r="W142" s="135"/>
      <c r="X142" s="135"/>
      <c r="Y142" s="136"/>
      <c r="Z142" s="50"/>
      <c r="AA142" s="50"/>
    </row>
    <row r="143" spans="1:27" ht="12.75" hidden="1" outlineLevel="1" x14ac:dyDescent="0.2">
      <c r="A143" s="50"/>
      <c r="B143" s="137"/>
      <c r="C143" s="70" t="s">
        <v>62</v>
      </c>
      <c r="D143" s="200">
        <v>39</v>
      </c>
      <c r="E143" s="75"/>
      <c r="F143" s="73">
        <v>1</v>
      </c>
      <c r="G143" s="73">
        <v>1</v>
      </c>
      <c r="H143" s="74">
        <f t="shared" si="0"/>
        <v>1</v>
      </c>
      <c r="I143" s="75">
        <f t="shared" si="1"/>
        <v>39</v>
      </c>
      <c r="J143" s="76">
        <f t="shared" si="2"/>
        <v>39</v>
      </c>
      <c r="K143" s="200">
        <v>0</v>
      </c>
      <c r="L143" s="73">
        <v>0</v>
      </c>
      <c r="M143" s="73">
        <v>0</v>
      </c>
      <c r="N143" s="200">
        <v>0</v>
      </c>
      <c r="O143" s="79" t="e">
        <f t="shared" si="37"/>
        <v>#DIV/0!</v>
      </c>
      <c r="P143" s="80" t="e">
        <f t="shared" si="4"/>
        <v>#DIV/0!</v>
      </c>
      <c r="Q143" s="79">
        <f t="shared" si="5"/>
        <v>0</v>
      </c>
      <c r="R143" s="81">
        <f t="shared" si="6"/>
        <v>0</v>
      </c>
      <c r="S143" s="92">
        <f t="shared" si="36"/>
        <v>39</v>
      </c>
      <c r="T143" s="83" t="e">
        <f t="shared" si="8"/>
        <v>#DIV/0!</v>
      </c>
      <c r="U143" s="135"/>
      <c r="V143" s="135"/>
      <c r="W143" s="135"/>
      <c r="X143" s="135"/>
      <c r="Y143" s="136"/>
      <c r="Z143" s="50"/>
      <c r="AA143" s="50"/>
    </row>
    <row r="144" spans="1:27" ht="12.75" hidden="1" outlineLevel="1" x14ac:dyDescent="0.2">
      <c r="A144" s="50"/>
      <c r="B144" s="137"/>
      <c r="C144" s="70" t="s">
        <v>66</v>
      </c>
      <c r="D144" s="201">
        <v>0</v>
      </c>
      <c r="E144" s="75"/>
      <c r="F144" s="73">
        <v>0</v>
      </c>
      <c r="G144" s="73">
        <v>0</v>
      </c>
      <c r="H144" s="74" t="e">
        <f t="shared" si="0"/>
        <v>#DIV/0!</v>
      </c>
      <c r="I144" s="75" t="e">
        <f t="shared" si="1"/>
        <v>#DIV/0!</v>
      </c>
      <c r="J144" s="76" t="e">
        <f t="shared" si="2"/>
        <v>#DIV/0!</v>
      </c>
      <c r="K144" s="201">
        <v>26.6</v>
      </c>
      <c r="L144" s="73">
        <v>7162</v>
      </c>
      <c r="M144" s="73">
        <v>4</v>
      </c>
      <c r="N144" s="202">
        <v>239.96</v>
      </c>
      <c r="O144" s="79">
        <f t="shared" si="37"/>
        <v>0.11085180863477247</v>
      </c>
      <c r="P144" s="80">
        <f t="shared" si="4"/>
        <v>9.0210526315789465</v>
      </c>
      <c r="Q144" s="79" t="e">
        <f t="shared" si="5"/>
        <v>#DIV/0!</v>
      </c>
      <c r="R144" s="81" t="e">
        <f t="shared" si="6"/>
        <v>#DIV/0!</v>
      </c>
      <c r="S144" s="203">
        <f t="shared" si="36"/>
        <v>-239.96</v>
      </c>
      <c r="T144" s="83">
        <f t="shared" si="8"/>
        <v>6.65</v>
      </c>
      <c r="U144" s="135"/>
      <c r="V144" s="135"/>
      <c r="W144" s="135"/>
      <c r="X144" s="135"/>
      <c r="Y144" s="136"/>
      <c r="Z144" s="50"/>
      <c r="AA144" s="50"/>
    </row>
    <row r="145" spans="1:27" ht="12.75" hidden="1" outlineLevel="1" x14ac:dyDescent="0.2">
      <c r="A145" s="50"/>
      <c r="B145" s="137"/>
      <c r="C145" s="70" t="s">
        <v>36</v>
      </c>
      <c r="D145" s="90">
        <v>180.41</v>
      </c>
      <c r="E145" s="75"/>
      <c r="F145" s="73">
        <v>3</v>
      </c>
      <c r="G145" s="73">
        <v>3</v>
      </c>
      <c r="H145" s="74">
        <f t="shared" si="0"/>
        <v>1</v>
      </c>
      <c r="I145" s="75">
        <f t="shared" si="1"/>
        <v>60.136666666666663</v>
      </c>
      <c r="J145" s="76">
        <f t="shared" si="2"/>
        <v>60.136666666666663</v>
      </c>
      <c r="K145" s="90">
        <v>110.61</v>
      </c>
      <c r="L145" s="73">
        <v>6260</v>
      </c>
      <c r="M145" s="73">
        <v>2</v>
      </c>
      <c r="N145" s="91">
        <v>139.9</v>
      </c>
      <c r="O145" s="79">
        <f t="shared" si="37"/>
        <v>0.79063616869192277</v>
      </c>
      <c r="P145" s="80">
        <f t="shared" si="4"/>
        <v>1.2648042672452762</v>
      </c>
      <c r="Q145" s="79">
        <f t="shared" si="5"/>
        <v>0.61310348650296542</v>
      </c>
      <c r="R145" s="81">
        <f t="shared" si="6"/>
        <v>0.77545590599190739</v>
      </c>
      <c r="S145" s="92">
        <f t="shared" si="36"/>
        <v>40.509999999999991</v>
      </c>
      <c r="T145" s="83">
        <f t="shared" si="8"/>
        <v>55.305</v>
      </c>
      <c r="U145" s="135"/>
      <c r="V145" s="135"/>
      <c r="W145" s="135"/>
      <c r="X145" s="135"/>
      <c r="Y145" s="136"/>
      <c r="Z145" s="50"/>
      <c r="AA145" s="50"/>
    </row>
    <row r="146" spans="1:27" ht="12.75" hidden="1" outlineLevel="1" x14ac:dyDescent="0.2">
      <c r="A146" s="50"/>
      <c r="B146" s="69" t="s">
        <v>37</v>
      </c>
      <c r="C146" s="70" t="s">
        <v>38</v>
      </c>
      <c r="D146" s="93">
        <v>545.44000000000005</v>
      </c>
      <c r="E146" s="75"/>
      <c r="F146" s="73">
        <v>10</v>
      </c>
      <c r="G146" s="73">
        <v>11</v>
      </c>
      <c r="H146" s="74">
        <f t="shared" si="0"/>
        <v>0.90909090909090906</v>
      </c>
      <c r="I146" s="75">
        <f t="shared" si="1"/>
        <v>54.544000000000004</v>
      </c>
      <c r="J146" s="76">
        <f t="shared" si="2"/>
        <v>59.998400000000004</v>
      </c>
      <c r="K146" s="93">
        <v>130.91</v>
      </c>
      <c r="L146" s="73">
        <v>13564</v>
      </c>
      <c r="M146" s="73">
        <v>2</v>
      </c>
      <c r="N146" s="94">
        <v>43.12</v>
      </c>
      <c r="O146" s="79">
        <f t="shared" si="37"/>
        <v>3.0359461966604826</v>
      </c>
      <c r="P146" s="80">
        <f t="shared" si="4"/>
        <v>0.32938660148193416</v>
      </c>
      <c r="Q146" s="79">
        <f t="shared" si="5"/>
        <v>0.24000806688178347</v>
      </c>
      <c r="R146" s="81">
        <f t="shared" si="6"/>
        <v>7.9055441478439417E-2</v>
      </c>
      <c r="S146" s="95">
        <f t="shared" si="36"/>
        <v>502.32000000000005</v>
      </c>
      <c r="T146" s="83">
        <f t="shared" si="8"/>
        <v>65.454999999999998</v>
      </c>
      <c r="U146" s="135"/>
      <c r="V146" s="135"/>
      <c r="W146" s="135"/>
      <c r="X146" s="135"/>
      <c r="Y146" s="136"/>
      <c r="Z146" s="50"/>
      <c r="AA146" s="50"/>
    </row>
    <row r="147" spans="1:27" ht="12.75" hidden="1" outlineLevel="1" x14ac:dyDescent="0.2">
      <c r="A147" s="50"/>
      <c r="B147" s="137"/>
      <c r="C147" s="70" t="s">
        <v>39</v>
      </c>
      <c r="D147" s="96">
        <v>0</v>
      </c>
      <c r="E147" s="75"/>
      <c r="F147" s="73">
        <v>0</v>
      </c>
      <c r="G147" s="73">
        <v>0</v>
      </c>
      <c r="H147" s="74" t="e">
        <f t="shared" si="0"/>
        <v>#DIV/0!</v>
      </c>
      <c r="I147" s="75" t="e">
        <f t="shared" si="1"/>
        <v>#DIV/0!</v>
      </c>
      <c r="J147" s="76" t="e">
        <f t="shared" si="2"/>
        <v>#DIV/0!</v>
      </c>
      <c r="K147" s="96">
        <v>58.08</v>
      </c>
      <c r="L147" s="73">
        <v>34947</v>
      </c>
      <c r="M147" s="73">
        <v>0</v>
      </c>
      <c r="N147" s="97">
        <v>0</v>
      </c>
      <c r="O147" s="79" t="e">
        <f t="shared" si="37"/>
        <v>#DIV/0!</v>
      </c>
      <c r="P147" s="80">
        <f t="shared" si="4"/>
        <v>0</v>
      </c>
      <c r="Q147" s="79" t="e">
        <f t="shared" si="5"/>
        <v>#DIV/0!</v>
      </c>
      <c r="R147" s="81" t="e">
        <f t="shared" si="6"/>
        <v>#DIV/0!</v>
      </c>
      <c r="S147" s="98">
        <f t="shared" si="36"/>
        <v>0</v>
      </c>
      <c r="T147" s="83" t="e">
        <f t="shared" si="8"/>
        <v>#DIV/0!</v>
      </c>
      <c r="U147" s="135"/>
      <c r="V147" s="135"/>
      <c r="W147" s="135"/>
      <c r="X147" s="135"/>
      <c r="Y147" s="136"/>
      <c r="Z147" s="50"/>
      <c r="AA147" s="50"/>
    </row>
    <row r="148" spans="1:27" ht="12.75" hidden="1" outlineLevel="1" x14ac:dyDescent="0.2">
      <c r="A148" s="50"/>
      <c r="B148" s="137"/>
      <c r="C148" s="70" t="s">
        <v>40</v>
      </c>
      <c r="D148" s="99">
        <v>219.8</v>
      </c>
      <c r="E148" s="75"/>
      <c r="F148" s="73">
        <v>4</v>
      </c>
      <c r="G148" s="73">
        <v>4</v>
      </c>
      <c r="H148" s="74">
        <f t="shared" si="0"/>
        <v>1</v>
      </c>
      <c r="I148" s="75">
        <f t="shared" si="1"/>
        <v>54.95</v>
      </c>
      <c r="J148" s="76">
        <f t="shared" si="2"/>
        <v>54.95</v>
      </c>
      <c r="K148" s="99">
        <v>0</v>
      </c>
      <c r="L148" s="73">
        <v>0</v>
      </c>
      <c r="M148" s="73">
        <v>0</v>
      </c>
      <c r="N148" s="100">
        <v>0</v>
      </c>
      <c r="O148" s="79" t="e">
        <f t="shared" si="37"/>
        <v>#DIV/0!</v>
      </c>
      <c r="P148" s="80" t="e">
        <f t="shared" si="4"/>
        <v>#DIV/0!</v>
      </c>
      <c r="Q148" s="79">
        <f t="shared" si="5"/>
        <v>0</v>
      </c>
      <c r="R148" s="81">
        <f t="shared" si="6"/>
        <v>0</v>
      </c>
      <c r="S148" s="101">
        <f t="shared" si="36"/>
        <v>219.8</v>
      </c>
      <c r="T148" s="83" t="e">
        <f t="shared" si="8"/>
        <v>#DIV/0!</v>
      </c>
      <c r="U148" s="135"/>
      <c r="V148" s="135"/>
      <c r="W148" s="135"/>
      <c r="X148" s="135"/>
      <c r="Y148" s="136"/>
      <c r="Z148" s="50"/>
      <c r="AA148" s="50"/>
    </row>
    <row r="149" spans="1:27" ht="12.75" hidden="1" outlineLevel="1" x14ac:dyDescent="0.2">
      <c r="A149" s="50"/>
      <c r="B149" s="137"/>
      <c r="C149" s="70" t="s">
        <v>41</v>
      </c>
      <c r="D149" s="102">
        <v>641.70000000000005</v>
      </c>
      <c r="E149" s="75"/>
      <c r="F149" s="73">
        <v>8</v>
      </c>
      <c r="G149" s="73">
        <v>7</v>
      </c>
      <c r="H149" s="74">
        <f t="shared" si="0"/>
        <v>1.1428571428571428</v>
      </c>
      <c r="I149" s="75">
        <f t="shared" si="1"/>
        <v>80.212500000000006</v>
      </c>
      <c r="J149" s="76">
        <f t="shared" si="2"/>
        <v>70.185937500000009</v>
      </c>
      <c r="K149" s="102">
        <v>95.34</v>
      </c>
      <c r="L149" s="73">
        <v>7828</v>
      </c>
      <c r="M149" s="73">
        <v>3</v>
      </c>
      <c r="N149" s="103">
        <v>366.7</v>
      </c>
      <c r="O149" s="79">
        <f t="shared" si="37"/>
        <v>0.25999454595036814</v>
      </c>
      <c r="P149" s="80">
        <f t="shared" si="4"/>
        <v>3.8462345290539122</v>
      </c>
      <c r="Q149" s="79">
        <f t="shared" si="5"/>
        <v>0.14857410004675081</v>
      </c>
      <c r="R149" s="81">
        <f t="shared" si="6"/>
        <v>0.57145083372292338</v>
      </c>
      <c r="S149" s="104">
        <f t="shared" si="36"/>
        <v>275.00000000000006</v>
      </c>
      <c r="T149" s="83">
        <f t="shared" si="8"/>
        <v>31.78</v>
      </c>
      <c r="U149" s="135"/>
      <c r="V149" s="135"/>
      <c r="W149" s="135"/>
      <c r="X149" s="135"/>
      <c r="Y149" s="136"/>
      <c r="Z149" s="50"/>
      <c r="AA149" s="50"/>
    </row>
    <row r="150" spans="1:27" ht="12.75" hidden="1" outlineLevel="1" x14ac:dyDescent="0.2">
      <c r="A150" s="50"/>
      <c r="B150" s="137"/>
      <c r="C150" s="70" t="s">
        <v>42</v>
      </c>
      <c r="D150" s="90">
        <v>0</v>
      </c>
      <c r="E150" s="75"/>
      <c r="F150" s="73">
        <v>0</v>
      </c>
      <c r="G150" s="73">
        <v>0</v>
      </c>
      <c r="H150" s="74" t="e">
        <f t="shared" si="0"/>
        <v>#DIV/0!</v>
      </c>
      <c r="I150" s="75" t="e">
        <f t="shared" si="1"/>
        <v>#DIV/0!</v>
      </c>
      <c r="J150" s="76" t="e">
        <f t="shared" si="2"/>
        <v>#DIV/0!</v>
      </c>
      <c r="K150" s="90">
        <v>6.62</v>
      </c>
      <c r="L150" s="73">
        <v>18618</v>
      </c>
      <c r="M150" s="73">
        <v>0</v>
      </c>
      <c r="N150" s="91">
        <v>0</v>
      </c>
      <c r="O150" s="79" t="e">
        <f t="shared" si="37"/>
        <v>#DIV/0!</v>
      </c>
      <c r="P150" s="80">
        <f t="shared" si="4"/>
        <v>0</v>
      </c>
      <c r="Q150" s="79" t="e">
        <f t="shared" si="5"/>
        <v>#DIV/0!</v>
      </c>
      <c r="R150" s="81" t="e">
        <f t="shared" si="6"/>
        <v>#DIV/0!</v>
      </c>
      <c r="S150" s="92">
        <f t="shared" si="36"/>
        <v>0</v>
      </c>
      <c r="T150" s="83" t="e">
        <f t="shared" si="8"/>
        <v>#DIV/0!</v>
      </c>
      <c r="U150" s="135"/>
      <c r="V150" s="135"/>
      <c r="W150" s="135"/>
      <c r="X150" s="135"/>
      <c r="Y150" s="136"/>
      <c r="Z150" s="50"/>
      <c r="AA150" s="50"/>
    </row>
    <row r="151" spans="1:27" ht="12.75" hidden="1" outlineLevel="1" x14ac:dyDescent="0.2">
      <c r="A151" s="50"/>
      <c r="B151" s="137"/>
      <c r="C151" s="70" t="s">
        <v>43</v>
      </c>
      <c r="D151" s="105">
        <v>149</v>
      </c>
      <c r="E151" s="75"/>
      <c r="F151" s="73">
        <v>1</v>
      </c>
      <c r="G151" s="73">
        <v>2</v>
      </c>
      <c r="H151" s="74">
        <f t="shared" si="0"/>
        <v>0.5</v>
      </c>
      <c r="I151" s="75">
        <f t="shared" si="1"/>
        <v>149</v>
      </c>
      <c r="J151" s="76">
        <f t="shared" si="2"/>
        <v>298</v>
      </c>
      <c r="K151" s="105">
        <v>56.6</v>
      </c>
      <c r="L151" s="73">
        <v>29672</v>
      </c>
      <c r="M151" s="73">
        <v>0</v>
      </c>
      <c r="N151" s="106">
        <v>0</v>
      </c>
      <c r="O151" s="79" t="e">
        <f t="shared" si="37"/>
        <v>#DIV/0!</v>
      </c>
      <c r="P151" s="80">
        <f t="shared" si="4"/>
        <v>0</v>
      </c>
      <c r="Q151" s="79">
        <f t="shared" si="5"/>
        <v>0.37986577181208053</v>
      </c>
      <c r="R151" s="81">
        <f t="shared" si="6"/>
        <v>0</v>
      </c>
      <c r="S151" s="107">
        <f t="shared" si="36"/>
        <v>149</v>
      </c>
      <c r="T151" s="83" t="e">
        <f t="shared" si="8"/>
        <v>#DIV/0!</v>
      </c>
      <c r="U151" s="135"/>
      <c r="V151" s="135"/>
      <c r="W151" s="135"/>
      <c r="X151" s="135"/>
      <c r="Y151" s="136"/>
      <c r="Z151" s="50"/>
      <c r="AA151" s="50"/>
    </row>
    <row r="152" spans="1:27" ht="12.75" hidden="1" outlineLevel="1" x14ac:dyDescent="0.2">
      <c r="A152" s="50"/>
      <c r="B152" s="137"/>
      <c r="C152" s="70" t="s">
        <v>44</v>
      </c>
      <c r="D152" s="108">
        <v>179.85</v>
      </c>
      <c r="E152" s="75"/>
      <c r="F152" s="73">
        <v>3</v>
      </c>
      <c r="G152" s="73">
        <v>3</v>
      </c>
      <c r="H152" s="74">
        <f t="shared" si="0"/>
        <v>1</v>
      </c>
      <c r="I152" s="75">
        <f t="shared" si="1"/>
        <v>59.949999999999996</v>
      </c>
      <c r="J152" s="76">
        <f t="shared" si="2"/>
        <v>59.949999999999996</v>
      </c>
      <c r="K152" s="108">
        <v>7.14</v>
      </c>
      <c r="L152" s="73">
        <v>3327</v>
      </c>
      <c r="M152" s="73">
        <v>1</v>
      </c>
      <c r="N152" s="109">
        <v>59.95</v>
      </c>
      <c r="O152" s="79">
        <f t="shared" si="37"/>
        <v>0.11909924937447872</v>
      </c>
      <c r="P152" s="80">
        <f t="shared" si="4"/>
        <v>8.3963585434173673</v>
      </c>
      <c r="Q152" s="79">
        <f t="shared" si="5"/>
        <v>3.9699749791492912E-2</v>
      </c>
      <c r="R152" s="81">
        <f t="shared" si="6"/>
        <v>0.33333333333333337</v>
      </c>
      <c r="S152" s="110">
        <f t="shared" si="36"/>
        <v>119.89999999999999</v>
      </c>
      <c r="T152" s="83">
        <f t="shared" si="8"/>
        <v>7.14</v>
      </c>
      <c r="U152" s="135"/>
      <c r="V152" s="135"/>
      <c r="W152" s="135"/>
      <c r="X152" s="135"/>
      <c r="Y152" s="136"/>
      <c r="Z152" s="50"/>
      <c r="AA152" s="50"/>
    </row>
    <row r="153" spans="1:27" ht="12.75" hidden="1" outlineLevel="1" x14ac:dyDescent="0.2">
      <c r="A153" s="139"/>
      <c r="B153" s="137"/>
      <c r="C153" s="112" t="s">
        <v>45</v>
      </c>
      <c r="D153" s="71">
        <v>399.84</v>
      </c>
      <c r="E153" s="75"/>
      <c r="F153" s="73">
        <v>8</v>
      </c>
      <c r="G153" s="73">
        <v>6</v>
      </c>
      <c r="H153" s="74">
        <f t="shared" si="0"/>
        <v>1.3333333333333333</v>
      </c>
      <c r="I153" s="75">
        <f t="shared" si="1"/>
        <v>49.98</v>
      </c>
      <c r="J153" s="76">
        <f t="shared" si="2"/>
        <v>37.484999999999999</v>
      </c>
      <c r="K153" s="71">
        <v>0</v>
      </c>
      <c r="L153" s="73">
        <v>0</v>
      </c>
      <c r="M153" s="73">
        <v>0</v>
      </c>
      <c r="N153" s="78">
        <v>0</v>
      </c>
      <c r="O153" s="79" t="e">
        <f t="shared" si="37"/>
        <v>#DIV/0!</v>
      </c>
      <c r="P153" s="80" t="e">
        <f t="shared" si="4"/>
        <v>#DIV/0!</v>
      </c>
      <c r="Q153" s="79">
        <f t="shared" si="5"/>
        <v>0</v>
      </c>
      <c r="R153" s="81">
        <f t="shared" si="6"/>
        <v>0</v>
      </c>
      <c r="S153" s="82">
        <f t="shared" si="36"/>
        <v>399.84</v>
      </c>
      <c r="T153" s="83" t="e">
        <f t="shared" si="8"/>
        <v>#DIV/0!</v>
      </c>
      <c r="U153" s="140"/>
      <c r="V153" s="140"/>
      <c r="W153" s="140"/>
      <c r="X153" s="141"/>
      <c r="Y153" s="142"/>
      <c r="Z153" s="50"/>
      <c r="AA153" s="50"/>
    </row>
    <row r="154" spans="1:27" ht="12.75" hidden="1" outlineLevel="1" x14ac:dyDescent="0.2">
      <c r="A154" s="50"/>
      <c r="B154" s="137"/>
      <c r="C154" s="70" t="s">
        <v>46</v>
      </c>
      <c r="D154" s="116">
        <v>755.16</v>
      </c>
      <c r="E154" s="75"/>
      <c r="F154" s="73">
        <v>21</v>
      </c>
      <c r="G154" s="73">
        <v>22</v>
      </c>
      <c r="H154" s="74">
        <f t="shared" si="0"/>
        <v>0.95454545454545459</v>
      </c>
      <c r="I154" s="75">
        <f t="shared" si="1"/>
        <v>35.96</v>
      </c>
      <c r="J154" s="76">
        <f t="shared" si="2"/>
        <v>37.672380952380955</v>
      </c>
      <c r="K154" s="116">
        <v>159.49</v>
      </c>
      <c r="L154" s="73">
        <v>61366</v>
      </c>
      <c r="M154" s="73">
        <v>13</v>
      </c>
      <c r="N154" s="117">
        <v>395.56</v>
      </c>
      <c r="O154" s="79">
        <f t="shared" si="37"/>
        <v>0.40320052583678839</v>
      </c>
      <c r="P154" s="80">
        <f t="shared" si="4"/>
        <v>2.4801554956423599</v>
      </c>
      <c r="Q154" s="79">
        <f t="shared" si="5"/>
        <v>0.21120027543831774</v>
      </c>
      <c r="R154" s="81">
        <f t="shared" si="6"/>
        <v>0.52380952380952384</v>
      </c>
      <c r="S154" s="82">
        <f t="shared" si="36"/>
        <v>359.59999999999997</v>
      </c>
      <c r="T154" s="83">
        <f t="shared" si="8"/>
        <v>12.268461538461539</v>
      </c>
      <c r="U154" s="135"/>
      <c r="V154" s="135"/>
      <c r="W154" s="135"/>
      <c r="X154" s="135"/>
      <c r="Y154" s="136"/>
      <c r="Z154" s="50"/>
      <c r="AA154" s="50"/>
    </row>
    <row r="155" spans="1:27" ht="12.75" hidden="1" outlineLevel="1" x14ac:dyDescent="0.2">
      <c r="A155" s="118" t="str">
        <f t="shared" ref="A155:A156" si="38">IFERROR(IF(B155&gt;0,MONTH(B155)&amp;"-"&amp;YEAR(B155),B155),)</f>
        <v>2-2025</v>
      </c>
      <c r="B155" s="69">
        <v>45696</v>
      </c>
      <c r="C155" s="70" t="s">
        <v>49</v>
      </c>
      <c r="D155" s="116">
        <v>0</v>
      </c>
      <c r="E155" s="75"/>
      <c r="F155" s="73">
        <v>0</v>
      </c>
      <c r="G155" s="73">
        <v>0</v>
      </c>
      <c r="H155" s="74" t="e">
        <f t="shared" si="0"/>
        <v>#DIV/0!</v>
      </c>
      <c r="I155" s="75" t="e">
        <f t="shared" si="1"/>
        <v>#DIV/0!</v>
      </c>
      <c r="J155" s="76" t="e">
        <f t="shared" si="2"/>
        <v>#DIV/0!</v>
      </c>
      <c r="K155" s="116">
        <v>2.1800000000000002</v>
      </c>
      <c r="L155" s="73">
        <v>6511</v>
      </c>
      <c r="M155" s="73">
        <v>0</v>
      </c>
      <c r="N155" s="117">
        <v>0</v>
      </c>
      <c r="O155" s="79" t="e">
        <f t="shared" si="37"/>
        <v>#DIV/0!</v>
      </c>
      <c r="P155" s="80">
        <f t="shared" si="4"/>
        <v>0</v>
      </c>
      <c r="Q155" s="79" t="e">
        <f t="shared" si="5"/>
        <v>#DIV/0!</v>
      </c>
      <c r="R155" s="81" t="e">
        <f t="shared" si="6"/>
        <v>#DIV/0!</v>
      </c>
      <c r="S155" s="82">
        <f t="shared" si="36"/>
        <v>0</v>
      </c>
      <c r="T155" s="83" t="e">
        <f t="shared" si="8"/>
        <v>#DIV/0!</v>
      </c>
      <c r="U155" s="135"/>
      <c r="V155" s="135"/>
      <c r="W155" s="135"/>
      <c r="X155" s="135"/>
      <c r="Y155" s="136"/>
      <c r="Z155" s="50"/>
      <c r="AA155" s="50"/>
    </row>
    <row r="156" spans="1:27" ht="12.75" collapsed="1" x14ac:dyDescent="0.2">
      <c r="A156" s="139">
        <f t="shared" si="38"/>
        <v>0</v>
      </c>
      <c r="B156" s="206" t="s">
        <v>134</v>
      </c>
      <c r="C156" s="207"/>
      <c r="D156" s="208">
        <f>SUM(D139:D155)</f>
        <v>10634.19</v>
      </c>
      <c r="E156" s="211"/>
      <c r="F156" s="209">
        <f t="shared" ref="F156:G156" si="39">SUM(F139:F155)</f>
        <v>116</v>
      </c>
      <c r="G156" s="209">
        <f t="shared" si="39"/>
        <v>119</v>
      </c>
      <c r="H156" s="210">
        <f t="shared" si="0"/>
        <v>0.97478991596638653</v>
      </c>
      <c r="I156" s="211">
        <f t="shared" si="1"/>
        <v>91.674051724137939</v>
      </c>
      <c r="J156" s="212">
        <f t="shared" si="2"/>
        <v>94.044932372175992</v>
      </c>
      <c r="K156" s="213">
        <f t="shared" ref="K156:N156" si="40">SUM(K139:K155)</f>
        <v>1838.8999999999999</v>
      </c>
      <c r="L156" s="209">
        <f t="shared" si="40"/>
        <v>353932</v>
      </c>
      <c r="M156" s="209">
        <f t="shared" si="40"/>
        <v>47</v>
      </c>
      <c r="N156" s="208">
        <f t="shared" si="40"/>
        <v>6578.79</v>
      </c>
      <c r="O156" s="214">
        <f t="shared" si="37"/>
        <v>0.27951948610610766</v>
      </c>
      <c r="P156" s="215">
        <f t="shared" si="4"/>
        <v>3.5775681113709283</v>
      </c>
      <c r="Q156" s="214">
        <f t="shared" si="5"/>
        <v>0.17292337263110774</v>
      </c>
      <c r="R156" s="216">
        <f t="shared" si="6"/>
        <v>0.61864514363576351</v>
      </c>
      <c r="S156" s="217">
        <f>SUM(S139:S155)</f>
        <v>4055.4000000000005</v>
      </c>
      <c r="T156" s="218">
        <f t="shared" si="8"/>
        <v>39.125531914893614</v>
      </c>
      <c r="U156" s="219">
        <f>IFERROR((D156-#REF!)/D156,)</f>
        <v>0</v>
      </c>
      <c r="V156" s="219">
        <f>IFERROR((F156-#REF!)/F156,)</f>
        <v>0</v>
      </c>
      <c r="W156" s="220">
        <f>IFERROR((D156-[1]monthly_reporting_2021!E49)/D156, )</f>
        <v>0</v>
      </c>
      <c r="X156" s="221">
        <f>IFERROR((F156-[1]monthly_reporting_2021!F49)/F156, )</f>
        <v>0</v>
      </c>
      <c r="Y156" s="50"/>
      <c r="Z156" s="50"/>
      <c r="AA156" s="50"/>
    </row>
    <row r="157" spans="1:27" ht="12.75" hidden="1" outlineLevel="1" x14ac:dyDescent="0.2">
      <c r="A157" s="50"/>
      <c r="B157" s="69">
        <v>45697</v>
      </c>
      <c r="C157" s="70" t="s">
        <v>32</v>
      </c>
      <c r="D157" s="71">
        <v>5506.74</v>
      </c>
      <c r="E157" s="75"/>
      <c r="F157" s="73">
        <v>32</v>
      </c>
      <c r="G157" s="73">
        <v>21</v>
      </c>
      <c r="H157" s="74">
        <f t="shared" si="0"/>
        <v>1.5238095238095237</v>
      </c>
      <c r="I157" s="75">
        <f t="shared" si="1"/>
        <v>172.08562499999999</v>
      </c>
      <c r="J157" s="76">
        <f t="shared" si="2"/>
        <v>112.93119140625001</v>
      </c>
      <c r="K157" s="77">
        <v>1234.1500000000001</v>
      </c>
      <c r="L157" s="73">
        <v>106542</v>
      </c>
      <c r="M157" s="73">
        <v>19</v>
      </c>
      <c r="N157" s="78">
        <v>1964.8</v>
      </c>
      <c r="O157" s="79">
        <f t="shared" si="37"/>
        <v>0.62813008957654726</v>
      </c>
      <c r="P157" s="80">
        <f t="shared" si="4"/>
        <v>1.5920269011060242</v>
      </c>
      <c r="Q157" s="79">
        <f t="shared" si="5"/>
        <v>0.22411626479550517</v>
      </c>
      <c r="R157" s="81">
        <f t="shared" si="6"/>
        <v>0.35679912252984525</v>
      </c>
      <c r="S157" s="82">
        <f t="shared" ref="S157:S173" si="41">D157-N157</f>
        <v>3541.9399999999996</v>
      </c>
      <c r="T157" s="83">
        <f t="shared" si="8"/>
        <v>64.955263157894748</v>
      </c>
      <c r="U157" s="135"/>
      <c r="V157" s="135"/>
      <c r="W157" s="135"/>
      <c r="X157" s="135"/>
      <c r="Y157" s="136"/>
      <c r="Z157" s="50"/>
      <c r="AA157" s="50"/>
    </row>
    <row r="158" spans="1:27" ht="12.75" hidden="1" outlineLevel="1" x14ac:dyDescent="0.2">
      <c r="A158" s="50"/>
      <c r="B158" s="137"/>
      <c r="C158" s="70" t="s">
        <v>33</v>
      </c>
      <c r="D158" s="87">
        <v>1375.74</v>
      </c>
      <c r="E158" s="75"/>
      <c r="F158" s="73">
        <v>21</v>
      </c>
      <c r="G158" s="73">
        <v>17</v>
      </c>
      <c r="H158" s="74">
        <f t="shared" si="0"/>
        <v>1.2352941176470589</v>
      </c>
      <c r="I158" s="75">
        <f t="shared" si="1"/>
        <v>65.511428571428567</v>
      </c>
      <c r="J158" s="76">
        <f t="shared" si="2"/>
        <v>53.033061224489792</v>
      </c>
      <c r="K158" s="87">
        <v>316.64999999999998</v>
      </c>
      <c r="L158" s="73">
        <v>103313</v>
      </c>
      <c r="M158" s="73">
        <v>3</v>
      </c>
      <c r="N158" s="88">
        <v>51.14</v>
      </c>
      <c r="O158" s="79">
        <f t="shared" si="37"/>
        <v>6.1918263590144695</v>
      </c>
      <c r="P158" s="80">
        <f t="shared" si="4"/>
        <v>0.16150323701247435</v>
      </c>
      <c r="Q158" s="79">
        <f t="shared" si="5"/>
        <v>0.23016703737624841</v>
      </c>
      <c r="R158" s="81">
        <f t="shared" si="6"/>
        <v>3.7172721589835291E-2</v>
      </c>
      <c r="S158" s="89">
        <f t="shared" si="41"/>
        <v>1324.6</v>
      </c>
      <c r="T158" s="83">
        <f t="shared" si="8"/>
        <v>105.55</v>
      </c>
      <c r="U158" s="135"/>
      <c r="V158" s="135"/>
      <c r="W158" s="135"/>
      <c r="X158" s="135"/>
      <c r="Y158" s="136"/>
      <c r="Z158" s="50"/>
      <c r="AA158" s="50"/>
    </row>
    <row r="159" spans="1:27" ht="12.75" hidden="1" outlineLevel="1" x14ac:dyDescent="0.2">
      <c r="A159" s="50"/>
      <c r="B159" s="137"/>
      <c r="C159" s="70" t="s">
        <v>34</v>
      </c>
      <c r="D159" s="90">
        <v>0</v>
      </c>
      <c r="E159" s="75"/>
      <c r="F159" s="73">
        <v>0</v>
      </c>
      <c r="G159" s="73">
        <v>0</v>
      </c>
      <c r="H159" s="74" t="e">
        <f t="shared" si="0"/>
        <v>#DIV/0!</v>
      </c>
      <c r="I159" s="75" t="e">
        <f t="shared" si="1"/>
        <v>#DIV/0!</v>
      </c>
      <c r="J159" s="76" t="e">
        <f t="shared" si="2"/>
        <v>#DIV/0!</v>
      </c>
      <c r="K159" s="90">
        <v>0</v>
      </c>
      <c r="L159" s="73">
        <v>0</v>
      </c>
      <c r="M159" s="73">
        <v>0</v>
      </c>
      <c r="N159" s="91">
        <v>0</v>
      </c>
      <c r="O159" s="79" t="e">
        <f>(K159/N159)</f>
        <v>#DIV/0!</v>
      </c>
      <c r="P159" s="80" t="e">
        <f t="shared" si="4"/>
        <v>#DIV/0!</v>
      </c>
      <c r="Q159" s="79" t="e">
        <f t="shared" si="5"/>
        <v>#DIV/0!</v>
      </c>
      <c r="R159" s="81" t="e">
        <f t="shared" si="6"/>
        <v>#DIV/0!</v>
      </c>
      <c r="S159" s="92">
        <f t="shared" si="41"/>
        <v>0</v>
      </c>
      <c r="T159" s="83" t="e">
        <f t="shared" si="8"/>
        <v>#DIV/0!</v>
      </c>
      <c r="U159" s="135"/>
      <c r="V159" s="135"/>
      <c r="W159" s="135"/>
      <c r="X159" s="135"/>
      <c r="Y159" s="136"/>
      <c r="Z159" s="50"/>
      <c r="AA159" s="50"/>
    </row>
    <row r="160" spans="1:27" ht="12.75" hidden="1" outlineLevel="1" x14ac:dyDescent="0.2">
      <c r="A160" s="50"/>
      <c r="B160" s="137"/>
      <c r="C160" s="70" t="s">
        <v>35</v>
      </c>
      <c r="D160" s="90">
        <v>593.45000000000005</v>
      </c>
      <c r="E160" s="75"/>
      <c r="F160" s="73">
        <v>11</v>
      </c>
      <c r="G160" s="73">
        <v>9</v>
      </c>
      <c r="H160" s="74">
        <f t="shared" si="0"/>
        <v>1.2222222222222223</v>
      </c>
      <c r="I160" s="75">
        <f t="shared" si="1"/>
        <v>53.95</v>
      </c>
      <c r="J160" s="76">
        <f t="shared" si="2"/>
        <v>44.140909090909091</v>
      </c>
      <c r="K160" s="90">
        <v>97.53</v>
      </c>
      <c r="L160" s="73">
        <v>7819</v>
      </c>
      <c r="M160" s="73">
        <v>6</v>
      </c>
      <c r="N160" s="91">
        <v>323.7</v>
      </c>
      <c r="O160" s="79">
        <f t="shared" ref="O160:O176" si="42">K160/N160</f>
        <v>0.30129749768303987</v>
      </c>
      <c r="P160" s="80">
        <f t="shared" si="4"/>
        <v>3.3189787757613041</v>
      </c>
      <c r="Q160" s="79">
        <f t="shared" si="5"/>
        <v>0.16434408964529446</v>
      </c>
      <c r="R160" s="81">
        <f t="shared" si="6"/>
        <v>0.54545454545454541</v>
      </c>
      <c r="S160" s="92">
        <f t="shared" si="41"/>
        <v>269.75000000000006</v>
      </c>
      <c r="T160" s="83">
        <f t="shared" si="8"/>
        <v>16.254999999999999</v>
      </c>
      <c r="U160" s="135"/>
      <c r="V160" s="135"/>
      <c r="W160" s="135"/>
      <c r="X160" s="135"/>
      <c r="Y160" s="136"/>
      <c r="Z160" s="50"/>
      <c r="AA160" s="50"/>
    </row>
    <row r="161" spans="1:27" ht="12.75" hidden="1" outlineLevel="1" x14ac:dyDescent="0.2">
      <c r="A161" s="50"/>
      <c r="B161" s="137"/>
      <c r="C161" s="70" t="s">
        <v>62</v>
      </c>
      <c r="D161" s="200">
        <v>72</v>
      </c>
      <c r="E161" s="75"/>
      <c r="F161" s="73">
        <v>2</v>
      </c>
      <c r="G161" s="73">
        <v>1</v>
      </c>
      <c r="H161" s="74">
        <f t="shared" si="0"/>
        <v>2</v>
      </c>
      <c r="I161" s="75">
        <f t="shared" si="1"/>
        <v>36</v>
      </c>
      <c r="J161" s="76">
        <f t="shared" si="2"/>
        <v>18</v>
      </c>
      <c r="K161" s="200">
        <v>0</v>
      </c>
      <c r="L161" s="73">
        <v>0</v>
      </c>
      <c r="M161" s="73">
        <v>0</v>
      </c>
      <c r="N161" s="200">
        <v>0</v>
      </c>
      <c r="O161" s="79" t="e">
        <f t="shared" si="42"/>
        <v>#DIV/0!</v>
      </c>
      <c r="P161" s="80" t="e">
        <f t="shared" si="4"/>
        <v>#DIV/0!</v>
      </c>
      <c r="Q161" s="79">
        <f t="shared" si="5"/>
        <v>0</v>
      </c>
      <c r="R161" s="81">
        <f t="shared" si="6"/>
        <v>0</v>
      </c>
      <c r="S161" s="92">
        <f t="shared" si="41"/>
        <v>72</v>
      </c>
      <c r="T161" s="83" t="e">
        <f t="shared" si="8"/>
        <v>#DIV/0!</v>
      </c>
      <c r="U161" s="135"/>
      <c r="V161" s="135"/>
      <c r="W161" s="135"/>
      <c r="X161" s="135"/>
      <c r="Y161" s="136"/>
      <c r="Z161" s="50"/>
      <c r="AA161" s="50"/>
    </row>
    <row r="162" spans="1:27" ht="12.75" hidden="1" outlineLevel="1" x14ac:dyDescent="0.2">
      <c r="A162" s="50"/>
      <c r="B162" s="137"/>
      <c r="C162" s="70" t="s">
        <v>66</v>
      </c>
      <c r="D162" s="201">
        <v>0</v>
      </c>
      <c r="E162" s="75"/>
      <c r="F162" s="73">
        <v>0</v>
      </c>
      <c r="G162" s="73">
        <v>0</v>
      </c>
      <c r="H162" s="74" t="e">
        <f t="shared" si="0"/>
        <v>#DIV/0!</v>
      </c>
      <c r="I162" s="75" t="e">
        <f t="shared" si="1"/>
        <v>#DIV/0!</v>
      </c>
      <c r="J162" s="76" t="e">
        <f t="shared" si="2"/>
        <v>#DIV/0!</v>
      </c>
      <c r="K162" s="201">
        <v>21.24</v>
      </c>
      <c r="L162" s="73">
        <v>2481</v>
      </c>
      <c r="M162" s="73">
        <v>2</v>
      </c>
      <c r="N162" s="202">
        <v>119.98</v>
      </c>
      <c r="O162" s="79">
        <f t="shared" si="42"/>
        <v>0.17702950491748623</v>
      </c>
      <c r="P162" s="80">
        <f t="shared" si="4"/>
        <v>5.6487758945386073</v>
      </c>
      <c r="Q162" s="79" t="e">
        <f t="shared" si="5"/>
        <v>#DIV/0!</v>
      </c>
      <c r="R162" s="81" t="e">
        <f t="shared" si="6"/>
        <v>#DIV/0!</v>
      </c>
      <c r="S162" s="203">
        <f t="shared" si="41"/>
        <v>-119.98</v>
      </c>
      <c r="T162" s="83">
        <f t="shared" si="8"/>
        <v>10.62</v>
      </c>
      <c r="U162" s="135"/>
      <c r="V162" s="135"/>
      <c r="W162" s="135"/>
      <c r="X162" s="135"/>
      <c r="Y162" s="136"/>
      <c r="Z162" s="50"/>
      <c r="AA162" s="50"/>
    </row>
    <row r="163" spans="1:27" ht="12.75" hidden="1" outlineLevel="1" x14ac:dyDescent="0.2">
      <c r="A163" s="50"/>
      <c r="B163" s="137"/>
      <c r="C163" s="70" t="s">
        <v>36</v>
      </c>
      <c r="D163" s="90">
        <v>680.06</v>
      </c>
      <c r="E163" s="75"/>
      <c r="F163" s="73">
        <v>10</v>
      </c>
      <c r="G163" s="73">
        <v>8</v>
      </c>
      <c r="H163" s="74">
        <f t="shared" si="0"/>
        <v>1.25</v>
      </c>
      <c r="I163" s="75">
        <f t="shared" si="1"/>
        <v>68.006</v>
      </c>
      <c r="J163" s="76">
        <f t="shared" si="2"/>
        <v>54.404800000000002</v>
      </c>
      <c r="K163" s="90">
        <v>110.92</v>
      </c>
      <c r="L163" s="73">
        <v>6524</v>
      </c>
      <c r="M163" s="73">
        <v>0</v>
      </c>
      <c r="N163" s="91">
        <v>0</v>
      </c>
      <c r="O163" s="79" t="e">
        <f t="shared" si="42"/>
        <v>#DIV/0!</v>
      </c>
      <c r="P163" s="80">
        <f t="shared" si="4"/>
        <v>0</v>
      </c>
      <c r="Q163" s="79">
        <f t="shared" si="5"/>
        <v>0.16310325559509456</v>
      </c>
      <c r="R163" s="81">
        <f t="shared" si="6"/>
        <v>0</v>
      </c>
      <c r="S163" s="92">
        <f t="shared" si="41"/>
        <v>680.06</v>
      </c>
      <c r="T163" s="83" t="e">
        <f t="shared" si="8"/>
        <v>#DIV/0!</v>
      </c>
      <c r="U163" s="135"/>
      <c r="V163" s="135"/>
      <c r="W163" s="135"/>
      <c r="X163" s="135"/>
      <c r="Y163" s="136"/>
      <c r="Z163" s="50"/>
      <c r="AA163" s="50"/>
    </row>
    <row r="164" spans="1:27" ht="12.75" hidden="1" outlineLevel="1" x14ac:dyDescent="0.2">
      <c r="A164" s="50"/>
      <c r="B164" s="69" t="s">
        <v>37</v>
      </c>
      <c r="C164" s="70" t="s">
        <v>38</v>
      </c>
      <c r="D164" s="93">
        <v>1163.45</v>
      </c>
      <c r="E164" s="75"/>
      <c r="F164" s="73">
        <v>23</v>
      </c>
      <c r="G164" s="73">
        <v>23</v>
      </c>
      <c r="H164" s="74">
        <f t="shared" si="0"/>
        <v>1</v>
      </c>
      <c r="I164" s="75">
        <f t="shared" si="1"/>
        <v>50.584782608695654</v>
      </c>
      <c r="J164" s="76">
        <f t="shared" si="2"/>
        <v>50.584782608695654</v>
      </c>
      <c r="K164" s="93">
        <v>176.12</v>
      </c>
      <c r="L164" s="73">
        <v>14851</v>
      </c>
      <c r="M164" s="73">
        <v>10</v>
      </c>
      <c r="N164" s="94">
        <v>198.83</v>
      </c>
      <c r="O164" s="79">
        <f t="shared" si="42"/>
        <v>0.88578182366846048</v>
      </c>
      <c r="P164" s="80">
        <f t="shared" si="4"/>
        <v>1.1289461730638202</v>
      </c>
      <c r="Q164" s="79">
        <f t="shared" si="5"/>
        <v>0.151377369031759</v>
      </c>
      <c r="R164" s="81">
        <f t="shared" si="6"/>
        <v>0.17089690145687395</v>
      </c>
      <c r="S164" s="95">
        <f t="shared" si="41"/>
        <v>964.62</v>
      </c>
      <c r="T164" s="83">
        <f t="shared" si="8"/>
        <v>17.612000000000002</v>
      </c>
      <c r="U164" s="135"/>
      <c r="V164" s="135"/>
      <c r="W164" s="135"/>
      <c r="X164" s="135"/>
      <c r="Y164" s="136"/>
      <c r="Z164" s="50"/>
      <c r="AA164" s="50"/>
    </row>
    <row r="165" spans="1:27" ht="12.75" hidden="1" outlineLevel="1" x14ac:dyDescent="0.2">
      <c r="A165" s="50"/>
      <c r="B165" s="137"/>
      <c r="C165" s="70" t="s">
        <v>39</v>
      </c>
      <c r="D165" s="96">
        <v>0</v>
      </c>
      <c r="E165" s="75"/>
      <c r="F165" s="73">
        <v>0</v>
      </c>
      <c r="G165" s="73">
        <v>0</v>
      </c>
      <c r="H165" s="74" t="e">
        <f t="shared" si="0"/>
        <v>#DIV/0!</v>
      </c>
      <c r="I165" s="75" t="e">
        <f t="shared" si="1"/>
        <v>#DIV/0!</v>
      </c>
      <c r="J165" s="76" t="e">
        <f t="shared" si="2"/>
        <v>#DIV/0!</v>
      </c>
      <c r="K165" s="96">
        <v>83.59</v>
      </c>
      <c r="L165" s="73">
        <v>9547</v>
      </c>
      <c r="M165" s="73">
        <v>0</v>
      </c>
      <c r="N165" s="97">
        <v>0</v>
      </c>
      <c r="O165" s="79" t="e">
        <f t="shared" si="42"/>
        <v>#DIV/0!</v>
      </c>
      <c r="P165" s="80">
        <f t="shared" si="4"/>
        <v>0</v>
      </c>
      <c r="Q165" s="79" t="e">
        <f t="shared" si="5"/>
        <v>#DIV/0!</v>
      </c>
      <c r="R165" s="81" t="e">
        <f t="shared" si="6"/>
        <v>#DIV/0!</v>
      </c>
      <c r="S165" s="98">
        <f t="shared" si="41"/>
        <v>0</v>
      </c>
      <c r="T165" s="83" t="e">
        <f t="shared" si="8"/>
        <v>#DIV/0!</v>
      </c>
      <c r="U165" s="135"/>
      <c r="V165" s="135"/>
      <c r="W165" s="135"/>
      <c r="X165" s="135"/>
      <c r="Y165" s="136"/>
      <c r="Z165" s="50"/>
      <c r="AA165" s="50"/>
    </row>
    <row r="166" spans="1:27" ht="12.75" hidden="1" outlineLevel="1" x14ac:dyDescent="0.2">
      <c r="A166" s="50"/>
      <c r="B166" s="137"/>
      <c r="C166" s="70" t="s">
        <v>40</v>
      </c>
      <c r="D166" s="99">
        <v>0</v>
      </c>
      <c r="E166" s="75"/>
      <c r="F166" s="73">
        <v>0</v>
      </c>
      <c r="G166" s="73">
        <v>0</v>
      </c>
      <c r="H166" s="74" t="e">
        <f t="shared" si="0"/>
        <v>#DIV/0!</v>
      </c>
      <c r="I166" s="75" t="e">
        <f t="shared" si="1"/>
        <v>#DIV/0!</v>
      </c>
      <c r="J166" s="76" t="e">
        <f t="shared" si="2"/>
        <v>#DIV/0!</v>
      </c>
      <c r="K166" s="99">
        <v>0</v>
      </c>
      <c r="L166" s="73">
        <v>0</v>
      </c>
      <c r="M166" s="73">
        <v>0</v>
      </c>
      <c r="N166" s="100">
        <v>0</v>
      </c>
      <c r="O166" s="79" t="e">
        <f t="shared" si="42"/>
        <v>#DIV/0!</v>
      </c>
      <c r="P166" s="80" t="e">
        <f t="shared" si="4"/>
        <v>#DIV/0!</v>
      </c>
      <c r="Q166" s="79" t="e">
        <f t="shared" si="5"/>
        <v>#DIV/0!</v>
      </c>
      <c r="R166" s="81" t="e">
        <f t="shared" si="6"/>
        <v>#DIV/0!</v>
      </c>
      <c r="S166" s="101">
        <f t="shared" si="41"/>
        <v>0</v>
      </c>
      <c r="T166" s="83" t="e">
        <f t="shared" si="8"/>
        <v>#DIV/0!</v>
      </c>
      <c r="U166" s="135"/>
      <c r="V166" s="135"/>
      <c r="W166" s="135"/>
      <c r="X166" s="135"/>
      <c r="Y166" s="136"/>
      <c r="Z166" s="50"/>
      <c r="AA166" s="50"/>
    </row>
    <row r="167" spans="1:27" ht="12.75" hidden="1" outlineLevel="1" x14ac:dyDescent="0.2">
      <c r="A167" s="50"/>
      <c r="B167" s="137"/>
      <c r="C167" s="70" t="s">
        <v>41</v>
      </c>
      <c r="D167" s="102">
        <v>421.7</v>
      </c>
      <c r="E167" s="75"/>
      <c r="F167" s="73">
        <v>4</v>
      </c>
      <c r="G167" s="73">
        <v>4</v>
      </c>
      <c r="H167" s="74">
        <f t="shared" si="0"/>
        <v>1</v>
      </c>
      <c r="I167" s="75">
        <f t="shared" si="1"/>
        <v>105.425</v>
      </c>
      <c r="J167" s="76">
        <f t="shared" si="2"/>
        <v>105.425</v>
      </c>
      <c r="K167" s="102">
        <v>100.69</v>
      </c>
      <c r="L167" s="73">
        <v>10004</v>
      </c>
      <c r="M167" s="73">
        <v>1</v>
      </c>
      <c r="N167" s="103">
        <v>149.85</v>
      </c>
      <c r="O167" s="79">
        <f t="shared" si="42"/>
        <v>0.6719386052719386</v>
      </c>
      <c r="P167" s="80">
        <f t="shared" si="4"/>
        <v>1.4882312046876551</v>
      </c>
      <c r="Q167" s="79">
        <f t="shared" si="5"/>
        <v>0.23877163860564382</v>
      </c>
      <c r="R167" s="81">
        <f t="shared" si="6"/>
        <v>0.35534740336732273</v>
      </c>
      <c r="S167" s="104">
        <f t="shared" si="41"/>
        <v>271.85000000000002</v>
      </c>
      <c r="T167" s="83">
        <f t="shared" si="8"/>
        <v>100.69</v>
      </c>
      <c r="U167" s="135"/>
      <c r="V167" s="135"/>
      <c r="W167" s="135"/>
      <c r="X167" s="135"/>
      <c r="Y167" s="136"/>
      <c r="Z167" s="50"/>
      <c r="AA167" s="50"/>
    </row>
    <row r="168" spans="1:27" ht="12.75" hidden="1" outlineLevel="1" x14ac:dyDescent="0.2">
      <c r="A168" s="50"/>
      <c r="B168" s="137"/>
      <c r="C168" s="70" t="s">
        <v>42</v>
      </c>
      <c r="D168" s="90">
        <v>19.989999999999998</v>
      </c>
      <c r="E168" s="75"/>
      <c r="F168" s="73">
        <v>1</v>
      </c>
      <c r="G168" s="73">
        <v>0</v>
      </c>
      <c r="H168" s="74" t="e">
        <f t="shared" si="0"/>
        <v>#DIV/0!</v>
      </c>
      <c r="I168" s="75">
        <f t="shared" si="1"/>
        <v>19.989999999999998</v>
      </c>
      <c r="J168" s="76" t="e">
        <f t="shared" si="2"/>
        <v>#DIV/0!</v>
      </c>
      <c r="K168" s="90">
        <v>5.98</v>
      </c>
      <c r="L168" s="73">
        <v>11515</v>
      </c>
      <c r="M168" s="73">
        <v>0</v>
      </c>
      <c r="N168" s="91">
        <v>0</v>
      </c>
      <c r="O168" s="79" t="e">
        <f t="shared" si="42"/>
        <v>#DIV/0!</v>
      </c>
      <c r="P168" s="80">
        <f t="shared" si="4"/>
        <v>0</v>
      </c>
      <c r="Q168" s="79">
        <f t="shared" si="5"/>
        <v>0.29914957478739373</v>
      </c>
      <c r="R168" s="81">
        <f t="shared" si="6"/>
        <v>0</v>
      </c>
      <c r="S168" s="92">
        <f t="shared" si="41"/>
        <v>19.989999999999998</v>
      </c>
      <c r="T168" s="83" t="e">
        <f t="shared" si="8"/>
        <v>#DIV/0!</v>
      </c>
      <c r="U168" s="135"/>
      <c r="V168" s="135"/>
      <c r="W168" s="135"/>
      <c r="X168" s="135"/>
      <c r="Y168" s="136"/>
      <c r="Z168" s="50"/>
      <c r="AA168" s="50"/>
    </row>
    <row r="169" spans="1:27" ht="12.75" hidden="1" outlineLevel="1" x14ac:dyDescent="0.2">
      <c r="A169" s="50"/>
      <c r="B169" s="137"/>
      <c r="C169" s="70" t="s">
        <v>43</v>
      </c>
      <c r="D169" s="105">
        <v>594.20000000000005</v>
      </c>
      <c r="E169" s="75"/>
      <c r="F169" s="73">
        <v>4</v>
      </c>
      <c r="G169" s="73">
        <v>5</v>
      </c>
      <c r="H169" s="74">
        <f t="shared" si="0"/>
        <v>0.8</v>
      </c>
      <c r="I169" s="75">
        <f t="shared" si="1"/>
        <v>148.55000000000001</v>
      </c>
      <c r="J169" s="76">
        <f t="shared" si="2"/>
        <v>185.6875</v>
      </c>
      <c r="K169" s="105">
        <v>50.02</v>
      </c>
      <c r="L169" s="73">
        <v>24667</v>
      </c>
      <c r="M169" s="73">
        <v>2</v>
      </c>
      <c r="N169" s="106">
        <v>312</v>
      </c>
      <c r="O169" s="79">
        <f t="shared" si="42"/>
        <v>0.16032051282051282</v>
      </c>
      <c r="P169" s="80">
        <f t="shared" si="4"/>
        <v>6.2375049980007997</v>
      </c>
      <c r="Q169" s="79">
        <f t="shared" si="5"/>
        <v>8.418041063614945E-2</v>
      </c>
      <c r="R169" s="81">
        <f t="shared" si="6"/>
        <v>0.52507573207674185</v>
      </c>
      <c r="S169" s="107">
        <f t="shared" si="41"/>
        <v>282.20000000000005</v>
      </c>
      <c r="T169" s="83">
        <f t="shared" si="8"/>
        <v>25.01</v>
      </c>
      <c r="U169" s="135"/>
      <c r="V169" s="135"/>
      <c r="W169" s="135"/>
      <c r="X169" s="135"/>
      <c r="Y169" s="136"/>
      <c r="Z169" s="50"/>
      <c r="AA169" s="50"/>
    </row>
    <row r="170" spans="1:27" ht="12.75" hidden="1" outlineLevel="1" x14ac:dyDescent="0.2">
      <c r="A170" s="50"/>
      <c r="B170" s="137"/>
      <c r="C170" s="70" t="s">
        <v>44</v>
      </c>
      <c r="D170" s="108">
        <v>47.96</v>
      </c>
      <c r="E170" s="75"/>
      <c r="F170" s="73">
        <v>1</v>
      </c>
      <c r="G170" s="73">
        <v>3</v>
      </c>
      <c r="H170" s="74">
        <f t="shared" si="0"/>
        <v>0.33333333333333331</v>
      </c>
      <c r="I170" s="75">
        <f t="shared" si="1"/>
        <v>47.96</v>
      </c>
      <c r="J170" s="76">
        <f t="shared" si="2"/>
        <v>143.88000000000002</v>
      </c>
      <c r="K170" s="108">
        <v>11.87</v>
      </c>
      <c r="L170" s="73">
        <v>1996</v>
      </c>
      <c r="M170" s="73">
        <v>3</v>
      </c>
      <c r="N170" s="109">
        <v>147.86000000000001</v>
      </c>
      <c r="O170" s="79">
        <f t="shared" si="42"/>
        <v>8.0278641958609481E-2</v>
      </c>
      <c r="P170" s="80">
        <f t="shared" si="4"/>
        <v>12.456613310867736</v>
      </c>
      <c r="Q170" s="79">
        <f t="shared" si="5"/>
        <v>0.24749791492910758</v>
      </c>
      <c r="R170" s="81">
        <f t="shared" si="6"/>
        <v>3.0829858215179318</v>
      </c>
      <c r="S170" s="110">
        <f t="shared" si="41"/>
        <v>-99.9</v>
      </c>
      <c r="T170" s="83">
        <f t="shared" si="8"/>
        <v>3.9566666666666666</v>
      </c>
      <c r="U170" s="135"/>
      <c r="V170" s="135"/>
      <c r="W170" s="135"/>
      <c r="X170" s="135"/>
      <c r="Y170" s="136"/>
      <c r="Z170" s="50"/>
      <c r="AA170" s="50"/>
    </row>
    <row r="171" spans="1:27" ht="12.75" hidden="1" outlineLevel="1" x14ac:dyDescent="0.2">
      <c r="A171" s="139"/>
      <c r="B171" s="137"/>
      <c r="C171" s="112" t="s">
        <v>45</v>
      </c>
      <c r="D171" s="71">
        <v>239.96</v>
      </c>
      <c r="E171" s="75"/>
      <c r="F171" s="73">
        <v>4</v>
      </c>
      <c r="G171" s="73">
        <v>4</v>
      </c>
      <c r="H171" s="74">
        <f t="shared" si="0"/>
        <v>1</v>
      </c>
      <c r="I171" s="75">
        <f t="shared" si="1"/>
        <v>59.99</v>
      </c>
      <c r="J171" s="76">
        <f t="shared" si="2"/>
        <v>59.99</v>
      </c>
      <c r="K171" s="71">
        <v>0</v>
      </c>
      <c r="L171" s="73">
        <v>0</v>
      </c>
      <c r="M171" s="73">
        <v>0</v>
      </c>
      <c r="N171" s="78">
        <v>0</v>
      </c>
      <c r="O171" s="79" t="e">
        <f t="shared" si="42"/>
        <v>#DIV/0!</v>
      </c>
      <c r="P171" s="80" t="e">
        <f t="shared" si="4"/>
        <v>#DIV/0!</v>
      </c>
      <c r="Q171" s="79">
        <f t="shared" si="5"/>
        <v>0</v>
      </c>
      <c r="R171" s="81">
        <f t="shared" si="6"/>
        <v>0</v>
      </c>
      <c r="S171" s="82">
        <f t="shared" si="41"/>
        <v>239.96</v>
      </c>
      <c r="T171" s="83" t="e">
        <f t="shared" si="8"/>
        <v>#DIV/0!</v>
      </c>
      <c r="U171" s="140"/>
      <c r="V171" s="140"/>
      <c r="W171" s="140"/>
      <c r="X171" s="141"/>
      <c r="Y171" s="142"/>
      <c r="Z171" s="50"/>
      <c r="AA171" s="50"/>
    </row>
    <row r="172" spans="1:27" ht="12.75" hidden="1" outlineLevel="1" x14ac:dyDescent="0.2">
      <c r="A172" s="50"/>
      <c r="B172" s="137"/>
      <c r="C172" s="70" t="s">
        <v>46</v>
      </c>
      <c r="D172" s="116">
        <v>1226.9000000000001</v>
      </c>
      <c r="E172" s="75"/>
      <c r="F172" s="73">
        <v>41</v>
      </c>
      <c r="G172" s="73">
        <v>31</v>
      </c>
      <c r="H172" s="74">
        <f t="shared" si="0"/>
        <v>1.3225806451612903</v>
      </c>
      <c r="I172" s="75">
        <f t="shared" si="1"/>
        <v>29.92439024390244</v>
      </c>
      <c r="J172" s="76">
        <f t="shared" si="2"/>
        <v>22.625758477096969</v>
      </c>
      <c r="K172" s="116">
        <v>159.97999999999999</v>
      </c>
      <c r="L172" s="73">
        <v>37212</v>
      </c>
      <c r="M172" s="73">
        <v>15</v>
      </c>
      <c r="N172" s="117">
        <v>399.98</v>
      </c>
      <c r="O172" s="79">
        <f t="shared" si="42"/>
        <v>0.39996999849992493</v>
      </c>
      <c r="P172" s="80">
        <f t="shared" si="4"/>
        <v>2.5001875234404305</v>
      </c>
      <c r="Q172" s="79">
        <f t="shared" si="5"/>
        <v>0.13039367511614636</v>
      </c>
      <c r="R172" s="81">
        <f t="shared" si="6"/>
        <v>0.32600863966093407</v>
      </c>
      <c r="S172" s="82">
        <f t="shared" si="41"/>
        <v>826.92000000000007</v>
      </c>
      <c r="T172" s="83">
        <f t="shared" si="8"/>
        <v>10.665333333333333</v>
      </c>
      <c r="U172" s="135"/>
      <c r="V172" s="135"/>
      <c r="W172" s="135"/>
      <c r="X172" s="135"/>
      <c r="Y172" s="136"/>
      <c r="Z172" s="50"/>
      <c r="AA172" s="50"/>
    </row>
    <row r="173" spans="1:27" ht="12.75" hidden="1" outlineLevel="1" x14ac:dyDescent="0.2">
      <c r="A173" s="118" t="str">
        <f t="shared" ref="A173:A174" si="43">IFERROR(IF(B173&gt;0,MONTH(B173)&amp;"-"&amp;YEAR(B173),B173),)</f>
        <v>2-2025</v>
      </c>
      <c r="B173" s="69">
        <v>45703</v>
      </c>
      <c r="C173" s="70" t="s">
        <v>49</v>
      </c>
      <c r="D173" s="116">
        <v>117.57</v>
      </c>
      <c r="E173" s="75"/>
      <c r="F173" s="73">
        <v>1</v>
      </c>
      <c r="G173" s="73">
        <v>1</v>
      </c>
      <c r="H173" s="74">
        <f t="shared" si="0"/>
        <v>1</v>
      </c>
      <c r="I173" s="75">
        <f t="shared" si="1"/>
        <v>117.57</v>
      </c>
      <c r="J173" s="76">
        <f t="shared" si="2"/>
        <v>117.57</v>
      </c>
      <c r="K173" s="116">
        <v>6.94</v>
      </c>
      <c r="L173" s="73">
        <v>9377</v>
      </c>
      <c r="M173" s="73">
        <v>1</v>
      </c>
      <c r="N173" s="117">
        <v>117.57</v>
      </c>
      <c r="O173" s="79">
        <f t="shared" si="42"/>
        <v>5.9028663774772484E-2</v>
      </c>
      <c r="P173" s="80">
        <f t="shared" si="4"/>
        <v>16.940922190201729</v>
      </c>
      <c r="Q173" s="79">
        <f t="shared" si="5"/>
        <v>5.9028663774772484E-2</v>
      </c>
      <c r="R173" s="81">
        <f t="shared" si="6"/>
        <v>1</v>
      </c>
      <c r="S173" s="82">
        <f t="shared" si="41"/>
        <v>0</v>
      </c>
      <c r="T173" s="83">
        <f t="shared" si="8"/>
        <v>6.94</v>
      </c>
      <c r="U173" s="135"/>
      <c r="V173" s="135"/>
      <c r="W173" s="135"/>
      <c r="X173" s="135"/>
      <c r="Y173" s="136"/>
      <c r="Z173" s="50"/>
      <c r="AA173" s="50"/>
    </row>
    <row r="174" spans="1:27" ht="12.75" collapsed="1" x14ac:dyDescent="0.2">
      <c r="A174" s="139">
        <f t="shared" si="43"/>
        <v>0</v>
      </c>
      <c r="B174" s="206" t="s">
        <v>135</v>
      </c>
      <c r="C174" s="207"/>
      <c r="D174" s="208">
        <f>SUM(D157:D173)</f>
        <v>12059.72</v>
      </c>
      <c r="E174" s="211"/>
      <c r="F174" s="209">
        <f t="shared" ref="F174:G174" si="44">SUM(F157:F173)</f>
        <v>155</v>
      </c>
      <c r="G174" s="209">
        <f t="shared" si="44"/>
        <v>127</v>
      </c>
      <c r="H174" s="210">
        <f t="shared" si="0"/>
        <v>1.2204724409448819</v>
      </c>
      <c r="I174" s="211">
        <f t="shared" si="1"/>
        <v>77.804645161290324</v>
      </c>
      <c r="J174" s="212">
        <f t="shared" si="2"/>
        <v>63.749612486992717</v>
      </c>
      <c r="K174" s="213">
        <f t="shared" ref="K174:N174" si="45">SUM(K157:K173)</f>
        <v>2375.6799999999998</v>
      </c>
      <c r="L174" s="209">
        <f t="shared" si="45"/>
        <v>345848</v>
      </c>
      <c r="M174" s="209">
        <f t="shared" si="45"/>
        <v>62</v>
      </c>
      <c r="N174" s="208">
        <f t="shared" si="45"/>
        <v>3785.71</v>
      </c>
      <c r="O174" s="214">
        <f t="shared" si="42"/>
        <v>0.62753882362885693</v>
      </c>
      <c r="P174" s="215">
        <f t="shared" si="4"/>
        <v>1.5935269059806036</v>
      </c>
      <c r="Q174" s="214">
        <f t="shared" si="5"/>
        <v>0.19699296501079627</v>
      </c>
      <c r="R174" s="216">
        <f t="shared" si="6"/>
        <v>0.31391359003359948</v>
      </c>
      <c r="S174" s="217">
        <f>SUM(S157:S173)</f>
        <v>8274.0099999999984</v>
      </c>
      <c r="T174" s="218">
        <f t="shared" si="8"/>
        <v>38.317419354838705</v>
      </c>
      <c r="U174" s="219">
        <f>IFERROR((D174-#REF!)/D174,)</f>
        <v>0</v>
      </c>
      <c r="V174" s="219">
        <f>IFERROR((F174-#REF!)/F174,)</f>
        <v>0</v>
      </c>
      <c r="W174" s="220">
        <f>IFERROR((D174-[1]monthly_reporting_2021!E49)/D174, )</f>
        <v>0</v>
      </c>
      <c r="X174" s="221">
        <f>IFERROR((F174-[1]monthly_reporting_2021!F49)/F174, )</f>
        <v>0</v>
      </c>
      <c r="Y174" s="50"/>
      <c r="Z174" s="50"/>
      <c r="AA174" s="50"/>
    </row>
    <row r="175" spans="1:27" ht="12.75" hidden="1" outlineLevel="1" x14ac:dyDescent="0.2">
      <c r="A175" s="50"/>
      <c r="B175" s="69">
        <v>45704</v>
      </c>
      <c r="C175" s="70" t="s">
        <v>32</v>
      </c>
      <c r="D175" s="71">
        <v>2118.6799999999998</v>
      </c>
      <c r="E175" s="75"/>
      <c r="F175" s="73">
        <v>4</v>
      </c>
      <c r="G175" s="73">
        <v>11</v>
      </c>
      <c r="H175" s="74">
        <f t="shared" si="0"/>
        <v>0.36363636363636365</v>
      </c>
      <c r="I175" s="75">
        <f t="shared" si="1"/>
        <v>529.66999999999996</v>
      </c>
      <c r="J175" s="76">
        <f t="shared" si="2"/>
        <v>1456.5924999999997</v>
      </c>
      <c r="K175" s="77">
        <v>974.08</v>
      </c>
      <c r="L175" s="73">
        <v>94735</v>
      </c>
      <c r="M175" s="73">
        <v>9</v>
      </c>
      <c r="N175" s="78">
        <v>648.75</v>
      </c>
      <c r="O175" s="79">
        <f t="shared" si="42"/>
        <v>1.5014720616570327</v>
      </c>
      <c r="P175" s="80">
        <f t="shared" si="4"/>
        <v>0.66601305847568981</v>
      </c>
      <c r="Q175" s="79">
        <f t="shared" si="5"/>
        <v>0.45975796250495599</v>
      </c>
      <c r="R175" s="81">
        <f t="shared" si="6"/>
        <v>0.30620480676647727</v>
      </c>
      <c r="S175" s="82">
        <f t="shared" ref="S175:S191" si="46">D175-N175</f>
        <v>1469.9299999999998</v>
      </c>
      <c r="T175" s="83">
        <f t="shared" si="8"/>
        <v>108.23111111111112</v>
      </c>
      <c r="U175" s="135"/>
      <c r="V175" s="135"/>
      <c r="W175" s="135"/>
      <c r="X175" s="135"/>
      <c r="Y175" s="136"/>
      <c r="Z175" s="50"/>
      <c r="AA175" s="50"/>
    </row>
    <row r="176" spans="1:27" ht="12.75" hidden="1" outlineLevel="1" x14ac:dyDescent="0.2">
      <c r="A176" s="50"/>
      <c r="B176" s="137"/>
      <c r="C176" s="70" t="s">
        <v>33</v>
      </c>
      <c r="D176" s="87">
        <v>1880.36</v>
      </c>
      <c r="E176" s="75"/>
      <c r="F176" s="73">
        <v>16</v>
      </c>
      <c r="G176" s="73">
        <v>18</v>
      </c>
      <c r="H176" s="74">
        <f t="shared" si="0"/>
        <v>0.88888888888888884</v>
      </c>
      <c r="I176" s="75">
        <f t="shared" si="1"/>
        <v>117.52249999999999</v>
      </c>
      <c r="J176" s="76">
        <f t="shared" si="2"/>
        <v>132.21281250000001</v>
      </c>
      <c r="K176" s="87">
        <v>358.65</v>
      </c>
      <c r="L176" s="73">
        <v>101363</v>
      </c>
      <c r="M176" s="73">
        <v>2</v>
      </c>
      <c r="N176" s="88">
        <v>438.95</v>
      </c>
      <c r="O176" s="79">
        <f t="shared" si="42"/>
        <v>0.8170634468618293</v>
      </c>
      <c r="P176" s="80">
        <f t="shared" si="4"/>
        <v>1.2238951624146104</v>
      </c>
      <c r="Q176" s="79">
        <f t="shared" si="5"/>
        <v>0.19073475291965369</v>
      </c>
      <c r="R176" s="81">
        <f t="shared" si="6"/>
        <v>0.23343934140271014</v>
      </c>
      <c r="S176" s="89">
        <f t="shared" si="46"/>
        <v>1441.4099999999999</v>
      </c>
      <c r="T176" s="83">
        <f t="shared" si="8"/>
        <v>179.32499999999999</v>
      </c>
      <c r="U176" s="135"/>
      <c r="V176" s="135"/>
      <c r="W176" s="135"/>
      <c r="X176" s="135"/>
      <c r="Y176" s="136"/>
      <c r="Z176" s="50"/>
      <c r="AA176" s="50"/>
    </row>
    <row r="177" spans="1:27" ht="12.75" hidden="1" outlineLevel="1" x14ac:dyDescent="0.2">
      <c r="A177" s="50"/>
      <c r="B177" s="137"/>
      <c r="C177" s="70" t="s">
        <v>34</v>
      </c>
      <c r="D177" s="90">
        <v>0</v>
      </c>
      <c r="E177" s="75"/>
      <c r="F177" s="73">
        <v>0</v>
      </c>
      <c r="G177" s="73">
        <v>0</v>
      </c>
      <c r="H177" s="74" t="e">
        <f t="shared" si="0"/>
        <v>#DIV/0!</v>
      </c>
      <c r="I177" s="75" t="e">
        <f t="shared" si="1"/>
        <v>#DIV/0!</v>
      </c>
      <c r="J177" s="76" t="e">
        <f t="shared" si="2"/>
        <v>#DIV/0!</v>
      </c>
      <c r="K177" s="90">
        <v>0</v>
      </c>
      <c r="L177" s="73">
        <v>73</v>
      </c>
      <c r="M177" s="73">
        <v>0</v>
      </c>
      <c r="N177" s="91">
        <v>0</v>
      </c>
      <c r="O177" s="79" t="e">
        <f>(K177/N177)</f>
        <v>#DIV/0!</v>
      </c>
      <c r="P177" s="80" t="e">
        <f t="shared" si="4"/>
        <v>#DIV/0!</v>
      </c>
      <c r="Q177" s="79" t="e">
        <f t="shared" si="5"/>
        <v>#DIV/0!</v>
      </c>
      <c r="R177" s="81" t="e">
        <f t="shared" si="6"/>
        <v>#DIV/0!</v>
      </c>
      <c r="S177" s="92">
        <f t="shared" si="46"/>
        <v>0</v>
      </c>
      <c r="T177" s="83" t="e">
        <f t="shared" si="8"/>
        <v>#DIV/0!</v>
      </c>
      <c r="U177" s="135"/>
      <c r="V177" s="135"/>
      <c r="W177" s="135"/>
      <c r="X177" s="135"/>
      <c r="Y177" s="136"/>
      <c r="Z177" s="50"/>
      <c r="AA177" s="50"/>
    </row>
    <row r="178" spans="1:27" ht="12.75" hidden="1" outlineLevel="1" x14ac:dyDescent="0.2">
      <c r="A178" s="50"/>
      <c r="B178" s="137"/>
      <c r="C178" s="70" t="s">
        <v>35</v>
      </c>
      <c r="D178" s="90">
        <v>386.65</v>
      </c>
      <c r="E178" s="75"/>
      <c r="F178" s="73">
        <v>7</v>
      </c>
      <c r="G178" s="73">
        <v>7</v>
      </c>
      <c r="H178" s="74">
        <f t="shared" si="0"/>
        <v>1</v>
      </c>
      <c r="I178" s="75">
        <f t="shared" si="1"/>
        <v>55.23571428571428</v>
      </c>
      <c r="J178" s="76">
        <f t="shared" si="2"/>
        <v>55.23571428571428</v>
      </c>
      <c r="K178" s="90">
        <v>105.42</v>
      </c>
      <c r="L178" s="73">
        <v>8339</v>
      </c>
      <c r="M178" s="73">
        <v>7</v>
      </c>
      <c r="N178" s="91">
        <v>377.65</v>
      </c>
      <c r="O178" s="79">
        <f t="shared" ref="O178:O194" si="47">K178/N178</f>
        <v>0.279147358665431</v>
      </c>
      <c r="P178" s="80">
        <f t="shared" si="4"/>
        <v>3.5823373173970783</v>
      </c>
      <c r="Q178" s="79">
        <f t="shared" si="5"/>
        <v>0.27264968317599897</v>
      </c>
      <c r="R178" s="81">
        <f t="shared" si="6"/>
        <v>0.97672313461787141</v>
      </c>
      <c r="S178" s="92">
        <f t="shared" si="46"/>
        <v>9</v>
      </c>
      <c r="T178" s="83">
        <f t="shared" si="8"/>
        <v>15.06</v>
      </c>
      <c r="U178" s="135"/>
      <c r="V178" s="135"/>
      <c r="W178" s="135"/>
      <c r="X178" s="135"/>
      <c r="Y178" s="136"/>
      <c r="Z178" s="50"/>
      <c r="AA178" s="50"/>
    </row>
    <row r="179" spans="1:27" ht="12.75" hidden="1" outlineLevel="1" x14ac:dyDescent="0.2">
      <c r="A179" s="50"/>
      <c r="B179" s="137"/>
      <c r="C179" s="70" t="s">
        <v>62</v>
      </c>
      <c r="D179" s="200">
        <v>39</v>
      </c>
      <c r="E179" s="75"/>
      <c r="F179" s="73">
        <v>1</v>
      </c>
      <c r="G179" s="73">
        <v>1</v>
      </c>
      <c r="H179" s="74">
        <f t="shared" si="0"/>
        <v>1</v>
      </c>
      <c r="I179" s="75">
        <f t="shared" si="1"/>
        <v>39</v>
      </c>
      <c r="J179" s="76">
        <f t="shared" si="2"/>
        <v>39</v>
      </c>
      <c r="K179" s="200">
        <v>0</v>
      </c>
      <c r="L179" s="73">
        <v>0</v>
      </c>
      <c r="M179" s="73">
        <v>0</v>
      </c>
      <c r="N179" s="200">
        <v>0</v>
      </c>
      <c r="O179" s="79" t="e">
        <f t="shared" si="47"/>
        <v>#DIV/0!</v>
      </c>
      <c r="P179" s="80" t="e">
        <f t="shared" si="4"/>
        <v>#DIV/0!</v>
      </c>
      <c r="Q179" s="79">
        <f t="shared" si="5"/>
        <v>0</v>
      </c>
      <c r="R179" s="81">
        <f t="shared" si="6"/>
        <v>0</v>
      </c>
      <c r="S179" s="92">
        <f t="shared" si="46"/>
        <v>39</v>
      </c>
      <c r="T179" s="83" t="e">
        <f t="shared" si="8"/>
        <v>#DIV/0!</v>
      </c>
      <c r="U179" s="135"/>
      <c r="V179" s="135"/>
      <c r="W179" s="135"/>
      <c r="X179" s="135"/>
      <c r="Y179" s="136"/>
      <c r="Z179" s="50"/>
      <c r="AA179" s="50"/>
    </row>
    <row r="180" spans="1:27" ht="12.75" hidden="1" outlineLevel="1" x14ac:dyDescent="0.2">
      <c r="A180" s="50"/>
      <c r="B180" s="137"/>
      <c r="C180" s="70" t="s">
        <v>66</v>
      </c>
      <c r="D180" s="201">
        <v>0</v>
      </c>
      <c r="E180" s="75"/>
      <c r="F180" s="73">
        <v>0</v>
      </c>
      <c r="G180" s="73">
        <v>0</v>
      </c>
      <c r="H180" s="74" t="e">
        <f t="shared" si="0"/>
        <v>#DIV/0!</v>
      </c>
      <c r="I180" s="75" t="e">
        <f t="shared" si="1"/>
        <v>#DIV/0!</v>
      </c>
      <c r="J180" s="76" t="e">
        <f t="shared" si="2"/>
        <v>#DIV/0!</v>
      </c>
      <c r="K180" s="201">
        <v>35.200000000000003</v>
      </c>
      <c r="L180" s="73">
        <v>11451</v>
      </c>
      <c r="M180" s="73">
        <v>0</v>
      </c>
      <c r="N180" s="202">
        <v>0</v>
      </c>
      <c r="O180" s="79" t="e">
        <f t="shared" si="47"/>
        <v>#DIV/0!</v>
      </c>
      <c r="P180" s="80">
        <f t="shared" si="4"/>
        <v>0</v>
      </c>
      <c r="Q180" s="79" t="e">
        <f t="shared" si="5"/>
        <v>#DIV/0!</v>
      </c>
      <c r="R180" s="81" t="e">
        <f t="shared" si="6"/>
        <v>#DIV/0!</v>
      </c>
      <c r="S180" s="203">
        <f t="shared" si="46"/>
        <v>0</v>
      </c>
      <c r="T180" s="83" t="e">
        <f t="shared" si="8"/>
        <v>#DIV/0!</v>
      </c>
      <c r="U180" s="135"/>
      <c r="V180" s="135"/>
      <c r="W180" s="135"/>
      <c r="X180" s="135"/>
      <c r="Y180" s="136"/>
      <c r="Z180" s="50"/>
      <c r="AA180" s="50"/>
    </row>
    <row r="181" spans="1:27" ht="12.75" hidden="1" outlineLevel="1" x14ac:dyDescent="0.2">
      <c r="A181" s="50"/>
      <c r="B181" s="137"/>
      <c r="C181" s="70" t="s">
        <v>36</v>
      </c>
      <c r="D181" s="90">
        <v>329.75</v>
      </c>
      <c r="E181" s="75"/>
      <c r="F181" s="73">
        <v>5</v>
      </c>
      <c r="G181" s="73">
        <v>5</v>
      </c>
      <c r="H181" s="74">
        <f t="shared" si="0"/>
        <v>1</v>
      </c>
      <c r="I181" s="75">
        <f t="shared" si="1"/>
        <v>65.95</v>
      </c>
      <c r="J181" s="76">
        <f t="shared" si="2"/>
        <v>65.95</v>
      </c>
      <c r="K181" s="90">
        <v>99.15</v>
      </c>
      <c r="L181" s="73">
        <v>7192</v>
      </c>
      <c r="M181" s="73">
        <v>1</v>
      </c>
      <c r="N181" s="91">
        <v>69.95</v>
      </c>
      <c r="O181" s="79">
        <f t="shared" si="47"/>
        <v>1.4174410293066477</v>
      </c>
      <c r="P181" s="80">
        <f t="shared" si="4"/>
        <v>0.70549672213817449</v>
      </c>
      <c r="Q181" s="79">
        <f t="shared" si="5"/>
        <v>0.30068233510235026</v>
      </c>
      <c r="R181" s="81">
        <f t="shared" si="6"/>
        <v>0.21213040181956028</v>
      </c>
      <c r="S181" s="92">
        <f t="shared" si="46"/>
        <v>259.8</v>
      </c>
      <c r="T181" s="83">
        <f t="shared" si="8"/>
        <v>99.15</v>
      </c>
      <c r="U181" s="135"/>
      <c r="V181" s="135"/>
      <c r="W181" s="135"/>
      <c r="X181" s="135"/>
      <c r="Y181" s="136"/>
      <c r="Z181" s="50"/>
      <c r="AA181" s="50"/>
    </row>
    <row r="182" spans="1:27" ht="12.75" hidden="1" outlineLevel="1" x14ac:dyDescent="0.2">
      <c r="A182" s="50"/>
      <c r="B182" s="69" t="s">
        <v>37</v>
      </c>
      <c r="C182" s="70" t="s">
        <v>38</v>
      </c>
      <c r="D182" s="93">
        <v>558.9</v>
      </c>
      <c r="E182" s="75"/>
      <c r="F182" s="73">
        <v>14</v>
      </c>
      <c r="G182" s="73">
        <v>12</v>
      </c>
      <c r="H182" s="74">
        <f t="shared" si="0"/>
        <v>1.1666666666666667</v>
      </c>
      <c r="I182" s="75">
        <f t="shared" si="1"/>
        <v>39.921428571428571</v>
      </c>
      <c r="J182" s="76">
        <f t="shared" si="2"/>
        <v>34.21836734693877</v>
      </c>
      <c r="K182" s="93">
        <v>149.52000000000001</v>
      </c>
      <c r="L182" s="73">
        <v>15258</v>
      </c>
      <c r="M182" s="73">
        <v>2</v>
      </c>
      <c r="N182" s="94">
        <v>54.51</v>
      </c>
      <c r="O182" s="79">
        <f t="shared" si="47"/>
        <v>2.7429829389102918</v>
      </c>
      <c r="P182" s="80">
        <f t="shared" si="4"/>
        <v>0.36456661316211875</v>
      </c>
      <c r="Q182" s="79">
        <f t="shared" si="5"/>
        <v>0.26752549651100377</v>
      </c>
      <c r="R182" s="81">
        <f t="shared" si="6"/>
        <v>9.7530864197530862E-2</v>
      </c>
      <c r="S182" s="95">
        <f t="shared" si="46"/>
        <v>504.39</v>
      </c>
      <c r="T182" s="83">
        <f t="shared" si="8"/>
        <v>74.760000000000005</v>
      </c>
      <c r="U182" s="135"/>
      <c r="V182" s="135"/>
      <c r="W182" s="135"/>
      <c r="X182" s="135"/>
      <c r="Y182" s="136"/>
      <c r="Z182" s="50"/>
      <c r="AA182" s="50"/>
    </row>
    <row r="183" spans="1:27" ht="12.75" hidden="1" outlineLevel="1" x14ac:dyDescent="0.2">
      <c r="A183" s="50"/>
      <c r="B183" s="137"/>
      <c r="C183" s="70" t="s">
        <v>39</v>
      </c>
      <c r="D183" s="96">
        <v>119.91</v>
      </c>
      <c r="E183" s="75"/>
      <c r="F183" s="73">
        <v>2</v>
      </c>
      <c r="G183" s="73">
        <v>2</v>
      </c>
      <c r="H183" s="74">
        <f t="shared" si="0"/>
        <v>1</v>
      </c>
      <c r="I183" s="75">
        <f t="shared" si="1"/>
        <v>59.954999999999998</v>
      </c>
      <c r="J183" s="76">
        <f t="shared" si="2"/>
        <v>59.954999999999998</v>
      </c>
      <c r="K183" s="96">
        <v>45.63</v>
      </c>
      <c r="L183" s="73">
        <v>22716</v>
      </c>
      <c r="M183" s="73">
        <v>0</v>
      </c>
      <c r="N183" s="97">
        <v>0</v>
      </c>
      <c r="O183" s="79" t="e">
        <f t="shared" si="47"/>
        <v>#DIV/0!</v>
      </c>
      <c r="P183" s="80">
        <f t="shared" si="4"/>
        <v>0</v>
      </c>
      <c r="Q183" s="79">
        <f t="shared" si="5"/>
        <v>0.38053540155116339</v>
      </c>
      <c r="R183" s="81">
        <f t="shared" si="6"/>
        <v>0</v>
      </c>
      <c r="S183" s="98">
        <f t="shared" si="46"/>
        <v>119.91</v>
      </c>
      <c r="T183" s="83" t="e">
        <f t="shared" si="8"/>
        <v>#DIV/0!</v>
      </c>
      <c r="U183" s="135"/>
      <c r="V183" s="135"/>
      <c r="W183" s="135"/>
      <c r="X183" s="135"/>
      <c r="Y183" s="136"/>
      <c r="Z183" s="50"/>
      <c r="AA183" s="50"/>
    </row>
    <row r="184" spans="1:27" ht="12.75" hidden="1" outlineLevel="1" x14ac:dyDescent="0.2">
      <c r="A184" s="50"/>
      <c r="B184" s="137"/>
      <c r="C184" s="70" t="s">
        <v>40</v>
      </c>
      <c r="D184" s="99">
        <v>54.95</v>
      </c>
      <c r="E184" s="75"/>
      <c r="F184" s="73">
        <v>1</v>
      </c>
      <c r="G184" s="73">
        <v>1</v>
      </c>
      <c r="H184" s="74">
        <f t="shared" si="0"/>
        <v>1</v>
      </c>
      <c r="I184" s="75">
        <f t="shared" si="1"/>
        <v>54.95</v>
      </c>
      <c r="J184" s="76">
        <f t="shared" si="2"/>
        <v>54.95</v>
      </c>
      <c r="K184" s="99">
        <v>0</v>
      </c>
      <c r="L184" s="73">
        <v>0</v>
      </c>
      <c r="M184" s="73">
        <v>0</v>
      </c>
      <c r="N184" s="100">
        <v>0</v>
      </c>
      <c r="O184" s="79" t="e">
        <f t="shared" si="47"/>
        <v>#DIV/0!</v>
      </c>
      <c r="P184" s="80" t="e">
        <f t="shared" si="4"/>
        <v>#DIV/0!</v>
      </c>
      <c r="Q184" s="79">
        <f t="shared" si="5"/>
        <v>0</v>
      </c>
      <c r="R184" s="81">
        <f t="shared" si="6"/>
        <v>0</v>
      </c>
      <c r="S184" s="101">
        <f t="shared" si="46"/>
        <v>54.95</v>
      </c>
      <c r="T184" s="83" t="e">
        <f t="shared" si="8"/>
        <v>#DIV/0!</v>
      </c>
      <c r="U184" s="135"/>
      <c r="V184" s="135"/>
      <c r="W184" s="135"/>
      <c r="X184" s="135"/>
      <c r="Y184" s="136"/>
      <c r="Z184" s="50"/>
      <c r="AA184" s="50"/>
    </row>
    <row r="185" spans="1:27" ht="12.75" hidden="1" outlineLevel="1" x14ac:dyDescent="0.2">
      <c r="A185" s="50"/>
      <c r="B185" s="137"/>
      <c r="C185" s="70" t="s">
        <v>41</v>
      </c>
      <c r="D185" s="102">
        <v>323</v>
      </c>
      <c r="E185" s="75"/>
      <c r="F185" s="73">
        <v>5</v>
      </c>
      <c r="G185" s="73">
        <v>6</v>
      </c>
      <c r="H185" s="74">
        <f t="shared" si="0"/>
        <v>0.83333333333333337</v>
      </c>
      <c r="I185" s="75">
        <f t="shared" si="1"/>
        <v>64.599999999999994</v>
      </c>
      <c r="J185" s="76">
        <f t="shared" si="2"/>
        <v>77.52</v>
      </c>
      <c r="K185" s="102">
        <v>84.71</v>
      </c>
      <c r="L185" s="73">
        <v>10073</v>
      </c>
      <c r="M185" s="73">
        <v>5</v>
      </c>
      <c r="N185" s="103">
        <v>335</v>
      </c>
      <c r="O185" s="79">
        <f t="shared" si="47"/>
        <v>0.25286567164179102</v>
      </c>
      <c r="P185" s="80">
        <f t="shared" si="4"/>
        <v>3.9546688702632515</v>
      </c>
      <c r="Q185" s="79">
        <f t="shared" si="5"/>
        <v>0.26226006191950463</v>
      </c>
      <c r="R185" s="81">
        <f t="shared" si="6"/>
        <v>1.0371517027863777</v>
      </c>
      <c r="S185" s="104">
        <f t="shared" si="46"/>
        <v>-12</v>
      </c>
      <c r="T185" s="83">
        <f t="shared" si="8"/>
        <v>16.942</v>
      </c>
      <c r="U185" s="135"/>
      <c r="V185" s="135"/>
      <c r="W185" s="135"/>
      <c r="X185" s="135"/>
      <c r="Y185" s="136"/>
      <c r="Z185" s="50"/>
      <c r="AA185" s="50"/>
    </row>
    <row r="186" spans="1:27" ht="12.75" hidden="1" outlineLevel="1" x14ac:dyDescent="0.2">
      <c r="A186" s="50"/>
      <c r="B186" s="137"/>
      <c r="C186" s="70" t="s">
        <v>42</v>
      </c>
      <c r="D186" s="90">
        <v>139.93</v>
      </c>
      <c r="E186" s="75"/>
      <c r="F186" s="73">
        <v>7</v>
      </c>
      <c r="G186" s="73">
        <v>3</v>
      </c>
      <c r="H186" s="74">
        <f t="shared" si="0"/>
        <v>2.3333333333333335</v>
      </c>
      <c r="I186" s="75">
        <f t="shared" si="1"/>
        <v>19.990000000000002</v>
      </c>
      <c r="J186" s="76">
        <f t="shared" si="2"/>
        <v>8.5671428571428567</v>
      </c>
      <c r="K186" s="90">
        <v>11.78</v>
      </c>
      <c r="L186" s="73">
        <v>14994</v>
      </c>
      <c r="M186" s="73">
        <v>2</v>
      </c>
      <c r="N186" s="91">
        <v>39.979999999999997</v>
      </c>
      <c r="O186" s="79">
        <f t="shared" si="47"/>
        <v>0.29464732366183094</v>
      </c>
      <c r="P186" s="80">
        <f t="shared" si="4"/>
        <v>3.3938879456706279</v>
      </c>
      <c r="Q186" s="79">
        <f t="shared" si="5"/>
        <v>8.4184949617665969E-2</v>
      </c>
      <c r="R186" s="81">
        <f t="shared" si="6"/>
        <v>0.2857142857142857</v>
      </c>
      <c r="S186" s="92">
        <f t="shared" si="46"/>
        <v>99.950000000000017</v>
      </c>
      <c r="T186" s="83">
        <f t="shared" si="8"/>
        <v>5.89</v>
      </c>
      <c r="U186" s="135"/>
      <c r="V186" s="135"/>
      <c r="W186" s="135"/>
      <c r="X186" s="135"/>
      <c r="Y186" s="136"/>
      <c r="Z186" s="50"/>
      <c r="AA186" s="50"/>
    </row>
    <row r="187" spans="1:27" ht="12.75" hidden="1" outlineLevel="1" x14ac:dyDescent="0.2">
      <c r="A187" s="50"/>
      <c r="B187" s="137"/>
      <c r="C187" s="70" t="s">
        <v>43</v>
      </c>
      <c r="D187" s="105">
        <v>156</v>
      </c>
      <c r="E187" s="75"/>
      <c r="F187" s="73">
        <v>1</v>
      </c>
      <c r="G187" s="73">
        <v>1</v>
      </c>
      <c r="H187" s="74">
        <f t="shared" si="0"/>
        <v>1</v>
      </c>
      <c r="I187" s="75">
        <f t="shared" si="1"/>
        <v>156</v>
      </c>
      <c r="J187" s="76">
        <f t="shared" si="2"/>
        <v>156</v>
      </c>
      <c r="K187" s="105">
        <v>36.5</v>
      </c>
      <c r="L187" s="73">
        <v>34973</v>
      </c>
      <c r="M187" s="73">
        <v>0</v>
      </c>
      <c r="N187" s="106">
        <v>0</v>
      </c>
      <c r="O187" s="79" t="e">
        <f t="shared" si="47"/>
        <v>#DIV/0!</v>
      </c>
      <c r="P187" s="80">
        <f t="shared" si="4"/>
        <v>0</v>
      </c>
      <c r="Q187" s="79">
        <f t="shared" si="5"/>
        <v>0.23397435897435898</v>
      </c>
      <c r="R187" s="81">
        <f t="shared" si="6"/>
        <v>0</v>
      </c>
      <c r="S187" s="107">
        <f t="shared" si="46"/>
        <v>156</v>
      </c>
      <c r="T187" s="83" t="e">
        <f t="shared" si="8"/>
        <v>#DIV/0!</v>
      </c>
      <c r="U187" s="135"/>
      <c r="V187" s="135"/>
      <c r="W187" s="135"/>
      <c r="X187" s="135"/>
      <c r="Y187" s="136"/>
      <c r="Z187" s="50"/>
      <c r="AA187" s="50"/>
    </row>
    <row r="188" spans="1:27" ht="12.75" hidden="1" outlineLevel="1" x14ac:dyDescent="0.2">
      <c r="A188" s="50"/>
      <c r="B188" s="137"/>
      <c r="C188" s="70" t="s">
        <v>44</v>
      </c>
      <c r="D188" s="108">
        <v>37.96</v>
      </c>
      <c r="E188" s="75"/>
      <c r="F188" s="73">
        <v>1</v>
      </c>
      <c r="G188" s="73">
        <v>1</v>
      </c>
      <c r="H188" s="74">
        <f t="shared" si="0"/>
        <v>1</v>
      </c>
      <c r="I188" s="75">
        <f t="shared" si="1"/>
        <v>37.96</v>
      </c>
      <c r="J188" s="76">
        <f t="shared" si="2"/>
        <v>37.96</v>
      </c>
      <c r="K188" s="108">
        <v>15.41</v>
      </c>
      <c r="L188" s="73">
        <v>5434</v>
      </c>
      <c r="M188" s="73">
        <v>0</v>
      </c>
      <c r="N188" s="109">
        <v>0</v>
      </c>
      <c r="O188" s="79" t="e">
        <f t="shared" si="47"/>
        <v>#DIV/0!</v>
      </c>
      <c r="P188" s="80">
        <f t="shared" si="4"/>
        <v>0</v>
      </c>
      <c r="Q188" s="79">
        <f t="shared" si="5"/>
        <v>0.40595363540569018</v>
      </c>
      <c r="R188" s="81">
        <f t="shared" si="6"/>
        <v>0</v>
      </c>
      <c r="S188" s="110">
        <f t="shared" si="46"/>
        <v>37.96</v>
      </c>
      <c r="T188" s="83" t="e">
        <f t="shared" si="8"/>
        <v>#DIV/0!</v>
      </c>
      <c r="U188" s="135"/>
      <c r="V188" s="135"/>
      <c r="W188" s="135"/>
      <c r="X188" s="135"/>
      <c r="Y188" s="136"/>
      <c r="Z188" s="50"/>
      <c r="AA188" s="50"/>
    </row>
    <row r="189" spans="1:27" ht="12.75" hidden="1" outlineLevel="1" x14ac:dyDescent="0.2">
      <c r="A189" s="139"/>
      <c r="B189" s="137"/>
      <c r="C189" s="112" t="s">
        <v>45</v>
      </c>
      <c r="D189" s="71">
        <v>575.42999999999995</v>
      </c>
      <c r="E189" s="75"/>
      <c r="F189" s="73">
        <v>11</v>
      </c>
      <c r="G189" s="73">
        <v>6</v>
      </c>
      <c r="H189" s="74">
        <f t="shared" si="0"/>
        <v>1.8333333333333333</v>
      </c>
      <c r="I189" s="75">
        <f t="shared" si="1"/>
        <v>52.311818181818175</v>
      </c>
      <c r="J189" s="76">
        <f t="shared" si="2"/>
        <v>28.533719008264459</v>
      </c>
      <c r="K189" s="71">
        <v>0</v>
      </c>
      <c r="L189" s="73">
        <v>0</v>
      </c>
      <c r="M189" s="73">
        <v>0</v>
      </c>
      <c r="N189" s="78">
        <v>0</v>
      </c>
      <c r="O189" s="79" t="e">
        <f t="shared" si="47"/>
        <v>#DIV/0!</v>
      </c>
      <c r="P189" s="80" t="e">
        <f t="shared" si="4"/>
        <v>#DIV/0!</v>
      </c>
      <c r="Q189" s="79">
        <f t="shared" si="5"/>
        <v>0</v>
      </c>
      <c r="R189" s="81">
        <f t="shared" si="6"/>
        <v>0</v>
      </c>
      <c r="S189" s="82">
        <f t="shared" si="46"/>
        <v>575.42999999999995</v>
      </c>
      <c r="T189" s="83" t="e">
        <f t="shared" si="8"/>
        <v>#DIV/0!</v>
      </c>
      <c r="U189" s="140"/>
      <c r="V189" s="140"/>
      <c r="W189" s="140"/>
      <c r="X189" s="141"/>
      <c r="Y189" s="142"/>
      <c r="Z189" s="50"/>
      <c r="AA189" s="50"/>
    </row>
    <row r="190" spans="1:27" ht="12.75" hidden="1" outlineLevel="1" x14ac:dyDescent="0.2">
      <c r="A190" s="50"/>
      <c r="B190" s="137"/>
      <c r="C190" s="70" t="s">
        <v>46</v>
      </c>
      <c r="D190" s="116">
        <v>611.34</v>
      </c>
      <c r="E190" s="75"/>
      <c r="F190" s="73">
        <v>19</v>
      </c>
      <c r="G190" s="73">
        <v>17</v>
      </c>
      <c r="H190" s="74">
        <f t="shared" si="0"/>
        <v>1.1176470588235294</v>
      </c>
      <c r="I190" s="75">
        <f t="shared" si="1"/>
        <v>32.175789473684212</v>
      </c>
      <c r="J190" s="76">
        <f t="shared" si="2"/>
        <v>28.788864265927977</v>
      </c>
      <c r="K190" s="116">
        <v>86.51</v>
      </c>
      <c r="L190" s="73">
        <v>33745</v>
      </c>
      <c r="M190" s="73">
        <v>7</v>
      </c>
      <c r="N190" s="117">
        <v>237.34</v>
      </c>
      <c r="O190" s="79">
        <f t="shared" si="47"/>
        <v>0.36449818825313895</v>
      </c>
      <c r="P190" s="80">
        <f t="shared" si="4"/>
        <v>2.7434978615188994</v>
      </c>
      <c r="Q190" s="79">
        <f t="shared" si="5"/>
        <v>0.14150881669774593</v>
      </c>
      <c r="R190" s="81">
        <f t="shared" si="6"/>
        <v>0.38822913599633591</v>
      </c>
      <c r="S190" s="82">
        <f t="shared" si="46"/>
        <v>374</v>
      </c>
      <c r="T190" s="83">
        <f t="shared" si="8"/>
        <v>12.358571428571429</v>
      </c>
      <c r="U190" s="135"/>
      <c r="V190" s="135"/>
      <c r="W190" s="135"/>
      <c r="X190" s="135"/>
      <c r="Y190" s="136"/>
      <c r="Z190" s="50"/>
      <c r="AA190" s="50"/>
    </row>
    <row r="191" spans="1:27" ht="12.75" hidden="1" outlineLevel="1" x14ac:dyDescent="0.2">
      <c r="A191" s="118" t="str">
        <f t="shared" ref="A191:A192" si="48">IFERROR(IF(B191&gt;0,MONTH(B191)&amp;"-"&amp;YEAR(B191),B191),)</f>
        <v>2-2025</v>
      </c>
      <c r="B191" s="69">
        <v>45710</v>
      </c>
      <c r="C191" s="70" t="s">
        <v>49</v>
      </c>
      <c r="D191" s="116">
        <v>-117.57</v>
      </c>
      <c r="E191" s="75"/>
      <c r="F191" s="73">
        <v>-1</v>
      </c>
      <c r="G191" s="73">
        <v>0</v>
      </c>
      <c r="H191" s="74" t="e">
        <f t="shared" si="0"/>
        <v>#DIV/0!</v>
      </c>
      <c r="I191" s="75">
        <f t="shared" si="1"/>
        <v>117.57</v>
      </c>
      <c r="J191" s="76" t="e">
        <f t="shared" si="2"/>
        <v>#DIV/0!</v>
      </c>
      <c r="K191" s="116">
        <v>5.64</v>
      </c>
      <c r="L191" s="73">
        <v>13666</v>
      </c>
      <c r="M191" s="73">
        <v>0</v>
      </c>
      <c r="N191" s="117">
        <v>0</v>
      </c>
      <c r="O191" s="79" t="e">
        <f t="shared" si="47"/>
        <v>#DIV/0!</v>
      </c>
      <c r="P191" s="80">
        <f t="shared" si="4"/>
        <v>0</v>
      </c>
      <c r="Q191" s="79">
        <f t="shared" si="5"/>
        <v>-4.7971421280939015E-2</v>
      </c>
      <c r="R191" s="81">
        <f t="shared" si="6"/>
        <v>0</v>
      </c>
      <c r="S191" s="82">
        <f t="shared" si="46"/>
        <v>-117.57</v>
      </c>
      <c r="T191" s="83" t="e">
        <f t="shared" si="8"/>
        <v>#DIV/0!</v>
      </c>
      <c r="U191" s="135"/>
      <c r="V191" s="135"/>
      <c r="W191" s="135"/>
      <c r="X191" s="135"/>
      <c r="Y191" s="136"/>
      <c r="Z191" s="50"/>
      <c r="AA191" s="50"/>
    </row>
    <row r="192" spans="1:27" ht="12.75" collapsed="1" x14ac:dyDescent="0.2">
      <c r="A192" s="139">
        <f t="shared" si="48"/>
        <v>0</v>
      </c>
      <c r="B192" s="206" t="s">
        <v>136</v>
      </c>
      <c r="C192" s="207"/>
      <c r="D192" s="208">
        <f>SUM(D175:D191)</f>
        <v>7214.29</v>
      </c>
      <c r="E192" s="211"/>
      <c r="F192" s="209">
        <f t="shared" ref="F192:G192" si="49">SUM(F175:F191)</f>
        <v>93</v>
      </c>
      <c r="G192" s="209">
        <f t="shared" si="49"/>
        <v>91</v>
      </c>
      <c r="H192" s="210">
        <f t="shared" si="0"/>
        <v>1.0219780219780219</v>
      </c>
      <c r="I192" s="211">
        <f t="shared" si="1"/>
        <v>77.573010752688177</v>
      </c>
      <c r="J192" s="212">
        <f t="shared" si="2"/>
        <v>75.904773962307786</v>
      </c>
      <c r="K192" s="213">
        <f t="shared" ref="K192:N192" si="50">SUM(K175:K191)</f>
        <v>2008.2000000000005</v>
      </c>
      <c r="L192" s="209">
        <f t="shared" si="50"/>
        <v>374012</v>
      </c>
      <c r="M192" s="209">
        <f t="shared" si="50"/>
        <v>35</v>
      </c>
      <c r="N192" s="208">
        <f t="shared" si="50"/>
        <v>2202.13</v>
      </c>
      <c r="O192" s="214">
        <f t="shared" si="47"/>
        <v>0.9119352626774988</v>
      </c>
      <c r="P192" s="215">
        <f t="shared" si="4"/>
        <v>1.0965690668260131</v>
      </c>
      <c r="Q192" s="214">
        <f t="shared" si="5"/>
        <v>0.27836419107077764</v>
      </c>
      <c r="R192" s="216">
        <f t="shared" si="6"/>
        <v>0.30524556124026064</v>
      </c>
      <c r="S192" s="217">
        <f>SUM(S175:S191)</f>
        <v>5012.16</v>
      </c>
      <c r="T192" s="218">
        <f t="shared" si="8"/>
        <v>57.377142857142871</v>
      </c>
      <c r="U192" s="219">
        <f>IFERROR((D192-#REF!)/D192,)</f>
        <v>0</v>
      </c>
      <c r="V192" s="219">
        <f>IFERROR((F192-#REF!)/F192,)</f>
        <v>0</v>
      </c>
      <c r="W192" s="220">
        <f>IFERROR((D192-[1]monthly_reporting_2021!E49)/D192, )</f>
        <v>0</v>
      </c>
      <c r="X192" s="221">
        <f>IFERROR((F192-[1]monthly_reporting_2021!F49)/F192, )</f>
        <v>0</v>
      </c>
      <c r="Y192" s="50"/>
      <c r="Z192" s="50"/>
      <c r="AA192" s="50"/>
    </row>
    <row r="193" spans="1:27" ht="12.75" hidden="1" outlineLevel="1" x14ac:dyDescent="0.2">
      <c r="A193" s="50"/>
      <c r="B193" s="69">
        <v>45711</v>
      </c>
      <c r="C193" s="70" t="s">
        <v>32</v>
      </c>
      <c r="D193" s="71">
        <v>1138.5999999999999</v>
      </c>
      <c r="E193" s="75"/>
      <c r="F193" s="73">
        <v>9</v>
      </c>
      <c r="G193" s="73">
        <v>10</v>
      </c>
      <c r="H193" s="74">
        <f t="shared" si="0"/>
        <v>0.9</v>
      </c>
      <c r="I193" s="75">
        <f t="shared" si="1"/>
        <v>126.51111111111111</v>
      </c>
      <c r="J193" s="76">
        <f t="shared" si="2"/>
        <v>140.5679012345679</v>
      </c>
      <c r="K193" s="77">
        <v>652.84</v>
      </c>
      <c r="L193" s="73">
        <v>91286</v>
      </c>
      <c r="M193" s="73">
        <v>5</v>
      </c>
      <c r="N193" s="78">
        <v>289.8</v>
      </c>
      <c r="O193" s="79">
        <f t="shared" si="47"/>
        <v>2.2527260179434094</v>
      </c>
      <c r="P193" s="80">
        <f t="shared" si="4"/>
        <v>0.44390662336866615</v>
      </c>
      <c r="Q193" s="79">
        <f t="shared" si="5"/>
        <v>0.57337080625329362</v>
      </c>
      <c r="R193" s="81">
        <f t="shared" si="6"/>
        <v>0.25452309854206923</v>
      </c>
      <c r="S193" s="82">
        <f t="shared" ref="S193:S209" si="51">D193-N193</f>
        <v>848.8</v>
      </c>
      <c r="T193" s="83">
        <f t="shared" si="8"/>
        <v>130.56800000000001</v>
      </c>
      <c r="U193" s="135"/>
      <c r="V193" s="135"/>
      <c r="W193" s="135"/>
      <c r="X193" s="135"/>
      <c r="Y193" s="136"/>
      <c r="Z193" s="50"/>
      <c r="AA193" s="50"/>
    </row>
    <row r="194" spans="1:27" ht="12.75" hidden="1" outlineLevel="1" x14ac:dyDescent="0.2">
      <c r="A194" s="50"/>
      <c r="B194" s="137"/>
      <c r="C194" s="70" t="s">
        <v>33</v>
      </c>
      <c r="D194" s="87">
        <v>7251.12</v>
      </c>
      <c r="E194" s="75"/>
      <c r="F194" s="73">
        <v>45</v>
      </c>
      <c r="G194" s="73">
        <v>47</v>
      </c>
      <c r="H194" s="74">
        <f t="shared" si="0"/>
        <v>0.95744680851063835</v>
      </c>
      <c r="I194" s="75">
        <f t="shared" si="1"/>
        <v>161.136</v>
      </c>
      <c r="J194" s="76">
        <f t="shared" si="2"/>
        <v>168.29759999999999</v>
      </c>
      <c r="K194" s="87">
        <v>325.06</v>
      </c>
      <c r="L194" s="73">
        <v>109626</v>
      </c>
      <c r="M194" s="73">
        <v>10</v>
      </c>
      <c r="N194" s="88">
        <v>1276.8499999999999</v>
      </c>
      <c r="O194" s="79">
        <f t="shared" si="47"/>
        <v>0.25457962955711322</v>
      </c>
      <c r="P194" s="80">
        <f t="shared" si="4"/>
        <v>3.9280440534055248</v>
      </c>
      <c r="Q194" s="79">
        <f t="shared" si="5"/>
        <v>4.4828936771147077E-2</v>
      </c>
      <c r="R194" s="81">
        <f t="shared" si="6"/>
        <v>0.17609003850439656</v>
      </c>
      <c r="S194" s="89">
        <f t="shared" si="51"/>
        <v>5974.27</v>
      </c>
      <c r="T194" s="83">
        <f t="shared" si="8"/>
        <v>32.506</v>
      </c>
      <c r="U194" s="135"/>
      <c r="V194" s="135"/>
      <c r="W194" s="135"/>
      <c r="X194" s="135"/>
      <c r="Y194" s="136"/>
      <c r="Z194" s="50"/>
      <c r="AA194" s="50"/>
    </row>
    <row r="195" spans="1:27" ht="12.75" hidden="1" outlineLevel="1" x14ac:dyDescent="0.2">
      <c r="A195" s="50"/>
      <c r="B195" s="137"/>
      <c r="C195" s="70" t="s">
        <v>34</v>
      </c>
      <c r="D195" s="90">
        <v>0</v>
      </c>
      <c r="E195" s="75"/>
      <c r="F195" s="73">
        <v>0</v>
      </c>
      <c r="G195" s="73">
        <v>0</v>
      </c>
      <c r="H195" s="74" t="e">
        <f t="shared" si="0"/>
        <v>#DIV/0!</v>
      </c>
      <c r="I195" s="75" t="e">
        <f t="shared" si="1"/>
        <v>#DIV/0!</v>
      </c>
      <c r="J195" s="76" t="e">
        <f t="shared" si="2"/>
        <v>#DIV/0!</v>
      </c>
      <c r="K195" s="90">
        <v>17.22</v>
      </c>
      <c r="L195" s="73">
        <v>128</v>
      </c>
      <c r="M195" s="73">
        <v>0</v>
      </c>
      <c r="N195" s="91">
        <v>0</v>
      </c>
      <c r="O195" s="79" t="e">
        <f>(K195/N195)</f>
        <v>#DIV/0!</v>
      </c>
      <c r="P195" s="80">
        <f t="shared" si="4"/>
        <v>0</v>
      </c>
      <c r="Q195" s="79" t="e">
        <f t="shared" si="5"/>
        <v>#DIV/0!</v>
      </c>
      <c r="R195" s="81" t="e">
        <f t="shared" si="6"/>
        <v>#DIV/0!</v>
      </c>
      <c r="S195" s="92">
        <f t="shared" si="51"/>
        <v>0</v>
      </c>
      <c r="T195" s="83" t="e">
        <f t="shared" si="8"/>
        <v>#DIV/0!</v>
      </c>
      <c r="U195" s="135"/>
      <c r="V195" s="135"/>
      <c r="W195" s="135"/>
      <c r="X195" s="135"/>
      <c r="Y195" s="136"/>
      <c r="Z195" s="50"/>
      <c r="AA195" s="50"/>
    </row>
    <row r="196" spans="1:27" ht="12.75" hidden="1" outlineLevel="1" x14ac:dyDescent="0.2">
      <c r="A196" s="50"/>
      <c r="B196" s="137"/>
      <c r="C196" s="70" t="s">
        <v>35</v>
      </c>
      <c r="D196" s="90">
        <v>269.75</v>
      </c>
      <c r="E196" s="75"/>
      <c r="F196" s="73">
        <v>5</v>
      </c>
      <c r="G196" s="73">
        <v>3</v>
      </c>
      <c r="H196" s="74">
        <f t="shared" si="0"/>
        <v>1.6666666666666667</v>
      </c>
      <c r="I196" s="75">
        <f t="shared" si="1"/>
        <v>53.95</v>
      </c>
      <c r="J196" s="76">
        <f t="shared" si="2"/>
        <v>32.369999999999997</v>
      </c>
      <c r="K196" s="90">
        <v>163.92</v>
      </c>
      <c r="L196" s="73">
        <v>9083</v>
      </c>
      <c r="M196" s="73">
        <v>0</v>
      </c>
      <c r="N196" s="91">
        <v>0</v>
      </c>
      <c r="O196" s="79" t="e">
        <f t="shared" ref="O196:O212" si="52">K196/N196</f>
        <v>#DIV/0!</v>
      </c>
      <c r="P196" s="80">
        <f t="shared" si="4"/>
        <v>0</v>
      </c>
      <c r="Q196" s="79">
        <f t="shared" si="5"/>
        <v>0.60767377201112138</v>
      </c>
      <c r="R196" s="81">
        <f t="shared" si="6"/>
        <v>0</v>
      </c>
      <c r="S196" s="92">
        <f t="shared" si="51"/>
        <v>269.75</v>
      </c>
      <c r="T196" s="83" t="e">
        <f t="shared" si="8"/>
        <v>#DIV/0!</v>
      </c>
      <c r="U196" s="135"/>
      <c r="V196" s="135"/>
      <c r="W196" s="135"/>
      <c r="X196" s="135"/>
      <c r="Y196" s="136"/>
      <c r="Z196" s="50"/>
      <c r="AA196" s="50"/>
    </row>
    <row r="197" spans="1:27" ht="12.75" hidden="1" outlineLevel="1" x14ac:dyDescent="0.2">
      <c r="A197" s="50"/>
      <c r="B197" s="137"/>
      <c r="C197" s="70" t="s">
        <v>62</v>
      </c>
      <c r="D197" s="200">
        <v>0</v>
      </c>
      <c r="E197" s="75"/>
      <c r="F197" s="73">
        <v>0</v>
      </c>
      <c r="G197" s="73">
        <v>0</v>
      </c>
      <c r="H197" s="74" t="e">
        <f t="shared" si="0"/>
        <v>#DIV/0!</v>
      </c>
      <c r="I197" s="75" t="e">
        <f t="shared" si="1"/>
        <v>#DIV/0!</v>
      </c>
      <c r="J197" s="76" t="e">
        <f t="shared" si="2"/>
        <v>#DIV/0!</v>
      </c>
      <c r="K197" s="200">
        <v>0</v>
      </c>
      <c r="L197" s="73">
        <v>0</v>
      </c>
      <c r="M197" s="73">
        <v>0</v>
      </c>
      <c r="N197" s="200">
        <v>0</v>
      </c>
      <c r="O197" s="79" t="e">
        <f t="shared" si="52"/>
        <v>#DIV/0!</v>
      </c>
      <c r="P197" s="80" t="e">
        <f t="shared" si="4"/>
        <v>#DIV/0!</v>
      </c>
      <c r="Q197" s="79" t="e">
        <f t="shared" si="5"/>
        <v>#DIV/0!</v>
      </c>
      <c r="R197" s="81" t="e">
        <f t="shared" si="6"/>
        <v>#DIV/0!</v>
      </c>
      <c r="S197" s="92">
        <f t="shared" si="51"/>
        <v>0</v>
      </c>
      <c r="T197" s="83" t="e">
        <f t="shared" si="8"/>
        <v>#DIV/0!</v>
      </c>
      <c r="U197" s="135"/>
      <c r="V197" s="135"/>
      <c r="W197" s="135"/>
      <c r="X197" s="135"/>
      <c r="Y197" s="136"/>
      <c r="Z197" s="50"/>
      <c r="AA197" s="50"/>
    </row>
    <row r="198" spans="1:27" ht="12.75" hidden="1" outlineLevel="1" x14ac:dyDescent="0.2">
      <c r="A198" s="50"/>
      <c r="B198" s="137"/>
      <c r="C198" s="70" t="s">
        <v>66</v>
      </c>
      <c r="D198" s="201">
        <v>455.81</v>
      </c>
      <c r="E198" s="75"/>
      <c r="F198" s="73">
        <v>7</v>
      </c>
      <c r="G198" s="73">
        <v>6</v>
      </c>
      <c r="H198" s="74">
        <f t="shared" si="0"/>
        <v>1.1666666666666667</v>
      </c>
      <c r="I198" s="75">
        <f t="shared" si="1"/>
        <v>65.11571428571429</v>
      </c>
      <c r="J198" s="76">
        <f t="shared" si="2"/>
        <v>55.813469387755106</v>
      </c>
      <c r="K198" s="201">
        <v>49.89</v>
      </c>
      <c r="L198" s="73">
        <v>6245</v>
      </c>
      <c r="M198" s="73">
        <v>2</v>
      </c>
      <c r="N198" s="202">
        <v>124.94</v>
      </c>
      <c r="O198" s="79">
        <f t="shared" si="52"/>
        <v>0.39931166960140868</v>
      </c>
      <c r="P198" s="80">
        <f t="shared" si="4"/>
        <v>2.5043094808578874</v>
      </c>
      <c r="Q198" s="79">
        <f t="shared" si="5"/>
        <v>0.10945350036199293</v>
      </c>
      <c r="R198" s="81">
        <f t="shared" si="6"/>
        <v>0.27410543866962112</v>
      </c>
      <c r="S198" s="203">
        <f t="shared" si="51"/>
        <v>330.87</v>
      </c>
      <c r="T198" s="83">
        <f t="shared" si="8"/>
        <v>24.945</v>
      </c>
      <c r="U198" s="135"/>
      <c r="V198" s="135"/>
      <c r="W198" s="135"/>
      <c r="X198" s="135"/>
      <c r="Y198" s="136"/>
      <c r="Z198" s="50"/>
      <c r="AA198" s="50"/>
    </row>
    <row r="199" spans="1:27" ht="12.75" hidden="1" outlineLevel="1" x14ac:dyDescent="0.2">
      <c r="A199" s="50"/>
      <c r="B199" s="137"/>
      <c r="C199" s="70" t="s">
        <v>36</v>
      </c>
      <c r="D199" s="90">
        <v>500.16</v>
      </c>
      <c r="E199" s="75"/>
      <c r="F199" s="73">
        <v>8</v>
      </c>
      <c r="G199" s="73">
        <v>8</v>
      </c>
      <c r="H199" s="74">
        <f t="shared" si="0"/>
        <v>1</v>
      </c>
      <c r="I199" s="75">
        <f t="shared" si="1"/>
        <v>62.52</v>
      </c>
      <c r="J199" s="76">
        <f t="shared" si="2"/>
        <v>62.52</v>
      </c>
      <c r="K199" s="90">
        <v>67.81</v>
      </c>
      <c r="L199" s="73">
        <v>6402</v>
      </c>
      <c r="M199" s="73">
        <v>1</v>
      </c>
      <c r="N199" s="91">
        <v>59.95</v>
      </c>
      <c r="O199" s="79">
        <f t="shared" si="52"/>
        <v>1.1311092577147623</v>
      </c>
      <c r="P199" s="80">
        <f t="shared" si="4"/>
        <v>0.88408789264120335</v>
      </c>
      <c r="Q199" s="79">
        <f t="shared" si="5"/>
        <v>0.13557661548304542</v>
      </c>
      <c r="R199" s="81">
        <f t="shared" si="6"/>
        <v>0.11986164427383238</v>
      </c>
      <c r="S199" s="92">
        <f t="shared" si="51"/>
        <v>440.21000000000004</v>
      </c>
      <c r="T199" s="83">
        <f t="shared" si="8"/>
        <v>67.81</v>
      </c>
      <c r="U199" s="135"/>
      <c r="V199" s="135"/>
      <c r="W199" s="135"/>
      <c r="X199" s="135"/>
      <c r="Y199" s="136"/>
      <c r="Z199" s="50"/>
      <c r="AA199" s="50"/>
    </row>
    <row r="200" spans="1:27" ht="12.75" hidden="1" outlineLevel="1" x14ac:dyDescent="0.2">
      <c r="A200" s="50"/>
      <c r="B200" s="69" t="s">
        <v>37</v>
      </c>
      <c r="C200" s="70" t="s">
        <v>38</v>
      </c>
      <c r="D200" s="93">
        <v>614.91999999999996</v>
      </c>
      <c r="E200" s="75"/>
      <c r="F200" s="73">
        <v>13</v>
      </c>
      <c r="G200" s="73">
        <v>12</v>
      </c>
      <c r="H200" s="74">
        <f t="shared" si="0"/>
        <v>1.0833333333333333</v>
      </c>
      <c r="I200" s="75">
        <f t="shared" si="1"/>
        <v>47.301538461538456</v>
      </c>
      <c r="J200" s="76">
        <f t="shared" si="2"/>
        <v>43.662958579881654</v>
      </c>
      <c r="K200" s="93">
        <v>123.69</v>
      </c>
      <c r="L200" s="73">
        <v>14424</v>
      </c>
      <c r="M200" s="73">
        <v>5</v>
      </c>
      <c r="N200" s="94">
        <v>107.8</v>
      </c>
      <c r="O200" s="79">
        <f t="shared" si="52"/>
        <v>1.1474025974025974</v>
      </c>
      <c r="P200" s="80">
        <f t="shared" si="4"/>
        <v>0.8715336728919072</v>
      </c>
      <c r="Q200" s="79">
        <f t="shared" si="5"/>
        <v>0.2011481168282053</v>
      </c>
      <c r="R200" s="81">
        <f t="shared" si="6"/>
        <v>0.1753073570545762</v>
      </c>
      <c r="S200" s="95">
        <f t="shared" si="51"/>
        <v>507.11999999999995</v>
      </c>
      <c r="T200" s="83">
        <f t="shared" si="8"/>
        <v>24.738</v>
      </c>
      <c r="U200" s="135"/>
      <c r="V200" s="135"/>
      <c r="W200" s="135"/>
      <c r="X200" s="135"/>
      <c r="Y200" s="136"/>
      <c r="Z200" s="50"/>
      <c r="AA200" s="50"/>
    </row>
    <row r="201" spans="1:27" ht="12.75" hidden="1" outlineLevel="1" x14ac:dyDescent="0.2">
      <c r="A201" s="50"/>
      <c r="B201" s="137"/>
      <c r="C201" s="70" t="s">
        <v>39</v>
      </c>
      <c r="D201" s="96">
        <v>0</v>
      </c>
      <c r="E201" s="75"/>
      <c r="F201" s="73">
        <v>0</v>
      </c>
      <c r="G201" s="73">
        <v>0</v>
      </c>
      <c r="H201" s="74" t="e">
        <f t="shared" si="0"/>
        <v>#DIV/0!</v>
      </c>
      <c r="I201" s="75" t="e">
        <f t="shared" si="1"/>
        <v>#DIV/0!</v>
      </c>
      <c r="J201" s="76" t="e">
        <f t="shared" si="2"/>
        <v>#DIV/0!</v>
      </c>
      <c r="K201" s="96">
        <v>61.54</v>
      </c>
      <c r="L201" s="73">
        <v>58340</v>
      </c>
      <c r="M201" s="73">
        <v>2</v>
      </c>
      <c r="N201" s="97">
        <v>199.9</v>
      </c>
      <c r="O201" s="79">
        <f t="shared" si="52"/>
        <v>0.30785392696348174</v>
      </c>
      <c r="P201" s="80">
        <f t="shared" si="4"/>
        <v>3.2482937926551836</v>
      </c>
      <c r="Q201" s="79" t="e">
        <f t="shared" si="5"/>
        <v>#DIV/0!</v>
      </c>
      <c r="R201" s="81" t="e">
        <f t="shared" si="6"/>
        <v>#DIV/0!</v>
      </c>
      <c r="S201" s="98">
        <f t="shared" si="51"/>
        <v>-199.9</v>
      </c>
      <c r="T201" s="83">
        <f t="shared" si="8"/>
        <v>30.77</v>
      </c>
      <c r="U201" s="135"/>
      <c r="V201" s="135"/>
      <c r="W201" s="135"/>
      <c r="X201" s="135"/>
      <c r="Y201" s="136"/>
      <c r="Z201" s="50"/>
      <c r="AA201" s="50"/>
    </row>
    <row r="202" spans="1:27" ht="12.75" hidden="1" outlineLevel="1" x14ac:dyDescent="0.2">
      <c r="A202" s="50"/>
      <c r="B202" s="137"/>
      <c r="C202" s="70" t="s">
        <v>40</v>
      </c>
      <c r="D202" s="99">
        <v>54.95</v>
      </c>
      <c r="E202" s="75"/>
      <c r="F202" s="73">
        <v>1</v>
      </c>
      <c r="G202" s="73">
        <v>1</v>
      </c>
      <c r="H202" s="74">
        <f t="shared" si="0"/>
        <v>1</v>
      </c>
      <c r="I202" s="75">
        <f t="shared" si="1"/>
        <v>54.95</v>
      </c>
      <c r="J202" s="76">
        <f t="shared" si="2"/>
        <v>54.95</v>
      </c>
      <c r="K202" s="99">
        <v>0</v>
      </c>
      <c r="L202" s="73">
        <v>0</v>
      </c>
      <c r="M202" s="73">
        <v>0</v>
      </c>
      <c r="N202" s="100">
        <v>0</v>
      </c>
      <c r="O202" s="79" t="e">
        <f t="shared" si="52"/>
        <v>#DIV/0!</v>
      </c>
      <c r="P202" s="80" t="e">
        <f t="shared" si="4"/>
        <v>#DIV/0!</v>
      </c>
      <c r="Q202" s="79">
        <f t="shared" si="5"/>
        <v>0</v>
      </c>
      <c r="R202" s="81">
        <f t="shared" si="6"/>
        <v>0</v>
      </c>
      <c r="S202" s="101">
        <f t="shared" si="51"/>
        <v>54.95</v>
      </c>
      <c r="T202" s="83" t="e">
        <f t="shared" si="8"/>
        <v>#DIV/0!</v>
      </c>
      <c r="U202" s="135"/>
      <c r="V202" s="135"/>
      <c r="W202" s="135"/>
      <c r="X202" s="135"/>
      <c r="Y202" s="136"/>
      <c r="Z202" s="50"/>
      <c r="AA202" s="50"/>
    </row>
    <row r="203" spans="1:27" ht="12.75" hidden="1" outlineLevel="1" x14ac:dyDescent="0.2">
      <c r="A203" s="50"/>
      <c r="B203" s="137"/>
      <c r="C203" s="70" t="s">
        <v>41</v>
      </c>
      <c r="D203" s="102">
        <v>201</v>
      </c>
      <c r="E203" s="75"/>
      <c r="F203" s="73">
        <v>3</v>
      </c>
      <c r="G203" s="73">
        <v>3</v>
      </c>
      <c r="H203" s="74">
        <f t="shared" si="0"/>
        <v>1</v>
      </c>
      <c r="I203" s="75">
        <f t="shared" si="1"/>
        <v>67</v>
      </c>
      <c r="J203" s="76">
        <f t="shared" si="2"/>
        <v>67</v>
      </c>
      <c r="K203" s="102">
        <v>52.07</v>
      </c>
      <c r="L203" s="73">
        <v>7101</v>
      </c>
      <c r="M203" s="73">
        <v>1</v>
      </c>
      <c r="N203" s="103">
        <v>67</v>
      </c>
      <c r="O203" s="79">
        <f t="shared" si="52"/>
        <v>0.77716417910447766</v>
      </c>
      <c r="P203" s="80">
        <f t="shared" si="4"/>
        <v>1.2867294027270981</v>
      </c>
      <c r="Q203" s="79">
        <f t="shared" si="5"/>
        <v>0.25905472636815918</v>
      </c>
      <c r="R203" s="81">
        <f t="shared" si="6"/>
        <v>0.33333333333333331</v>
      </c>
      <c r="S203" s="104">
        <f t="shared" si="51"/>
        <v>134</v>
      </c>
      <c r="T203" s="83">
        <f t="shared" si="8"/>
        <v>52.07</v>
      </c>
      <c r="U203" s="135"/>
      <c r="V203" s="135"/>
      <c r="W203" s="135"/>
      <c r="X203" s="135"/>
      <c r="Y203" s="136"/>
      <c r="Z203" s="50"/>
      <c r="AA203" s="50"/>
    </row>
    <row r="204" spans="1:27" ht="12.75" hidden="1" outlineLevel="1" x14ac:dyDescent="0.2">
      <c r="A204" s="50"/>
      <c r="B204" s="137"/>
      <c r="C204" s="70" t="s">
        <v>42</v>
      </c>
      <c r="D204" s="90">
        <v>39.979999999999997</v>
      </c>
      <c r="E204" s="75"/>
      <c r="F204" s="73">
        <v>2</v>
      </c>
      <c r="G204" s="73">
        <v>2</v>
      </c>
      <c r="H204" s="74">
        <f t="shared" si="0"/>
        <v>1</v>
      </c>
      <c r="I204" s="75">
        <f t="shared" si="1"/>
        <v>19.989999999999998</v>
      </c>
      <c r="J204" s="76">
        <f t="shared" si="2"/>
        <v>19.989999999999998</v>
      </c>
      <c r="K204" s="90">
        <v>7.73</v>
      </c>
      <c r="L204" s="73">
        <v>17629</v>
      </c>
      <c r="M204" s="73">
        <v>0</v>
      </c>
      <c r="N204" s="91">
        <v>0</v>
      </c>
      <c r="O204" s="79" t="e">
        <f t="shared" si="52"/>
        <v>#DIV/0!</v>
      </c>
      <c r="P204" s="80">
        <f t="shared" si="4"/>
        <v>0</v>
      </c>
      <c r="Q204" s="79">
        <f t="shared" si="5"/>
        <v>0.19334667333666836</v>
      </c>
      <c r="R204" s="81">
        <f t="shared" si="6"/>
        <v>0</v>
      </c>
      <c r="S204" s="92">
        <f t="shared" si="51"/>
        <v>39.979999999999997</v>
      </c>
      <c r="T204" s="83" t="e">
        <f t="shared" si="8"/>
        <v>#DIV/0!</v>
      </c>
      <c r="U204" s="135"/>
      <c r="V204" s="135"/>
      <c r="W204" s="135"/>
      <c r="X204" s="135"/>
      <c r="Y204" s="136"/>
      <c r="Z204" s="50"/>
      <c r="AA204" s="50"/>
    </row>
    <row r="205" spans="1:27" ht="12.75" hidden="1" outlineLevel="1" x14ac:dyDescent="0.2">
      <c r="A205" s="50"/>
      <c r="B205" s="137"/>
      <c r="C205" s="70" t="s">
        <v>43</v>
      </c>
      <c r="D205" s="105">
        <v>-195</v>
      </c>
      <c r="E205" s="75"/>
      <c r="F205" s="73">
        <v>-1</v>
      </c>
      <c r="G205" s="73">
        <v>0</v>
      </c>
      <c r="H205" s="74" t="e">
        <f t="shared" si="0"/>
        <v>#DIV/0!</v>
      </c>
      <c r="I205" s="75">
        <f t="shared" si="1"/>
        <v>195</v>
      </c>
      <c r="J205" s="76" t="e">
        <f t="shared" si="2"/>
        <v>#DIV/0!</v>
      </c>
      <c r="K205" s="105">
        <v>27.44</v>
      </c>
      <c r="L205" s="73">
        <v>30342</v>
      </c>
      <c r="M205" s="73">
        <v>0</v>
      </c>
      <c r="N205" s="106">
        <v>0</v>
      </c>
      <c r="O205" s="79" t="e">
        <f t="shared" si="52"/>
        <v>#DIV/0!</v>
      </c>
      <c r="P205" s="80">
        <f t="shared" si="4"/>
        <v>0</v>
      </c>
      <c r="Q205" s="79">
        <f t="shared" si="5"/>
        <v>-0.14071794871794874</v>
      </c>
      <c r="R205" s="81">
        <f t="shared" si="6"/>
        <v>0</v>
      </c>
      <c r="S205" s="107">
        <f t="shared" si="51"/>
        <v>-195</v>
      </c>
      <c r="T205" s="83" t="e">
        <f t="shared" si="8"/>
        <v>#DIV/0!</v>
      </c>
      <c r="U205" s="135"/>
      <c r="V205" s="135"/>
      <c r="W205" s="135"/>
      <c r="X205" s="135"/>
      <c r="Y205" s="136"/>
      <c r="Z205" s="50"/>
      <c r="AA205" s="50"/>
    </row>
    <row r="206" spans="1:27" ht="12.75" hidden="1" outlineLevel="1" x14ac:dyDescent="0.2">
      <c r="A206" s="50"/>
      <c r="B206" s="137"/>
      <c r="C206" s="70" t="s">
        <v>44</v>
      </c>
      <c r="D206" s="108">
        <v>119.9</v>
      </c>
      <c r="E206" s="75"/>
      <c r="F206" s="73">
        <v>2</v>
      </c>
      <c r="G206" s="73">
        <v>2</v>
      </c>
      <c r="H206" s="74">
        <f t="shared" si="0"/>
        <v>1</v>
      </c>
      <c r="I206" s="75">
        <f t="shared" si="1"/>
        <v>59.95</v>
      </c>
      <c r="J206" s="76">
        <f t="shared" si="2"/>
        <v>59.95</v>
      </c>
      <c r="K206" s="108">
        <v>46.2</v>
      </c>
      <c r="L206" s="73">
        <v>8233</v>
      </c>
      <c r="M206" s="73">
        <v>0</v>
      </c>
      <c r="N206" s="109">
        <v>0</v>
      </c>
      <c r="O206" s="79" t="e">
        <f t="shared" si="52"/>
        <v>#DIV/0!</v>
      </c>
      <c r="P206" s="80">
        <f t="shared" si="4"/>
        <v>0</v>
      </c>
      <c r="Q206" s="79">
        <f t="shared" si="5"/>
        <v>0.38532110091743121</v>
      </c>
      <c r="R206" s="81">
        <f t="shared" si="6"/>
        <v>0</v>
      </c>
      <c r="S206" s="110">
        <f t="shared" si="51"/>
        <v>119.9</v>
      </c>
      <c r="T206" s="83" t="e">
        <f t="shared" si="8"/>
        <v>#DIV/0!</v>
      </c>
      <c r="U206" s="135"/>
      <c r="V206" s="135"/>
      <c r="W206" s="135"/>
      <c r="X206" s="135"/>
      <c r="Y206" s="136"/>
      <c r="Z206" s="50"/>
      <c r="AA206" s="50"/>
    </row>
    <row r="207" spans="1:27" ht="12.75" hidden="1" outlineLevel="1" x14ac:dyDescent="0.2">
      <c r="A207" s="139"/>
      <c r="B207" s="137"/>
      <c r="C207" s="112" t="s">
        <v>45</v>
      </c>
      <c r="D207" s="71">
        <v>620.91</v>
      </c>
      <c r="E207" s="75"/>
      <c r="F207" s="73">
        <v>11</v>
      </c>
      <c r="G207" s="73">
        <v>10</v>
      </c>
      <c r="H207" s="74">
        <f t="shared" si="0"/>
        <v>1.1000000000000001</v>
      </c>
      <c r="I207" s="75">
        <f t="shared" si="1"/>
        <v>56.446363636363635</v>
      </c>
      <c r="J207" s="76">
        <f t="shared" si="2"/>
        <v>51.31487603305785</v>
      </c>
      <c r="K207" s="71">
        <v>0</v>
      </c>
      <c r="L207" s="73">
        <v>0</v>
      </c>
      <c r="M207" s="73">
        <v>0</v>
      </c>
      <c r="N207" s="78">
        <v>0</v>
      </c>
      <c r="O207" s="79" t="e">
        <f t="shared" si="52"/>
        <v>#DIV/0!</v>
      </c>
      <c r="P207" s="80" t="e">
        <f t="shared" si="4"/>
        <v>#DIV/0!</v>
      </c>
      <c r="Q207" s="79">
        <f t="shared" si="5"/>
        <v>0</v>
      </c>
      <c r="R207" s="81">
        <f t="shared" si="6"/>
        <v>0</v>
      </c>
      <c r="S207" s="82">
        <f t="shared" si="51"/>
        <v>620.91</v>
      </c>
      <c r="T207" s="83" t="e">
        <f t="shared" si="8"/>
        <v>#DIV/0!</v>
      </c>
      <c r="U207" s="140"/>
      <c r="V207" s="140"/>
      <c r="W207" s="140"/>
      <c r="X207" s="141"/>
      <c r="Y207" s="142"/>
      <c r="Z207" s="50"/>
      <c r="AA207" s="50"/>
    </row>
    <row r="208" spans="1:27" ht="12.75" hidden="1" outlineLevel="1" x14ac:dyDescent="0.2">
      <c r="A208" s="50"/>
      <c r="B208" s="137"/>
      <c r="C208" s="70" t="s">
        <v>46</v>
      </c>
      <c r="D208" s="116">
        <v>834.27</v>
      </c>
      <c r="E208" s="75"/>
      <c r="F208" s="73">
        <v>23</v>
      </c>
      <c r="G208" s="73">
        <v>23</v>
      </c>
      <c r="H208" s="74">
        <f t="shared" si="0"/>
        <v>1</v>
      </c>
      <c r="I208" s="75">
        <f t="shared" si="1"/>
        <v>36.272608695652174</v>
      </c>
      <c r="J208" s="76">
        <f t="shared" si="2"/>
        <v>36.272608695652174</v>
      </c>
      <c r="K208" s="116">
        <v>88.12</v>
      </c>
      <c r="L208" s="73">
        <v>33459</v>
      </c>
      <c r="M208" s="73">
        <v>11</v>
      </c>
      <c r="N208" s="117">
        <v>395.56</v>
      </c>
      <c r="O208" s="79">
        <f t="shared" si="52"/>
        <v>0.22277277783395694</v>
      </c>
      <c r="P208" s="80">
        <f t="shared" si="4"/>
        <v>4.4888788016341348</v>
      </c>
      <c r="Q208" s="79">
        <f t="shared" si="5"/>
        <v>0.1056252771884402</v>
      </c>
      <c r="R208" s="81">
        <f t="shared" si="6"/>
        <v>0.4741390676879188</v>
      </c>
      <c r="S208" s="82">
        <f t="shared" si="51"/>
        <v>438.71</v>
      </c>
      <c r="T208" s="83">
        <f t="shared" si="8"/>
        <v>8.0109090909090916</v>
      </c>
      <c r="U208" s="135"/>
      <c r="V208" s="135"/>
      <c r="W208" s="135"/>
      <c r="X208" s="135"/>
      <c r="Y208" s="136"/>
      <c r="Z208" s="50"/>
      <c r="AA208" s="50"/>
    </row>
    <row r="209" spans="1:27" ht="12.75" hidden="1" outlineLevel="1" x14ac:dyDescent="0.2">
      <c r="A209" s="118" t="str">
        <f t="shared" ref="A209:A210" si="53">IFERROR(IF(B209&gt;0,MONTH(B209)&amp;"-"&amp;YEAR(B209),B209),)</f>
        <v>3-2025</v>
      </c>
      <c r="B209" s="69">
        <v>45717</v>
      </c>
      <c r="C209" s="70" t="s">
        <v>49</v>
      </c>
      <c r="D209" s="116">
        <v>0</v>
      </c>
      <c r="E209" s="75"/>
      <c r="F209" s="73">
        <v>0</v>
      </c>
      <c r="G209" s="73">
        <v>0</v>
      </c>
      <c r="H209" s="74" t="e">
        <f t="shared" si="0"/>
        <v>#DIV/0!</v>
      </c>
      <c r="I209" s="75" t="e">
        <f t="shared" si="1"/>
        <v>#DIV/0!</v>
      </c>
      <c r="J209" s="76" t="e">
        <f t="shared" si="2"/>
        <v>#DIV/0!</v>
      </c>
      <c r="K209" s="116">
        <v>3.31</v>
      </c>
      <c r="L209" s="73">
        <v>10850</v>
      </c>
      <c r="M209" s="73">
        <v>0</v>
      </c>
      <c r="N209" s="117">
        <v>0</v>
      </c>
      <c r="O209" s="79" t="e">
        <f t="shared" si="52"/>
        <v>#DIV/0!</v>
      </c>
      <c r="P209" s="80">
        <f t="shared" si="4"/>
        <v>0</v>
      </c>
      <c r="Q209" s="79" t="e">
        <f t="shared" si="5"/>
        <v>#DIV/0!</v>
      </c>
      <c r="R209" s="81" t="e">
        <f t="shared" si="6"/>
        <v>#DIV/0!</v>
      </c>
      <c r="S209" s="82">
        <f t="shared" si="51"/>
        <v>0</v>
      </c>
      <c r="T209" s="83" t="e">
        <f t="shared" si="8"/>
        <v>#DIV/0!</v>
      </c>
      <c r="U209" s="135"/>
      <c r="V209" s="135"/>
      <c r="W209" s="135"/>
      <c r="X209" s="135"/>
      <c r="Y209" s="136"/>
      <c r="Z209" s="50"/>
      <c r="AA209" s="50"/>
    </row>
    <row r="210" spans="1:27" ht="12.75" collapsed="1" x14ac:dyDescent="0.2">
      <c r="A210" s="139">
        <f t="shared" si="53"/>
        <v>0</v>
      </c>
      <c r="B210" s="206" t="s">
        <v>67</v>
      </c>
      <c r="C210" s="207"/>
      <c r="D210" s="208">
        <f>SUM(D193:D209)</f>
        <v>11906.369999999999</v>
      </c>
      <c r="E210" s="211"/>
      <c r="F210" s="209">
        <f t="shared" ref="F210:G210" si="54">SUM(F193:F209)</f>
        <v>128</v>
      </c>
      <c r="G210" s="209">
        <f t="shared" si="54"/>
        <v>127</v>
      </c>
      <c r="H210" s="210">
        <f t="shared" si="0"/>
        <v>1.0078740157480315</v>
      </c>
      <c r="I210" s="211">
        <f t="shared" si="1"/>
        <v>93.018515624999992</v>
      </c>
      <c r="J210" s="212">
        <f t="shared" si="2"/>
        <v>92.291808471679687</v>
      </c>
      <c r="K210" s="213">
        <f t="shared" ref="K210:N210" si="55">SUM(K193:K209)</f>
        <v>1686.8400000000001</v>
      </c>
      <c r="L210" s="209">
        <f t="shared" si="55"/>
        <v>403148</v>
      </c>
      <c r="M210" s="209">
        <f t="shared" si="55"/>
        <v>37</v>
      </c>
      <c r="N210" s="208">
        <f t="shared" si="55"/>
        <v>2521.7999999999997</v>
      </c>
      <c r="O210" s="214">
        <f t="shared" si="52"/>
        <v>0.66890316440637654</v>
      </c>
      <c r="P210" s="215">
        <f t="shared" si="4"/>
        <v>1.494984705129117</v>
      </c>
      <c r="Q210" s="214">
        <f t="shared" si="5"/>
        <v>0.14167542248393089</v>
      </c>
      <c r="R210" s="216">
        <f t="shared" si="6"/>
        <v>0.21180258970618249</v>
      </c>
      <c r="S210" s="217">
        <f>SUM(S193:S209)</f>
        <v>9384.57</v>
      </c>
      <c r="T210" s="218">
        <f t="shared" si="8"/>
        <v>45.590270270270274</v>
      </c>
      <c r="U210" s="219">
        <f>IFERROR((D210-#REF!)/D210,)</f>
        <v>0</v>
      </c>
      <c r="V210" s="219">
        <f>IFERROR((F210-#REF!)/F210,)</f>
        <v>0</v>
      </c>
      <c r="W210" s="220">
        <f>IFERROR((D210-[1]monthly_reporting_2021!E49)/D210, )</f>
        <v>0</v>
      </c>
      <c r="X210" s="221">
        <f>IFERROR((F210-[1]monthly_reporting_2021!F49)/F210, )</f>
        <v>0</v>
      </c>
      <c r="Y210" s="50"/>
      <c r="Z210" s="50"/>
      <c r="AA210" s="50"/>
    </row>
    <row r="211" spans="1:27" ht="12.75" hidden="1" outlineLevel="1" x14ac:dyDescent="0.2">
      <c r="A211" s="34"/>
      <c r="B211" s="147">
        <v>45718</v>
      </c>
      <c r="C211" s="148" t="s">
        <v>32</v>
      </c>
      <c r="D211" s="149">
        <v>2124.65</v>
      </c>
      <c r="E211" s="150"/>
      <c r="F211" s="151">
        <v>10</v>
      </c>
      <c r="G211" s="151">
        <v>12</v>
      </c>
      <c r="H211" s="152">
        <f t="shared" si="0"/>
        <v>0.83333333333333337</v>
      </c>
      <c r="I211" s="150">
        <f t="shared" si="1"/>
        <v>212.465</v>
      </c>
      <c r="J211" s="222">
        <f t="shared" si="2"/>
        <v>254.958</v>
      </c>
      <c r="K211" s="223">
        <v>305.72000000000003</v>
      </c>
      <c r="L211" s="151">
        <v>56518</v>
      </c>
      <c r="M211" s="151">
        <v>0</v>
      </c>
      <c r="N211" s="224">
        <v>0</v>
      </c>
      <c r="O211" s="155" t="e">
        <f t="shared" si="52"/>
        <v>#DIV/0!</v>
      </c>
      <c r="P211" s="156">
        <f t="shared" si="4"/>
        <v>0</v>
      </c>
      <c r="Q211" s="155">
        <f t="shared" si="5"/>
        <v>0.14389193514225873</v>
      </c>
      <c r="R211" s="225">
        <f t="shared" si="6"/>
        <v>0</v>
      </c>
      <c r="S211" s="226">
        <f t="shared" ref="S211:S227" si="56">D211-N211</f>
        <v>2124.65</v>
      </c>
      <c r="T211" s="227" t="e">
        <f t="shared" si="8"/>
        <v>#DIV/0!</v>
      </c>
      <c r="U211" s="160"/>
      <c r="V211" s="160"/>
      <c r="W211" s="160"/>
      <c r="X211" s="160"/>
      <c r="Y211" s="1"/>
      <c r="Z211" s="50"/>
      <c r="AA211" s="50"/>
    </row>
    <row r="212" spans="1:27" ht="12.75" hidden="1" outlineLevel="1" x14ac:dyDescent="0.2">
      <c r="A212" s="34"/>
      <c r="B212" s="147"/>
      <c r="C212" s="148" t="s">
        <v>33</v>
      </c>
      <c r="D212" s="162">
        <v>1062.04</v>
      </c>
      <c r="E212" s="150"/>
      <c r="F212" s="151">
        <v>26</v>
      </c>
      <c r="G212" s="151">
        <v>31</v>
      </c>
      <c r="H212" s="152">
        <f t="shared" si="0"/>
        <v>0.83870967741935487</v>
      </c>
      <c r="I212" s="150">
        <f t="shared" si="1"/>
        <v>40.847692307692306</v>
      </c>
      <c r="J212" s="222">
        <f t="shared" si="2"/>
        <v>48.703017751479287</v>
      </c>
      <c r="K212" s="162">
        <v>321.68</v>
      </c>
      <c r="L212" s="151">
        <v>121286</v>
      </c>
      <c r="M212" s="151">
        <v>8</v>
      </c>
      <c r="N212" s="154">
        <v>313.64999999999998</v>
      </c>
      <c r="O212" s="155">
        <f t="shared" si="52"/>
        <v>1.0256017854296191</v>
      </c>
      <c r="P212" s="156">
        <f t="shared" si="4"/>
        <v>0.97503730415319567</v>
      </c>
      <c r="Q212" s="155">
        <f t="shared" si="5"/>
        <v>0.3028887800836127</v>
      </c>
      <c r="R212" s="225">
        <f t="shared" si="6"/>
        <v>0.29532785959097585</v>
      </c>
      <c r="S212" s="228">
        <f t="shared" si="56"/>
        <v>748.39</v>
      </c>
      <c r="T212" s="227">
        <f t="shared" si="8"/>
        <v>40.21</v>
      </c>
      <c r="U212" s="160"/>
      <c r="V212" s="160"/>
      <c r="W212" s="160"/>
      <c r="X212" s="160"/>
      <c r="Y212" s="1"/>
      <c r="Z212" s="50"/>
      <c r="AA212" s="50"/>
    </row>
    <row r="213" spans="1:27" ht="12.75" hidden="1" outlineLevel="1" x14ac:dyDescent="0.2">
      <c r="A213" s="34"/>
      <c r="B213" s="147"/>
      <c r="C213" s="148" t="s">
        <v>34</v>
      </c>
      <c r="D213" s="229">
        <v>0</v>
      </c>
      <c r="E213" s="150"/>
      <c r="F213" s="151">
        <v>0</v>
      </c>
      <c r="G213" s="151">
        <v>0</v>
      </c>
      <c r="H213" s="152" t="e">
        <f t="shared" si="0"/>
        <v>#DIV/0!</v>
      </c>
      <c r="I213" s="150" t="e">
        <f t="shared" si="1"/>
        <v>#DIV/0!</v>
      </c>
      <c r="J213" s="222" t="e">
        <f t="shared" si="2"/>
        <v>#DIV/0!</v>
      </c>
      <c r="K213" s="229">
        <v>12.86</v>
      </c>
      <c r="L213" s="151">
        <v>129</v>
      </c>
      <c r="M213" s="151">
        <v>0</v>
      </c>
      <c r="N213" s="230">
        <v>0</v>
      </c>
      <c r="O213" s="155" t="e">
        <f>(K213/N213)</f>
        <v>#DIV/0!</v>
      </c>
      <c r="P213" s="156">
        <f t="shared" si="4"/>
        <v>0</v>
      </c>
      <c r="Q213" s="155" t="e">
        <f t="shared" si="5"/>
        <v>#DIV/0!</v>
      </c>
      <c r="R213" s="225" t="e">
        <f t="shared" si="6"/>
        <v>#DIV/0!</v>
      </c>
      <c r="S213" s="231">
        <f t="shared" si="56"/>
        <v>0</v>
      </c>
      <c r="T213" s="227" t="e">
        <f t="shared" si="8"/>
        <v>#DIV/0!</v>
      </c>
      <c r="U213" s="160"/>
      <c r="V213" s="160"/>
      <c r="W213" s="160"/>
      <c r="X213" s="160"/>
      <c r="Y213" s="1"/>
      <c r="Z213" s="50"/>
      <c r="AA213" s="50"/>
    </row>
    <row r="214" spans="1:27" ht="12.75" hidden="1" outlineLevel="1" x14ac:dyDescent="0.2">
      <c r="A214" s="34"/>
      <c r="B214" s="147"/>
      <c r="C214" s="148" t="s">
        <v>35</v>
      </c>
      <c r="D214" s="229">
        <v>485.55</v>
      </c>
      <c r="E214" s="150"/>
      <c r="F214" s="151">
        <v>9</v>
      </c>
      <c r="G214" s="151">
        <v>10</v>
      </c>
      <c r="H214" s="152">
        <f t="shared" si="0"/>
        <v>0.9</v>
      </c>
      <c r="I214" s="150">
        <f t="shared" si="1"/>
        <v>53.95</v>
      </c>
      <c r="J214" s="222">
        <f t="shared" si="2"/>
        <v>59.944444444444443</v>
      </c>
      <c r="K214" s="229">
        <v>97.44</v>
      </c>
      <c r="L214" s="151">
        <v>10370</v>
      </c>
      <c r="M214" s="151">
        <v>8</v>
      </c>
      <c r="N214" s="230">
        <v>431.6</v>
      </c>
      <c r="O214" s="155">
        <f t="shared" ref="O214:O230" si="57">K214/N214</f>
        <v>0.22576459684893418</v>
      </c>
      <c r="P214" s="156">
        <f t="shared" si="4"/>
        <v>4.4293924466338259</v>
      </c>
      <c r="Q214" s="155">
        <f t="shared" si="5"/>
        <v>0.20067964164349705</v>
      </c>
      <c r="R214" s="225">
        <f t="shared" si="6"/>
        <v>0.88888888888888895</v>
      </c>
      <c r="S214" s="231">
        <f t="shared" si="56"/>
        <v>53.949999999999989</v>
      </c>
      <c r="T214" s="227">
        <f t="shared" si="8"/>
        <v>12.18</v>
      </c>
      <c r="U214" s="160"/>
      <c r="V214" s="160"/>
      <c r="W214" s="160"/>
      <c r="X214" s="160"/>
      <c r="Y214" s="1"/>
      <c r="Z214" s="50"/>
      <c r="AA214" s="50"/>
    </row>
    <row r="215" spans="1:27" ht="12.75" hidden="1" outlineLevel="1" x14ac:dyDescent="0.2">
      <c r="A215" s="34"/>
      <c r="B215" s="147"/>
      <c r="C215" s="148" t="s">
        <v>62</v>
      </c>
      <c r="D215" s="200">
        <v>312</v>
      </c>
      <c r="E215" s="150"/>
      <c r="F215" s="151">
        <v>8</v>
      </c>
      <c r="G215" s="151">
        <v>4</v>
      </c>
      <c r="H215" s="152">
        <f t="shared" si="0"/>
        <v>2</v>
      </c>
      <c r="I215" s="150">
        <f t="shared" si="1"/>
        <v>39</v>
      </c>
      <c r="J215" s="222">
        <f t="shared" si="2"/>
        <v>19.5</v>
      </c>
      <c r="K215" s="200">
        <v>0</v>
      </c>
      <c r="L215" s="151">
        <v>0</v>
      </c>
      <c r="M215" s="151">
        <v>0</v>
      </c>
      <c r="N215" s="200">
        <v>0</v>
      </c>
      <c r="O215" s="155" t="e">
        <f t="shared" si="57"/>
        <v>#DIV/0!</v>
      </c>
      <c r="P215" s="156" t="e">
        <f t="shared" si="4"/>
        <v>#DIV/0!</v>
      </c>
      <c r="Q215" s="155">
        <f t="shared" si="5"/>
        <v>0</v>
      </c>
      <c r="R215" s="225">
        <f t="shared" si="6"/>
        <v>0</v>
      </c>
      <c r="S215" s="231">
        <f t="shared" si="56"/>
        <v>312</v>
      </c>
      <c r="T215" s="227" t="e">
        <f t="shared" si="8"/>
        <v>#DIV/0!</v>
      </c>
      <c r="U215" s="160"/>
      <c r="V215" s="160"/>
      <c r="W215" s="160"/>
      <c r="X215" s="160"/>
      <c r="Y215" s="1"/>
      <c r="Z215" s="50"/>
      <c r="AA215" s="50"/>
    </row>
    <row r="216" spans="1:27" ht="12.75" hidden="1" outlineLevel="1" x14ac:dyDescent="0.2">
      <c r="A216" s="34"/>
      <c r="B216" s="147"/>
      <c r="C216" s="148" t="s">
        <v>66</v>
      </c>
      <c r="D216" s="232">
        <v>844.35</v>
      </c>
      <c r="E216" s="150"/>
      <c r="F216" s="151">
        <v>13</v>
      </c>
      <c r="G216" s="151">
        <v>8</v>
      </c>
      <c r="H216" s="152">
        <f t="shared" si="0"/>
        <v>1.625</v>
      </c>
      <c r="I216" s="150">
        <f t="shared" si="1"/>
        <v>64.95</v>
      </c>
      <c r="J216" s="222">
        <f t="shared" si="2"/>
        <v>39.969230769230769</v>
      </c>
      <c r="K216" s="232">
        <v>20.46</v>
      </c>
      <c r="L216" s="151">
        <v>1753</v>
      </c>
      <c r="M216" s="151">
        <v>8</v>
      </c>
      <c r="N216" s="233">
        <v>519.6</v>
      </c>
      <c r="O216" s="155">
        <f t="shared" si="57"/>
        <v>3.9376443418013857E-2</v>
      </c>
      <c r="P216" s="156">
        <f t="shared" si="4"/>
        <v>25.395894428152491</v>
      </c>
      <c r="Q216" s="155">
        <f t="shared" si="5"/>
        <v>2.4231657488008526E-2</v>
      </c>
      <c r="R216" s="225">
        <f t="shared" si="6"/>
        <v>0.61538461538461542</v>
      </c>
      <c r="S216" s="234">
        <f t="shared" si="56"/>
        <v>324.75</v>
      </c>
      <c r="T216" s="227">
        <f t="shared" si="8"/>
        <v>2.5575000000000001</v>
      </c>
      <c r="U216" s="160"/>
      <c r="V216" s="160"/>
      <c r="W216" s="160"/>
      <c r="X216" s="160"/>
      <c r="Y216" s="1"/>
      <c r="Z216" s="50"/>
      <c r="AA216" s="50"/>
    </row>
    <row r="217" spans="1:27" ht="12.75" hidden="1" outlineLevel="1" x14ac:dyDescent="0.2">
      <c r="A217" s="34"/>
      <c r="B217" s="147"/>
      <c r="C217" s="148" t="s">
        <v>36</v>
      </c>
      <c r="D217" s="229">
        <v>479.65</v>
      </c>
      <c r="E217" s="150"/>
      <c r="F217" s="151">
        <v>7</v>
      </c>
      <c r="G217" s="151">
        <v>7</v>
      </c>
      <c r="H217" s="152">
        <f t="shared" si="0"/>
        <v>1</v>
      </c>
      <c r="I217" s="150">
        <f t="shared" si="1"/>
        <v>68.521428571428572</v>
      </c>
      <c r="J217" s="222">
        <f t="shared" si="2"/>
        <v>68.521428571428572</v>
      </c>
      <c r="K217" s="229">
        <v>74.83</v>
      </c>
      <c r="L217" s="151">
        <v>7026</v>
      </c>
      <c r="M217" s="151">
        <v>5</v>
      </c>
      <c r="N217" s="230">
        <v>349.75</v>
      </c>
      <c r="O217" s="155">
        <f t="shared" si="57"/>
        <v>0.21395282344531807</v>
      </c>
      <c r="P217" s="156">
        <f t="shared" si="4"/>
        <v>4.6739275691567554</v>
      </c>
      <c r="Q217" s="155">
        <f t="shared" si="5"/>
        <v>0.15600959032627959</v>
      </c>
      <c r="R217" s="225">
        <f t="shared" si="6"/>
        <v>0.72917752527884916</v>
      </c>
      <c r="S217" s="231">
        <f t="shared" si="56"/>
        <v>129.89999999999998</v>
      </c>
      <c r="T217" s="227">
        <f t="shared" si="8"/>
        <v>14.965999999999999</v>
      </c>
      <c r="U217" s="160"/>
      <c r="V217" s="160"/>
      <c r="W217" s="160"/>
      <c r="X217" s="160"/>
      <c r="Y217" s="1"/>
      <c r="Z217" s="50"/>
      <c r="AA217" s="50"/>
    </row>
    <row r="218" spans="1:27" ht="12.75" hidden="1" outlineLevel="1" x14ac:dyDescent="0.2">
      <c r="A218" s="34"/>
      <c r="B218" s="235" t="s">
        <v>37</v>
      </c>
      <c r="C218" s="148" t="s">
        <v>38</v>
      </c>
      <c r="D218" s="236">
        <v>729.76</v>
      </c>
      <c r="E218" s="150"/>
      <c r="F218" s="151">
        <v>14</v>
      </c>
      <c r="G218" s="151">
        <v>14</v>
      </c>
      <c r="H218" s="152">
        <f t="shared" si="0"/>
        <v>1</v>
      </c>
      <c r="I218" s="150">
        <f t="shared" si="1"/>
        <v>52.125714285714288</v>
      </c>
      <c r="J218" s="222">
        <f t="shared" si="2"/>
        <v>52.125714285714288</v>
      </c>
      <c r="K218" s="236">
        <v>180.09</v>
      </c>
      <c r="L218" s="151">
        <v>16568</v>
      </c>
      <c r="M218" s="151">
        <v>6</v>
      </c>
      <c r="N218" s="237">
        <v>194.01</v>
      </c>
      <c r="O218" s="155">
        <f t="shared" si="57"/>
        <v>0.9282511210762332</v>
      </c>
      <c r="P218" s="156">
        <f t="shared" si="4"/>
        <v>1.0772946859903381</v>
      </c>
      <c r="Q218" s="155">
        <f t="shared" si="5"/>
        <v>0.24677976320982242</v>
      </c>
      <c r="R218" s="225">
        <f t="shared" si="6"/>
        <v>0.26585452751589561</v>
      </c>
      <c r="S218" s="238">
        <f t="shared" si="56"/>
        <v>535.75</v>
      </c>
      <c r="T218" s="227">
        <f t="shared" si="8"/>
        <v>30.015000000000001</v>
      </c>
      <c r="U218" s="160"/>
      <c r="V218" s="160"/>
      <c r="W218" s="160"/>
      <c r="X218" s="160"/>
      <c r="Y218" s="1"/>
      <c r="Z218" s="50"/>
      <c r="AA218" s="50"/>
    </row>
    <row r="219" spans="1:27" ht="12.75" hidden="1" outlineLevel="1" x14ac:dyDescent="0.2">
      <c r="A219" s="34"/>
      <c r="B219" s="147"/>
      <c r="C219" s="148" t="s">
        <v>39</v>
      </c>
      <c r="D219" s="239">
        <v>399.8</v>
      </c>
      <c r="E219" s="150"/>
      <c r="F219" s="151">
        <v>4</v>
      </c>
      <c r="G219" s="151">
        <v>4</v>
      </c>
      <c r="H219" s="152">
        <f t="shared" si="0"/>
        <v>1</v>
      </c>
      <c r="I219" s="150">
        <f t="shared" si="1"/>
        <v>99.95</v>
      </c>
      <c r="J219" s="222">
        <f t="shared" si="2"/>
        <v>99.95</v>
      </c>
      <c r="K219" s="239">
        <v>109.23</v>
      </c>
      <c r="L219" s="151">
        <v>38575</v>
      </c>
      <c r="M219" s="151">
        <v>0</v>
      </c>
      <c r="N219" s="240">
        <v>0</v>
      </c>
      <c r="O219" s="155" t="e">
        <f t="shared" si="57"/>
        <v>#DIV/0!</v>
      </c>
      <c r="P219" s="156">
        <f t="shared" si="4"/>
        <v>0</v>
      </c>
      <c r="Q219" s="155">
        <f t="shared" si="5"/>
        <v>0.27321160580290144</v>
      </c>
      <c r="R219" s="225">
        <f t="shared" si="6"/>
        <v>0</v>
      </c>
      <c r="S219" s="241">
        <f t="shared" si="56"/>
        <v>399.8</v>
      </c>
      <c r="T219" s="227" t="e">
        <f t="shared" si="8"/>
        <v>#DIV/0!</v>
      </c>
      <c r="U219" s="160"/>
      <c r="V219" s="160"/>
      <c r="W219" s="160"/>
      <c r="X219" s="160"/>
      <c r="Y219" s="1"/>
      <c r="Z219" s="50"/>
      <c r="AA219" s="50"/>
    </row>
    <row r="220" spans="1:27" ht="12.75" hidden="1" outlineLevel="1" x14ac:dyDescent="0.2">
      <c r="A220" s="34"/>
      <c r="B220" s="147"/>
      <c r="C220" s="148" t="s">
        <v>40</v>
      </c>
      <c r="D220" s="242">
        <v>54.95</v>
      </c>
      <c r="E220" s="150"/>
      <c r="F220" s="151">
        <v>1</v>
      </c>
      <c r="G220" s="151">
        <v>1</v>
      </c>
      <c r="H220" s="152">
        <f t="shared" si="0"/>
        <v>1</v>
      </c>
      <c r="I220" s="150">
        <f t="shared" si="1"/>
        <v>54.95</v>
      </c>
      <c r="J220" s="222">
        <f t="shared" si="2"/>
        <v>54.95</v>
      </c>
      <c r="K220" s="242">
        <v>0</v>
      </c>
      <c r="L220" s="151">
        <v>0</v>
      </c>
      <c r="M220" s="151">
        <v>0</v>
      </c>
      <c r="N220" s="243">
        <v>0</v>
      </c>
      <c r="O220" s="155" t="e">
        <f t="shared" si="57"/>
        <v>#DIV/0!</v>
      </c>
      <c r="P220" s="156" t="e">
        <f t="shared" si="4"/>
        <v>#DIV/0!</v>
      </c>
      <c r="Q220" s="155">
        <f t="shared" si="5"/>
        <v>0</v>
      </c>
      <c r="R220" s="225">
        <f t="shared" si="6"/>
        <v>0</v>
      </c>
      <c r="S220" s="244">
        <f t="shared" si="56"/>
        <v>54.95</v>
      </c>
      <c r="T220" s="227" t="e">
        <f t="shared" si="8"/>
        <v>#DIV/0!</v>
      </c>
      <c r="U220" s="160"/>
      <c r="V220" s="160"/>
      <c r="W220" s="160"/>
      <c r="X220" s="160"/>
      <c r="Y220" s="1"/>
      <c r="Z220" s="50"/>
      <c r="AA220" s="50"/>
    </row>
    <row r="221" spans="1:27" ht="12.75" hidden="1" outlineLevel="1" x14ac:dyDescent="0.2">
      <c r="A221" s="34"/>
      <c r="B221" s="147"/>
      <c r="C221" s="148" t="s">
        <v>41</v>
      </c>
      <c r="D221" s="163">
        <v>122</v>
      </c>
      <c r="E221" s="150"/>
      <c r="F221" s="151">
        <v>2</v>
      </c>
      <c r="G221" s="151">
        <v>1</v>
      </c>
      <c r="H221" s="152">
        <f t="shared" si="0"/>
        <v>2</v>
      </c>
      <c r="I221" s="150">
        <f t="shared" si="1"/>
        <v>61</v>
      </c>
      <c r="J221" s="222">
        <f t="shared" si="2"/>
        <v>30.5</v>
      </c>
      <c r="K221" s="163">
        <v>8.81</v>
      </c>
      <c r="L221" s="151">
        <v>1185</v>
      </c>
      <c r="M221" s="151">
        <v>1</v>
      </c>
      <c r="N221" s="164">
        <v>67</v>
      </c>
      <c r="O221" s="155">
        <f t="shared" si="57"/>
        <v>0.13149253731343286</v>
      </c>
      <c r="P221" s="156">
        <f t="shared" si="4"/>
        <v>7.6049943246311003</v>
      </c>
      <c r="Q221" s="155">
        <f t="shared" si="5"/>
        <v>7.2213114754098362E-2</v>
      </c>
      <c r="R221" s="225">
        <f t="shared" si="6"/>
        <v>0.54918032786885251</v>
      </c>
      <c r="S221" s="245">
        <f t="shared" si="56"/>
        <v>55</v>
      </c>
      <c r="T221" s="227">
        <f t="shared" si="8"/>
        <v>8.81</v>
      </c>
      <c r="U221" s="160"/>
      <c r="V221" s="160"/>
      <c r="W221" s="160"/>
      <c r="X221" s="160"/>
      <c r="Y221" s="1"/>
      <c r="Z221" s="50"/>
      <c r="AA221" s="50"/>
    </row>
    <row r="222" spans="1:27" ht="12.75" hidden="1" outlineLevel="1" x14ac:dyDescent="0.2">
      <c r="A222" s="34"/>
      <c r="B222" s="147"/>
      <c r="C222" s="148" t="s">
        <v>42</v>
      </c>
      <c r="D222" s="229">
        <v>19.989999999999998</v>
      </c>
      <c r="E222" s="150"/>
      <c r="F222" s="151">
        <v>1</v>
      </c>
      <c r="G222" s="151">
        <v>1</v>
      </c>
      <c r="H222" s="152">
        <f t="shared" si="0"/>
        <v>1</v>
      </c>
      <c r="I222" s="150">
        <f t="shared" si="1"/>
        <v>19.989999999999998</v>
      </c>
      <c r="J222" s="222">
        <f t="shared" si="2"/>
        <v>19.989999999999998</v>
      </c>
      <c r="K222" s="229">
        <v>9.5</v>
      </c>
      <c r="L222" s="151">
        <v>18007</v>
      </c>
      <c r="M222" s="151">
        <v>2</v>
      </c>
      <c r="N222" s="230">
        <v>39.979999999999997</v>
      </c>
      <c r="O222" s="155">
        <f t="shared" si="57"/>
        <v>0.23761880940470237</v>
      </c>
      <c r="P222" s="156">
        <f t="shared" si="4"/>
        <v>4.2084210526315786</v>
      </c>
      <c r="Q222" s="155">
        <f t="shared" si="5"/>
        <v>0.47523761880940474</v>
      </c>
      <c r="R222" s="225">
        <f t="shared" si="6"/>
        <v>2</v>
      </c>
      <c r="S222" s="231">
        <f t="shared" si="56"/>
        <v>-19.989999999999998</v>
      </c>
      <c r="T222" s="227">
        <f t="shared" si="8"/>
        <v>4.75</v>
      </c>
      <c r="U222" s="160"/>
      <c r="V222" s="160"/>
      <c r="W222" s="160"/>
      <c r="X222" s="160"/>
      <c r="Y222" s="1"/>
      <c r="Z222" s="50"/>
      <c r="AA222" s="50"/>
    </row>
    <row r="223" spans="1:27" ht="12.75" hidden="1" outlineLevel="1" x14ac:dyDescent="0.2">
      <c r="A223" s="34"/>
      <c r="B223" s="147"/>
      <c r="C223" s="148" t="s">
        <v>43</v>
      </c>
      <c r="D223" s="165">
        <v>0</v>
      </c>
      <c r="E223" s="150"/>
      <c r="F223" s="151">
        <v>0</v>
      </c>
      <c r="G223" s="151">
        <v>0</v>
      </c>
      <c r="H223" s="152" t="e">
        <f t="shared" si="0"/>
        <v>#DIV/0!</v>
      </c>
      <c r="I223" s="150" t="e">
        <f t="shared" si="1"/>
        <v>#DIV/0!</v>
      </c>
      <c r="J223" s="222" t="e">
        <f t="shared" si="2"/>
        <v>#DIV/0!</v>
      </c>
      <c r="K223" s="165">
        <v>22.1</v>
      </c>
      <c r="L223" s="151">
        <v>25445</v>
      </c>
      <c r="M223" s="151">
        <v>0</v>
      </c>
      <c r="N223" s="166">
        <v>0</v>
      </c>
      <c r="O223" s="155" t="e">
        <f t="shared" si="57"/>
        <v>#DIV/0!</v>
      </c>
      <c r="P223" s="156">
        <f t="shared" si="4"/>
        <v>0</v>
      </c>
      <c r="Q223" s="155" t="e">
        <f t="shared" si="5"/>
        <v>#DIV/0!</v>
      </c>
      <c r="R223" s="225" t="e">
        <f t="shared" si="6"/>
        <v>#DIV/0!</v>
      </c>
      <c r="S223" s="246">
        <f t="shared" si="56"/>
        <v>0</v>
      </c>
      <c r="T223" s="227" t="e">
        <f t="shared" si="8"/>
        <v>#DIV/0!</v>
      </c>
      <c r="U223" s="160"/>
      <c r="V223" s="160"/>
      <c r="W223" s="160"/>
      <c r="X223" s="160"/>
      <c r="Y223" s="1"/>
      <c r="Z223" s="50"/>
      <c r="AA223" s="50"/>
    </row>
    <row r="224" spans="1:27" ht="12.75" hidden="1" outlineLevel="1" x14ac:dyDescent="0.2">
      <c r="A224" s="34"/>
      <c r="B224" s="147"/>
      <c r="C224" s="148" t="s">
        <v>44</v>
      </c>
      <c r="D224" s="247">
        <v>59.95</v>
      </c>
      <c r="E224" s="150"/>
      <c r="F224" s="151">
        <v>1</v>
      </c>
      <c r="G224" s="151">
        <v>1</v>
      </c>
      <c r="H224" s="152">
        <f t="shared" si="0"/>
        <v>1</v>
      </c>
      <c r="I224" s="150">
        <f t="shared" si="1"/>
        <v>59.95</v>
      </c>
      <c r="J224" s="222">
        <f t="shared" si="2"/>
        <v>59.95</v>
      </c>
      <c r="K224" s="247">
        <v>21.31</v>
      </c>
      <c r="L224" s="151">
        <v>8535</v>
      </c>
      <c r="M224" s="151">
        <v>0</v>
      </c>
      <c r="N224" s="248">
        <v>0</v>
      </c>
      <c r="O224" s="155" t="e">
        <f t="shared" si="57"/>
        <v>#DIV/0!</v>
      </c>
      <c r="P224" s="156">
        <f t="shared" si="4"/>
        <v>0</v>
      </c>
      <c r="Q224" s="155">
        <f t="shared" si="5"/>
        <v>0.35546288573811508</v>
      </c>
      <c r="R224" s="225">
        <f t="shared" si="6"/>
        <v>0</v>
      </c>
      <c r="S224" s="249">
        <f t="shared" si="56"/>
        <v>59.95</v>
      </c>
      <c r="T224" s="227" t="e">
        <f t="shared" si="8"/>
        <v>#DIV/0!</v>
      </c>
      <c r="U224" s="160"/>
      <c r="V224" s="160"/>
      <c r="W224" s="160"/>
      <c r="X224" s="160"/>
      <c r="Y224" s="1"/>
      <c r="Z224" s="50"/>
      <c r="AA224" s="50"/>
    </row>
    <row r="225" spans="1:27" ht="12.75" hidden="1" outlineLevel="1" x14ac:dyDescent="0.2">
      <c r="A225" s="250"/>
      <c r="B225" s="147"/>
      <c r="C225" s="112" t="s">
        <v>45</v>
      </c>
      <c r="D225" s="149">
        <v>19.95</v>
      </c>
      <c r="E225" s="150"/>
      <c r="F225" s="151">
        <v>1</v>
      </c>
      <c r="G225" s="151">
        <v>1</v>
      </c>
      <c r="H225" s="74">
        <f t="shared" si="0"/>
        <v>1</v>
      </c>
      <c r="I225" s="75">
        <f t="shared" si="1"/>
        <v>19.95</v>
      </c>
      <c r="J225" s="76">
        <f t="shared" si="2"/>
        <v>19.95</v>
      </c>
      <c r="K225" s="149">
        <v>0</v>
      </c>
      <c r="L225" s="151">
        <v>0</v>
      </c>
      <c r="M225" s="151">
        <v>0</v>
      </c>
      <c r="N225" s="224">
        <v>0</v>
      </c>
      <c r="O225" s="79" t="e">
        <f t="shared" si="57"/>
        <v>#DIV/0!</v>
      </c>
      <c r="P225" s="80" t="e">
        <f t="shared" si="4"/>
        <v>#DIV/0!</v>
      </c>
      <c r="Q225" s="79">
        <f t="shared" si="5"/>
        <v>0</v>
      </c>
      <c r="R225" s="81">
        <f t="shared" si="6"/>
        <v>0</v>
      </c>
      <c r="S225" s="82">
        <f t="shared" si="56"/>
        <v>19.95</v>
      </c>
      <c r="T225" s="83" t="e">
        <f t="shared" si="8"/>
        <v>#DIV/0!</v>
      </c>
      <c r="U225" s="140"/>
      <c r="V225" s="140"/>
      <c r="W225" s="140"/>
      <c r="X225" s="141"/>
      <c r="Y225" s="142"/>
      <c r="Z225" s="50"/>
      <c r="AA225" s="50"/>
    </row>
    <row r="226" spans="1:27" ht="12.75" hidden="1" outlineLevel="1" x14ac:dyDescent="0.2">
      <c r="A226" s="118"/>
      <c r="B226" s="69"/>
      <c r="C226" s="70" t="s">
        <v>46</v>
      </c>
      <c r="D226" s="116">
        <v>655.86</v>
      </c>
      <c r="E226" s="75"/>
      <c r="F226" s="73">
        <v>20</v>
      </c>
      <c r="G226" s="73">
        <v>20</v>
      </c>
      <c r="H226" s="74">
        <f t="shared" si="0"/>
        <v>1</v>
      </c>
      <c r="I226" s="75">
        <f t="shared" si="1"/>
        <v>32.792999999999999</v>
      </c>
      <c r="J226" s="76">
        <f t="shared" si="2"/>
        <v>32.792999999999999</v>
      </c>
      <c r="K226" s="116">
        <v>77.16</v>
      </c>
      <c r="L226" s="73">
        <v>34502</v>
      </c>
      <c r="M226" s="73">
        <v>7</v>
      </c>
      <c r="N226" s="117">
        <v>251.72</v>
      </c>
      <c r="O226" s="79">
        <f t="shared" si="57"/>
        <v>0.30653106626410298</v>
      </c>
      <c r="P226" s="80">
        <f t="shared" si="4"/>
        <v>3.2623120787973043</v>
      </c>
      <c r="Q226" s="79">
        <f t="shared" si="5"/>
        <v>0.11764705882352941</v>
      </c>
      <c r="R226" s="81">
        <f t="shared" si="6"/>
        <v>0.38380142103497694</v>
      </c>
      <c r="S226" s="82">
        <f t="shared" si="56"/>
        <v>404.14</v>
      </c>
      <c r="T226" s="83">
        <f t="shared" si="8"/>
        <v>11.022857142857143</v>
      </c>
      <c r="U226" s="135"/>
      <c r="V226" s="135"/>
      <c r="W226" s="135"/>
      <c r="X226" s="135"/>
      <c r="Y226" s="136"/>
      <c r="Z226" s="50"/>
      <c r="AA226" s="50"/>
    </row>
    <row r="227" spans="1:27" ht="12.75" hidden="1" outlineLevel="1" x14ac:dyDescent="0.2">
      <c r="A227" s="34" t="str">
        <f t="shared" ref="A227:A228" si="58">IFERROR(IF(B227&gt;0,MONTH(B227)&amp;"-"&amp;YEAR(B227),B227),)</f>
        <v>3-2025</v>
      </c>
      <c r="B227" s="147">
        <v>45724</v>
      </c>
      <c r="C227" s="148" t="s">
        <v>49</v>
      </c>
      <c r="D227" s="251">
        <v>0</v>
      </c>
      <c r="E227" s="150"/>
      <c r="F227" s="151">
        <v>0</v>
      </c>
      <c r="G227" s="151">
        <v>0</v>
      </c>
      <c r="H227" s="152" t="e">
        <f t="shared" si="0"/>
        <v>#DIV/0!</v>
      </c>
      <c r="I227" s="150" t="e">
        <f t="shared" si="1"/>
        <v>#DIV/0!</v>
      </c>
      <c r="J227" s="222" t="e">
        <f t="shared" si="2"/>
        <v>#DIV/0!</v>
      </c>
      <c r="K227" s="251">
        <v>3.67</v>
      </c>
      <c r="L227" s="151">
        <v>7711</v>
      </c>
      <c r="M227" s="151">
        <v>0</v>
      </c>
      <c r="N227" s="252">
        <v>0</v>
      </c>
      <c r="O227" s="155" t="e">
        <f t="shared" si="57"/>
        <v>#DIV/0!</v>
      </c>
      <c r="P227" s="156">
        <f t="shared" si="4"/>
        <v>0</v>
      </c>
      <c r="Q227" s="155" t="e">
        <f t="shared" si="5"/>
        <v>#DIV/0!</v>
      </c>
      <c r="R227" s="225" t="e">
        <f t="shared" si="6"/>
        <v>#DIV/0!</v>
      </c>
      <c r="S227" s="226">
        <f t="shared" si="56"/>
        <v>0</v>
      </c>
      <c r="T227" s="227" t="e">
        <f t="shared" si="8"/>
        <v>#DIV/0!</v>
      </c>
      <c r="U227" s="160"/>
      <c r="V227" s="160"/>
      <c r="W227" s="160"/>
      <c r="X227" s="160"/>
      <c r="Y227" s="1"/>
      <c r="Z227" s="50"/>
      <c r="AA227" s="50"/>
    </row>
    <row r="228" spans="1:27" ht="12.75" collapsed="1" x14ac:dyDescent="0.2">
      <c r="A228" s="255">
        <f t="shared" si="58"/>
        <v>0</v>
      </c>
      <c r="B228" s="256" t="s">
        <v>68</v>
      </c>
      <c r="C228" s="257"/>
      <c r="D228" s="258">
        <f>SUM(D211:D227)</f>
        <v>7370.4999999999991</v>
      </c>
      <c r="E228" s="261"/>
      <c r="F228" s="259">
        <f t="shared" ref="F228:G228" si="59">SUM(F211:F227)</f>
        <v>117</v>
      </c>
      <c r="G228" s="259">
        <f t="shared" si="59"/>
        <v>115</v>
      </c>
      <c r="H228" s="260">
        <f t="shared" si="0"/>
        <v>1.017391304347826</v>
      </c>
      <c r="I228" s="261">
        <f t="shared" si="1"/>
        <v>62.995726495726487</v>
      </c>
      <c r="J228" s="262">
        <f t="shared" si="2"/>
        <v>61.918876470158516</v>
      </c>
      <c r="K228" s="263">
        <f t="shared" ref="K228:N228" si="60">SUM(K211:K227)</f>
        <v>1264.8600000000001</v>
      </c>
      <c r="L228" s="259">
        <f t="shared" si="60"/>
        <v>347610</v>
      </c>
      <c r="M228" s="259">
        <f t="shared" si="60"/>
        <v>45</v>
      </c>
      <c r="N228" s="258">
        <f t="shared" si="60"/>
        <v>2167.31</v>
      </c>
      <c r="O228" s="264">
        <f t="shared" si="57"/>
        <v>0.58360825170372499</v>
      </c>
      <c r="P228" s="265">
        <f t="shared" si="4"/>
        <v>1.7134781714972407</v>
      </c>
      <c r="Q228" s="264">
        <f t="shared" si="5"/>
        <v>0.17161115256766846</v>
      </c>
      <c r="R228" s="266">
        <f t="shared" si="6"/>
        <v>0.29405196391018251</v>
      </c>
      <c r="S228" s="267">
        <f>SUM(S211:S227)</f>
        <v>5203.1899999999996</v>
      </c>
      <c r="T228" s="268">
        <f t="shared" si="8"/>
        <v>28.108000000000004</v>
      </c>
      <c r="U228" s="269">
        <f>IFERROR((D228-#REF!)/D228,)</f>
        <v>0</v>
      </c>
      <c r="V228" s="269">
        <f>IFERROR((F228-#REF!)/F228,)</f>
        <v>0</v>
      </c>
      <c r="W228" s="269">
        <f>IFERROR((D228-[1]monthly_reporting_2021!E49)/D228, )</f>
        <v>0</v>
      </c>
      <c r="X228" s="270">
        <f>IFERROR((F228-[1]monthly_reporting_2021!F49)/F228, )</f>
        <v>0</v>
      </c>
      <c r="Y228" s="67"/>
      <c r="Z228" s="50"/>
      <c r="AA228" s="50"/>
    </row>
    <row r="229" spans="1:27" ht="12.75" hidden="1" outlineLevel="1" x14ac:dyDescent="0.2">
      <c r="A229" s="34"/>
      <c r="B229" s="147">
        <v>45725</v>
      </c>
      <c r="C229" s="148" t="s">
        <v>32</v>
      </c>
      <c r="D229" s="149">
        <v>1856.83</v>
      </c>
      <c r="E229" s="150"/>
      <c r="F229" s="151">
        <v>7</v>
      </c>
      <c r="G229" s="151">
        <v>8</v>
      </c>
      <c r="H229" s="152">
        <f t="shared" si="0"/>
        <v>0.875</v>
      </c>
      <c r="I229" s="150">
        <f t="shared" si="1"/>
        <v>265.26142857142855</v>
      </c>
      <c r="J229" s="222">
        <f t="shared" si="2"/>
        <v>303.15591836734694</v>
      </c>
      <c r="K229" s="223">
        <v>251.1</v>
      </c>
      <c r="L229" s="151">
        <v>41312</v>
      </c>
      <c r="M229" s="151">
        <v>2</v>
      </c>
      <c r="N229" s="224">
        <v>968.95</v>
      </c>
      <c r="O229" s="155">
        <f t="shared" si="57"/>
        <v>0.25914649878734713</v>
      </c>
      <c r="P229" s="156">
        <f t="shared" si="4"/>
        <v>3.8588211867781763</v>
      </c>
      <c r="Q229" s="155">
        <f t="shared" si="5"/>
        <v>0.1352304734412951</v>
      </c>
      <c r="R229" s="225">
        <f t="shared" si="6"/>
        <v>0.52183021601331303</v>
      </c>
      <c r="S229" s="226">
        <f t="shared" ref="S229:S245" si="61">D229-N229</f>
        <v>887.87999999999988</v>
      </c>
      <c r="T229" s="227">
        <f t="shared" si="8"/>
        <v>125.55</v>
      </c>
      <c r="U229" s="160"/>
      <c r="V229" s="160"/>
      <c r="W229" s="160"/>
      <c r="X229" s="160"/>
      <c r="Y229" s="1"/>
      <c r="Z229" s="50"/>
      <c r="AA229" s="50"/>
    </row>
    <row r="230" spans="1:27" ht="12.75" hidden="1" outlineLevel="1" x14ac:dyDescent="0.2">
      <c r="A230" s="34"/>
      <c r="B230" s="147"/>
      <c r="C230" s="148" t="s">
        <v>33</v>
      </c>
      <c r="D230" s="162">
        <v>3258.7</v>
      </c>
      <c r="E230" s="150"/>
      <c r="F230" s="151">
        <v>35</v>
      </c>
      <c r="G230" s="151">
        <v>35</v>
      </c>
      <c r="H230" s="152">
        <f t="shared" si="0"/>
        <v>1</v>
      </c>
      <c r="I230" s="150">
        <f t="shared" si="1"/>
        <v>93.105714285714285</v>
      </c>
      <c r="J230" s="222">
        <f t="shared" si="2"/>
        <v>93.105714285714285</v>
      </c>
      <c r="K230" s="162">
        <v>326.98</v>
      </c>
      <c r="L230" s="151">
        <v>112697</v>
      </c>
      <c r="M230" s="151">
        <v>14</v>
      </c>
      <c r="N230" s="154">
        <v>804.55</v>
      </c>
      <c r="O230" s="155">
        <f t="shared" si="57"/>
        <v>0.40641352308744022</v>
      </c>
      <c r="P230" s="156">
        <f t="shared" si="4"/>
        <v>2.4605480457520335</v>
      </c>
      <c r="Q230" s="155">
        <f t="shared" si="5"/>
        <v>0.10034062663025134</v>
      </c>
      <c r="R230" s="225">
        <f t="shared" si="6"/>
        <v>0.24689293276459939</v>
      </c>
      <c r="S230" s="228">
        <f t="shared" si="61"/>
        <v>2454.1499999999996</v>
      </c>
      <c r="T230" s="227">
        <f t="shared" si="8"/>
        <v>23.355714285714289</v>
      </c>
      <c r="U230" s="160"/>
      <c r="V230" s="160"/>
      <c r="W230" s="160"/>
      <c r="X230" s="160"/>
      <c r="Y230" s="1"/>
      <c r="Z230" s="50"/>
      <c r="AA230" s="50"/>
    </row>
    <row r="231" spans="1:27" ht="12.75" hidden="1" outlineLevel="1" x14ac:dyDescent="0.2">
      <c r="A231" s="34"/>
      <c r="B231" s="147"/>
      <c r="C231" s="148" t="s">
        <v>34</v>
      </c>
      <c r="D231" s="229">
        <v>0</v>
      </c>
      <c r="E231" s="150"/>
      <c r="F231" s="151">
        <v>0</v>
      </c>
      <c r="G231" s="151">
        <v>0</v>
      </c>
      <c r="H231" s="152" t="e">
        <f t="shared" si="0"/>
        <v>#DIV/0!</v>
      </c>
      <c r="I231" s="150" t="e">
        <f t="shared" si="1"/>
        <v>#DIV/0!</v>
      </c>
      <c r="J231" s="222" t="e">
        <f t="shared" si="2"/>
        <v>#DIV/0!</v>
      </c>
      <c r="K231" s="229">
        <v>24.27</v>
      </c>
      <c r="L231" s="151">
        <v>151</v>
      </c>
      <c r="M231" s="151">
        <v>0</v>
      </c>
      <c r="N231" s="230">
        <v>0</v>
      </c>
      <c r="O231" s="155" t="e">
        <f>(K231/N231)</f>
        <v>#DIV/0!</v>
      </c>
      <c r="P231" s="156">
        <f t="shared" si="4"/>
        <v>0</v>
      </c>
      <c r="Q231" s="155" t="e">
        <f t="shared" si="5"/>
        <v>#DIV/0!</v>
      </c>
      <c r="R231" s="225" t="e">
        <f t="shared" si="6"/>
        <v>#DIV/0!</v>
      </c>
      <c r="S231" s="231">
        <f t="shared" si="61"/>
        <v>0</v>
      </c>
      <c r="T231" s="227" t="e">
        <f t="shared" si="8"/>
        <v>#DIV/0!</v>
      </c>
      <c r="U231" s="160"/>
      <c r="V231" s="160"/>
      <c r="W231" s="160"/>
      <c r="X231" s="160"/>
      <c r="Y231" s="1"/>
      <c r="Z231" s="50"/>
      <c r="AA231" s="50"/>
    </row>
    <row r="232" spans="1:27" ht="12.75" hidden="1" outlineLevel="1" x14ac:dyDescent="0.2">
      <c r="A232" s="34"/>
      <c r="B232" s="147"/>
      <c r="C232" s="148" t="s">
        <v>35</v>
      </c>
      <c r="D232" s="229">
        <v>506.55</v>
      </c>
      <c r="E232" s="150"/>
      <c r="F232" s="151">
        <v>9</v>
      </c>
      <c r="G232" s="151">
        <v>8</v>
      </c>
      <c r="H232" s="152">
        <f t="shared" si="0"/>
        <v>1.125</v>
      </c>
      <c r="I232" s="150">
        <f t="shared" si="1"/>
        <v>56.283333333333331</v>
      </c>
      <c r="J232" s="222">
        <f t="shared" si="2"/>
        <v>50.029629629629625</v>
      </c>
      <c r="K232" s="229">
        <v>102.35</v>
      </c>
      <c r="L232" s="151">
        <v>9361</v>
      </c>
      <c r="M232" s="151">
        <v>3</v>
      </c>
      <c r="N232" s="230">
        <v>161.85</v>
      </c>
      <c r="O232" s="155">
        <f t="shared" ref="O232:O248" si="62">K232/N232</f>
        <v>0.63237565647204197</v>
      </c>
      <c r="P232" s="156">
        <f t="shared" si="4"/>
        <v>1.5813385442110406</v>
      </c>
      <c r="Q232" s="155">
        <f t="shared" si="5"/>
        <v>0.20205310433323462</v>
      </c>
      <c r="R232" s="225">
        <f t="shared" si="6"/>
        <v>0.31951436185963872</v>
      </c>
      <c r="S232" s="231">
        <f t="shared" si="61"/>
        <v>344.70000000000005</v>
      </c>
      <c r="T232" s="227">
        <f t="shared" si="8"/>
        <v>34.116666666666667</v>
      </c>
      <c r="U232" s="160"/>
      <c r="V232" s="160"/>
      <c r="W232" s="160"/>
      <c r="X232" s="160"/>
      <c r="Y232" s="1"/>
      <c r="Z232" s="50"/>
      <c r="AA232" s="50"/>
    </row>
    <row r="233" spans="1:27" ht="12.75" hidden="1" outlineLevel="1" x14ac:dyDescent="0.2">
      <c r="A233" s="34"/>
      <c r="B233" s="147"/>
      <c r="C233" s="148" t="s">
        <v>62</v>
      </c>
      <c r="D233" s="200">
        <v>78</v>
      </c>
      <c r="E233" s="150"/>
      <c r="F233" s="151">
        <v>2</v>
      </c>
      <c r="G233" s="151">
        <v>1</v>
      </c>
      <c r="H233" s="152">
        <f t="shared" si="0"/>
        <v>2</v>
      </c>
      <c r="I233" s="150">
        <f t="shared" si="1"/>
        <v>39</v>
      </c>
      <c r="J233" s="222">
        <f t="shared" si="2"/>
        <v>19.5</v>
      </c>
      <c r="K233" s="200">
        <v>0</v>
      </c>
      <c r="L233" s="151">
        <v>0</v>
      </c>
      <c r="M233" s="151">
        <v>0</v>
      </c>
      <c r="N233" s="200">
        <v>0</v>
      </c>
      <c r="O233" s="155" t="e">
        <f t="shared" si="62"/>
        <v>#DIV/0!</v>
      </c>
      <c r="P233" s="156" t="e">
        <f t="shared" si="4"/>
        <v>#DIV/0!</v>
      </c>
      <c r="Q233" s="155">
        <f t="shared" si="5"/>
        <v>0</v>
      </c>
      <c r="R233" s="225">
        <f t="shared" si="6"/>
        <v>0</v>
      </c>
      <c r="S233" s="231">
        <f t="shared" si="61"/>
        <v>78</v>
      </c>
      <c r="T233" s="227" t="e">
        <f t="shared" si="8"/>
        <v>#DIV/0!</v>
      </c>
      <c r="U233" s="160"/>
      <c r="V233" s="160"/>
      <c r="W233" s="160"/>
      <c r="X233" s="160"/>
      <c r="Y233" s="1"/>
      <c r="Z233" s="50"/>
      <c r="AA233" s="50"/>
    </row>
    <row r="234" spans="1:27" ht="12.75" hidden="1" outlineLevel="1" x14ac:dyDescent="0.2">
      <c r="A234" s="34"/>
      <c r="B234" s="147"/>
      <c r="C234" s="148" t="s">
        <v>66</v>
      </c>
      <c r="D234" s="232">
        <v>0</v>
      </c>
      <c r="E234" s="150"/>
      <c r="F234" s="151">
        <v>0</v>
      </c>
      <c r="G234" s="151">
        <v>0</v>
      </c>
      <c r="H234" s="152" t="e">
        <f t="shared" si="0"/>
        <v>#DIV/0!</v>
      </c>
      <c r="I234" s="150" t="e">
        <f t="shared" si="1"/>
        <v>#DIV/0!</v>
      </c>
      <c r="J234" s="222" t="e">
        <f t="shared" si="2"/>
        <v>#DIV/0!</v>
      </c>
      <c r="K234" s="232">
        <v>0</v>
      </c>
      <c r="L234" s="151">
        <v>0</v>
      </c>
      <c r="M234" s="151">
        <v>0</v>
      </c>
      <c r="N234" s="233">
        <v>0</v>
      </c>
      <c r="O234" s="155" t="e">
        <f t="shared" si="62"/>
        <v>#DIV/0!</v>
      </c>
      <c r="P234" s="156" t="e">
        <f t="shared" si="4"/>
        <v>#DIV/0!</v>
      </c>
      <c r="Q234" s="155" t="e">
        <f t="shared" si="5"/>
        <v>#DIV/0!</v>
      </c>
      <c r="R234" s="225" t="e">
        <f t="shared" si="6"/>
        <v>#DIV/0!</v>
      </c>
      <c r="S234" s="234">
        <f t="shared" si="61"/>
        <v>0</v>
      </c>
      <c r="T234" s="227" t="e">
        <f t="shared" si="8"/>
        <v>#DIV/0!</v>
      </c>
      <c r="U234" s="160"/>
      <c r="V234" s="160"/>
      <c r="W234" s="160"/>
      <c r="X234" s="160"/>
      <c r="Y234" s="1"/>
      <c r="Z234" s="50"/>
      <c r="AA234" s="50"/>
    </row>
    <row r="235" spans="1:27" ht="12.75" hidden="1" outlineLevel="1" x14ac:dyDescent="0.2">
      <c r="A235" s="34"/>
      <c r="B235" s="147"/>
      <c r="C235" s="148" t="s">
        <v>36</v>
      </c>
      <c r="D235" s="229">
        <v>399.7</v>
      </c>
      <c r="E235" s="150"/>
      <c r="F235" s="151">
        <v>6</v>
      </c>
      <c r="G235" s="151">
        <v>6</v>
      </c>
      <c r="H235" s="152">
        <f t="shared" si="0"/>
        <v>1</v>
      </c>
      <c r="I235" s="150">
        <f t="shared" si="1"/>
        <v>66.61666666666666</v>
      </c>
      <c r="J235" s="222">
        <f t="shared" si="2"/>
        <v>66.61666666666666</v>
      </c>
      <c r="K235" s="229">
        <v>75.5</v>
      </c>
      <c r="L235" s="151">
        <v>10703</v>
      </c>
      <c r="M235" s="151">
        <v>3</v>
      </c>
      <c r="N235" s="230">
        <v>209.85</v>
      </c>
      <c r="O235" s="155">
        <f t="shared" si="62"/>
        <v>0.3597807958065285</v>
      </c>
      <c r="P235" s="156">
        <f t="shared" si="4"/>
        <v>2.7794701986754968</v>
      </c>
      <c r="Q235" s="155">
        <f t="shared" si="5"/>
        <v>0.18889166875156368</v>
      </c>
      <c r="R235" s="225">
        <f t="shared" si="6"/>
        <v>0.52501876407305481</v>
      </c>
      <c r="S235" s="231">
        <f t="shared" si="61"/>
        <v>189.85</v>
      </c>
      <c r="T235" s="227">
        <f t="shared" si="8"/>
        <v>25.166666666666668</v>
      </c>
      <c r="U235" s="160"/>
      <c r="V235" s="160"/>
      <c r="W235" s="160"/>
      <c r="X235" s="160"/>
      <c r="Y235" s="1"/>
      <c r="Z235" s="50"/>
      <c r="AA235" s="50"/>
    </row>
    <row r="236" spans="1:27" ht="12.75" hidden="1" outlineLevel="1" x14ac:dyDescent="0.2">
      <c r="A236" s="34"/>
      <c r="B236" s="235" t="s">
        <v>37</v>
      </c>
      <c r="C236" s="148" t="s">
        <v>38</v>
      </c>
      <c r="D236" s="236">
        <v>851.99</v>
      </c>
      <c r="E236" s="150"/>
      <c r="F236" s="151">
        <v>15</v>
      </c>
      <c r="G236" s="151">
        <v>16</v>
      </c>
      <c r="H236" s="152">
        <f t="shared" si="0"/>
        <v>0.9375</v>
      </c>
      <c r="I236" s="150">
        <f t="shared" si="1"/>
        <v>56.799333333333337</v>
      </c>
      <c r="J236" s="222">
        <f t="shared" si="2"/>
        <v>60.585955555555557</v>
      </c>
      <c r="K236" s="236">
        <v>111.82</v>
      </c>
      <c r="L236" s="151">
        <v>18230</v>
      </c>
      <c r="M236" s="151">
        <v>3</v>
      </c>
      <c r="N236" s="237">
        <v>193.98</v>
      </c>
      <c r="O236" s="155">
        <f t="shared" si="62"/>
        <v>0.57645118053407562</v>
      </c>
      <c r="P236" s="156">
        <f t="shared" si="4"/>
        <v>1.7347522804507245</v>
      </c>
      <c r="Q236" s="155">
        <f t="shared" si="5"/>
        <v>0.13124567189755748</v>
      </c>
      <c r="R236" s="225">
        <f t="shared" si="6"/>
        <v>0.22767872862357538</v>
      </c>
      <c r="S236" s="238">
        <f t="shared" si="61"/>
        <v>658.01</v>
      </c>
      <c r="T236" s="227">
        <f t="shared" si="8"/>
        <v>37.273333333333333</v>
      </c>
      <c r="U236" s="160"/>
      <c r="V236" s="160"/>
      <c r="W236" s="160"/>
      <c r="X236" s="160"/>
      <c r="Y236" s="1"/>
      <c r="Z236" s="50"/>
      <c r="AA236" s="50"/>
    </row>
    <row r="237" spans="1:27" ht="12.75" hidden="1" outlineLevel="1" x14ac:dyDescent="0.2">
      <c r="A237" s="34"/>
      <c r="B237" s="147"/>
      <c r="C237" s="148" t="s">
        <v>39</v>
      </c>
      <c r="D237" s="239">
        <v>-299.85000000000002</v>
      </c>
      <c r="E237" s="150"/>
      <c r="F237" s="151">
        <v>-3</v>
      </c>
      <c r="G237" s="151">
        <v>0</v>
      </c>
      <c r="H237" s="152" t="e">
        <f t="shared" si="0"/>
        <v>#DIV/0!</v>
      </c>
      <c r="I237" s="150">
        <f t="shared" si="1"/>
        <v>99.95</v>
      </c>
      <c r="J237" s="222" t="e">
        <f t="shared" si="2"/>
        <v>#DIV/0!</v>
      </c>
      <c r="K237" s="239">
        <v>132.53</v>
      </c>
      <c r="L237" s="151">
        <v>23977</v>
      </c>
      <c r="M237" s="151">
        <v>1</v>
      </c>
      <c r="N237" s="240">
        <v>0</v>
      </c>
      <c r="O237" s="155" t="e">
        <f t="shared" si="62"/>
        <v>#DIV/0!</v>
      </c>
      <c r="P237" s="156">
        <f t="shared" si="4"/>
        <v>0</v>
      </c>
      <c r="Q237" s="155">
        <f t="shared" si="5"/>
        <v>-0.44198766049691507</v>
      </c>
      <c r="R237" s="225">
        <f t="shared" si="6"/>
        <v>0</v>
      </c>
      <c r="S237" s="241">
        <f t="shared" si="61"/>
        <v>-299.85000000000002</v>
      </c>
      <c r="T237" s="227">
        <f t="shared" si="8"/>
        <v>132.53</v>
      </c>
      <c r="U237" s="160"/>
      <c r="V237" s="160"/>
      <c r="W237" s="160"/>
      <c r="X237" s="160"/>
      <c r="Y237" s="1"/>
      <c r="Z237" s="50"/>
      <c r="AA237" s="50"/>
    </row>
    <row r="238" spans="1:27" ht="12.75" hidden="1" outlineLevel="1" x14ac:dyDescent="0.2">
      <c r="A238" s="34"/>
      <c r="B238" s="147"/>
      <c r="C238" s="148" t="s">
        <v>40</v>
      </c>
      <c r="D238" s="242">
        <v>439.6</v>
      </c>
      <c r="E238" s="150"/>
      <c r="F238" s="151">
        <v>8</v>
      </c>
      <c r="G238" s="151">
        <v>6</v>
      </c>
      <c r="H238" s="152">
        <f t="shared" si="0"/>
        <v>1.3333333333333333</v>
      </c>
      <c r="I238" s="150">
        <f t="shared" si="1"/>
        <v>54.95</v>
      </c>
      <c r="J238" s="222">
        <f t="shared" si="2"/>
        <v>41.212500000000006</v>
      </c>
      <c r="K238" s="242">
        <v>0</v>
      </c>
      <c r="L238" s="151">
        <v>0</v>
      </c>
      <c r="M238" s="151">
        <v>0</v>
      </c>
      <c r="N238" s="243">
        <v>0</v>
      </c>
      <c r="O238" s="155" t="e">
        <f t="shared" si="62"/>
        <v>#DIV/0!</v>
      </c>
      <c r="P238" s="156" t="e">
        <f t="shared" si="4"/>
        <v>#DIV/0!</v>
      </c>
      <c r="Q238" s="155">
        <f t="shared" si="5"/>
        <v>0</v>
      </c>
      <c r="R238" s="225">
        <f t="shared" si="6"/>
        <v>0</v>
      </c>
      <c r="S238" s="244">
        <f t="shared" si="61"/>
        <v>439.6</v>
      </c>
      <c r="T238" s="227" t="e">
        <f t="shared" si="8"/>
        <v>#DIV/0!</v>
      </c>
      <c r="U238" s="160"/>
      <c r="V238" s="160"/>
      <c r="W238" s="160"/>
      <c r="X238" s="160"/>
      <c r="Y238" s="1"/>
      <c r="Z238" s="50"/>
      <c r="AA238" s="50"/>
    </row>
    <row r="239" spans="1:27" ht="12.75" hidden="1" outlineLevel="1" x14ac:dyDescent="0.2">
      <c r="A239" s="34"/>
      <c r="B239" s="147"/>
      <c r="C239" s="148" t="s">
        <v>41</v>
      </c>
      <c r="D239" s="163">
        <v>109.98</v>
      </c>
      <c r="E239" s="150"/>
      <c r="F239" s="151">
        <v>2</v>
      </c>
      <c r="G239" s="151">
        <v>1</v>
      </c>
      <c r="H239" s="152">
        <f t="shared" si="0"/>
        <v>2</v>
      </c>
      <c r="I239" s="150">
        <f t="shared" si="1"/>
        <v>54.99</v>
      </c>
      <c r="J239" s="222">
        <f t="shared" si="2"/>
        <v>27.495000000000001</v>
      </c>
      <c r="K239" s="163">
        <v>0</v>
      </c>
      <c r="L239" s="151">
        <v>0</v>
      </c>
      <c r="M239" s="151">
        <v>0</v>
      </c>
      <c r="N239" s="164">
        <v>0</v>
      </c>
      <c r="O239" s="155" t="e">
        <f t="shared" si="62"/>
        <v>#DIV/0!</v>
      </c>
      <c r="P239" s="156" t="e">
        <f t="shared" si="4"/>
        <v>#DIV/0!</v>
      </c>
      <c r="Q239" s="155">
        <f t="shared" si="5"/>
        <v>0</v>
      </c>
      <c r="R239" s="225">
        <f t="shared" si="6"/>
        <v>0</v>
      </c>
      <c r="S239" s="245">
        <f t="shared" si="61"/>
        <v>109.98</v>
      </c>
      <c r="T239" s="227" t="e">
        <f t="shared" si="8"/>
        <v>#DIV/0!</v>
      </c>
      <c r="U239" s="160"/>
      <c r="V239" s="160"/>
      <c r="W239" s="160"/>
      <c r="X239" s="160"/>
      <c r="Y239" s="1"/>
      <c r="Z239" s="50"/>
      <c r="AA239" s="50"/>
    </row>
    <row r="240" spans="1:27" ht="12.75" hidden="1" outlineLevel="1" x14ac:dyDescent="0.2">
      <c r="A240" s="34"/>
      <c r="B240" s="147"/>
      <c r="C240" s="148" t="s">
        <v>42</v>
      </c>
      <c r="D240" s="229">
        <v>-38.89</v>
      </c>
      <c r="E240" s="150"/>
      <c r="F240" s="151">
        <v>2</v>
      </c>
      <c r="G240" s="151">
        <v>3</v>
      </c>
      <c r="H240" s="152">
        <f t="shared" si="0"/>
        <v>0.66666666666666663</v>
      </c>
      <c r="I240" s="150">
        <f t="shared" si="1"/>
        <v>-19.445</v>
      </c>
      <c r="J240" s="222">
        <f t="shared" si="2"/>
        <v>-29.1675</v>
      </c>
      <c r="K240" s="229">
        <v>5.88</v>
      </c>
      <c r="L240" s="151">
        <v>10967</v>
      </c>
      <c r="M240" s="151">
        <v>2</v>
      </c>
      <c r="N240" s="230">
        <v>39.979999999999997</v>
      </c>
      <c r="O240" s="155">
        <f t="shared" si="62"/>
        <v>0.14707353676838419</v>
      </c>
      <c r="P240" s="156">
        <f t="shared" si="4"/>
        <v>6.7993197278911559</v>
      </c>
      <c r="Q240" s="155">
        <f t="shared" si="5"/>
        <v>-0.15119568012342505</v>
      </c>
      <c r="R240" s="225">
        <f t="shared" si="6"/>
        <v>-1.0280277706351246</v>
      </c>
      <c r="S240" s="231">
        <f t="shared" si="61"/>
        <v>-78.87</v>
      </c>
      <c r="T240" s="227">
        <f t="shared" si="8"/>
        <v>2.94</v>
      </c>
      <c r="U240" s="160"/>
      <c r="V240" s="160"/>
      <c r="W240" s="160"/>
      <c r="X240" s="160"/>
      <c r="Y240" s="1"/>
      <c r="Z240" s="50"/>
      <c r="AA240" s="50"/>
    </row>
    <row r="241" spans="1:27" ht="12.75" hidden="1" outlineLevel="1" x14ac:dyDescent="0.2">
      <c r="A241" s="34"/>
      <c r="B241" s="147"/>
      <c r="C241" s="148" t="s">
        <v>43</v>
      </c>
      <c r="D241" s="165">
        <v>0</v>
      </c>
      <c r="E241" s="150"/>
      <c r="F241" s="151">
        <v>0</v>
      </c>
      <c r="G241" s="151">
        <v>0</v>
      </c>
      <c r="H241" s="152" t="e">
        <f t="shared" si="0"/>
        <v>#DIV/0!</v>
      </c>
      <c r="I241" s="150" t="e">
        <f t="shared" si="1"/>
        <v>#DIV/0!</v>
      </c>
      <c r="J241" s="222" t="e">
        <f t="shared" si="2"/>
        <v>#DIV/0!</v>
      </c>
      <c r="K241" s="165">
        <v>14.6</v>
      </c>
      <c r="L241" s="151">
        <v>23765</v>
      </c>
      <c r="M241" s="151">
        <v>0</v>
      </c>
      <c r="N241" s="166">
        <v>0</v>
      </c>
      <c r="O241" s="155" t="e">
        <f t="shared" si="62"/>
        <v>#DIV/0!</v>
      </c>
      <c r="P241" s="156">
        <f t="shared" si="4"/>
        <v>0</v>
      </c>
      <c r="Q241" s="155" t="e">
        <f t="shared" si="5"/>
        <v>#DIV/0!</v>
      </c>
      <c r="R241" s="225" t="e">
        <f t="shared" si="6"/>
        <v>#DIV/0!</v>
      </c>
      <c r="S241" s="246">
        <f t="shared" si="61"/>
        <v>0</v>
      </c>
      <c r="T241" s="227" t="e">
        <f t="shared" si="8"/>
        <v>#DIV/0!</v>
      </c>
      <c r="U241" s="160"/>
      <c r="V241" s="160"/>
      <c r="W241" s="160"/>
      <c r="X241" s="160"/>
      <c r="Y241" s="1"/>
      <c r="Z241" s="50"/>
      <c r="AA241" s="50"/>
    </row>
    <row r="242" spans="1:27" ht="12.75" hidden="1" outlineLevel="1" x14ac:dyDescent="0.2">
      <c r="A242" s="34"/>
      <c r="B242" s="147"/>
      <c r="C242" s="148" t="s">
        <v>44</v>
      </c>
      <c r="D242" s="247">
        <v>119.9</v>
      </c>
      <c r="E242" s="150"/>
      <c r="F242" s="151">
        <v>2</v>
      </c>
      <c r="G242" s="151">
        <v>2</v>
      </c>
      <c r="H242" s="152">
        <f t="shared" si="0"/>
        <v>1</v>
      </c>
      <c r="I242" s="150">
        <f t="shared" si="1"/>
        <v>59.95</v>
      </c>
      <c r="J242" s="222">
        <f t="shared" si="2"/>
        <v>59.95</v>
      </c>
      <c r="K242" s="247">
        <v>11.24</v>
      </c>
      <c r="L242" s="151">
        <v>7724</v>
      </c>
      <c r="M242" s="151">
        <v>1</v>
      </c>
      <c r="N242" s="248">
        <v>59.95</v>
      </c>
      <c r="O242" s="155">
        <f t="shared" si="62"/>
        <v>0.18748957464553795</v>
      </c>
      <c r="P242" s="156">
        <f t="shared" si="4"/>
        <v>5.3336298932384345</v>
      </c>
      <c r="Q242" s="155">
        <f t="shared" si="5"/>
        <v>9.3744787322768974E-2</v>
      </c>
      <c r="R242" s="225">
        <f t="shared" si="6"/>
        <v>0.5</v>
      </c>
      <c r="S242" s="249">
        <f t="shared" si="61"/>
        <v>59.95</v>
      </c>
      <c r="T242" s="227">
        <f t="shared" si="8"/>
        <v>11.24</v>
      </c>
      <c r="U242" s="160"/>
      <c r="V242" s="160"/>
      <c r="W242" s="160"/>
      <c r="X242" s="160"/>
      <c r="Y242" s="1"/>
      <c r="Z242" s="50"/>
      <c r="AA242" s="50"/>
    </row>
    <row r="243" spans="1:27" ht="12.75" hidden="1" outlineLevel="1" x14ac:dyDescent="0.2">
      <c r="A243" s="250"/>
      <c r="B243" s="147"/>
      <c r="C243" s="112" t="s">
        <v>45</v>
      </c>
      <c r="D243" s="149">
        <v>39.9</v>
      </c>
      <c r="E243" s="150"/>
      <c r="F243" s="151">
        <v>2</v>
      </c>
      <c r="G243" s="151">
        <v>1</v>
      </c>
      <c r="H243" s="74">
        <f t="shared" si="0"/>
        <v>2</v>
      </c>
      <c r="I243" s="75">
        <f t="shared" si="1"/>
        <v>19.95</v>
      </c>
      <c r="J243" s="76">
        <f t="shared" si="2"/>
        <v>9.9749999999999996</v>
      </c>
      <c r="K243" s="149">
        <v>0</v>
      </c>
      <c r="L243" s="151">
        <v>0</v>
      </c>
      <c r="M243" s="151">
        <v>0</v>
      </c>
      <c r="N243" s="224">
        <v>0</v>
      </c>
      <c r="O243" s="79" t="e">
        <f t="shared" si="62"/>
        <v>#DIV/0!</v>
      </c>
      <c r="P243" s="80" t="e">
        <f t="shared" si="4"/>
        <v>#DIV/0!</v>
      </c>
      <c r="Q243" s="79">
        <f t="shared" si="5"/>
        <v>0</v>
      </c>
      <c r="R243" s="81">
        <f t="shared" si="6"/>
        <v>0</v>
      </c>
      <c r="S243" s="82">
        <f t="shared" si="61"/>
        <v>39.9</v>
      </c>
      <c r="T243" s="83" t="e">
        <f t="shared" si="8"/>
        <v>#DIV/0!</v>
      </c>
      <c r="U243" s="140"/>
      <c r="V243" s="140"/>
      <c r="W243" s="140"/>
      <c r="X243" s="141"/>
      <c r="Y243" s="142"/>
      <c r="Z243" s="50"/>
      <c r="AA243" s="50"/>
    </row>
    <row r="244" spans="1:27" ht="12.75" hidden="1" outlineLevel="1" x14ac:dyDescent="0.2">
      <c r="A244" s="118"/>
      <c r="B244" s="69"/>
      <c r="C244" s="70" t="s">
        <v>46</v>
      </c>
      <c r="D244" s="116">
        <v>258.91000000000003</v>
      </c>
      <c r="E244" s="75"/>
      <c r="F244" s="73">
        <v>7</v>
      </c>
      <c r="G244" s="73">
        <v>8</v>
      </c>
      <c r="H244" s="74">
        <f t="shared" si="0"/>
        <v>0.875</v>
      </c>
      <c r="I244" s="75">
        <f t="shared" si="1"/>
        <v>36.987142857142864</v>
      </c>
      <c r="J244" s="76">
        <f t="shared" si="2"/>
        <v>42.271020408163274</v>
      </c>
      <c r="K244" s="116">
        <v>72.209999999999994</v>
      </c>
      <c r="L244" s="73">
        <v>29832</v>
      </c>
      <c r="M244" s="73">
        <v>1</v>
      </c>
      <c r="N244" s="117">
        <v>35.96</v>
      </c>
      <c r="O244" s="79">
        <f t="shared" si="62"/>
        <v>2.008064516129032</v>
      </c>
      <c r="P244" s="80">
        <f t="shared" si="4"/>
        <v>0.49799196787148597</v>
      </c>
      <c r="Q244" s="79">
        <f t="shared" si="5"/>
        <v>0.27890000386234592</v>
      </c>
      <c r="R244" s="81">
        <f t="shared" si="6"/>
        <v>0.13888996176277471</v>
      </c>
      <c r="S244" s="82">
        <f t="shared" si="61"/>
        <v>222.95000000000002</v>
      </c>
      <c r="T244" s="83">
        <f t="shared" si="8"/>
        <v>72.209999999999994</v>
      </c>
      <c r="U244" s="135"/>
      <c r="V244" s="135"/>
      <c r="W244" s="135"/>
      <c r="X244" s="135"/>
      <c r="Y244" s="136"/>
      <c r="Z244" s="50"/>
      <c r="AA244" s="50"/>
    </row>
    <row r="245" spans="1:27" ht="12.75" hidden="1" outlineLevel="1" x14ac:dyDescent="0.2">
      <c r="A245" s="34" t="str">
        <f t="shared" ref="A245:A246" si="63">IFERROR(IF(B245&gt;0,MONTH(B245)&amp;"-"&amp;YEAR(B245),B245),)</f>
        <v>3-2025</v>
      </c>
      <c r="B245" s="147">
        <v>45731</v>
      </c>
      <c r="C245" s="148" t="s">
        <v>49</v>
      </c>
      <c r="D245" s="251">
        <v>0</v>
      </c>
      <c r="E245" s="150"/>
      <c r="F245" s="151">
        <v>0</v>
      </c>
      <c r="G245" s="151">
        <v>0</v>
      </c>
      <c r="H245" s="152" t="e">
        <f t="shared" si="0"/>
        <v>#DIV/0!</v>
      </c>
      <c r="I245" s="150" t="e">
        <f t="shared" si="1"/>
        <v>#DIV/0!</v>
      </c>
      <c r="J245" s="222" t="e">
        <f t="shared" si="2"/>
        <v>#DIV/0!</v>
      </c>
      <c r="K245" s="251">
        <v>2.2400000000000002</v>
      </c>
      <c r="L245" s="151">
        <v>7193</v>
      </c>
      <c r="M245" s="151">
        <v>0</v>
      </c>
      <c r="N245" s="252">
        <v>0</v>
      </c>
      <c r="O245" s="155" t="e">
        <f t="shared" si="62"/>
        <v>#DIV/0!</v>
      </c>
      <c r="P245" s="156">
        <f t="shared" si="4"/>
        <v>0</v>
      </c>
      <c r="Q245" s="155" t="e">
        <f t="shared" si="5"/>
        <v>#DIV/0!</v>
      </c>
      <c r="R245" s="225" t="e">
        <f t="shared" si="6"/>
        <v>#DIV/0!</v>
      </c>
      <c r="S245" s="226">
        <f t="shared" si="61"/>
        <v>0</v>
      </c>
      <c r="T245" s="227" t="e">
        <f t="shared" si="8"/>
        <v>#DIV/0!</v>
      </c>
      <c r="U245" s="160"/>
      <c r="V245" s="160"/>
      <c r="W245" s="160"/>
      <c r="X245" s="160"/>
      <c r="Y245" s="1"/>
      <c r="Z245" s="50"/>
      <c r="AA245" s="50"/>
    </row>
    <row r="246" spans="1:27" ht="12.75" collapsed="1" x14ac:dyDescent="0.2">
      <c r="A246" s="34">
        <f t="shared" si="63"/>
        <v>0</v>
      </c>
      <c r="B246" s="52" t="s">
        <v>69</v>
      </c>
      <c r="C246" s="53"/>
      <c r="D246" s="54">
        <f>SUM(D229:D245)</f>
        <v>7581.3199999999979</v>
      </c>
      <c r="E246" s="55"/>
      <c r="F246" s="56">
        <f t="shared" ref="F246:G246" si="64">SUM(F229:F245)</f>
        <v>94</v>
      </c>
      <c r="G246" s="56">
        <f t="shared" si="64"/>
        <v>95</v>
      </c>
      <c r="H246" s="57">
        <f t="shared" si="0"/>
        <v>0.98947368421052628</v>
      </c>
      <c r="I246" s="55">
        <f t="shared" si="1"/>
        <v>80.652340425531889</v>
      </c>
      <c r="J246" s="58">
        <f t="shared" si="2"/>
        <v>81.51034404708011</v>
      </c>
      <c r="K246" s="54">
        <f t="shared" ref="K246:N246" si="65">SUM(K229:K245)</f>
        <v>1130.72</v>
      </c>
      <c r="L246" s="56">
        <f t="shared" si="65"/>
        <v>295912</v>
      </c>
      <c r="M246" s="56">
        <f t="shared" si="65"/>
        <v>30</v>
      </c>
      <c r="N246" s="59">
        <f t="shared" si="65"/>
        <v>2475.0699999999997</v>
      </c>
      <c r="O246" s="60">
        <f t="shared" si="62"/>
        <v>0.45684364482620698</v>
      </c>
      <c r="P246" s="61">
        <f t="shared" si="4"/>
        <v>2.1889327154379505</v>
      </c>
      <c r="Q246" s="60">
        <f t="shared" si="5"/>
        <v>0.14914553138503589</v>
      </c>
      <c r="R246" s="62">
        <f t="shared" si="6"/>
        <v>0.32646953301008275</v>
      </c>
      <c r="S246" s="171">
        <f>SUM(S229:S245)</f>
        <v>5106.2499999999982</v>
      </c>
      <c r="T246" s="64">
        <f t="shared" si="8"/>
        <v>37.690666666666665</v>
      </c>
      <c r="U246" s="65">
        <f>IFERROR((D246-D228)/D246,)</f>
        <v>2.780782238449226E-2</v>
      </c>
      <c r="V246" s="65">
        <f>IFERROR((F246-F228)/F246,)</f>
        <v>-0.24468085106382978</v>
      </c>
      <c r="W246" s="66">
        <f>IFERROR((D246-[1]monthly_reporting_2021!E55)/D246, )</f>
        <v>0</v>
      </c>
      <c r="X246" s="66">
        <f>IFERROR((F246-[1]monthly_reporting_2021!F55)/F246, )</f>
        <v>0</v>
      </c>
      <c r="Y246" s="67"/>
      <c r="Z246" s="50"/>
      <c r="AA246" s="50"/>
    </row>
    <row r="247" spans="1:27" ht="12.75" hidden="1" outlineLevel="1" x14ac:dyDescent="0.2">
      <c r="A247" s="50"/>
      <c r="B247" s="69">
        <v>45732</v>
      </c>
      <c r="C247" s="70" t="s">
        <v>32</v>
      </c>
      <c r="D247" s="71">
        <v>2285.0100000000002</v>
      </c>
      <c r="E247" s="75"/>
      <c r="F247" s="73">
        <v>10</v>
      </c>
      <c r="G247" s="73">
        <v>9</v>
      </c>
      <c r="H247" s="74">
        <f t="shared" si="0"/>
        <v>1.1111111111111112</v>
      </c>
      <c r="I247" s="75">
        <f t="shared" si="1"/>
        <v>228.50100000000003</v>
      </c>
      <c r="J247" s="76">
        <f t="shared" si="2"/>
        <v>205.65090000000001</v>
      </c>
      <c r="K247" s="77">
        <v>367.43</v>
      </c>
      <c r="L247" s="73">
        <v>88929</v>
      </c>
      <c r="M247" s="73">
        <v>5</v>
      </c>
      <c r="N247" s="78">
        <v>1609.38</v>
      </c>
      <c r="O247" s="79">
        <f t="shared" si="62"/>
        <v>0.22830531011942487</v>
      </c>
      <c r="P247" s="80">
        <f t="shared" si="4"/>
        <v>4.3800996108102224</v>
      </c>
      <c r="Q247" s="79">
        <f t="shared" si="5"/>
        <v>0.16080017155285972</v>
      </c>
      <c r="R247" s="81">
        <f t="shared" si="6"/>
        <v>0.70432076883689787</v>
      </c>
      <c r="S247" s="82">
        <f t="shared" ref="S247:S263" si="66">D247-N247</f>
        <v>675.63000000000011</v>
      </c>
      <c r="T247" s="83">
        <f t="shared" si="8"/>
        <v>73.486000000000004</v>
      </c>
      <c r="U247" s="135"/>
      <c r="V247" s="135"/>
      <c r="W247" s="135"/>
      <c r="X247" s="135"/>
      <c r="Y247" s="136"/>
      <c r="Z247" s="50"/>
      <c r="AA247" s="50"/>
    </row>
    <row r="248" spans="1:27" ht="12.75" hidden="1" outlineLevel="1" x14ac:dyDescent="0.2">
      <c r="A248" s="50"/>
      <c r="B248" s="137"/>
      <c r="C248" s="70" t="s">
        <v>33</v>
      </c>
      <c r="D248" s="87">
        <v>4824.6000000000004</v>
      </c>
      <c r="E248" s="75"/>
      <c r="F248" s="73">
        <v>37</v>
      </c>
      <c r="G248" s="73">
        <v>41</v>
      </c>
      <c r="H248" s="74">
        <f t="shared" si="0"/>
        <v>0.90243902439024393</v>
      </c>
      <c r="I248" s="75">
        <f t="shared" si="1"/>
        <v>130.39459459459459</v>
      </c>
      <c r="J248" s="76">
        <f t="shared" si="2"/>
        <v>144.49130752373995</v>
      </c>
      <c r="K248" s="87">
        <v>273.04000000000002</v>
      </c>
      <c r="L248" s="73">
        <v>85647</v>
      </c>
      <c r="M248" s="73">
        <v>9</v>
      </c>
      <c r="N248" s="88">
        <v>624.70000000000005</v>
      </c>
      <c r="O248" s="79">
        <f t="shared" si="62"/>
        <v>0.43707379542180247</v>
      </c>
      <c r="P248" s="80">
        <f t="shared" si="4"/>
        <v>2.2879431585115735</v>
      </c>
      <c r="Q248" s="79">
        <f t="shared" si="5"/>
        <v>5.6593292708203791E-2</v>
      </c>
      <c r="R248" s="81">
        <f t="shared" si="6"/>
        <v>0.12948223686937776</v>
      </c>
      <c r="S248" s="89">
        <f t="shared" si="66"/>
        <v>4199.9000000000005</v>
      </c>
      <c r="T248" s="83">
        <f t="shared" si="8"/>
        <v>30.337777777777781</v>
      </c>
      <c r="U248" s="135"/>
      <c r="V248" s="135"/>
      <c r="W248" s="135"/>
      <c r="X248" s="135"/>
      <c r="Y248" s="136"/>
      <c r="Z248" s="50"/>
      <c r="AA248" s="50"/>
    </row>
    <row r="249" spans="1:27" ht="12.75" hidden="1" outlineLevel="1" x14ac:dyDescent="0.2">
      <c r="A249" s="50"/>
      <c r="B249" s="137"/>
      <c r="C249" s="70" t="s">
        <v>34</v>
      </c>
      <c r="D249" s="90">
        <v>0</v>
      </c>
      <c r="E249" s="75"/>
      <c r="F249" s="73">
        <v>0</v>
      </c>
      <c r="G249" s="73">
        <v>0</v>
      </c>
      <c r="H249" s="74" t="e">
        <f t="shared" si="0"/>
        <v>#DIV/0!</v>
      </c>
      <c r="I249" s="75" t="e">
        <f t="shared" si="1"/>
        <v>#DIV/0!</v>
      </c>
      <c r="J249" s="76" t="e">
        <f t="shared" si="2"/>
        <v>#DIV/0!</v>
      </c>
      <c r="K249" s="90">
        <v>0</v>
      </c>
      <c r="L249" s="73">
        <v>85</v>
      </c>
      <c r="M249" s="73">
        <v>0</v>
      </c>
      <c r="N249" s="91">
        <v>0</v>
      </c>
      <c r="O249" s="79" t="e">
        <f>(K249/N249)</f>
        <v>#DIV/0!</v>
      </c>
      <c r="P249" s="80" t="e">
        <f t="shared" si="4"/>
        <v>#DIV/0!</v>
      </c>
      <c r="Q249" s="79" t="e">
        <f t="shared" si="5"/>
        <v>#DIV/0!</v>
      </c>
      <c r="R249" s="81" t="e">
        <f t="shared" si="6"/>
        <v>#DIV/0!</v>
      </c>
      <c r="S249" s="92">
        <f t="shared" si="66"/>
        <v>0</v>
      </c>
      <c r="T249" s="83" t="e">
        <f t="shared" si="8"/>
        <v>#DIV/0!</v>
      </c>
      <c r="U249" s="135"/>
      <c r="V249" s="135"/>
      <c r="W249" s="135"/>
      <c r="X249" s="135"/>
      <c r="Y249" s="136"/>
      <c r="Z249" s="50"/>
      <c r="AA249" s="50"/>
    </row>
    <row r="250" spans="1:27" ht="12.75" hidden="1" outlineLevel="1" x14ac:dyDescent="0.2">
      <c r="A250" s="50"/>
      <c r="B250" s="137"/>
      <c r="C250" s="70" t="s">
        <v>35</v>
      </c>
      <c r="D250" s="90">
        <v>659.45</v>
      </c>
      <c r="E250" s="75"/>
      <c r="F250" s="73">
        <v>11</v>
      </c>
      <c r="G250" s="73">
        <v>6</v>
      </c>
      <c r="H250" s="74">
        <f t="shared" si="0"/>
        <v>1.8333333333333333</v>
      </c>
      <c r="I250" s="75">
        <f t="shared" si="1"/>
        <v>59.95</v>
      </c>
      <c r="J250" s="76">
        <f t="shared" si="2"/>
        <v>32.700000000000003</v>
      </c>
      <c r="K250" s="90">
        <v>104.48</v>
      </c>
      <c r="L250" s="73">
        <v>7437</v>
      </c>
      <c r="M250" s="73">
        <v>6</v>
      </c>
      <c r="N250" s="91">
        <v>359.7</v>
      </c>
      <c r="O250" s="79">
        <f t="shared" ref="O250:O266" si="67">K250/N250</f>
        <v>0.2904642757853767</v>
      </c>
      <c r="P250" s="80">
        <f t="shared" si="4"/>
        <v>3.4427641653905052</v>
      </c>
      <c r="Q250" s="79">
        <f t="shared" si="5"/>
        <v>0.15843505951929637</v>
      </c>
      <c r="R250" s="81">
        <f t="shared" si="6"/>
        <v>0.54545454545454541</v>
      </c>
      <c r="S250" s="92">
        <f t="shared" si="66"/>
        <v>299.75000000000006</v>
      </c>
      <c r="T250" s="83">
        <f t="shared" si="8"/>
        <v>17.413333333333334</v>
      </c>
      <c r="U250" s="135"/>
      <c r="V250" s="135"/>
      <c r="W250" s="135"/>
      <c r="X250" s="135"/>
      <c r="Y250" s="136"/>
      <c r="Z250" s="50"/>
      <c r="AA250" s="50"/>
    </row>
    <row r="251" spans="1:27" ht="12.75" hidden="1" outlineLevel="1" x14ac:dyDescent="0.2">
      <c r="A251" s="50"/>
      <c r="B251" s="137"/>
      <c r="C251" s="70" t="s">
        <v>62</v>
      </c>
      <c r="D251" s="200">
        <v>117</v>
      </c>
      <c r="E251" s="75"/>
      <c r="F251" s="73">
        <v>3</v>
      </c>
      <c r="G251" s="73">
        <v>2</v>
      </c>
      <c r="H251" s="74">
        <f t="shared" si="0"/>
        <v>1.5</v>
      </c>
      <c r="I251" s="75">
        <f t="shared" si="1"/>
        <v>39</v>
      </c>
      <c r="J251" s="76">
        <f t="shared" si="2"/>
        <v>26</v>
      </c>
      <c r="K251" s="200">
        <v>0</v>
      </c>
      <c r="L251" s="73">
        <v>0</v>
      </c>
      <c r="M251" s="73">
        <v>0</v>
      </c>
      <c r="N251" s="200">
        <v>0</v>
      </c>
      <c r="O251" s="79" t="e">
        <f t="shared" si="67"/>
        <v>#DIV/0!</v>
      </c>
      <c r="P251" s="80" t="e">
        <f t="shared" si="4"/>
        <v>#DIV/0!</v>
      </c>
      <c r="Q251" s="79">
        <f t="shared" si="5"/>
        <v>0</v>
      </c>
      <c r="R251" s="81">
        <f t="shared" si="6"/>
        <v>0</v>
      </c>
      <c r="S251" s="92">
        <f t="shared" si="66"/>
        <v>117</v>
      </c>
      <c r="T251" s="83" t="e">
        <f t="shared" si="8"/>
        <v>#DIV/0!</v>
      </c>
      <c r="U251" s="135"/>
      <c r="V251" s="135"/>
      <c r="W251" s="135"/>
      <c r="X251" s="135"/>
      <c r="Y251" s="136"/>
      <c r="Z251" s="50"/>
      <c r="AA251" s="50"/>
    </row>
    <row r="252" spans="1:27" ht="12.75" hidden="1" outlineLevel="1" x14ac:dyDescent="0.2">
      <c r="A252" s="50"/>
      <c r="B252" s="137"/>
      <c r="C252" s="70" t="s">
        <v>66</v>
      </c>
      <c r="D252" s="201">
        <v>-64.95</v>
      </c>
      <c r="E252" s="75"/>
      <c r="F252" s="73">
        <v>-1</v>
      </c>
      <c r="G252" s="73">
        <v>1</v>
      </c>
      <c r="H252" s="74">
        <f t="shared" si="0"/>
        <v>-1</v>
      </c>
      <c r="I252" s="75">
        <f t="shared" si="1"/>
        <v>64.95</v>
      </c>
      <c r="J252" s="76">
        <f t="shared" si="2"/>
        <v>-64.95</v>
      </c>
      <c r="K252" s="201">
        <v>42.1</v>
      </c>
      <c r="L252" s="73">
        <v>1937</v>
      </c>
      <c r="M252" s="73">
        <v>0</v>
      </c>
      <c r="N252" s="202">
        <v>0</v>
      </c>
      <c r="O252" s="79" t="e">
        <f t="shared" si="67"/>
        <v>#DIV/0!</v>
      </c>
      <c r="P252" s="80">
        <f t="shared" si="4"/>
        <v>0</v>
      </c>
      <c r="Q252" s="79">
        <f t="shared" si="5"/>
        <v>-0.64819091608929946</v>
      </c>
      <c r="R252" s="81">
        <f t="shared" si="6"/>
        <v>0</v>
      </c>
      <c r="S252" s="203">
        <f t="shared" si="66"/>
        <v>-64.95</v>
      </c>
      <c r="T252" s="83" t="e">
        <f t="shared" si="8"/>
        <v>#DIV/0!</v>
      </c>
      <c r="U252" s="135"/>
      <c r="V252" s="135"/>
      <c r="W252" s="135"/>
      <c r="X252" s="135"/>
      <c r="Y252" s="136"/>
      <c r="Z252" s="50"/>
      <c r="AA252" s="50"/>
    </row>
    <row r="253" spans="1:27" ht="12.75" hidden="1" outlineLevel="1" x14ac:dyDescent="0.2">
      <c r="A253" s="50"/>
      <c r="B253" s="137"/>
      <c r="C253" s="70" t="s">
        <v>36</v>
      </c>
      <c r="D253" s="90">
        <v>319.75</v>
      </c>
      <c r="E253" s="75"/>
      <c r="F253" s="73">
        <v>5</v>
      </c>
      <c r="G253" s="73">
        <v>6</v>
      </c>
      <c r="H253" s="74">
        <f t="shared" si="0"/>
        <v>0.83333333333333337</v>
      </c>
      <c r="I253" s="75">
        <f t="shared" si="1"/>
        <v>63.95</v>
      </c>
      <c r="J253" s="76">
        <f t="shared" si="2"/>
        <v>76.739999999999995</v>
      </c>
      <c r="K253" s="90">
        <v>54.36</v>
      </c>
      <c r="L253" s="73">
        <v>9417</v>
      </c>
      <c r="M253" s="73">
        <v>2</v>
      </c>
      <c r="N253" s="91">
        <v>119.9</v>
      </c>
      <c r="O253" s="79">
        <f t="shared" si="67"/>
        <v>0.45337781484570472</v>
      </c>
      <c r="P253" s="80">
        <f t="shared" si="4"/>
        <v>2.2056659308314939</v>
      </c>
      <c r="Q253" s="79">
        <f t="shared" si="5"/>
        <v>0.17000781860828773</v>
      </c>
      <c r="R253" s="81">
        <f t="shared" si="6"/>
        <v>0.37498045347928072</v>
      </c>
      <c r="S253" s="92">
        <f t="shared" si="66"/>
        <v>199.85</v>
      </c>
      <c r="T253" s="83">
        <f t="shared" si="8"/>
        <v>27.18</v>
      </c>
      <c r="U253" s="135"/>
      <c r="V253" s="135"/>
      <c r="W253" s="135"/>
      <c r="X253" s="135"/>
      <c r="Y253" s="136"/>
      <c r="Z253" s="50"/>
      <c r="AA253" s="50"/>
    </row>
    <row r="254" spans="1:27" ht="12.75" hidden="1" outlineLevel="1" x14ac:dyDescent="0.2">
      <c r="A254" s="50"/>
      <c r="B254" s="69" t="s">
        <v>37</v>
      </c>
      <c r="C254" s="70" t="s">
        <v>38</v>
      </c>
      <c r="D254" s="93">
        <v>640.36</v>
      </c>
      <c r="E254" s="75"/>
      <c r="F254" s="73">
        <v>12</v>
      </c>
      <c r="G254" s="73">
        <v>13</v>
      </c>
      <c r="H254" s="74">
        <f t="shared" si="0"/>
        <v>0.92307692307692313</v>
      </c>
      <c r="I254" s="75">
        <f t="shared" si="1"/>
        <v>53.363333333333337</v>
      </c>
      <c r="J254" s="76">
        <f t="shared" si="2"/>
        <v>57.810277777777777</v>
      </c>
      <c r="K254" s="93">
        <v>116.03</v>
      </c>
      <c r="L254" s="73">
        <v>14400</v>
      </c>
      <c r="M254" s="73">
        <v>2</v>
      </c>
      <c r="N254" s="94">
        <v>101.51</v>
      </c>
      <c r="O254" s="79">
        <f t="shared" si="67"/>
        <v>1.1430400945719632</v>
      </c>
      <c r="P254" s="80">
        <f t="shared" si="4"/>
        <v>0.87485995001292771</v>
      </c>
      <c r="Q254" s="79">
        <f t="shared" si="5"/>
        <v>0.18119495283902803</v>
      </c>
      <c r="R254" s="81">
        <f t="shared" si="6"/>
        <v>0.15852020738334688</v>
      </c>
      <c r="S254" s="95">
        <f t="shared" si="66"/>
        <v>538.85</v>
      </c>
      <c r="T254" s="83">
        <f t="shared" si="8"/>
        <v>58.015000000000001</v>
      </c>
      <c r="U254" s="135"/>
      <c r="V254" s="135"/>
      <c r="W254" s="135"/>
      <c r="X254" s="135"/>
      <c r="Y254" s="136"/>
      <c r="Z254" s="50"/>
      <c r="AA254" s="50"/>
    </row>
    <row r="255" spans="1:27" ht="12.75" hidden="1" outlineLevel="1" x14ac:dyDescent="0.2">
      <c r="A255" s="50"/>
      <c r="B255" s="137"/>
      <c r="C255" s="70" t="s">
        <v>39</v>
      </c>
      <c r="D255" s="96">
        <v>99.95</v>
      </c>
      <c r="E255" s="75"/>
      <c r="F255" s="73">
        <v>1</v>
      </c>
      <c r="G255" s="73">
        <v>1</v>
      </c>
      <c r="H255" s="74">
        <f t="shared" si="0"/>
        <v>1</v>
      </c>
      <c r="I255" s="75">
        <f t="shared" si="1"/>
        <v>99.95</v>
      </c>
      <c r="J255" s="76">
        <f t="shared" si="2"/>
        <v>99.95</v>
      </c>
      <c r="K255" s="96">
        <v>0</v>
      </c>
      <c r="L255" s="73">
        <v>0</v>
      </c>
      <c r="M255" s="73">
        <v>0</v>
      </c>
      <c r="N255" s="97">
        <v>0</v>
      </c>
      <c r="O255" s="79" t="e">
        <f t="shared" si="67"/>
        <v>#DIV/0!</v>
      </c>
      <c r="P255" s="80" t="e">
        <f t="shared" si="4"/>
        <v>#DIV/0!</v>
      </c>
      <c r="Q255" s="79">
        <f t="shared" si="5"/>
        <v>0</v>
      </c>
      <c r="R255" s="81">
        <f t="shared" si="6"/>
        <v>0</v>
      </c>
      <c r="S255" s="98">
        <f t="shared" si="66"/>
        <v>99.95</v>
      </c>
      <c r="T255" s="83" t="e">
        <f t="shared" si="8"/>
        <v>#DIV/0!</v>
      </c>
      <c r="U255" s="135"/>
      <c r="V255" s="135"/>
      <c r="W255" s="135"/>
      <c r="X255" s="135"/>
      <c r="Y255" s="136"/>
      <c r="Z255" s="50"/>
      <c r="AA255" s="50"/>
    </row>
    <row r="256" spans="1:27" ht="12.75" hidden="1" outlineLevel="1" x14ac:dyDescent="0.2">
      <c r="A256" s="50"/>
      <c r="B256" s="137"/>
      <c r="C256" s="70" t="s">
        <v>40</v>
      </c>
      <c r="D256" s="99">
        <v>265.70999999999998</v>
      </c>
      <c r="E256" s="75"/>
      <c r="F256" s="73">
        <v>5</v>
      </c>
      <c r="G256" s="73">
        <v>4</v>
      </c>
      <c r="H256" s="74">
        <f t="shared" si="0"/>
        <v>1.25</v>
      </c>
      <c r="I256" s="75">
        <f t="shared" si="1"/>
        <v>53.141999999999996</v>
      </c>
      <c r="J256" s="76">
        <f t="shared" si="2"/>
        <v>42.513599999999997</v>
      </c>
      <c r="K256" s="99">
        <v>0</v>
      </c>
      <c r="L256" s="73">
        <v>0</v>
      </c>
      <c r="M256" s="73">
        <v>0</v>
      </c>
      <c r="N256" s="100">
        <v>0</v>
      </c>
      <c r="O256" s="79" t="e">
        <f t="shared" si="67"/>
        <v>#DIV/0!</v>
      </c>
      <c r="P256" s="80" t="e">
        <f t="shared" si="4"/>
        <v>#DIV/0!</v>
      </c>
      <c r="Q256" s="79">
        <f t="shared" si="5"/>
        <v>0</v>
      </c>
      <c r="R256" s="81">
        <f t="shared" si="6"/>
        <v>0</v>
      </c>
      <c r="S256" s="101">
        <f t="shared" si="66"/>
        <v>265.70999999999998</v>
      </c>
      <c r="T256" s="83" t="e">
        <f t="shared" si="8"/>
        <v>#DIV/0!</v>
      </c>
      <c r="U256" s="135"/>
      <c r="V256" s="135"/>
      <c r="W256" s="135"/>
      <c r="X256" s="135"/>
      <c r="Y256" s="136"/>
      <c r="Z256" s="50"/>
      <c r="AA256" s="50"/>
    </row>
    <row r="257" spans="1:27" ht="12.75" hidden="1" outlineLevel="1" x14ac:dyDescent="0.2">
      <c r="A257" s="50"/>
      <c r="B257" s="137"/>
      <c r="C257" s="70" t="s">
        <v>41</v>
      </c>
      <c r="D257" s="102">
        <v>66.989999999999995</v>
      </c>
      <c r="E257" s="75"/>
      <c r="F257" s="73">
        <v>1</v>
      </c>
      <c r="G257" s="73">
        <v>1</v>
      </c>
      <c r="H257" s="74">
        <f t="shared" si="0"/>
        <v>1</v>
      </c>
      <c r="I257" s="75">
        <f t="shared" si="1"/>
        <v>66.989999999999995</v>
      </c>
      <c r="J257" s="76">
        <f t="shared" si="2"/>
        <v>66.989999999999995</v>
      </c>
      <c r="K257" s="102">
        <v>0</v>
      </c>
      <c r="L257" s="73">
        <v>6</v>
      </c>
      <c r="M257" s="73">
        <v>0</v>
      </c>
      <c r="N257" s="103">
        <v>0</v>
      </c>
      <c r="O257" s="79" t="e">
        <f t="shared" si="67"/>
        <v>#DIV/0!</v>
      </c>
      <c r="P257" s="80" t="e">
        <f t="shared" si="4"/>
        <v>#DIV/0!</v>
      </c>
      <c r="Q257" s="79">
        <f t="shared" si="5"/>
        <v>0</v>
      </c>
      <c r="R257" s="81">
        <f t="shared" si="6"/>
        <v>0</v>
      </c>
      <c r="S257" s="104">
        <f t="shared" si="66"/>
        <v>66.989999999999995</v>
      </c>
      <c r="T257" s="83" t="e">
        <f t="shared" si="8"/>
        <v>#DIV/0!</v>
      </c>
      <c r="U257" s="135"/>
      <c r="V257" s="135"/>
      <c r="W257" s="135"/>
      <c r="X257" s="135"/>
      <c r="Y257" s="136"/>
      <c r="Z257" s="50"/>
      <c r="AA257" s="50"/>
    </row>
    <row r="258" spans="1:27" ht="12.75" hidden="1" outlineLevel="1" x14ac:dyDescent="0.2">
      <c r="A258" s="50"/>
      <c r="B258" s="137"/>
      <c r="C258" s="70" t="s">
        <v>42</v>
      </c>
      <c r="D258" s="90">
        <v>139.93</v>
      </c>
      <c r="E258" s="75"/>
      <c r="F258" s="73">
        <v>7</v>
      </c>
      <c r="G258" s="73">
        <v>6</v>
      </c>
      <c r="H258" s="74">
        <f t="shared" si="0"/>
        <v>1.1666666666666667</v>
      </c>
      <c r="I258" s="75">
        <f t="shared" si="1"/>
        <v>19.990000000000002</v>
      </c>
      <c r="J258" s="76">
        <f t="shared" si="2"/>
        <v>17.134285714285713</v>
      </c>
      <c r="K258" s="90">
        <v>3</v>
      </c>
      <c r="L258" s="73">
        <v>10710</v>
      </c>
      <c r="M258" s="73">
        <v>0</v>
      </c>
      <c r="N258" s="91">
        <v>0</v>
      </c>
      <c r="O258" s="79" t="e">
        <f t="shared" si="67"/>
        <v>#DIV/0!</v>
      </c>
      <c r="P258" s="80">
        <f t="shared" si="4"/>
        <v>0</v>
      </c>
      <c r="Q258" s="79">
        <f t="shared" si="5"/>
        <v>2.1439291074108482E-2</v>
      </c>
      <c r="R258" s="81">
        <f t="shared" si="6"/>
        <v>0</v>
      </c>
      <c r="S258" s="92">
        <f t="shared" si="66"/>
        <v>139.93</v>
      </c>
      <c r="T258" s="83" t="e">
        <f t="shared" si="8"/>
        <v>#DIV/0!</v>
      </c>
      <c r="U258" s="135"/>
      <c r="V258" s="135"/>
      <c r="W258" s="135"/>
      <c r="X258" s="135"/>
      <c r="Y258" s="136"/>
      <c r="Z258" s="50"/>
      <c r="AA258" s="50"/>
    </row>
    <row r="259" spans="1:27" ht="12.75" hidden="1" outlineLevel="1" x14ac:dyDescent="0.2">
      <c r="A259" s="50"/>
      <c r="B259" s="137"/>
      <c r="C259" s="70" t="s">
        <v>43</v>
      </c>
      <c r="D259" s="105">
        <v>0</v>
      </c>
      <c r="E259" s="75"/>
      <c r="F259" s="73">
        <v>0</v>
      </c>
      <c r="G259" s="73">
        <v>0</v>
      </c>
      <c r="H259" s="74" t="e">
        <f t="shared" si="0"/>
        <v>#DIV/0!</v>
      </c>
      <c r="I259" s="75" t="e">
        <f t="shared" si="1"/>
        <v>#DIV/0!</v>
      </c>
      <c r="J259" s="76" t="e">
        <f t="shared" si="2"/>
        <v>#DIV/0!</v>
      </c>
      <c r="K259" s="105">
        <v>19.95</v>
      </c>
      <c r="L259" s="73">
        <v>20397</v>
      </c>
      <c r="M259" s="73">
        <v>0</v>
      </c>
      <c r="N259" s="106">
        <v>0</v>
      </c>
      <c r="O259" s="79" t="e">
        <f t="shared" si="67"/>
        <v>#DIV/0!</v>
      </c>
      <c r="P259" s="80">
        <f t="shared" si="4"/>
        <v>0</v>
      </c>
      <c r="Q259" s="79" t="e">
        <f t="shared" si="5"/>
        <v>#DIV/0!</v>
      </c>
      <c r="R259" s="81" t="e">
        <f t="shared" si="6"/>
        <v>#DIV/0!</v>
      </c>
      <c r="S259" s="107">
        <f t="shared" si="66"/>
        <v>0</v>
      </c>
      <c r="T259" s="83" t="e">
        <f t="shared" si="8"/>
        <v>#DIV/0!</v>
      </c>
      <c r="U259" s="135"/>
      <c r="V259" s="135"/>
      <c r="W259" s="135"/>
      <c r="X259" s="135"/>
      <c r="Y259" s="136"/>
      <c r="Z259" s="50"/>
      <c r="AA259" s="50"/>
    </row>
    <row r="260" spans="1:27" ht="12.75" hidden="1" outlineLevel="1" x14ac:dyDescent="0.2">
      <c r="A260" s="50"/>
      <c r="B260" s="137"/>
      <c r="C260" s="70" t="s">
        <v>44</v>
      </c>
      <c r="D260" s="108">
        <v>59.95</v>
      </c>
      <c r="E260" s="75"/>
      <c r="F260" s="73">
        <v>1</v>
      </c>
      <c r="G260" s="73">
        <v>1</v>
      </c>
      <c r="H260" s="74">
        <f t="shared" si="0"/>
        <v>1</v>
      </c>
      <c r="I260" s="75">
        <f t="shared" si="1"/>
        <v>59.95</v>
      </c>
      <c r="J260" s="76">
        <f t="shared" si="2"/>
        <v>59.95</v>
      </c>
      <c r="K260" s="108">
        <v>19.46</v>
      </c>
      <c r="L260" s="73">
        <v>7147</v>
      </c>
      <c r="M260" s="73">
        <v>0</v>
      </c>
      <c r="N260" s="109">
        <v>0</v>
      </c>
      <c r="O260" s="79" t="e">
        <f t="shared" si="67"/>
        <v>#DIV/0!</v>
      </c>
      <c r="P260" s="80">
        <f t="shared" si="4"/>
        <v>0</v>
      </c>
      <c r="Q260" s="79">
        <f t="shared" si="5"/>
        <v>0.32460383653044206</v>
      </c>
      <c r="R260" s="81">
        <f t="shared" si="6"/>
        <v>0</v>
      </c>
      <c r="S260" s="110">
        <f t="shared" si="66"/>
        <v>59.95</v>
      </c>
      <c r="T260" s="83" t="e">
        <f t="shared" si="8"/>
        <v>#DIV/0!</v>
      </c>
      <c r="U260" s="135"/>
      <c r="V260" s="135"/>
      <c r="W260" s="135"/>
      <c r="X260" s="135"/>
      <c r="Y260" s="136"/>
      <c r="Z260" s="50"/>
      <c r="AA260" s="50"/>
    </row>
    <row r="261" spans="1:27" ht="12.75" hidden="1" outlineLevel="1" x14ac:dyDescent="0.2">
      <c r="A261" s="139"/>
      <c r="B261" s="137"/>
      <c r="C261" s="112" t="s">
        <v>45</v>
      </c>
      <c r="D261" s="71">
        <v>0</v>
      </c>
      <c r="E261" s="75"/>
      <c r="F261" s="73">
        <v>0</v>
      </c>
      <c r="G261" s="73">
        <v>0</v>
      </c>
      <c r="H261" s="74" t="e">
        <f t="shared" si="0"/>
        <v>#DIV/0!</v>
      </c>
      <c r="I261" s="75" t="e">
        <f t="shared" si="1"/>
        <v>#DIV/0!</v>
      </c>
      <c r="J261" s="76" t="e">
        <f t="shared" si="2"/>
        <v>#DIV/0!</v>
      </c>
      <c r="K261" s="71">
        <v>0</v>
      </c>
      <c r="L261" s="73">
        <v>0</v>
      </c>
      <c r="M261" s="73">
        <v>0</v>
      </c>
      <c r="N261" s="78">
        <v>0</v>
      </c>
      <c r="O261" s="79" t="e">
        <f t="shared" si="67"/>
        <v>#DIV/0!</v>
      </c>
      <c r="P261" s="80" t="e">
        <f t="shared" si="4"/>
        <v>#DIV/0!</v>
      </c>
      <c r="Q261" s="79" t="e">
        <f t="shared" si="5"/>
        <v>#DIV/0!</v>
      </c>
      <c r="R261" s="81" t="e">
        <f t="shared" si="6"/>
        <v>#DIV/0!</v>
      </c>
      <c r="S261" s="82">
        <f t="shared" si="66"/>
        <v>0</v>
      </c>
      <c r="T261" s="83" t="e">
        <f t="shared" si="8"/>
        <v>#DIV/0!</v>
      </c>
      <c r="U261" s="140"/>
      <c r="V261" s="140"/>
      <c r="W261" s="140"/>
      <c r="X261" s="141"/>
      <c r="Y261" s="142"/>
      <c r="Z261" s="50"/>
      <c r="AA261" s="50"/>
    </row>
    <row r="262" spans="1:27" ht="12.75" hidden="1" outlineLevel="1" x14ac:dyDescent="0.2">
      <c r="A262" s="50"/>
      <c r="B262" s="137"/>
      <c r="C262" s="70" t="s">
        <v>46</v>
      </c>
      <c r="D262" s="116">
        <v>318.24</v>
      </c>
      <c r="E262" s="75"/>
      <c r="F262" s="73">
        <v>9</v>
      </c>
      <c r="G262" s="73">
        <v>11</v>
      </c>
      <c r="H262" s="74">
        <f t="shared" si="0"/>
        <v>0.81818181818181823</v>
      </c>
      <c r="I262" s="75">
        <f t="shared" si="1"/>
        <v>35.36</v>
      </c>
      <c r="J262" s="76">
        <f t="shared" si="2"/>
        <v>43.217777777777776</v>
      </c>
      <c r="K262" s="116">
        <v>75.23</v>
      </c>
      <c r="L262" s="73">
        <v>22887</v>
      </c>
      <c r="M262" s="73">
        <v>4</v>
      </c>
      <c r="N262" s="117">
        <v>142.04</v>
      </c>
      <c r="O262" s="79">
        <f t="shared" si="67"/>
        <v>0.52963953815826537</v>
      </c>
      <c r="P262" s="80">
        <f t="shared" si="4"/>
        <v>1.8880765652000531</v>
      </c>
      <c r="Q262" s="79">
        <f t="shared" si="5"/>
        <v>0.23639391654097536</v>
      </c>
      <c r="R262" s="81">
        <f t="shared" si="6"/>
        <v>0.44632981397687277</v>
      </c>
      <c r="S262" s="82">
        <f t="shared" si="66"/>
        <v>176.20000000000002</v>
      </c>
      <c r="T262" s="83">
        <f t="shared" si="8"/>
        <v>18.807500000000001</v>
      </c>
      <c r="U262" s="135"/>
      <c r="V262" s="135"/>
      <c r="W262" s="135"/>
      <c r="X262" s="135"/>
      <c r="Y262" s="136"/>
      <c r="Z262" s="50"/>
      <c r="AA262" s="50"/>
    </row>
    <row r="263" spans="1:27" ht="12.75" hidden="1" outlineLevel="1" x14ac:dyDescent="0.2">
      <c r="A263" s="118" t="str">
        <f t="shared" ref="A263:A264" si="68">IFERROR(IF(B263&gt;0,MONTH(B263)&amp;"-"&amp;YEAR(B263),B263),)</f>
        <v>3-2025</v>
      </c>
      <c r="B263" s="69">
        <v>45738</v>
      </c>
      <c r="C263" s="70" t="s">
        <v>49</v>
      </c>
      <c r="D263" s="116">
        <v>0</v>
      </c>
      <c r="E263" s="75"/>
      <c r="F263" s="73">
        <v>0</v>
      </c>
      <c r="G263" s="73">
        <v>0</v>
      </c>
      <c r="H263" s="74" t="e">
        <f t="shared" si="0"/>
        <v>#DIV/0!</v>
      </c>
      <c r="I263" s="75" t="e">
        <f t="shared" si="1"/>
        <v>#DIV/0!</v>
      </c>
      <c r="J263" s="76" t="e">
        <f t="shared" si="2"/>
        <v>#DIV/0!</v>
      </c>
      <c r="K263" s="116">
        <v>5.99</v>
      </c>
      <c r="L263" s="73">
        <v>6262</v>
      </c>
      <c r="M263" s="73">
        <v>0</v>
      </c>
      <c r="N263" s="117">
        <v>0</v>
      </c>
      <c r="O263" s="79" t="e">
        <f t="shared" si="67"/>
        <v>#DIV/0!</v>
      </c>
      <c r="P263" s="80">
        <f t="shared" si="4"/>
        <v>0</v>
      </c>
      <c r="Q263" s="79" t="e">
        <f t="shared" si="5"/>
        <v>#DIV/0!</v>
      </c>
      <c r="R263" s="81" t="e">
        <f t="shared" si="6"/>
        <v>#DIV/0!</v>
      </c>
      <c r="S263" s="82">
        <f t="shared" si="66"/>
        <v>0</v>
      </c>
      <c r="T263" s="83" t="e">
        <f t="shared" si="8"/>
        <v>#DIV/0!</v>
      </c>
      <c r="U263" s="135"/>
      <c r="V263" s="135"/>
      <c r="W263" s="135"/>
      <c r="X263" s="135"/>
      <c r="Y263" s="136"/>
      <c r="Z263" s="50"/>
      <c r="AA263" s="50"/>
    </row>
    <row r="264" spans="1:27" ht="12.75" collapsed="1" x14ac:dyDescent="0.2">
      <c r="A264" s="50">
        <f t="shared" si="68"/>
        <v>0</v>
      </c>
      <c r="B264" s="52" t="s">
        <v>70</v>
      </c>
      <c r="C264" s="145"/>
      <c r="D264" s="121">
        <f>SUM(D247:D263)</f>
        <v>9731.9900000000016</v>
      </c>
      <c r="E264" s="125"/>
      <c r="F264" s="123">
        <f t="shared" ref="F264:G264" si="69">SUM(F247:F263)</f>
        <v>101</v>
      </c>
      <c r="G264" s="123">
        <f t="shared" si="69"/>
        <v>102</v>
      </c>
      <c r="H264" s="124">
        <f t="shared" si="0"/>
        <v>0.99019607843137258</v>
      </c>
      <c r="I264" s="125">
        <f t="shared" si="1"/>
        <v>96.356336633663389</v>
      </c>
      <c r="J264" s="126">
        <f t="shared" si="2"/>
        <v>97.310359768650159</v>
      </c>
      <c r="K264" s="121">
        <f t="shared" ref="K264:N264" si="70">SUM(K247:K263)</f>
        <v>1081.0700000000002</v>
      </c>
      <c r="L264" s="123">
        <f t="shared" si="70"/>
        <v>275261</v>
      </c>
      <c r="M264" s="123">
        <f t="shared" si="70"/>
        <v>28</v>
      </c>
      <c r="N264" s="127">
        <f t="shared" si="70"/>
        <v>2957.23</v>
      </c>
      <c r="O264" s="128">
        <f t="shared" si="67"/>
        <v>0.36556845426294204</v>
      </c>
      <c r="P264" s="129">
        <f t="shared" si="4"/>
        <v>2.7354657885243321</v>
      </c>
      <c r="Q264" s="128">
        <f t="shared" si="5"/>
        <v>0.11108416675315121</v>
      </c>
      <c r="R264" s="130">
        <f t="shared" si="6"/>
        <v>0.30386693779997714</v>
      </c>
      <c r="S264" s="131">
        <f>SUM(S247:S263)</f>
        <v>6774.7600000000011</v>
      </c>
      <c r="T264" s="132">
        <f t="shared" si="8"/>
        <v>38.609642857142866</v>
      </c>
      <c r="U264" s="133">
        <f>IFERROR((D264-D246)/D264,)</f>
        <v>0.2209897461875735</v>
      </c>
      <c r="V264" s="133">
        <f>IFERROR((F264-F246)/F264,)</f>
        <v>6.9306930693069313E-2</v>
      </c>
      <c r="W264" s="271">
        <f>IFERROR((D264-[1]monthly_reporting_2021!E55)/D264, )</f>
        <v>0</v>
      </c>
      <c r="X264" s="271">
        <f>IFERROR((F264-[1]monthly_reporting_2021!F55)/F264, )</f>
        <v>0</v>
      </c>
      <c r="Y264" s="50"/>
      <c r="Z264" s="50"/>
      <c r="AA264" s="50"/>
    </row>
    <row r="265" spans="1:27" ht="12.75" hidden="1" outlineLevel="1" x14ac:dyDescent="0.2">
      <c r="A265" s="50"/>
      <c r="B265" s="69">
        <v>45739</v>
      </c>
      <c r="C265" s="70" t="s">
        <v>32</v>
      </c>
      <c r="D265" s="71">
        <v>8096.74</v>
      </c>
      <c r="E265" s="75"/>
      <c r="F265" s="73">
        <v>23</v>
      </c>
      <c r="G265" s="73">
        <v>25</v>
      </c>
      <c r="H265" s="74">
        <f t="shared" si="0"/>
        <v>0.92</v>
      </c>
      <c r="I265" s="75">
        <f t="shared" si="1"/>
        <v>352.03217391304349</v>
      </c>
      <c r="J265" s="76">
        <f t="shared" si="2"/>
        <v>382.64366729678636</v>
      </c>
      <c r="K265" s="77">
        <v>508.84</v>
      </c>
      <c r="L265" s="73">
        <v>99126</v>
      </c>
      <c r="M265" s="73">
        <v>5</v>
      </c>
      <c r="N265" s="78">
        <v>900.33</v>
      </c>
      <c r="O265" s="79">
        <f t="shared" si="67"/>
        <v>0.56517054857663296</v>
      </c>
      <c r="P265" s="80">
        <f t="shared" si="4"/>
        <v>1.7693774074365225</v>
      </c>
      <c r="Q265" s="79">
        <f t="shared" si="5"/>
        <v>6.2845046277884675E-2</v>
      </c>
      <c r="R265" s="81">
        <f t="shared" si="6"/>
        <v>0.11119660505339186</v>
      </c>
      <c r="S265" s="82">
        <f t="shared" ref="S265:S281" si="71">D265-N265</f>
        <v>7196.41</v>
      </c>
      <c r="T265" s="83">
        <f t="shared" si="8"/>
        <v>101.768</v>
      </c>
      <c r="U265" s="135"/>
      <c r="V265" s="135"/>
      <c r="W265" s="135"/>
      <c r="X265" s="135"/>
      <c r="Y265" s="136"/>
      <c r="Z265" s="50"/>
      <c r="AA265" s="50"/>
    </row>
    <row r="266" spans="1:27" ht="12.75" hidden="1" outlineLevel="1" x14ac:dyDescent="0.2">
      <c r="A266" s="50"/>
      <c r="B266" s="137"/>
      <c r="C266" s="70" t="s">
        <v>33</v>
      </c>
      <c r="D266" s="87">
        <v>9235.01</v>
      </c>
      <c r="E266" s="75"/>
      <c r="F266" s="73">
        <v>47</v>
      </c>
      <c r="G266" s="73">
        <v>46</v>
      </c>
      <c r="H266" s="74">
        <f t="shared" si="0"/>
        <v>1.0217391304347827</v>
      </c>
      <c r="I266" s="75">
        <f t="shared" si="1"/>
        <v>196.48957446808512</v>
      </c>
      <c r="J266" s="76">
        <f t="shared" si="2"/>
        <v>192.30894522408329</v>
      </c>
      <c r="K266" s="87">
        <v>217.32</v>
      </c>
      <c r="L266" s="73">
        <v>91243</v>
      </c>
      <c r="M266" s="73">
        <v>7</v>
      </c>
      <c r="N266" s="88">
        <v>1471.02</v>
      </c>
      <c r="O266" s="79">
        <f t="shared" si="67"/>
        <v>0.14773422523147203</v>
      </c>
      <c r="P266" s="80">
        <f t="shared" si="4"/>
        <v>6.7689122032026505</v>
      </c>
      <c r="Q266" s="79">
        <f t="shared" si="5"/>
        <v>2.3532188920206906E-2</v>
      </c>
      <c r="R266" s="81">
        <f t="shared" si="6"/>
        <v>0.15928732075005875</v>
      </c>
      <c r="S266" s="89">
        <f t="shared" si="71"/>
        <v>7763.99</v>
      </c>
      <c r="T266" s="83">
        <f t="shared" si="8"/>
        <v>31.045714285714286</v>
      </c>
      <c r="U266" s="135"/>
      <c r="V266" s="135"/>
      <c r="W266" s="135"/>
      <c r="X266" s="135"/>
      <c r="Y266" s="136"/>
      <c r="Z266" s="50"/>
      <c r="AA266" s="50"/>
    </row>
    <row r="267" spans="1:27" ht="12.75" hidden="1" outlineLevel="1" x14ac:dyDescent="0.2">
      <c r="A267" s="50"/>
      <c r="B267" s="137"/>
      <c r="C267" s="70" t="s">
        <v>34</v>
      </c>
      <c r="D267" s="90">
        <v>139.9</v>
      </c>
      <c r="E267" s="75"/>
      <c r="F267" s="73">
        <v>2</v>
      </c>
      <c r="G267" s="73">
        <v>1</v>
      </c>
      <c r="H267" s="74">
        <f t="shared" si="0"/>
        <v>2</v>
      </c>
      <c r="I267" s="75">
        <f t="shared" si="1"/>
        <v>69.95</v>
      </c>
      <c r="J267" s="76">
        <f t="shared" si="2"/>
        <v>34.975000000000001</v>
      </c>
      <c r="K267" s="90">
        <v>0</v>
      </c>
      <c r="L267" s="73">
        <v>0</v>
      </c>
      <c r="M267" s="73">
        <v>0</v>
      </c>
      <c r="N267" s="91">
        <v>0</v>
      </c>
      <c r="O267" s="79" t="e">
        <f>(K267/N267)</f>
        <v>#DIV/0!</v>
      </c>
      <c r="P267" s="80" t="e">
        <f t="shared" si="4"/>
        <v>#DIV/0!</v>
      </c>
      <c r="Q267" s="79">
        <f t="shared" si="5"/>
        <v>0</v>
      </c>
      <c r="R267" s="81">
        <f t="shared" si="6"/>
        <v>0</v>
      </c>
      <c r="S267" s="92">
        <f t="shared" si="71"/>
        <v>139.9</v>
      </c>
      <c r="T267" s="83" t="e">
        <f t="shared" si="8"/>
        <v>#DIV/0!</v>
      </c>
      <c r="U267" s="135"/>
      <c r="V267" s="135"/>
      <c r="W267" s="135"/>
      <c r="X267" s="135"/>
      <c r="Y267" s="136"/>
      <c r="Z267" s="50"/>
      <c r="AA267" s="50"/>
    </row>
    <row r="268" spans="1:27" ht="12.75" hidden="1" outlineLevel="1" x14ac:dyDescent="0.2">
      <c r="A268" s="50"/>
      <c r="B268" s="137"/>
      <c r="C268" s="70" t="s">
        <v>35</v>
      </c>
      <c r="D268" s="90">
        <v>530.54999999999995</v>
      </c>
      <c r="E268" s="75"/>
      <c r="F268" s="73">
        <v>9</v>
      </c>
      <c r="G268" s="73">
        <v>6</v>
      </c>
      <c r="H268" s="74">
        <f t="shared" ref="H268:H522" si="72">F268/G268</f>
        <v>1.5</v>
      </c>
      <c r="I268" s="75">
        <f t="shared" ref="I268:I522" si="73">D268/F268</f>
        <v>58.949999999999996</v>
      </c>
      <c r="J268" s="76">
        <f t="shared" ref="J268:J522" si="74">I268/H268</f>
        <v>39.299999999999997</v>
      </c>
      <c r="K268" s="90">
        <v>88.02</v>
      </c>
      <c r="L268" s="73">
        <v>7631</v>
      </c>
      <c r="M268" s="73">
        <v>2</v>
      </c>
      <c r="N268" s="91">
        <v>119.9</v>
      </c>
      <c r="O268" s="79">
        <f t="shared" ref="O268:O284" si="75">K268/N268</f>
        <v>0.73411175979983312</v>
      </c>
      <c r="P268" s="80">
        <f t="shared" ref="P268:P522" si="76">N268/K268</f>
        <v>1.3621904112701659</v>
      </c>
      <c r="Q268" s="79">
        <f t="shared" ref="Q268:Q522" si="77">K268/D268</f>
        <v>0.16590330788804072</v>
      </c>
      <c r="R268" s="81">
        <f t="shared" ref="R268:R522" si="78">N268/D268</f>
        <v>0.22599189520309115</v>
      </c>
      <c r="S268" s="92">
        <f t="shared" si="71"/>
        <v>410.65</v>
      </c>
      <c r="T268" s="83">
        <f t="shared" ref="T268:T522" si="79">K268/M268</f>
        <v>44.01</v>
      </c>
      <c r="U268" s="135"/>
      <c r="V268" s="135"/>
      <c r="W268" s="135"/>
      <c r="X268" s="135"/>
      <c r="Y268" s="136"/>
      <c r="Z268" s="50"/>
      <c r="AA268" s="50"/>
    </row>
    <row r="269" spans="1:27" ht="12.75" hidden="1" outlineLevel="1" x14ac:dyDescent="0.2">
      <c r="A269" s="50"/>
      <c r="B269" s="137"/>
      <c r="C269" s="70" t="s">
        <v>62</v>
      </c>
      <c r="D269" s="200">
        <v>456</v>
      </c>
      <c r="E269" s="75"/>
      <c r="F269" s="73">
        <v>12</v>
      </c>
      <c r="G269" s="73">
        <v>8</v>
      </c>
      <c r="H269" s="74">
        <f t="shared" si="72"/>
        <v>1.5</v>
      </c>
      <c r="I269" s="75">
        <f t="shared" si="73"/>
        <v>38</v>
      </c>
      <c r="J269" s="76">
        <f t="shared" si="74"/>
        <v>25.333333333333332</v>
      </c>
      <c r="K269" s="200">
        <v>0</v>
      </c>
      <c r="L269" s="73">
        <v>0</v>
      </c>
      <c r="M269" s="73">
        <v>0</v>
      </c>
      <c r="N269" s="200">
        <v>0</v>
      </c>
      <c r="O269" s="79" t="e">
        <f t="shared" si="75"/>
        <v>#DIV/0!</v>
      </c>
      <c r="P269" s="80" t="e">
        <f t="shared" si="76"/>
        <v>#DIV/0!</v>
      </c>
      <c r="Q269" s="79">
        <f t="shared" si="77"/>
        <v>0</v>
      </c>
      <c r="R269" s="81">
        <f t="shared" si="78"/>
        <v>0</v>
      </c>
      <c r="S269" s="92">
        <f t="shared" si="71"/>
        <v>456</v>
      </c>
      <c r="T269" s="83" t="e">
        <f t="shared" si="79"/>
        <v>#DIV/0!</v>
      </c>
      <c r="U269" s="135"/>
      <c r="V269" s="135"/>
      <c r="W269" s="135"/>
      <c r="X269" s="135"/>
      <c r="Y269" s="136"/>
      <c r="Z269" s="50"/>
      <c r="AA269" s="50"/>
    </row>
    <row r="270" spans="1:27" ht="12.75" hidden="1" outlineLevel="1" x14ac:dyDescent="0.2">
      <c r="A270" s="50"/>
      <c r="B270" s="137"/>
      <c r="C270" s="70" t="s">
        <v>66</v>
      </c>
      <c r="D270" s="201">
        <v>-64.95</v>
      </c>
      <c r="E270" s="75"/>
      <c r="F270" s="73">
        <v>-1</v>
      </c>
      <c r="G270" s="73">
        <v>1</v>
      </c>
      <c r="H270" s="74">
        <f t="shared" si="72"/>
        <v>-1</v>
      </c>
      <c r="I270" s="75">
        <f t="shared" si="73"/>
        <v>64.95</v>
      </c>
      <c r="J270" s="76">
        <f t="shared" si="74"/>
        <v>-64.95</v>
      </c>
      <c r="K270" s="201">
        <v>3.3</v>
      </c>
      <c r="L270" s="73">
        <v>128</v>
      </c>
      <c r="M270" s="73">
        <v>0</v>
      </c>
      <c r="N270" s="202">
        <v>0</v>
      </c>
      <c r="O270" s="79" t="e">
        <f t="shared" si="75"/>
        <v>#DIV/0!</v>
      </c>
      <c r="P270" s="80">
        <f t="shared" si="76"/>
        <v>0</v>
      </c>
      <c r="Q270" s="79">
        <f t="shared" si="77"/>
        <v>-5.0808314087759814E-2</v>
      </c>
      <c r="R270" s="81">
        <f t="shared" si="78"/>
        <v>0</v>
      </c>
      <c r="S270" s="203">
        <f t="shared" si="71"/>
        <v>-64.95</v>
      </c>
      <c r="T270" s="83" t="e">
        <f t="shared" si="79"/>
        <v>#DIV/0!</v>
      </c>
      <c r="U270" s="135"/>
      <c r="V270" s="135"/>
      <c r="W270" s="135"/>
      <c r="X270" s="135"/>
      <c r="Y270" s="136"/>
      <c r="Z270" s="50"/>
      <c r="AA270" s="50"/>
    </row>
    <row r="271" spans="1:27" ht="12.75" hidden="1" outlineLevel="1" x14ac:dyDescent="0.2">
      <c r="A271" s="50"/>
      <c r="B271" s="137"/>
      <c r="C271" s="70" t="s">
        <v>36</v>
      </c>
      <c r="D271" s="90">
        <v>419.7</v>
      </c>
      <c r="E271" s="75"/>
      <c r="F271" s="73">
        <v>6</v>
      </c>
      <c r="G271" s="73">
        <v>6</v>
      </c>
      <c r="H271" s="74">
        <f t="shared" si="72"/>
        <v>1</v>
      </c>
      <c r="I271" s="75">
        <f t="shared" si="73"/>
        <v>69.95</v>
      </c>
      <c r="J271" s="76">
        <f t="shared" si="74"/>
        <v>69.95</v>
      </c>
      <c r="K271" s="90">
        <v>38.65</v>
      </c>
      <c r="L271" s="73">
        <v>4191</v>
      </c>
      <c r="M271" s="73">
        <v>3</v>
      </c>
      <c r="N271" s="91">
        <v>209.85</v>
      </c>
      <c r="O271" s="79">
        <f t="shared" si="75"/>
        <v>0.1841791756016202</v>
      </c>
      <c r="P271" s="80">
        <f t="shared" si="76"/>
        <v>5.4294954721862876</v>
      </c>
      <c r="Q271" s="79">
        <f t="shared" si="77"/>
        <v>9.2089587800810099E-2</v>
      </c>
      <c r="R271" s="81">
        <f t="shared" si="78"/>
        <v>0.5</v>
      </c>
      <c r="S271" s="92">
        <f t="shared" si="71"/>
        <v>209.85</v>
      </c>
      <c r="T271" s="83">
        <f t="shared" si="79"/>
        <v>12.883333333333333</v>
      </c>
      <c r="U271" s="135"/>
      <c r="V271" s="135"/>
      <c r="W271" s="135"/>
      <c r="X271" s="135"/>
      <c r="Y271" s="136"/>
      <c r="Z271" s="50"/>
      <c r="AA271" s="50"/>
    </row>
    <row r="272" spans="1:27" ht="12.75" hidden="1" outlineLevel="1" x14ac:dyDescent="0.2">
      <c r="A272" s="50"/>
      <c r="B272" s="69" t="s">
        <v>37</v>
      </c>
      <c r="C272" s="70" t="s">
        <v>38</v>
      </c>
      <c r="D272" s="93">
        <v>21.59</v>
      </c>
      <c r="E272" s="75"/>
      <c r="F272" s="73">
        <v>4</v>
      </c>
      <c r="G272" s="73">
        <v>4</v>
      </c>
      <c r="H272" s="74">
        <f t="shared" si="72"/>
        <v>1</v>
      </c>
      <c r="I272" s="75">
        <f t="shared" si="73"/>
        <v>5.3975</v>
      </c>
      <c r="J272" s="76">
        <f t="shared" si="74"/>
        <v>5.3975</v>
      </c>
      <c r="K272" s="93">
        <v>119.39</v>
      </c>
      <c r="L272" s="73">
        <v>10084</v>
      </c>
      <c r="M272" s="73">
        <v>4</v>
      </c>
      <c r="N272" s="94">
        <v>86.24</v>
      </c>
      <c r="O272" s="79">
        <f t="shared" si="75"/>
        <v>1.3843923933209648</v>
      </c>
      <c r="P272" s="80">
        <f t="shared" si="76"/>
        <v>0.72233855431778204</v>
      </c>
      <c r="Q272" s="79">
        <f t="shared" si="77"/>
        <v>5.5298749421028255</v>
      </c>
      <c r="R272" s="81">
        <f t="shared" si="78"/>
        <v>3.9944418712366834</v>
      </c>
      <c r="S272" s="95">
        <f t="shared" si="71"/>
        <v>-64.649999999999991</v>
      </c>
      <c r="T272" s="83">
        <f t="shared" si="79"/>
        <v>29.8475</v>
      </c>
      <c r="U272" s="135"/>
      <c r="V272" s="135"/>
      <c r="W272" s="135"/>
      <c r="X272" s="135"/>
      <c r="Y272" s="136"/>
      <c r="Z272" s="50"/>
      <c r="AA272" s="50"/>
    </row>
    <row r="273" spans="1:27" ht="12.75" hidden="1" outlineLevel="1" x14ac:dyDescent="0.2">
      <c r="A273" s="50"/>
      <c r="B273" s="137"/>
      <c r="C273" s="70" t="s">
        <v>39</v>
      </c>
      <c r="D273" s="96">
        <v>359.89</v>
      </c>
      <c r="E273" s="75"/>
      <c r="F273" s="73">
        <v>3</v>
      </c>
      <c r="G273" s="73">
        <v>3</v>
      </c>
      <c r="H273" s="74">
        <f t="shared" si="72"/>
        <v>1</v>
      </c>
      <c r="I273" s="75">
        <f t="shared" si="73"/>
        <v>119.96333333333332</v>
      </c>
      <c r="J273" s="76">
        <f t="shared" si="74"/>
        <v>119.96333333333332</v>
      </c>
      <c r="K273" s="96">
        <v>0</v>
      </c>
      <c r="L273" s="73">
        <v>0</v>
      </c>
      <c r="M273" s="73">
        <v>0</v>
      </c>
      <c r="N273" s="97">
        <v>0</v>
      </c>
      <c r="O273" s="79" t="e">
        <f t="shared" si="75"/>
        <v>#DIV/0!</v>
      </c>
      <c r="P273" s="80" t="e">
        <f t="shared" si="76"/>
        <v>#DIV/0!</v>
      </c>
      <c r="Q273" s="79">
        <f t="shared" si="77"/>
        <v>0</v>
      </c>
      <c r="R273" s="81">
        <f t="shared" si="78"/>
        <v>0</v>
      </c>
      <c r="S273" s="98">
        <f t="shared" si="71"/>
        <v>359.89</v>
      </c>
      <c r="T273" s="83" t="e">
        <f t="shared" si="79"/>
        <v>#DIV/0!</v>
      </c>
      <c r="U273" s="135"/>
      <c r="V273" s="135"/>
      <c r="W273" s="135"/>
      <c r="X273" s="135"/>
      <c r="Y273" s="136"/>
      <c r="Z273" s="50"/>
      <c r="AA273" s="50"/>
    </row>
    <row r="274" spans="1:27" ht="12.75" hidden="1" outlineLevel="1" x14ac:dyDescent="0.2">
      <c r="A274" s="50"/>
      <c r="B274" s="137"/>
      <c r="C274" s="70" t="s">
        <v>40</v>
      </c>
      <c r="D274" s="99">
        <v>1327.09</v>
      </c>
      <c r="E274" s="75"/>
      <c r="F274" s="73">
        <v>27</v>
      </c>
      <c r="G274" s="73">
        <v>13</v>
      </c>
      <c r="H274" s="74">
        <f t="shared" si="72"/>
        <v>2.0769230769230771</v>
      </c>
      <c r="I274" s="75">
        <f t="shared" si="73"/>
        <v>49.151481481481476</v>
      </c>
      <c r="J274" s="76">
        <f t="shared" si="74"/>
        <v>23.665528120713301</v>
      </c>
      <c r="K274" s="99">
        <v>0</v>
      </c>
      <c r="L274" s="73">
        <v>0</v>
      </c>
      <c r="M274" s="73">
        <v>0</v>
      </c>
      <c r="N274" s="100">
        <v>0</v>
      </c>
      <c r="O274" s="79" t="e">
        <f t="shared" si="75"/>
        <v>#DIV/0!</v>
      </c>
      <c r="P274" s="80" t="e">
        <f t="shared" si="76"/>
        <v>#DIV/0!</v>
      </c>
      <c r="Q274" s="79">
        <f t="shared" si="77"/>
        <v>0</v>
      </c>
      <c r="R274" s="81">
        <f t="shared" si="78"/>
        <v>0</v>
      </c>
      <c r="S274" s="101">
        <f t="shared" si="71"/>
        <v>1327.09</v>
      </c>
      <c r="T274" s="83" t="e">
        <f t="shared" si="79"/>
        <v>#DIV/0!</v>
      </c>
      <c r="U274" s="135"/>
      <c r="V274" s="135"/>
      <c r="W274" s="135"/>
      <c r="X274" s="135"/>
      <c r="Y274" s="136"/>
      <c r="Z274" s="50"/>
      <c r="AA274" s="50"/>
    </row>
    <row r="275" spans="1:27" ht="12.75" hidden="1" outlineLevel="1" x14ac:dyDescent="0.2">
      <c r="A275" s="50"/>
      <c r="B275" s="137"/>
      <c r="C275" s="70" t="s">
        <v>41</v>
      </c>
      <c r="D275" s="102">
        <v>66.989999999999995</v>
      </c>
      <c r="E275" s="75"/>
      <c r="F275" s="73">
        <v>1</v>
      </c>
      <c r="G275" s="73">
        <v>1</v>
      </c>
      <c r="H275" s="74">
        <f t="shared" si="72"/>
        <v>1</v>
      </c>
      <c r="I275" s="75">
        <f t="shared" si="73"/>
        <v>66.989999999999995</v>
      </c>
      <c r="J275" s="76">
        <f t="shared" si="74"/>
        <v>66.989999999999995</v>
      </c>
      <c r="K275" s="102">
        <v>0</v>
      </c>
      <c r="L275" s="73">
        <v>0</v>
      </c>
      <c r="M275" s="73">
        <v>0</v>
      </c>
      <c r="N275" s="103">
        <v>0</v>
      </c>
      <c r="O275" s="79" t="e">
        <f t="shared" si="75"/>
        <v>#DIV/0!</v>
      </c>
      <c r="P275" s="80" t="e">
        <f t="shared" si="76"/>
        <v>#DIV/0!</v>
      </c>
      <c r="Q275" s="79">
        <f t="shared" si="77"/>
        <v>0</v>
      </c>
      <c r="R275" s="81">
        <f t="shared" si="78"/>
        <v>0</v>
      </c>
      <c r="S275" s="104">
        <f t="shared" si="71"/>
        <v>66.989999999999995</v>
      </c>
      <c r="T275" s="83" t="e">
        <f t="shared" si="79"/>
        <v>#DIV/0!</v>
      </c>
      <c r="U275" s="135"/>
      <c r="V275" s="135"/>
      <c r="W275" s="135"/>
      <c r="X275" s="135"/>
      <c r="Y275" s="136"/>
      <c r="Z275" s="50"/>
      <c r="AA275" s="50"/>
    </row>
    <row r="276" spans="1:27" ht="12.75" hidden="1" outlineLevel="1" x14ac:dyDescent="0.2">
      <c r="A276" s="50"/>
      <c r="B276" s="137"/>
      <c r="C276" s="70" t="s">
        <v>42</v>
      </c>
      <c r="D276" s="90">
        <v>159.91999999999999</v>
      </c>
      <c r="E276" s="75"/>
      <c r="F276" s="73">
        <v>8</v>
      </c>
      <c r="G276" s="73">
        <v>6</v>
      </c>
      <c r="H276" s="74">
        <f t="shared" si="72"/>
        <v>1.3333333333333333</v>
      </c>
      <c r="I276" s="75">
        <f t="shared" si="73"/>
        <v>19.989999999999998</v>
      </c>
      <c r="J276" s="76">
        <f t="shared" si="74"/>
        <v>14.9925</v>
      </c>
      <c r="K276" s="90">
        <v>3</v>
      </c>
      <c r="L276" s="73">
        <v>10792</v>
      </c>
      <c r="M276" s="73">
        <v>1</v>
      </c>
      <c r="N276" s="91">
        <v>19.989999999999998</v>
      </c>
      <c r="O276" s="79">
        <f t="shared" si="75"/>
        <v>0.15007503751875939</v>
      </c>
      <c r="P276" s="80">
        <f t="shared" si="76"/>
        <v>6.6633333333333331</v>
      </c>
      <c r="Q276" s="79">
        <f t="shared" si="77"/>
        <v>1.8759379689844924E-2</v>
      </c>
      <c r="R276" s="81">
        <f t="shared" si="78"/>
        <v>0.125</v>
      </c>
      <c r="S276" s="92">
        <f t="shared" si="71"/>
        <v>139.92999999999998</v>
      </c>
      <c r="T276" s="83">
        <f t="shared" si="79"/>
        <v>3</v>
      </c>
      <c r="U276" s="135"/>
      <c r="V276" s="135"/>
      <c r="W276" s="135"/>
      <c r="X276" s="135"/>
      <c r="Y276" s="136"/>
      <c r="Z276" s="50"/>
      <c r="AA276" s="50"/>
    </row>
    <row r="277" spans="1:27" ht="12.75" hidden="1" outlineLevel="1" x14ac:dyDescent="0.2">
      <c r="A277" s="50"/>
      <c r="B277" s="137"/>
      <c r="C277" s="70" t="s">
        <v>43</v>
      </c>
      <c r="D277" s="105">
        <v>344</v>
      </c>
      <c r="E277" s="75"/>
      <c r="F277" s="73">
        <v>2</v>
      </c>
      <c r="G277" s="73">
        <v>2</v>
      </c>
      <c r="H277" s="74">
        <f t="shared" si="72"/>
        <v>1</v>
      </c>
      <c r="I277" s="75">
        <f t="shared" si="73"/>
        <v>172</v>
      </c>
      <c r="J277" s="76">
        <f t="shared" si="74"/>
        <v>172</v>
      </c>
      <c r="K277" s="105">
        <v>8.25</v>
      </c>
      <c r="L277" s="73">
        <v>18913</v>
      </c>
      <c r="M277" s="73">
        <v>0</v>
      </c>
      <c r="N277" s="106">
        <v>0</v>
      </c>
      <c r="O277" s="79" t="e">
        <f t="shared" si="75"/>
        <v>#DIV/0!</v>
      </c>
      <c r="P277" s="80">
        <f t="shared" si="76"/>
        <v>0</v>
      </c>
      <c r="Q277" s="79">
        <f t="shared" si="77"/>
        <v>2.3982558139534885E-2</v>
      </c>
      <c r="R277" s="81">
        <f t="shared" si="78"/>
        <v>0</v>
      </c>
      <c r="S277" s="107">
        <f t="shared" si="71"/>
        <v>344</v>
      </c>
      <c r="T277" s="83" t="e">
        <f t="shared" si="79"/>
        <v>#DIV/0!</v>
      </c>
      <c r="U277" s="135"/>
      <c r="V277" s="135"/>
      <c r="W277" s="135"/>
      <c r="X277" s="135"/>
      <c r="Y277" s="136"/>
      <c r="Z277" s="50"/>
      <c r="AA277" s="50"/>
    </row>
    <row r="278" spans="1:27" ht="12.75" hidden="1" outlineLevel="1" x14ac:dyDescent="0.2">
      <c r="A278" s="50"/>
      <c r="B278" s="137"/>
      <c r="C278" s="70" t="s">
        <v>44</v>
      </c>
      <c r="D278" s="108">
        <v>50.96</v>
      </c>
      <c r="E278" s="75"/>
      <c r="F278" s="73">
        <v>1</v>
      </c>
      <c r="G278" s="73">
        <v>1</v>
      </c>
      <c r="H278" s="74">
        <f t="shared" si="72"/>
        <v>1</v>
      </c>
      <c r="I278" s="75">
        <f t="shared" si="73"/>
        <v>50.96</v>
      </c>
      <c r="J278" s="76">
        <f t="shared" si="74"/>
        <v>50.96</v>
      </c>
      <c r="K278" s="108">
        <v>26.57</v>
      </c>
      <c r="L278" s="73">
        <v>7414</v>
      </c>
      <c r="M278" s="73">
        <v>0</v>
      </c>
      <c r="N278" s="109">
        <v>0</v>
      </c>
      <c r="O278" s="79" t="e">
        <f t="shared" si="75"/>
        <v>#DIV/0!</v>
      </c>
      <c r="P278" s="80">
        <f t="shared" si="76"/>
        <v>0</v>
      </c>
      <c r="Q278" s="79">
        <f t="shared" si="77"/>
        <v>0.52138932496075352</v>
      </c>
      <c r="R278" s="81">
        <f t="shared" si="78"/>
        <v>0</v>
      </c>
      <c r="S278" s="110">
        <f t="shared" si="71"/>
        <v>50.96</v>
      </c>
      <c r="T278" s="83" t="e">
        <f t="shared" si="79"/>
        <v>#DIV/0!</v>
      </c>
      <c r="U278" s="135"/>
      <c r="V278" s="135"/>
      <c r="W278" s="135"/>
      <c r="X278" s="135"/>
      <c r="Y278" s="136"/>
      <c r="Z278" s="50"/>
      <c r="AA278" s="50"/>
    </row>
    <row r="279" spans="1:27" ht="12.75" hidden="1" outlineLevel="1" x14ac:dyDescent="0.2">
      <c r="A279" s="139"/>
      <c r="B279" s="137"/>
      <c r="C279" s="112" t="s">
        <v>45</v>
      </c>
      <c r="D279" s="71">
        <v>79.8</v>
      </c>
      <c r="E279" s="75"/>
      <c r="F279" s="73">
        <v>4</v>
      </c>
      <c r="G279" s="73">
        <v>3</v>
      </c>
      <c r="H279" s="74">
        <f t="shared" si="72"/>
        <v>1.3333333333333333</v>
      </c>
      <c r="I279" s="75">
        <f t="shared" si="73"/>
        <v>19.95</v>
      </c>
      <c r="J279" s="76">
        <f t="shared" si="74"/>
        <v>14.9625</v>
      </c>
      <c r="K279" s="71">
        <v>0</v>
      </c>
      <c r="L279" s="73">
        <v>0</v>
      </c>
      <c r="M279" s="73">
        <v>0</v>
      </c>
      <c r="N279" s="78">
        <v>0</v>
      </c>
      <c r="O279" s="79" t="e">
        <f t="shared" si="75"/>
        <v>#DIV/0!</v>
      </c>
      <c r="P279" s="80" t="e">
        <f t="shared" si="76"/>
        <v>#DIV/0!</v>
      </c>
      <c r="Q279" s="79">
        <f t="shared" si="77"/>
        <v>0</v>
      </c>
      <c r="R279" s="81">
        <f t="shared" si="78"/>
        <v>0</v>
      </c>
      <c r="S279" s="82">
        <f t="shared" si="71"/>
        <v>79.8</v>
      </c>
      <c r="T279" s="83" t="e">
        <f t="shared" si="79"/>
        <v>#DIV/0!</v>
      </c>
      <c r="U279" s="140"/>
      <c r="V279" s="140"/>
      <c r="W279" s="140"/>
      <c r="X279" s="141"/>
      <c r="Y279" s="142"/>
      <c r="Z279" s="50"/>
      <c r="AA279" s="50"/>
    </row>
    <row r="280" spans="1:27" ht="12.75" hidden="1" outlineLevel="1" x14ac:dyDescent="0.2">
      <c r="A280" s="50"/>
      <c r="B280" s="137"/>
      <c r="C280" s="70" t="s">
        <v>46</v>
      </c>
      <c r="D280" s="116">
        <v>203.16</v>
      </c>
      <c r="E280" s="75"/>
      <c r="F280" s="73">
        <v>6</v>
      </c>
      <c r="G280" s="73">
        <v>7</v>
      </c>
      <c r="H280" s="74">
        <f t="shared" si="72"/>
        <v>0.8571428571428571</v>
      </c>
      <c r="I280" s="75">
        <f t="shared" si="73"/>
        <v>33.86</v>
      </c>
      <c r="J280" s="76">
        <f t="shared" si="74"/>
        <v>39.503333333333337</v>
      </c>
      <c r="K280" s="116">
        <v>65.790000000000006</v>
      </c>
      <c r="L280" s="73">
        <v>21355</v>
      </c>
      <c r="M280" s="73">
        <v>3</v>
      </c>
      <c r="N280" s="117">
        <v>102.48</v>
      </c>
      <c r="O280" s="79">
        <f t="shared" si="75"/>
        <v>0.64197892271662771</v>
      </c>
      <c r="P280" s="80">
        <f t="shared" si="76"/>
        <v>1.5576835385316916</v>
      </c>
      <c r="Q280" s="79">
        <f t="shared" si="77"/>
        <v>0.32383343177790908</v>
      </c>
      <c r="R280" s="81">
        <f t="shared" si="78"/>
        <v>0.50443000590667453</v>
      </c>
      <c r="S280" s="82">
        <f t="shared" si="71"/>
        <v>100.67999999999999</v>
      </c>
      <c r="T280" s="83">
        <f t="shared" si="79"/>
        <v>21.930000000000003</v>
      </c>
      <c r="U280" s="135"/>
      <c r="V280" s="135"/>
      <c r="W280" s="135"/>
      <c r="X280" s="135"/>
      <c r="Y280" s="136"/>
      <c r="Z280" s="50"/>
      <c r="AA280" s="50"/>
    </row>
    <row r="281" spans="1:27" ht="12.75" hidden="1" outlineLevel="1" x14ac:dyDescent="0.2">
      <c r="A281" s="118" t="str">
        <f t="shared" ref="A281:A282" si="80">IFERROR(IF(B281&gt;0,MONTH(B281)&amp;"-"&amp;YEAR(B281),B281),)</f>
        <v>3-2025</v>
      </c>
      <c r="B281" s="69">
        <v>45745</v>
      </c>
      <c r="C281" s="70" t="s">
        <v>49</v>
      </c>
      <c r="D281" s="116">
        <v>0</v>
      </c>
      <c r="E281" s="75"/>
      <c r="F281" s="73">
        <v>0</v>
      </c>
      <c r="G281" s="73">
        <v>0</v>
      </c>
      <c r="H281" s="74" t="e">
        <f t="shared" si="72"/>
        <v>#DIV/0!</v>
      </c>
      <c r="I281" s="75" t="e">
        <f t="shared" si="73"/>
        <v>#DIV/0!</v>
      </c>
      <c r="J281" s="76" t="e">
        <f t="shared" si="74"/>
        <v>#DIV/0!</v>
      </c>
      <c r="K281" s="116">
        <v>9.27</v>
      </c>
      <c r="L281" s="73">
        <v>5256</v>
      </c>
      <c r="M281" s="73">
        <v>0</v>
      </c>
      <c r="N281" s="117">
        <v>0</v>
      </c>
      <c r="O281" s="79" t="e">
        <f t="shared" si="75"/>
        <v>#DIV/0!</v>
      </c>
      <c r="P281" s="80">
        <f t="shared" si="76"/>
        <v>0</v>
      </c>
      <c r="Q281" s="79" t="e">
        <f t="shared" si="77"/>
        <v>#DIV/0!</v>
      </c>
      <c r="R281" s="81" t="e">
        <f t="shared" si="78"/>
        <v>#DIV/0!</v>
      </c>
      <c r="S281" s="82">
        <f t="shared" si="71"/>
        <v>0</v>
      </c>
      <c r="T281" s="83" t="e">
        <f t="shared" si="79"/>
        <v>#DIV/0!</v>
      </c>
      <c r="U281" s="135"/>
      <c r="V281" s="135"/>
      <c r="W281" s="135"/>
      <c r="X281" s="135"/>
      <c r="Y281" s="136"/>
      <c r="Z281" s="50"/>
      <c r="AA281" s="50"/>
    </row>
    <row r="282" spans="1:27" ht="12.75" collapsed="1" x14ac:dyDescent="0.2">
      <c r="A282" s="50">
        <f t="shared" si="80"/>
        <v>0</v>
      </c>
      <c r="B282" s="52" t="s">
        <v>71</v>
      </c>
      <c r="C282" s="145"/>
      <c r="D282" s="121">
        <f>SUM(D265:D281)</f>
        <v>21426.35</v>
      </c>
      <c r="E282" s="125"/>
      <c r="F282" s="123">
        <f t="shared" ref="F282:G282" si="81">SUM(F265:F281)</f>
        <v>154</v>
      </c>
      <c r="G282" s="123">
        <f t="shared" si="81"/>
        <v>133</v>
      </c>
      <c r="H282" s="124">
        <f t="shared" si="72"/>
        <v>1.1578947368421053</v>
      </c>
      <c r="I282" s="125">
        <f t="shared" si="73"/>
        <v>139.13214285714284</v>
      </c>
      <c r="J282" s="126">
        <f t="shared" si="74"/>
        <v>120.1595779220779</v>
      </c>
      <c r="K282" s="121">
        <f t="shared" ref="K282:N282" si="82">SUM(K265:K281)</f>
        <v>1088.3999999999999</v>
      </c>
      <c r="L282" s="123">
        <f t="shared" si="82"/>
        <v>276133</v>
      </c>
      <c r="M282" s="123">
        <f t="shared" si="82"/>
        <v>25</v>
      </c>
      <c r="N282" s="127">
        <f t="shared" si="82"/>
        <v>2909.8099999999995</v>
      </c>
      <c r="O282" s="128">
        <f t="shared" si="75"/>
        <v>0.37404504074149175</v>
      </c>
      <c r="P282" s="129">
        <f t="shared" si="76"/>
        <v>2.6734748254318266</v>
      </c>
      <c r="Q282" s="128">
        <f t="shared" si="77"/>
        <v>5.0797265983240261E-2</v>
      </c>
      <c r="R282" s="130">
        <f t="shared" si="78"/>
        <v>0.13580521180695732</v>
      </c>
      <c r="S282" s="131">
        <f>SUM(S265:S281)</f>
        <v>18516.54</v>
      </c>
      <c r="T282" s="132">
        <f t="shared" si="79"/>
        <v>43.535999999999994</v>
      </c>
      <c r="U282" s="133">
        <f>IFERROR((D282-D246)/D282,)</f>
        <v>0.64616838612269478</v>
      </c>
      <c r="V282" s="133">
        <f>IFERROR((F282-F246)/F282,)</f>
        <v>0.38961038961038963</v>
      </c>
      <c r="W282" s="271">
        <f>IFERROR((D282-[1]monthly_reporting_2021!E73)/D282, )</f>
        <v>0</v>
      </c>
      <c r="X282" s="271">
        <f>IFERROR((F282-[1]monthly_reporting_2021!F73)/F282, )</f>
        <v>0</v>
      </c>
      <c r="Y282" s="50"/>
      <c r="Z282" s="50"/>
      <c r="AA282" s="50"/>
    </row>
    <row r="283" spans="1:27" ht="12.75" hidden="1" outlineLevel="1" x14ac:dyDescent="0.2">
      <c r="A283" s="50"/>
      <c r="B283" s="69">
        <v>45746</v>
      </c>
      <c r="C283" s="70" t="s">
        <v>32</v>
      </c>
      <c r="D283" s="71">
        <v>1172.95</v>
      </c>
      <c r="E283" s="75"/>
      <c r="F283" s="73">
        <v>6</v>
      </c>
      <c r="G283" s="73">
        <v>7</v>
      </c>
      <c r="H283" s="74">
        <f t="shared" si="72"/>
        <v>0.8571428571428571</v>
      </c>
      <c r="I283" s="75">
        <f t="shared" si="73"/>
        <v>195.49166666666667</v>
      </c>
      <c r="J283" s="76">
        <f t="shared" si="74"/>
        <v>228.07361111111112</v>
      </c>
      <c r="K283" s="77">
        <v>571.66</v>
      </c>
      <c r="L283" s="73">
        <v>92147</v>
      </c>
      <c r="M283" s="73">
        <v>1</v>
      </c>
      <c r="N283" s="78">
        <v>24.95</v>
      </c>
      <c r="O283" s="79">
        <f t="shared" si="75"/>
        <v>22.912224448897796</v>
      </c>
      <c r="P283" s="80">
        <f t="shared" si="76"/>
        <v>4.3644823846342232E-2</v>
      </c>
      <c r="Q283" s="79">
        <f t="shared" si="77"/>
        <v>0.48736945308836688</v>
      </c>
      <c r="R283" s="81">
        <f t="shared" si="78"/>
        <v>2.1271153928129928E-2</v>
      </c>
      <c r="S283" s="82">
        <f t="shared" ref="S283:S299" si="83">D283-N283</f>
        <v>1148</v>
      </c>
      <c r="T283" s="83">
        <f t="shared" si="79"/>
        <v>571.66</v>
      </c>
      <c r="U283" s="135"/>
      <c r="V283" s="135"/>
      <c r="W283" s="135"/>
      <c r="X283" s="135"/>
      <c r="Y283" s="136"/>
      <c r="Z283" s="50"/>
      <c r="AA283" s="50"/>
    </row>
    <row r="284" spans="1:27" ht="12.75" hidden="1" outlineLevel="1" x14ac:dyDescent="0.2">
      <c r="A284" s="50"/>
      <c r="B284" s="137"/>
      <c r="C284" s="70" t="s">
        <v>33</v>
      </c>
      <c r="D284" s="87">
        <v>10100.64</v>
      </c>
      <c r="E284" s="75"/>
      <c r="F284" s="73">
        <v>65</v>
      </c>
      <c r="G284" s="73">
        <v>57</v>
      </c>
      <c r="H284" s="74">
        <f t="shared" si="72"/>
        <v>1.1403508771929824</v>
      </c>
      <c r="I284" s="75">
        <f t="shared" si="73"/>
        <v>155.39446153846154</v>
      </c>
      <c r="J284" s="76">
        <f t="shared" si="74"/>
        <v>136.26898934911242</v>
      </c>
      <c r="K284" s="87">
        <v>275.57</v>
      </c>
      <c r="L284" s="73">
        <v>103714</v>
      </c>
      <c r="M284" s="73">
        <v>3</v>
      </c>
      <c r="N284" s="88">
        <v>718.38</v>
      </c>
      <c r="O284" s="79">
        <f t="shared" si="75"/>
        <v>0.38359920933210834</v>
      </c>
      <c r="P284" s="80">
        <f t="shared" si="76"/>
        <v>2.6068875421852886</v>
      </c>
      <c r="Q284" s="79">
        <f t="shared" si="77"/>
        <v>2.7282429628221579E-2</v>
      </c>
      <c r="R284" s="81">
        <f t="shared" si="78"/>
        <v>7.1122225918357651E-2</v>
      </c>
      <c r="S284" s="89">
        <f t="shared" si="83"/>
        <v>9382.26</v>
      </c>
      <c r="T284" s="83">
        <f t="shared" si="79"/>
        <v>91.856666666666669</v>
      </c>
      <c r="U284" s="135"/>
      <c r="V284" s="135"/>
      <c r="W284" s="135"/>
      <c r="X284" s="135"/>
      <c r="Y284" s="136"/>
      <c r="Z284" s="50"/>
      <c r="AA284" s="50"/>
    </row>
    <row r="285" spans="1:27" ht="12.75" hidden="1" outlineLevel="1" x14ac:dyDescent="0.2">
      <c r="A285" s="50"/>
      <c r="B285" s="137"/>
      <c r="C285" s="70" t="s">
        <v>34</v>
      </c>
      <c r="D285" s="90">
        <v>0</v>
      </c>
      <c r="E285" s="75"/>
      <c r="F285" s="73">
        <v>0</v>
      </c>
      <c r="G285" s="73">
        <v>0</v>
      </c>
      <c r="H285" s="74" t="e">
        <f t="shared" si="72"/>
        <v>#DIV/0!</v>
      </c>
      <c r="I285" s="75" t="e">
        <f t="shared" si="73"/>
        <v>#DIV/0!</v>
      </c>
      <c r="J285" s="76" t="e">
        <f t="shared" si="74"/>
        <v>#DIV/0!</v>
      </c>
      <c r="K285" s="90">
        <v>0</v>
      </c>
      <c r="L285" s="73">
        <v>1</v>
      </c>
      <c r="M285" s="73">
        <v>0</v>
      </c>
      <c r="N285" s="91">
        <v>0</v>
      </c>
      <c r="O285" s="79" t="e">
        <f>(K285/N285)</f>
        <v>#DIV/0!</v>
      </c>
      <c r="P285" s="80" t="e">
        <f t="shared" si="76"/>
        <v>#DIV/0!</v>
      </c>
      <c r="Q285" s="79" t="e">
        <f t="shared" si="77"/>
        <v>#DIV/0!</v>
      </c>
      <c r="R285" s="81" t="e">
        <f t="shared" si="78"/>
        <v>#DIV/0!</v>
      </c>
      <c r="S285" s="92">
        <f t="shared" si="83"/>
        <v>0</v>
      </c>
      <c r="T285" s="83" t="e">
        <f t="shared" si="79"/>
        <v>#DIV/0!</v>
      </c>
      <c r="U285" s="135"/>
      <c r="V285" s="135"/>
      <c r="W285" s="135"/>
      <c r="X285" s="135"/>
      <c r="Y285" s="136"/>
      <c r="Z285" s="50"/>
      <c r="AA285" s="50"/>
    </row>
    <row r="286" spans="1:27" ht="12.75" hidden="1" outlineLevel="1" x14ac:dyDescent="0.2">
      <c r="A286" s="50"/>
      <c r="B286" s="137"/>
      <c r="C286" s="70" t="s">
        <v>35</v>
      </c>
      <c r="D286" s="90">
        <v>359.7</v>
      </c>
      <c r="E286" s="75"/>
      <c r="F286" s="73">
        <v>6</v>
      </c>
      <c r="G286" s="73">
        <v>5</v>
      </c>
      <c r="H286" s="74">
        <f t="shared" si="72"/>
        <v>1.2</v>
      </c>
      <c r="I286" s="75">
        <f t="shared" si="73"/>
        <v>59.949999999999996</v>
      </c>
      <c r="J286" s="76">
        <f t="shared" si="74"/>
        <v>49.958333333333329</v>
      </c>
      <c r="K286" s="90">
        <v>119.65</v>
      </c>
      <c r="L286" s="73">
        <v>7267</v>
      </c>
      <c r="M286" s="73">
        <v>4</v>
      </c>
      <c r="N286" s="91">
        <v>239.8</v>
      </c>
      <c r="O286" s="79">
        <f t="shared" ref="O286:O302" si="84">K286/N286</f>
        <v>0.4989574645537948</v>
      </c>
      <c r="P286" s="80">
        <f t="shared" si="76"/>
        <v>2.0041788549937318</v>
      </c>
      <c r="Q286" s="79">
        <f t="shared" si="77"/>
        <v>0.33263830970252989</v>
      </c>
      <c r="R286" s="81">
        <f t="shared" si="78"/>
        <v>0.66666666666666674</v>
      </c>
      <c r="S286" s="92">
        <f t="shared" si="83"/>
        <v>119.89999999999998</v>
      </c>
      <c r="T286" s="83">
        <f t="shared" si="79"/>
        <v>29.912500000000001</v>
      </c>
      <c r="U286" s="135"/>
      <c r="V286" s="135"/>
      <c r="W286" s="135"/>
      <c r="X286" s="135"/>
      <c r="Y286" s="136"/>
      <c r="Z286" s="50"/>
      <c r="AA286" s="50"/>
    </row>
    <row r="287" spans="1:27" ht="12.75" hidden="1" outlineLevel="1" x14ac:dyDescent="0.2">
      <c r="A287" s="50"/>
      <c r="B287" s="137"/>
      <c r="C287" s="70" t="s">
        <v>62</v>
      </c>
      <c r="D287" s="200">
        <v>594</v>
      </c>
      <c r="E287" s="75"/>
      <c r="F287" s="73">
        <v>16</v>
      </c>
      <c r="G287" s="73">
        <v>10</v>
      </c>
      <c r="H287" s="74">
        <f t="shared" si="72"/>
        <v>1.6</v>
      </c>
      <c r="I287" s="75">
        <f t="shared" si="73"/>
        <v>37.125</v>
      </c>
      <c r="J287" s="76">
        <f t="shared" si="74"/>
        <v>23.203125</v>
      </c>
      <c r="K287" s="200">
        <v>0</v>
      </c>
      <c r="L287" s="73">
        <v>0</v>
      </c>
      <c r="M287" s="73">
        <v>0</v>
      </c>
      <c r="N287" s="200">
        <v>0</v>
      </c>
      <c r="O287" s="79" t="e">
        <f t="shared" si="84"/>
        <v>#DIV/0!</v>
      </c>
      <c r="P287" s="80" t="e">
        <f t="shared" si="76"/>
        <v>#DIV/0!</v>
      </c>
      <c r="Q287" s="79">
        <f t="shared" si="77"/>
        <v>0</v>
      </c>
      <c r="R287" s="81">
        <f t="shared" si="78"/>
        <v>0</v>
      </c>
      <c r="S287" s="92">
        <f t="shared" si="83"/>
        <v>594</v>
      </c>
      <c r="T287" s="83" t="e">
        <f t="shared" si="79"/>
        <v>#DIV/0!</v>
      </c>
      <c r="U287" s="135"/>
      <c r="V287" s="135"/>
      <c r="W287" s="135"/>
      <c r="X287" s="135"/>
      <c r="Y287" s="136"/>
      <c r="Z287" s="50"/>
      <c r="AA287" s="50"/>
    </row>
    <row r="288" spans="1:27" ht="12.75" hidden="1" outlineLevel="1" x14ac:dyDescent="0.2">
      <c r="A288" s="50"/>
      <c r="B288" s="137"/>
      <c r="C288" s="70" t="s">
        <v>66</v>
      </c>
      <c r="D288" s="201">
        <v>0</v>
      </c>
      <c r="E288" s="75"/>
      <c r="F288" s="73">
        <v>0</v>
      </c>
      <c r="G288" s="73">
        <v>0</v>
      </c>
      <c r="H288" s="74" t="e">
        <f t="shared" si="72"/>
        <v>#DIV/0!</v>
      </c>
      <c r="I288" s="75" t="e">
        <f t="shared" si="73"/>
        <v>#DIV/0!</v>
      </c>
      <c r="J288" s="76" t="e">
        <f t="shared" si="74"/>
        <v>#DIV/0!</v>
      </c>
      <c r="K288" s="201">
        <v>0</v>
      </c>
      <c r="L288" s="73">
        <v>0</v>
      </c>
      <c r="M288" s="73">
        <v>0</v>
      </c>
      <c r="N288" s="202">
        <v>0</v>
      </c>
      <c r="O288" s="79" t="e">
        <f t="shared" si="84"/>
        <v>#DIV/0!</v>
      </c>
      <c r="P288" s="80" t="e">
        <f t="shared" si="76"/>
        <v>#DIV/0!</v>
      </c>
      <c r="Q288" s="79" t="e">
        <f t="shared" si="77"/>
        <v>#DIV/0!</v>
      </c>
      <c r="R288" s="81" t="e">
        <f t="shared" si="78"/>
        <v>#DIV/0!</v>
      </c>
      <c r="S288" s="203">
        <f t="shared" si="83"/>
        <v>0</v>
      </c>
      <c r="T288" s="83" t="e">
        <f t="shared" si="79"/>
        <v>#DIV/0!</v>
      </c>
      <c r="U288" s="135"/>
      <c r="V288" s="135"/>
      <c r="W288" s="135"/>
      <c r="X288" s="135"/>
      <c r="Y288" s="136"/>
      <c r="Z288" s="50"/>
      <c r="AA288" s="50"/>
    </row>
    <row r="289" spans="1:27" ht="12.75" hidden="1" outlineLevel="1" x14ac:dyDescent="0.2">
      <c r="A289" s="50"/>
      <c r="B289" s="137"/>
      <c r="C289" s="70" t="s">
        <v>36</v>
      </c>
      <c r="D289" s="90">
        <v>69.95</v>
      </c>
      <c r="E289" s="75"/>
      <c r="F289" s="73">
        <v>1</v>
      </c>
      <c r="G289" s="73">
        <v>1</v>
      </c>
      <c r="H289" s="74">
        <f t="shared" si="72"/>
        <v>1</v>
      </c>
      <c r="I289" s="75">
        <f t="shared" si="73"/>
        <v>69.95</v>
      </c>
      <c r="J289" s="76">
        <f t="shared" si="74"/>
        <v>69.95</v>
      </c>
      <c r="K289" s="90">
        <v>51.89</v>
      </c>
      <c r="L289" s="73">
        <v>7739</v>
      </c>
      <c r="M289" s="73">
        <v>0</v>
      </c>
      <c r="N289" s="91">
        <v>0</v>
      </c>
      <c r="O289" s="79" t="e">
        <f t="shared" si="84"/>
        <v>#DIV/0!</v>
      </c>
      <c r="P289" s="80">
        <f t="shared" si="76"/>
        <v>0</v>
      </c>
      <c r="Q289" s="79">
        <f t="shared" si="77"/>
        <v>0.74181558255897062</v>
      </c>
      <c r="R289" s="81">
        <f t="shared" si="78"/>
        <v>0</v>
      </c>
      <c r="S289" s="92">
        <f t="shared" si="83"/>
        <v>69.95</v>
      </c>
      <c r="T289" s="83" t="e">
        <f t="shared" si="79"/>
        <v>#DIV/0!</v>
      </c>
      <c r="U289" s="135"/>
      <c r="V289" s="135"/>
      <c r="W289" s="135"/>
      <c r="X289" s="135"/>
      <c r="Y289" s="136"/>
      <c r="Z289" s="50"/>
      <c r="AA289" s="50"/>
    </row>
    <row r="290" spans="1:27" ht="12.75" hidden="1" outlineLevel="1" x14ac:dyDescent="0.2">
      <c r="A290" s="50"/>
      <c r="B290" s="69" t="s">
        <v>37</v>
      </c>
      <c r="C290" s="70" t="s">
        <v>38</v>
      </c>
      <c r="D290" s="93">
        <v>150.91999999999999</v>
      </c>
      <c r="E290" s="75"/>
      <c r="F290" s="73">
        <v>7</v>
      </c>
      <c r="G290" s="73">
        <v>7</v>
      </c>
      <c r="H290" s="74">
        <f t="shared" si="72"/>
        <v>1</v>
      </c>
      <c r="I290" s="75">
        <f t="shared" si="73"/>
        <v>21.56</v>
      </c>
      <c r="J290" s="76">
        <f t="shared" si="74"/>
        <v>21.56</v>
      </c>
      <c r="K290" s="93">
        <v>168.17</v>
      </c>
      <c r="L290" s="73">
        <v>11725</v>
      </c>
      <c r="M290" s="73">
        <v>5</v>
      </c>
      <c r="N290" s="94">
        <v>107.8</v>
      </c>
      <c r="O290" s="79">
        <f t="shared" si="84"/>
        <v>1.5600185528756956</v>
      </c>
      <c r="P290" s="80">
        <f t="shared" si="76"/>
        <v>0.64101801748230958</v>
      </c>
      <c r="Q290" s="79">
        <f t="shared" si="77"/>
        <v>1.1142989663397826</v>
      </c>
      <c r="R290" s="81">
        <f t="shared" si="78"/>
        <v>0.7142857142857143</v>
      </c>
      <c r="S290" s="95">
        <f t="shared" si="83"/>
        <v>43.11999999999999</v>
      </c>
      <c r="T290" s="83">
        <f t="shared" si="79"/>
        <v>33.634</v>
      </c>
      <c r="U290" s="135"/>
      <c r="V290" s="135"/>
      <c r="W290" s="135"/>
      <c r="X290" s="135"/>
      <c r="Y290" s="136"/>
      <c r="Z290" s="50"/>
      <c r="AA290" s="50"/>
    </row>
    <row r="291" spans="1:27" ht="12.75" hidden="1" outlineLevel="1" x14ac:dyDescent="0.2">
      <c r="A291" s="50"/>
      <c r="B291" s="137"/>
      <c r="C291" s="70" t="s">
        <v>39</v>
      </c>
      <c r="D291" s="96">
        <v>0</v>
      </c>
      <c r="E291" s="75"/>
      <c r="F291" s="73">
        <v>0</v>
      </c>
      <c r="G291" s="73">
        <v>0</v>
      </c>
      <c r="H291" s="74" t="e">
        <f t="shared" si="72"/>
        <v>#DIV/0!</v>
      </c>
      <c r="I291" s="75" t="e">
        <f t="shared" si="73"/>
        <v>#DIV/0!</v>
      </c>
      <c r="J291" s="76" t="e">
        <f t="shared" si="74"/>
        <v>#DIV/0!</v>
      </c>
      <c r="K291" s="96">
        <v>0</v>
      </c>
      <c r="L291" s="73">
        <v>0</v>
      </c>
      <c r="M291" s="73">
        <v>0</v>
      </c>
      <c r="N291" s="97">
        <v>0</v>
      </c>
      <c r="O291" s="79" t="e">
        <f t="shared" si="84"/>
        <v>#DIV/0!</v>
      </c>
      <c r="P291" s="80" t="e">
        <f t="shared" si="76"/>
        <v>#DIV/0!</v>
      </c>
      <c r="Q291" s="79" t="e">
        <f t="shared" si="77"/>
        <v>#DIV/0!</v>
      </c>
      <c r="R291" s="81" t="e">
        <f t="shared" si="78"/>
        <v>#DIV/0!</v>
      </c>
      <c r="S291" s="98">
        <f t="shared" si="83"/>
        <v>0</v>
      </c>
      <c r="T291" s="83" t="e">
        <f t="shared" si="79"/>
        <v>#DIV/0!</v>
      </c>
      <c r="U291" s="135"/>
      <c r="V291" s="135"/>
      <c r="W291" s="135"/>
      <c r="X291" s="135"/>
      <c r="Y291" s="136"/>
      <c r="Z291" s="50"/>
      <c r="AA291" s="50"/>
    </row>
    <row r="292" spans="1:27" ht="12.75" hidden="1" outlineLevel="1" x14ac:dyDescent="0.2">
      <c r="A292" s="50"/>
      <c r="B292" s="137"/>
      <c r="C292" s="70" t="s">
        <v>40</v>
      </c>
      <c r="D292" s="99">
        <v>1027.6199999999999</v>
      </c>
      <c r="E292" s="75"/>
      <c r="F292" s="73">
        <v>22</v>
      </c>
      <c r="G292" s="73">
        <v>15</v>
      </c>
      <c r="H292" s="74">
        <f t="shared" si="72"/>
        <v>1.4666666666666666</v>
      </c>
      <c r="I292" s="75">
        <f t="shared" si="73"/>
        <v>46.709999999999994</v>
      </c>
      <c r="J292" s="76">
        <f t="shared" si="74"/>
        <v>31.847727272727269</v>
      </c>
      <c r="K292" s="99">
        <v>0</v>
      </c>
      <c r="L292" s="73">
        <v>0</v>
      </c>
      <c r="M292" s="73">
        <v>0</v>
      </c>
      <c r="N292" s="100">
        <v>0</v>
      </c>
      <c r="O292" s="79" t="e">
        <f t="shared" si="84"/>
        <v>#DIV/0!</v>
      </c>
      <c r="P292" s="80" t="e">
        <f t="shared" si="76"/>
        <v>#DIV/0!</v>
      </c>
      <c r="Q292" s="79">
        <f t="shared" si="77"/>
        <v>0</v>
      </c>
      <c r="R292" s="81">
        <f t="shared" si="78"/>
        <v>0</v>
      </c>
      <c r="S292" s="101">
        <f t="shared" si="83"/>
        <v>1027.6199999999999</v>
      </c>
      <c r="T292" s="83" t="e">
        <f t="shared" si="79"/>
        <v>#DIV/0!</v>
      </c>
      <c r="U292" s="135"/>
      <c r="V292" s="135"/>
      <c r="W292" s="135"/>
      <c r="X292" s="135"/>
      <c r="Y292" s="136"/>
      <c r="Z292" s="50"/>
      <c r="AA292" s="50"/>
    </row>
    <row r="293" spans="1:27" ht="12.75" hidden="1" outlineLevel="1" x14ac:dyDescent="0.2">
      <c r="A293" s="50"/>
      <c r="B293" s="137"/>
      <c r="C293" s="70" t="s">
        <v>41</v>
      </c>
      <c r="D293" s="102">
        <v>349.97</v>
      </c>
      <c r="E293" s="75"/>
      <c r="F293" s="73">
        <v>4</v>
      </c>
      <c r="G293" s="73">
        <v>4</v>
      </c>
      <c r="H293" s="74">
        <f t="shared" si="72"/>
        <v>1</v>
      </c>
      <c r="I293" s="75">
        <f t="shared" si="73"/>
        <v>87.492500000000007</v>
      </c>
      <c r="J293" s="76">
        <f t="shared" si="74"/>
        <v>87.492500000000007</v>
      </c>
      <c r="K293" s="102">
        <v>0</v>
      </c>
      <c r="L293" s="73">
        <v>0</v>
      </c>
      <c r="M293" s="73">
        <v>0</v>
      </c>
      <c r="N293" s="103">
        <v>0</v>
      </c>
      <c r="O293" s="79" t="e">
        <f t="shared" si="84"/>
        <v>#DIV/0!</v>
      </c>
      <c r="P293" s="80" t="e">
        <f t="shared" si="76"/>
        <v>#DIV/0!</v>
      </c>
      <c r="Q293" s="79">
        <f t="shared" si="77"/>
        <v>0</v>
      </c>
      <c r="R293" s="81">
        <f t="shared" si="78"/>
        <v>0</v>
      </c>
      <c r="S293" s="104">
        <f t="shared" si="83"/>
        <v>349.97</v>
      </c>
      <c r="T293" s="83" t="e">
        <f t="shared" si="79"/>
        <v>#DIV/0!</v>
      </c>
      <c r="U293" s="135"/>
      <c r="V293" s="135"/>
      <c r="W293" s="135"/>
      <c r="X293" s="135"/>
      <c r="Y293" s="136"/>
      <c r="Z293" s="50"/>
      <c r="AA293" s="50"/>
    </row>
    <row r="294" spans="1:27" ht="12.75" hidden="1" outlineLevel="1" x14ac:dyDescent="0.2">
      <c r="A294" s="50"/>
      <c r="B294" s="137"/>
      <c r="C294" s="70" t="s">
        <v>42</v>
      </c>
      <c r="D294" s="90">
        <v>59.97</v>
      </c>
      <c r="E294" s="75"/>
      <c r="F294" s="73">
        <v>3</v>
      </c>
      <c r="G294" s="73">
        <v>4</v>
      </c>
      <c r="H294" s="74">
        <f t="shared" si="72"/>
        <v>0.75</v>
      </c>
      <c r="I294" s="75">
        <f t="shared" si="73"/>
        <v>19.989999999999998</v>
      </c>
      <c r="J294" s="76">
        <f t="shared" si="74"/>
        <v>26.653333333333332</v>
      </c>
      <c r="K294" s="90">
        <v>5.72</v>
      </c>
      <c r="L294" s="73">
        <v>15442</v>
      </c>
      <c r="M294" s="73">
        <v>1</v>
      </c>
      <c r="N294" s="91">
        <v>19.989999999999998</v>
      </c>
      <c r="O294" s="79">
        <f t="shared" si="84"/>
        <v>0.2861430715357679</v>
      </c>
      <c r="P294" s="80">
        <f t="shared" si="76"/>
        <v>3.4947552447552446</v>
      </c>
      <c r="Q294" s="79">
        <f t="shared" si="77"/>
        <v>9.5381023845255958E-2</v>
      </c>
      <c r="R294" s="81">
        <f t="shared" si="78"/>
        <v>0.33333333333333331</v>
      </c>
      <c r="S294" s="92">
        <f t="shared" si="83"/>
        <v>39.980000000000004</v>
      </c>
      <c r="T294" s="83">
        <f t="shared" si="79"/>
        <v>5.72</v>
      </c>
      <c r="U294" s="135"/>
      <c r="V294" s="135"/>
      <c r="W294" s="135"/>
      <c r="X294" s="135"/>
      <c r="Y294" s="136"/>
      <c r="Z294" s="50"/>
      <c r="AA294" s="50"/>
    </row>
    <row r="295" spans="1:27" ht="12.75" hidden="1" outlineLevel="1" x14ac:dyDescent="0.2">
      <c r="A295" s="50"/>
      <c r="B295" s="137"/>
      <c r="C295" s="70" t="s">
        <v>43</v>
      </c>
      <c r="D295" s="105">
        <v>447.95</v>
      </c>
      <c r="E295" s="75"/>
      <c r="F295" s="73">
        <v>3</v>
      </c>
      <c r="G295" s="73">
        <v>3</v>
      </c>
      <c r="H295" s="74">
        <f t="shared" si="72"/>
        <v>1</v>
      </c>
      <c r="I295" s="75">
        <f t="shared" si="73"/>
        <v>149.31666666666666</v>
      </c>
      <c r="J295" s="76">
        <f t="shared" si="74"/>
        <v>149.31666666666666</v>
      </c>
      <c r="K295" s="105">
        <v>14.28</v>
      </c>
      <c r="L295" s="73">
        <v>20226</v>
      </c>
      <c r="M295" s="73">
        <v>0</v>
      </c>
      <c r="N295" s="106">
        <v>0</v>
      </c>
      <c r="O295" s="79" t="e">
        <f t="shared" si="84"/>
        <v>#DIV/0!</v>
      </c>
      <c r="P295" s="80">
        <f t="shared" si="76"/>
        <v>0</v>
      </c>
      <c r="Q295" s="79">
        <f t="shared" si="77"/>
        <v>3.1878557874762806E-2</v>
      </c>
      <c r="R295" s="81">
        <f t="shared" si="78"/>
        <v>0</v>
      </c>
      <c r="S295" s="107">
        <f t="shared" si="83"/>
        <v>447.95</v>
      </c>
      <c r="T295" s="83" t="e">
        <f t="shared" si="79"/>
        <v>#DIV/0!</v>
      </c>
      <c r="U295" s="135"/>
      <c r="V295" s="135"/>
      <c r="W295" s="135"/>
      <c r="X295" s="135"/>
      <c r="Y295" s="136"/>
      <c r="Z295" s="50"/>
      <c r="AA295" s="50"/>
    </row>
    <row r="296" spans="1:27" ht="12.75" hidden="1" outlineLevel="1" x14ac:dyDescent="0.2">
      <c r="A296" s="50"/>
      <c r="B296" s="137"/>
      <c r="C296" s="70" t="s">
        <v>44</v>
      </c>
      <c r="D296" s="108">
        <v>230.81</v>
      </c>
      <c r="E296" s="75"/>
      <c r="F296" s="73">
        <v>4</v>
      </c>
      <c r="G296" s="73">
        <v>4</v>
      </c>
      <c r="H296" s="74">
        <f t="shared" si="72"/>
        <v>1</v>
      </c>
      <c r="I296" s="75">
        <f t="shared" si="73"/>
        <v>57.702500000000001</v>
      </c>
      <c r="J296" s="76">
        <f t="shared" si="74"/>
        <v>57.702500000000001</v>
      </c>
      <c r="K296" s="108">
        <v>38.369999999999997</v>
      </c>
      <c r="L296" s="73">
        <v>10457</v>
      </c>
      <c r="M296" s="73">
        <v>2</v>
      </c>
      <c r="N296" s="109">
        <v>119.9</v>
      </c>
      <c r="O296" s="79">
        <f t="shared" si="84"/>
        <v>0.32001668056713922</v>
      </c>
      <c r="P296" s="80">
        <f t="shared" si="76"/>
        <v>3.1248371123273393</v>
      </c>
      <c r="Q296" s="79">
        <f t="shared" si="77"/>
        <v>0.16624063082188811</v>
      </c>
      <c r="R296" s="81">
        <f t="shared" si="78"/>
        <v>0.51947489276894421</v>
      </c>
      <c r="S296" s="110">
        <f t="shared" si="83"/>
        <v>110.91</v>
      </c>
      <c r="T296" s="83">
        <f t="shared" si="79"/>
        <v>19.184999999999999</v>
      </c>
      <c r="U296" s="135"/>
      <c r="V296" s="135"/>
      <c r="W296" s="135"/>
      <c r="X296" s="135"/>
      <c r="Y296" s="136"/>
      <c r="Z296" s="50"/>
      <c r="AA296" s="50"/>
    </row>
    <row r="297" spans="1:27" ht="12.75" hidden="1" outlineLevel="1" x14ac:dyDescent="0.2">
      <c r="A297" s="139"/>
      <c r="B297" s="137"/>
      <c r="C297" s="112" t="s">
        <v>45</v>
      </c>
      <c r="D297" s="71">
        <v>39.9</v>
      </c>
      <c r="E297" s="75"/>
      <c r="F297" s="73">
        <v>2</v>
      </c>
      <c r="G297" s="73">
        <v>1</v>
      </c>
      <c r="H297" s="74">
        <f t="shared" si="72"/>
        <v>2</v>
      </c>
      <c r="I297" s="75">
        <f t="shared" si="73"/>
        <v>19.95</v>
      </c>
      <c r="J297" s="76">
        <f t="shared" si="74"/>
        <v>9.9749999999999996</v>
      </c>
      <c r="K297" s="71">
        <v>0</v>
      </c>
      <c r="L297" s="73">
        <v>0</v>
      </c>
      <c r="M297" s="73">
        <v>0</v>
      </c>
      <c r="N297" s="78">
        <v>0</v>
      </c>
      <c r="O297" s="79" t="e">
        <f t="shared" si="84"/>
        <v>#DIV/0!</v>
      </c>
      <c r="P297" s="80" t="e">
        <f t="shared" si="76"/>
        <v>#DIV/0!</v>
      </c>
      <c r="Q297" s="79">
        <f t="shared" si="77"/>
        <v>0</v>
      </c>
      <c r="R297" s="81">
        <f t="shared" si="78"/>
        <v>0</v>
      </c>
      <c r="S297" s="82">
        <f t="shared" si="83"/>
        <v>39.9</v>
      </c>
      <c r="T297" s="83" t="e">
        <f t="shared" si="79"/>
        <v>#DIV/0!</v>
      </c>
      <c r="U297" s="140"/>
      <c r="V297" s="140"/>
      <c r="W297" s="140"/>
      <c r="X297" s="141"/>
      <c r="Y297" s="142"/>
      <c r="Z297" s="50"/>
      <c r="AA297" s="50"/>
    </row>
    <row r="298" spans="1:27" ht="12.75" hidden="1" outlineLevel="1" x14ac:dyDescent="0.2">
      <c r="A298" s="50"/>
      <c r="B298" s="137"/>
      <c r="C298" s="70" t="s">
        <v>46</v>
      </c>
      <c r="D298" s="116">
        <v>654.23</v>
      </c>
      <c r="E298" s="75"/>
      <c r="F298" s="73">
        <v>19</v>
      </c>
      <c r="G298" s="73">
        <v>21</v>
      </c>
      <c r="H298" s="74">
        <f t="shared" si="72"/>
        <v>0.90476190476190477</v>
      </c>
      <c r="I298" s="75">
        <f t="shared" si="73"/>
        <v>34.433157894736844</v>
      </c>
      <c r="J298" s="76">
        <f t="shared" si="74"/>
        <v>38.057700831024931</v>
      </c>
      <c r="K298" s="116">
        <v>101.78</v>
      </c>
      <c r="L298" s="73">
        <v>25729</v>
      </c>
      <c r="M298" s="73">
        <v>8</v>
      </c>
      <c r="N298" s="117">
        <v>273.27999999999997</v>
      </c>
      <c r="O298" s="79">
        <f t="shared" si="84"/>
        <v>0.37243852459016397</v>
      </c>
      <c r="P298" s="80">
        <f t="shared" si="76"/>
        <v>2.6850068775790921</v>
      </c>
      <c r="Q298" s="79">
        <f t="shared" si="77"/>
        <v>0.15557219937942313</v>
      </c>
      <c r="R298" s="81">
        <f t="shared" si="78"/>
        <v>0.41771242529385683</v>
      </c>
      <c r="S298" s="82">
        <f t="shared" si="83"/>
        <v>380.95000000000005</v>
      </c>
      <c r="T298" s="83">
        <f t="shared" si="79"/>
        <v>12.7225</v>
      </c>
      <c r="U298" s="135"/>
      <c r="V298" s="135"/>
      <c r="W298" s="135"/>
      <c r="X298" s="135"/>
      <c r="Y298" s="136"/>
      <c r="Z298" s="50"/>
      <c r="AA298" s="50"/>
    </row>
    <row r="299" spans="1:27" ht="12.75" hidden="1" outlineLevel="1" x14ac:dyDescent="0.2">
      <c r="A299" s="118" t="str">
        <f t="shared" ref="A299:A300" si="85">IFERROR(IF(B299&gt;0,MONTH(B299)&amp;"-"&amp;YEAR(B299),B299),)</f>
        <v>4-2025</v>
      </c>
      <c r="B299" s="69">
        <v>45752</v>
      </c>
      <c r="C299" s="70" t="s">
        <v>49</v>
      </c>
      <c r="D299" s="116">
        <v>0</v>
      </c>
      <c r="E299" s="75"/>
      <c r="F299" s="73">
        <v>0</v>
      </c>
      <c r="G299" s="73">
        <v>0</v>
      </c>
      <c r="H299" s="74" t="e">
        <f t="shared" si="72"/>
        <v>#DIV/0!</v>
      </c>
      <c r="I299" s="75" t="e">
        <f t="shared" si="73"/>
        <v>#DIV/0!</v>
      </c>
      <c r="J299" s="76" t="e">
        <f t="shared" si="74"/>
        <v>#DIV/0!</v>
      </c>
      <c r="K299" s="116">
        <v>8.8000000000000007</v>
      </c>
      <c r="L299" s="73">
        <v>6264</v>
      </c>
      <c r="M299" s="73">
        <v>0</v>
      </c>
      <c r="N299" s="117">
        <v>0</v>
      </c>
      <c r="O299" s="79" t="e">
        <f t="shared" si="84"/>
        <v>#DIV/0!</v>
      </c>
      <c r="P299" s="80">
        <f t="shared" si="76"/>
        <v>0</v>
      </c>
      <c r="Q299" s="79" t="e">
        <f t="shared" si="77"/>
        <v>#DIV/0!</v>
      </c>
      <c r="R299" s="81" t="e">
        <f t="shared" si="78"/>
        <v>#DIV/0!</v>
      </c>
      <c r="S299" s="82">
        <f t="shared" si="83"/>
        <v>0</v>
      </c>
      <c r="T299" s="83" t="e">
        <f t="shared" si="79"/>
        <v>#DIV/0!</v>
      </c>
      <c r="U299" s="135"/>
      <c r="V299" s="135"/>
      <c r="W299" s="135"/>
      <c r="X299" s="135"/>
      <c r="Y299" s="136"/>
      <c r="Z299" s="50"/>
      <c r="AA299" s="50"/>
    </row>
    <row r="300" spans="1:27" ht="12.75" collapsed="1" x14ac:dyDescent="0.2">
      <c r="A300" s="50">
        <f t="shared" si="85"/>
        <v>0</v>
      </c>
      <c r="B300" s="52" t="s">
        <v>72</v>
      </c>
      <c r="C300" s="145"/>
      <c r="D300" s="121">
        <f>SUM(D283:D299)</f>
        <v>15258.61</v>
      </c>
      <c r="E300" s="125"/>
      <c r="F300" s="123">
        <f t="shared" ref="F300:G300" si="86">SUM(F283:F299)</f>
        <v>158</v>
      </c>
      <c r="G300" s="123">
        <f t="shared" si="86"/>
        <v>139</v>
      </c>
      <c r="H300" s="124">
        <f t="shared" si="72"/>
        <v>1.1366906474820144</v>
      </c>
      <c r="I300" s="125">
        <f t="shared" si="73"/>
        <v>96.573481012658235</v>
      </c>
      <c r="J300" s="126">
        <f t="shared" si="74"/>
        <v>84.960214308604392</v>
      </c>
      <c r="K300" s="121">
        <f t="shared" ref="K300:N300" si="87">SUM(K283:K299)</f>
        <v>1355.8899999999999</v>
      </c>
      <c r="L300" s="123">
        <f t="shared" si="87"/>
        <v>300711</v>
      </c>
      <c r="M300" s="123">
        <f t="shared" si="87"/>
        <v>24</v>
      </c>
      <c r="N300" s="127">
        <f t="shared" si="87"/>
        <v>1504.1000000000001</v>
      </c>
      <c r="O300" s="128">
        <f t="shared" si="84"/>
        <v>0.90146266870553804</v>
      </c>
      <c r="P300" s="129">
        <f t="shared" si="76"/>
        <v>1.1093082772201286</v>
      </c>
      <c r="Q300" s="128">
        <f t="shared" si="77"/>
        <v>8.8860649823280097E-2</v>
      </c>
      <c r="R300" s="130">
        <f t="shared" si="78"/>
        <v>9.8573854368123964E-2</v>
      </c>
      <c r="S300" s="131">
        <f>SUM(S283:S299)</f>
        <v>13754.510000000002</v>
      </c>
      <c r="T300" s="132">
        <f t="shared" si="79"/>
        <v>56.495416666666664</v>
      </c>
      <c r="U300" s="133">
        <f>IFERROR((D300-D246)/D300,)</f>
        <v>0.50314478186414113</v>
      </c>
      <c r="V300" s="133">
        <f>IFERROR((F300-F246)/F300,)</f>
        <v>0.4050632911392405</v>
      </c>
      <c r="W300" s="271">
        <f>IFERROR((D300-[1]monthly_reporting_2021!E91)/D300, )</f>
        <v>0</v>
      </c>
      <c r="X300" s="271">
        <f>IFERROR((F300-[1]monthly_reporting_2021!F91)/F300, )</f>
        <v>0</v>
      </c>
      <c r="Y300" s="50"/>
      <c r="Z300" s="50"/>
      <c r="AA300" s="50"/>
    </row>
    <row r="301" spans="1:27" ht="12.75" hidden="1" outlineLevel="1" x14ac:dyDescent="0.2">
      <c r="A301" s="50"/>
      <c r="B301" s="69">
        <v>45753</v>
      </c>
      <c r="C301" s="70" t="s">
        <v>32</v>
      </c>
      <c r="D301" s="71">
        <v>4611.5600000000004</v>
      </c>
      <c r="E301" s="75">
        <f t="shared" ref="E301:E317" si="88">D301/F301</f>
        <v>384.29666666666668</v>
      </c>
      <c r="F301" s="73">
        <v>12</v>
      </c>
      <c r="G301" s="73">
        <v>13</v>
      </c>
      <c r="H301" s="74">
        <f t="shared" si="72"/>
        <v>0.92307692307692313</v>
      </c>
      <c r="I301" s="75">
        <f t="shared" si="73"/>
        <v>384.29666666666668</v>
      </c>
      <c r="J301" s="76">
        <f t="shared" si="74"/>
        <v>416.32138888888886</v>
      </c>
      <c r="K301" s="77">
        <v>449.95</v>
      </c>
      <c r="L301" s="73">
        <v>96209</v>
      </c>
      <c r="M301" s="73">
        <v>4</v>
      </c>
      <c r="N301" s="78">
        <v>2151.9499999999998</v>
      </c>
      <c r="O301" s="79">
        <f t="shared" si="84"/>
        <v>0.2090894305165083</v>
      </c>
      <c r="P301" s="80">
        <f t="shared" si="76"/>
        <v>4.7826425158350929</v>
      </c>
      <c r="Q301" s="79">
        <f t="shared" si="77"/>
        <v>9.7570019689649484E-2</v>
      </c>
      <c r="R301" s="81">
        <f t="shared" si="78"/>
        <v>0.46664252443858467</v>
      </c>
      <c r="S301" s="82">
        <f t="shared" ref="S301:S317" si="89">D301-N301</f>
        <v>2459.6100000000006</v>
      </c>
      <c r="T301" s="83">
        <f t="shared" si="79"/>
        <v>112.4875</v>
      </c>
      <c r="U301" s="135"/>
      <c r="V301" s="135"/>
      <c r="W301" s="135"/>
      <c r="X301" s="135"/>
      <c r="Y301" s="136"/>
      <c r="Z301" s="50"/>
      <c r="AA301" s="50"/>
    </row>
    <row r="302" spans="1:27" ht="12.75" hidden="1" outlineLevel="1" x14ac:dyDescent="0.2">
      <c r="A302" s="50"/>
      <c r="B302" s="137"/>
      <c r="C302" s="70" t="s">
        <v>33</v>
      </c>
      <c r="D302" s="87">
        <v>3422.82</v>
      </c>
      <c r="E302" s="75">
        <f t="shared" si="88"/>
        <v>72.825957446808516</v>
      </c>
      <c r="F302" s="73">
        <v>47</v>
      </c>
      <c r="G302" s="73">
        <v>40</v>
      </c>
      <c r="H302" s="74">
        <f t="shared" si="72"/>
        <v>1.175</v>
      </c>
      <c r="I302" s="75">
        <f t="shared" si="73"/>
        <v>72.825957446808516</v>
      </c>
      <c r="J302" s="76">
        <f t="shared" si="74"/>
        <v>61.979538252602993</v>
      </c>
      <c r="K302" s="87">
        <v>265.33</v>
      </c>
      <c r="L302" s="73">
        <v>104909</v>
      </c>
      <c r="M302" s="73">
        <v>4</v>
      </c>
      <c r="N302" s="88">
        <v>219.85</v>
      </c>
      <c r="O302" s="79">
        <f t="shared" si="84"/>
        <v>1.2068683193086194</v>
      </c>
      <c r="P302" s="80">
        <f t="shared" si="76"/>
        <v>0.8285908114423548</v>
      </c>
      <c r="Q302" s="79">
        <f t="shared" si="77"/>
        <v>7.7517953032879311E-2</v>
      </c>
      <c r="R302" s="81">
        <f t="shared" si="78"/>
        <v>6.4230663604863819E-2</v>
      </c>
      <c r="S302" s="89">
        <f t="shared" si="89"/>
        <v>3202.9700000000003</v>
      </c>
      <c r="T302" s="83">
        <f t="shared" si="79"/>
        <v>66.332499999999996</v>
      </c>
      <c r="U302" s="135"/>
      <c r="V302" s="135"/>
      <c r="W302" s="135"/>
      <c r="X302" s="135"/>
      <c r="Y302" s="136"/>
      <c r="Z302" s="50"/>
      <c r="AA302" s="50"/>
    </row>
    <row r="303" spans="1:27" ht="12.75" hidden="1" outlineLevel="1" x14ac:dyDescent="0.2">
      <c r="A303" s="50"/>
      <c r="B303" s="137"/>
      <c r="C303" s="70" t="s">
        <v>34</v>
      </c>
      <c r="D303" s="90">
        <v>0</v>
      </c>
      <c r="E303" s="75" t="e">
        <f t="shared" si="88"/>
        <v>#DIV/0!</v>
      </c>
      <c r="F303" s="73">
        <v>0</v>
      </c>
      <c r="G303" s="73">
        <v>0</v>
      </c>
      <c r="H303" s="74" t="e">
        <f t="shared" si="72"/>
        <v>#DIV/0!</v>
      </c>
      <c r="I303" s="75" t="e">
        <f t="shared" si="73"/>
        <v>#DIV/0!</v>
      </c>
      <c r="J303" s="76" t="e">
        <f t="shared" si="74"/>
        <v>#DIV/0!</v>
      </c>
      <c r="K303" s="90">
        <v>0</v>
      </c>
      <c r="L303" s="73">
        <v>1</v>
      </c>
      <c r="M303" s="73">
        <v>0</v>
      </c>
      <c r="N303" s="91">
        <v>0</v>
      </c>
      <c r="O303" s="79" t="e">
        <f>(K303/N303)</f>
        <v>#DIV/0!</v>
      </c>
      <c r="P303" s="80" t="e">
        <f t="shared" si="76"/>
        <v>#DIV/0!</v>
      </c>
      <c r="Q303" s="79" t="e">
        <f t="shared" si="77"/>
        <v>#DIV/0!</v>
      </c>
      <c r="R303" s="81" t="e">
        <f t="shared" si="78"/>
        <v>#DIV/0!</v>
      </c>
      <c r="S303" s="92">
        <f t="shared" si="89"/>
        <v>0</v>
      </c>
      <c r="T303" s="83" t="e">
        <f t="shared" si="79"/>
        <v>#DIV/0!</v>
      </c>
      <c r="U303" s="135"/>
      <c r="V303" s="135"/>
      <c r="W303" s="135"/>
      <c r="X303" s="135"/>
      <c r="Y303" s="136"/>
      <c r="Z303" s="50"/>
      <c r="AA303" s="50"/>
    </row>
    <row r="304" spans="1:27" ht="12.75" hidden="1" outlineLevel="1" x14ac:dyDescent="0.2">
      <c r="A304" s="50"/>
      <c r="B304" s="137"/>
      <c r="C304" s="70" t="s">
        <v>35</v>
      </c>
      <c r="D304" s="90">
        <v>239.8</v>
      </c>
      <c r="E304" s="75">
        <f t="shared" si="88"/>
        <v>59.95</v>
      </c>
      <c r="F304" s="73">
        <v>4</v>
      </c>
      <c r="G304" s="73">
        <v>3</v>
      </c>
      <c r="H304" s="74">
        <f t="shared" si="72"/>
        <v>1.3333333333333333</v>
      </c>
      <c r="I304" s="75">
        <f t="shared" si="73"/>
        <v>59.95</v>
      </c>
      <c r="J304" s="76">
        <f t="shared" si="74"/>
        <v>44.962500000000006</v>
      </c>
      <c r="K304" s="90">
        <v>115.54</v>
      </c>
      <c r="L304" s="73">
        <v>8991</v>
      </c>
      <c r="M304" s="73">
        <v>1</v>
      </c>
      <c r="N304" s="91">
        <v>59.95</v>
      </c>
      <c r="O304" s="79">
        <f t="shared" ref="O304:O320" si="90">K304/N304</f>
        <v>1.9272727272727272</v>
      </c>
      <c r="P304" s="80">
        <f t="shared" si="76"/>
        <v>0.51886792452830188</v>
      </c>
      <c r="Q304" s="79">
        <f t="shared" si="77"/>
        <v>0.48181818181818181</v>
      </c>
      <c r="R304" s="81">
        <f t="shared" si="78"/>
        <v>0.25</v>
      </c>
      <c r="S304" s="92">
        <f t="shared" si="89"/>
        <v>179.85000000000002</v>
      </c>
      <c r="T304" s="83">
        <f t="shared" si="79"/>
        <v>115.54</v>
      </c>
      <c r="U304" s="135"/>
      <c r="V304" s="135"/>
      <c r="W304" s="135"/>
      <c r="X304" s="135"/>
      <c r="Y304" s="136"/>
      <c r="Z304" s="50"/>
      <c r="AA304" s="50"/>
    </row>
    <row r="305" spans="1:27" ht="12.75" hidden="1" outlineLevel="1" x14ac:dyDescent="0.2">
      <c r="A305" s="50"/>
      <c r="B305" s="137"/>
      <c r="C305" s="70" t="s">
        <v>62</v>
      </c>
      <c r="D305" s="200">
        <v>180</v>
      </c>
      <c r="E305" s="75">
        <f t="shared" si="88"/>
        <v>36</v>
      </c>
      <c r="F305" s="73">
        <v>5</v>
      </c>
      <c r="G305" s="73">
        <v>4</v>
      </c>
      <c r="H305" s="74">
        <f t="shared" si="72"/>
        <v>1.25</v>
      </c>
      <c r="I305" s="75">
        <f t="shared" si="73"/>
        <v>36</v>
      </c>
      <c r="J305" s="76">
        <f t="shared" si="74"/>
        <v>28.8</v>
      </c>
      <c r="K305" s="200">
        <v>0</v>
      </c>
      <c r="L305" s="73">
        <v>0</v>
      </c>
      <c r="M305" s="73">
        <v>0</v>
      </c>
      <c r="N305" s="200">
        <v>0</v>
      </c>
      <c r="O305" s="79" t="e">
        <f t="shared" si="90"/>
        <v>#DIV/0!</v>
      </c>
      <c r="P305" s="80" t="e">
        <f t="shared" si="76"/>
        <v>#DIV/0!</v>
      </c>
      <c r="Q305" s="79">
        <f t="shared" si="77"/>
        <v>0</v>
      </c>
      <c r="R305" s="81">
        <f t="shared" si="78"/>
        <v>0</v>
      </c>
      <c r="S305" s="92">
        <f t="shared" si="89"/>
        <v>180</v>
      </c>
      <c r="T305" s="83" t="e">
        <f t="shared" si="79"/>
        <v>#DIV/0!</v>
      </c>
      <c r="U305" s="135"/>
      <c r="V305" s="135"/>
      <c r="W305" s="135"/>
      <c r="X305" s="135"/>
      <c r="Y305" s="136"/>
      <c r="Z305" s="50"/>
      <c r="AA305" s="50"/>
    </row>
    <row r="306" spans="1:27" ht="12.75" hidden="1" outlineLevel="1" x14ac:dyDescent="0.2">
      <c r="A306" s="50"/>
      <c r="B306" s="137"/>
      <c r="C306" s="70" t="s">
        <v>66</v>
      </c>
      <c r="D306" s="201">
        <v>0</v>
      </c>
      <c r="E306" s="75" t="e">
        <f t="shared" si="88"/>
        <v>#DIV/0!</v>
      </c>
      <c r="F306" s="73">
        <v>0</v>
      </c>
      <c r="G306" s="73">
        <v>0</v>
      </c>
      <c r="H306" s="74" t="e">
        <f t="shared" si="72"/>
        <v>#DIV/0!</v>
      </c>
      <c r="I306" s="75" t="e">
        <f t="shared" si="73"/>
        <v>#DIV/0!</v>
      </c>
      <c r="J306" s="76" t="e">
        <f t="shared" si="74"/>
        <v>#DIV/0!</v>
      </c>
      <c r="K306" s="201">
        <v>32.549999999999997</v>
      </c>
      <c r="L306" s="73">
        <v>683</v>
      </c>
      <c r="M306" s="73">
        <v>0</v>
      </c>
      <c r="N306" s="202">
        <v>0</v>
      </c>
      <c r="O306" s="79" t="e">
        <f t="shared" si="90"/>
        <v>#DIV/0!</v>
      </c>
      <c r="P306" s="80">
        <f t="shared" si="76"/>
        <v>0</v>
      </c>
      <c r="Q306" s="79" t="e">
        <f t="shared" si="77"/>
        <v>#DIV/0!</v>
      </c>
      <c r="R306" s="81" t="e">
        <f t="shared" si="78"/>
        <v>#DIV/0!</v>
      </c>
      <c r="S306" s="203">
        <f t="shared" si="89"/>
        <v>0</v>
      </c>
      <c r="T306" s="83" t="e">
        <f t="shared" si="79"/>
        <v>#DIV/0!</v>
      </c>
      <c r="U306" s="135"/>
      <c r="V306" s="135"/>
      <c r="W306" s="135"/>
      <c r="X306" s="135"/>
      <c r="Y306" s="136"/>
      <c r="Z306" s="50"/>
      <c r="AA306" s="50"/>
    </row>
    <row r="307" spans="1:27" ht="12.75" hidden="1" outlineLevel="1" x14ac:dyDescent="0.2">
      <c r="A307" s="50"/>
      <c r="B307" s="137"/>
      <c r="C307" s="70" t="s">
        <v>36</v>
      </c>
      <c r="D307" s="90">
        <v>519.6</v>
      </c>
      <c r="E307" s="75">
        <f t="shared" si="88"/>
        <v>64.95</v>
      </c>
      <c r="F307" s="73">
        <v>8</v>
      </c>
      <c r="G307" s="73">
        <v>6</v>
      </c>
      <c r="H307" s="74">
        <f t="shared" si="72"/>
        <v>1.3333333333333333</v>
      </c>
      <c r="I307" s="75">
        <f t="shared" si="73"/>
        <v>64.95</v>
      </c>
      <c r="J307" s="76">
        <f t="shared" si="74"/>
        <v>48.712500000000006</v>
      </c>
      <c r="K307" s="90">
        <v>16.13</v>
      </c>
      <c r="L307" s="73">
        <v>2628</v>
      </c>
      <c r="M307" s="73">
        <v>2</v>
      </c>
      <c r="N307" s="91">
        <v>139.9</v>
      </c>
      <c r="O307" s="79">
        <f t="shared" si="90"/>
        <v>0.11529664045746961</v>
      </c>
      <c r="P307" s="80">
        <f t="shared" si="76"/>
        <v>8.6732796032238078</v>
      </c>
      <c r="Q307" s="79">
        <f t="shared" si="77"/>
        <v>3.1043110084680522E-2</v>
      </c>
      <c r="R307" s="81">
        <f t="shared" si="78"/>
        <v>0.26924557351809086</v>
      </c>
      <c r="S307" s="92">
        <f t="shared" si="89"/>
        <v>379.70000000000005</v>
      </c>
      <c r="T307" s="83">
        <f t="shared" si="79"/>
        <v>8.0649999999999995</v>
      </c>
      <c r="U307" s="135"/>
      <c r="V307" s="135"/>
      <c r="W307" s="135"/>
      <c r="X307" s="135"/>
      <c r="Y307" s="136"/>
      <c r="Z307" s="50"/>
      <c r="AA307" s="50"/>
    </row>
    <row r="308" spans="1:27" ht="12.75" hidden="1" outlineLevel="1" x14ac:dyDescent="0.2">
      <c r="A308" s="50"/>
      <c r="B308" s="69" t="s">
        <v>37</v>
      </c>
      <c r="C308" s="70" t="s">
        <v>38</v>
      </c>
      <c r="D308" s="93">
        <v>119.23</v>
      </c>
      <c r="E308" s="75">
        <f t="shared" si="88"/>
        <v>23.846</v>
      </c>
      <c r="F308" s="73">
        <v>5</v>
      </c>
      <c r="G308" s="73">
        <v>6</v>
      </c>
      <c r="H308" s="74">
        <f t="shared" si="72"/>
        <v>0.83333333333333337</v>
      </c>
      <c r="I308" s="75">
        <f t="shared" si="73"/>
        <v>23.846</v>
      </c>
      <c r="J308" s="76">
        <f t="shared" si="74"/>
        <v>28.615199999999998</v>
      </c>
      <c r="K308" s="93">
        <v>0</v>
      </c>
      <c r="L308" s="73">
        <v>0</v>
      </c>
      <c r="M308" s="73">
        <v>0</v>
      </c>
      <c r="N308" s="94">
        <v>0</v>
      </c>
      <c r="O308" s="79" t="e">
        <f t="shared" si="90"/>
        <v>#DIV/0!</v>
      </c>
      <c r="P308" s="80" t="e">
        <f t="shared" si="76"/>
        <v>#DIV/0!</v>
      </c>
      <c r="Q308" s="79">
        <f t="shared" si="77"/>
        <v>0</v>
      </c>
      <c r="R308" s="81">
        <f t="shared" si="78"/>
        <v>0</v>
      </c>
      <c r="S308" s="95">
        <f t="shared" si="89"/>
        <v>119.23</v>
      </c>
      <c r="T308" s="83" t="e">
        <f t="shared" si="79"/>
        <v>#DIV/0!</v>
      </c>
      <c r="U308" s="135"/>
      <c r="V308" s="135"/>
      <c r="W308" s="135"/>
      <c r="X308" s="135"/>
      <c r="Y308" s="136"/>
      <c r="Z308" s="50"/>
      <c r="AA308" s="50"/>
    </row>
    <row r="309" spans="1:27" ht="12.75" hidden="1" outlineLevel="1" x14ac:dyDescent="0.2">
      <c r="A309" s="50"/>
      <c r="B309" s="137"/>
      <c r="C309" s="70" t="s">
        <v>39</v>
      </c>
      <c r="D309" s="96">
        <v>359.89</v>
      </c>
      <c r="E309" s="75">
        <f t="shared" si="88"/>
        <v>119.96333333333332</v>
      </c>
      <c r="F309" s="73">
        <v>3</v>
      </c>
      <c r="G309" s="73">
        <v>3</v>
      </c>
      <c r="H309" s="74">
        <f t="shared" si="72"/>
        <v>1</v>
      </c>
      <c r="I309" s="75">
        <f t="shared" si="73"/>
        <v>119.96333333333332</v>
      </c>
      <c r="J309" s="76">
        <f t="shared" si="74"/>
        <v>119.96333333333332</v>
      </c>
      <c r="K309" s="96">
        <v>0</v>
      </c>
      <c r="L309" s="73">
        <v>0</v>
      </c>
      <c r="M309" s="73">
        <v>0</v>
      </c>
      <c r="N309" s="97">
        <v>0</v>
      </c>
      <c r="O309" s="79" t="e">
        <f t="shared" si="90"/>
        <v>#DIV/0!</v>
      </c>
      <c r="P309" s="80" t="e">
        <f t="shared" si="76"/>
        <v>#DIV/0!</v>
      </c>
      <c r="Q309" s="79">
        <f t="shared" si="77"/>
        <v>0</v>
      </c>
      <c r="R309" s="81">
        <f t="shared" si="78"/>
        <v>0</v>
      </c>
      <c r="S309" s="98">
        <f t="shared" si="89"/>
        <v>359.89</v>
      </c>
      <c r="T309" s="83" t="e">
        <f t="shared" si="79"/>
        <v>#DIV/0!</v>
      </c>
      <c r="U309" s="135"/>
      <c r="V309" s="135"/>
      <c r="W309" s="135"/>
      <c r="X309" s="135"/>
      <c r="Y309" s="136"/>
      <c r="Z309" s="50"/>
      <c r="AA309" s="50"/>
    </row>
    <row r="310" spans="1:27" ht="12.75" hidden="1" outlineLevel="1" x14ac:dyDescent="0.2">
      <c r="A310" s="50"/>
      <c r="B310" s="137"/>
      <c r="C310" s="70" t="s">
        <v>40</v>
      </c>
      <c r="D310" s="99">
        <v>461.59</v>
      </c>
      <c r="E310" s="75">
        <f t="shared" si="88"/>
        <v>51.287777777777777</v>
      </c>
      <c r="F310" s="73">
        <v>9</v>
      </c>
      <c r="G310" s="73">
        <v>6</v>
      </c>
      <c r="H310" s="74">
        <f t="shared" si="72"/>
        <v>1.5</v>
      </c>
      <c r="I310" s="75">
        <f t="shared" si="73"/>
        <v>51.287777777777777</v>
      </c>
      <c r="J310" s="76">
        <f t="shared" si="74"/>
        <v>34.191851851851851</v>
      </c>
      <c r="K310" s="99">
        <v>0</v>
      </c>
      <c r="L310" s="73">
        <v>0</v>
      </c>
      <c r="M310" s="73">
        <v>0</v>
      </c>
      <c r="N310" s="100">
        <v>0</v>
      </c>
      <c r="O310" s="79" t="e">
        <f t="shared" si="90"/>
        <v>#DIV/0!</v>
      </c>
      <c r="P310" s="80" t="e">
        <f t="shared" si="76"/>
        <v>#DIV/0!</v>
      </c>
      <c r="Q310" s="79">
        <f t="shared" si="77"/>
        <v>0</v>
      </c>
      <c r="R310" s="81">
        <f t="shared" si="78"/>
        <v>0</v>
      </c>
      <c r="S310" s="101">
        <f t="shared" si="89"/>
        <v>461.59</v>
      </c>
      <c r="T310" s="83" t="e">
        <f t="shared" si="79"/>
        <v>#DIV/0!</v>
      </c>
      <c r="U310" s="135"/>
      <c r="V310" s="135"/>
      <c r="W310" s="135"/>
      <c r="X310" s="135"/>
      <c r="Y310" s="136"/>
      <c r="Z310" s="50"/>
      <c r="AA310" s="50"/>
    </row>
    <row r="311" spans="1:27" ht="12.75" hidden="1" outlineLevel="1" x14ac:dyDescent="0.2">
      <c r="A311" s="50"/>
      <c r="B311" s="137"/>
      <c r="C311" s="70" t="s">
        <v>41</v>
      </c>
      <c r="D311" s="102">
        <v>0</v>
      </c>
      <c r="E311" s="75" t="e">
        <f t="shared" si="88"/>
        <v>#DIV/0!</v>
      </c>
      <c r="F311" s="73">
        <v>0</v>
      </c>
      <c r="G311" s="73">
        <v>0</v>
      </c>
      <c r="H311" s="74" t="e">
        <f t="shared" si="72"/>
        <v>#DIV/0!</v>
      </c>
      <c r="I311" s="75" t="e">
        <f t="shared" si="73"/>
        <v>#DIV/0!</v>
      </c>
      <c r="J311" s="76" t="e">
        <f t="shared" si="74"/>
        <v>#DIV/0!</v>
      </c>
      <c r="K311" s="102">
        <v>5.36</v>
      </c>
      <c r="L311" s="73">
        <v>708</v>
      </c>
      <c r="M311" s="73">
        <v>0</v>
      </c>
      <c r="N311" s="103">
        <v>0</v>
      </c>
      <c r="O311" s="79" t="e">
        <f t="shared" si="90"/>
        <v>#DIV/0!</v>
      </c>
      <c r="P311" s="80">
        <f t="shared" si="76"/>
        <v>0</v>
      </c>
      <c r="Q311" s="79" t="e">
        <f t="shared" si="77"/>
        <v>#DIV/0!</v>
      </c>
      <c r="R311" s="81" t="e">
        <f t="shared" si="78"/>
        <v>#DIV/0!</v>
      </c>
      <c r="S311" s="104">
        <f t="shared" si="89"/>
        <v>0</v>
      </c>
      <c r="T311" s="83" t="e">
        <f t="shared" si="79"/>
        <v>#DIV/0!</v>
      </c>
      <c r="U311" s="135"/>
      <c r="V311" s="135"/>
      <c r="W311" s="135"/>
      <c r="X311" s="135"/>
      <c r="Y311" s="136"/>
      <c r="Z311" s="50"/>
      <c r="AA311" s="50"/>
    </row>
    <row r="312" spans="1:27" ht="12.75" hidden="1" outlineLevel="1" x14ac:dyDescent="0.2">
      <c r="A312" s="50"/>
      <c r="B312" s="137"/>
      <c r="C312" s="70" t="s">
        <v>42</v>
      </c>
      <c r="D312" s="90">
        <v>79.959999999999994</v>
      </c>
      <c r="E312" s="75">
        <f t="shared" si="88"/>
        <v>19.989999999999998</v>
      </c>
      <c r="F312" s="73">
        <v>4</v>
      </c>
      <c r="G312" s="73">
        <v>0</v>
      </c>
      <c r="H312" s="74" t="e">
        <f t="shared" si="72"/>
        <v>#DIV/0!</v>
      </c>
      <c r="I312" s="75">
        <f t="shared" si="73"/>
        <v>19.989999999999998</v>
      </c>
      <c r="J312" s="76" t="e">
        <f t="shared" si="74"/>
        <v>#DIV/0!</v>
      </c>
      <c r="K312" s="90">
        <v>5.9</v>
      </c>
      <c r="L312" s="73">
        <v>15360</v>
      </c>
      <c r="M312" s="73">
        <v>1</v>
      </c>
      <c r="N312" s="91">
        <v>19.989999999999998</v>
      </c>
      <c r="O312" s="79">
        <f t="shared" si="90"/>
        <v>0.29514757378689349</v>
      </c>
      <c r="P312" s="80">
        <f t="shared" si="76"/>
        <v>3.3881355932203383</v>
      </c>
      <c r="Q312" s="79">
        <f t="shared" si="77"/>
        <v>7.3786893446723373E-2</v>
      </c>
      <c r="R312" s="81">
        <f t="shared" si="78"/>
        <v>0.25</v>
      </c>
      <c r="S312" s="92">
        <f t="shared" si="89"/>
        <v>59.97</v>
      </c>
      <c r="T312" s="83">
        <f t="shared" si="79"/>
        <v>5.9</v>
      </c>
      <c r="U312" s="135"/>
      <c r="V312" s="135"/>
      <c r="W312" s="135"/>
      <c r="X312" s="135"/>
      <c r="Y312" s="136"/>
      <c r="Z312" s="50"/>
      <c r="AA312" s="50"/>
    </row>
    <row r="313" spans="1:27" ht="12.75" hidden="1" outlineLevel="1" x14ac:dyDescent="0.2">
      <c r="A313" s="50"/>
      <c r="B313" s="137"/>
      <c r="C313" s="70" t="s">
        <v>43</v>
      </c>
      <c r="D313" s="105">
        <v>195</v>
      </c>
      <c r="E313" s="75">
        <f t="shared" si="88"/>
        <v>195</v>
      </c>
      <c r="F313" s="73">
        <v>1</v>
      </c>
      <c r="G313" s="73">
        <v>1</v>
      </c>
      <c r="H313" s="74">
        <f t="shared" si="72"/>
        <v>1</v>
      </c>
      <c r="I313" s="75">
        <f t="shared" si="73"/>
        <v>195</v>
      </c>
      <c r="J313" s="76">
        <f t="shared" si="74"/>
        <v>195</v>
      </c>
      <c r="K313" s="105">
        <v>97.03</v>
      </c>
      <c r="L313" s="73">
        <v>31817</v>
      </c>
      <c r="M313" s="73">
        <v>2</v>
      </c>
      <c r="N313" s="106">
        <v>119.9</v>
      </c>
      <c r="O313" s="79">
        <f t="shared" si="90"/>
        <v>0.80925771476230191</v>
      </c>
      <c r="P313" s="80">
        <f t="shared" si="76"/>
        <v>1.2357002988766361</v>
      </c>
      <c r="Q313" s="79">
        <f t="shared" si="77"/>
        <v>0.49758974358974362</v>
      </c>
      <c r="R313" s="81">
        <f t="shared" si="78"/>
        <v>0.61487179487179489</v>
      </c>
      <c r="S313" s="107">
        <f t="shared" si="89"/>
        <v>75.099999999999994</v>
      </c>
      <c r="T313" s="83">
        <f t="shared" si="79"/>
        <v>48.515000000000001</v>
      </c>
      <c r="U313" s="135"/>
      <c r="V313" s="135"/>
      <c r="W313" s="135"/>
      <c r="X313" s="135"/>
      <c r="Y313" s="136"/>
      <c r="Z313" s="50"/>
      <c r="AA313" s="50"/>
    </row>
    <row r="314" spans="1:27" ht="12.75" hidden="1" outlineLevel="1" x14ac:dyDescent="0.2">
      <c r="A314" s="50"/>
      <c r="B314" s="137"/>
      <c r="C314" s="70" t="s">
        <v>44</v>
      </c>
      <c r="D314" s="108">
        <v>90.91</v>
      </c>
      <c r="E314" s="75">
        <f t="shared" si="88"/>
        <v>45.454999999999998</v>
      </c>
      <c r="F314" s="73">
        <v>2</v>
      </c>
      <c r="G314" s="73">
        <v>2</v>
      </c>
      <c r="H314" s="74">
        <f t="shared" si="72"/>
        <v>1</v>
      </c>
      <c r="I314" s="75">
        <f t="shared" si="73"/>
        <v>45.454999999999998</v>
      </c>
      <c r="J314" s="76">
        <f t="shared" si="74"/>
        <v>45.454999999999998</v>
      </c>
      <c r="K314" s="108">
        <v>125.48</v>
      </c>
      <c r="L314" s="73">
        <v>24053</v>
      </c>
      <c r="M314" s="73">
        <v>4</v>
      </c>
      <c r="N314" s="109">
        <v>64.680000000000007</v>
      </c>
      <c r="O314" s="79">
        <f t="shared" si="90"/>
        <v>1.9400123685837971</v>
      </c>
      <c r="P314" s="80">
        <f t="shared" si="76"/>
        <v>0.51546063117628316</v>
      </c>
      <c r="Q314" s="79">
        <f t="shared" si="77"/>
        <v>1.3802661973380268</v>
      </c>
      <c r="R314" s="81">
        <f t="shared" si="78"/>
        <v>0.71147288527114738</v>
      </c>
      <c r="S314" s="110">
        <f t="shared" si="89"/>
        <v>26.22999999999999</v>
      </c>
      <c r="T314" s="83">
        <f t="shared" si="79"/>
        <v>31.37</v>
      </c>
      <c r="U314" s="135"/>
      <c r="V314" s="135"/>
      <c r="W314" s="135"/>
      <c r="X314" s="135"/>
      <c r="Y314" s="136"/>
      <c r="Z314" s="50"/>
      <c r="AA314" s="50"/>
    </row>
    <row r="315" spans="1:27" ht="12.75" hidden="1" outlineLevel="1" x14ac:dyDescent="0.2">
      <c r="A315" s="139"/>
      <c r="B315" s="137"/>
      <c r="C315" s="112" t="s">
        <v>45</v>
      </c>
      <c r="D315" s="71">
        <v>0</v>
      </c>
      <c r="E315" s="75" t="e">
        <f t="shared" si="88"/>
        <v>#DIV/0!</v>
      </c>
      <c r="F315" s="73">
        <v>0</v>
      </c>
      <c r="G315" s="73">
        <v>0</v>
      </c>
      <c r="H315" s="74" t="e">
        <f t="shared" si="72"/>
        <v>#DIV/0!</v>
      </c>
      <c r="I315" s="75" t="e">
        <f t="shared" si="73"/>
        <v>#DIV/0!</v>
      </c>
      <c r="J315" s="76" t="e">
        <f t="shared" si="74"/>
        <v>#DIV/0!</v>
      </c>
      <c r="K315" s="71">
        <v>0</v>
      </c>
      <c r="L315" s="73">
        <v>0</v>
      </c>
      <c r="M315" s="73">
        <v>0</v>
      </c>
      <c r="N315" s="78">
        <v>0</v>
      </c>
      <c r="O315" s="79" t="e">
        <f t="shared" si="90"/>
        <v>#DIV/0!</v>
      </c>
      <c r="P315" s="80" t="e">
        <f t="shared" si="76"/>
        <v>#DIV/0!</v>
      </c>
      <c r="Q315" s="79" t="e">
        <f t="shared" si="77"/>
        <v>#DIV/0!</v>
      </c>
      <c r="R315" s="81" t="e">
        <f t="shared" si="78"/>
        <v>#DIV/0!</v>
      </c>
      <c r="S315" s="82">
        <f t="shared" si="89"/>
        <v>0</v>
      </c>
      <c r="T315" s="83" t="e">
        <f t="shared" si="79"/>
        <v>#DIV/0!</v>
      </c>
      <c r="U315" s="140"/>
      <c r="V315" s="140"/>
      <c r="W315" s="140"/>
      <c r="X315" s="141"/>
      <c r="Y315" s="142"/>
      <c r="Z315" s="50"/>
      <c r="AA315" s="50"/>
    </row>
    <row r="316" spans="1:27" ht="12.75" hidden="1" outlineLevel="1" x14ac:dyDescent="0.2">
      <c r="A316" s="50"/>
      <c r="B316" s="137"/>
      <c r="C316" s="70" t="s">
        <v>46</v>
      </c>
      <c r="D316" s="116">
        <v>563.91999999999996</v>
      </c>
      <c r="E316" s="75">
        <f t="shared" si="88"/>
        <v>37.594666666666662</v>
      </c>
      <c r="F316" s="73">
        <v>15</v>
      </c>
      <c r="G316" s="73">
        <v>16</v>
      </c>
      <c r="H316" s="74">
        <f t="shared" si="72"/>
        <v>0.9375</v>
      </c>
      <c r="I316" s="75">
        <f t="shared" si="73"/>
        <v>37.594666666666662</v>
      </c>
      <c r="J316" s="76">
        <f t="shared" si="74"/>
        <v>40.100977777777771</v>
      </c>
      <c r="K316" s="116">
        <v>148.76</v>
      </c>
      <c r="L316" s="73">
        <v>37784</v>
      </c>
      <c r="M316" s="73">
        <v>10</v>
      </c>
      <c r="N316" s="117">
        <v>341.6</v>
      </c>
      <c r="O316" s="79">
        <f t="shared" si="90"/>
        <v>0.43548009367681495</v>
      </c>
      <c r="P316" s="80">
        <f t="shared" si="76"/>
        <v>2.2963162140360316</v>
      </c>
      <c r="Q316" s="79">
        <f t="shared" si="77"/>
        <v>0.263796283160732</v>
      </c>
      <c r="R316" s="81">
        <f t="shared" si="78"/>
        <v>0.60575968222442911</v>
      </c>
      <c r="S316" s="82">
        <f t="shared" si="89"/>
        <v>222.31999999999994</v>
      </c>
      <c r="T316" s="83">
        <f t="shared" si="79"/>
        <v>14.875999999999999</v>
      </c>
      <c r="U316" s="135"/>
      <c r="V316" s="135"/>
      <c r="W316" s="135"/>
      <c r="X316" s="135"/>
      <c r="Y316" s="136"/>
      <c r="Z316" s="50"/>
      <c r="AA316" s="50"/>
    </row>
    <row r="317" spans="1:27" ht="12.75" hidden="1" outlineLevel="1" x14ac:dyDescent="0.2">
      <c r="A317" s="118" t="str">
        <f t="shared" ref="A317:A318" si="91">IFERROR(IF(B317&gt;0,MONTH(B317)&amp;"-"&amp;YEAR(B317),B317),)</f>
        <v>4-2025</v>
      </c>
      <c r="B317" s="69">
        <v>45759</v>
      </c>
      <c r="C317" s="70" t="s">
        <v>49</v>
      </c>
      <c r="D317" s="116">
        <v>0</v>
      </c>
      <c r="E317" s="75" t="e">
        <f t="shared" si="88"/>
        <v>#DIV/0!</v>
      </c>
      <c r="F317" s="73">
        <v>0</v>
      </c>
      <c r="G317" s="73">
        <v>0</v>
      </c>
      <c r="H317" s="74" t="e">
        <f t="shared" si="72"/>
        <v>#DIV/0!</v>
      </c>
      <c r="I317" s="75" t="e">
        <f t="shared" si="73"/>
        <v>#DIV/0!</v>
      </c>
      <c r="J317" s="76" t="e">
        <f t="shared" si="74"/>
        <v>#DIV/0!</v>
      </c>
      <c r="K317" s="116">
        <v>3.16</v>
      </c>
      <c r="L317" s="73">
        <v>7285</v>
      </c>
      <c r="M317" s="73">
        <v>0</v>
      </c>
      <c r="N317" s="117">
        <v>0</v>
      </c>
      <c r="O317" s="79" t="e">
        <f t="shared" si="90"/>
        <v>#DIV/0!</v>
      </c>
      <c r="P317" s="80">
        <f t="shared" si="76"/>
        <v>0</v>
      </c>
      <c r="Q317" s="79" t="e">
        <f t="shared" si="77"/>
        <v>#DIV/0!</v>
      </c>
      <c r="R317" s="81" t="e">
        <f t="shared" si="78"/>
        <v>#DIV/0!</v>
      </c>
      <c r="S317" s="82">
        <f t="shared" si="89"/>
        <v>0</v>
      </c>
      <c r="T317" s="83" t="e">
        <f t="shared" si="79"/>
        <v>#DIV/0!</v>
      </c>
      <c r="U317" s="135"/>
      <c r="V317" s="135"/>
      <c r="W317" s="135"/>
      <c r="X317" s="135"/>
      <c r="Y317" s="136"/>
      <c r="Z317" s="50"/>
      <c r="AA317" s="50"/>
    </row>
    <row r="318" spans="1:27" ht="12.75" collapsed="1" x14ac:dyDescent="0.2">
      <c r="A318" s="50">
        <f t="shared" si="91"/>
        <v>0</v>
      </c>
      <c r="B318" s="52" t="s">
        <v>73</v>
      </c>
      <c r="C318" s="145"/>
      <c r="D318" s="121">
        <f>SUM(D301:D317)</f>
        <v>10844.279999999999</v>
      </c>
      <c r="E318" s="125"/>
      <c r="F318" s="123">
        <f t="shared" ref="F318:G318" si="92">SUM(F301:F317)</f>
        <v>115</v>
      </c>
      <c r="G318" s="123">
        <f t="shared" si="92"/>
        <v>100</v>
      </c>
      <c r="H318" s="124">
        <f t="shared" si="72"/>
        <v>1.1499999999999999</v>
      </c>
      <c r="I318" s="125">
        <f t="shared" si="73"/>
        <v>94.298086956521729</v>
      </c>
      <c r="J318" s="126">
        <f t="shared" si="74"/>
        <v>81.998336483931951</v>
      </c>
      <c r="K318" s="121">
        <f t="shared" ref="K318:N318" si="93">SUM(K301:K317)</f>
        <v>1265.1899999999998</v>
      </c>
      <c r="L318" s="123">
        <f t="shared" si="93"/>
        <v>330428</v>
      </c>
      <c r="M318" s="123">
        <f t="shared" si="93"/>
        <v>28</v>
      </c>
      <c r="N318" s="127">
        <f t="shared" si="93"/>
        <v>3117.8199999999993</v>
      </c>
      <c r="O318" s="128">
        <f t="shared" si="90"/>
        <v>0.40579315034222635</v>
      </c>
      <c r="P318" s="129">
        <f t="shared" si="76"/>
        <v>2.4643097084232406</v>
      </c>
      <c r="Q318" s="128">
        <f t="shared" si="77"/>
        <v>0.11666887981498079</v>
      </c>
      <c r="R318" s="130">
        <f t="shared" si="78"/>
        <v>0.28750825319892143</v>
      </c>
      <c r="S318" s="131">
        <f>SUM(S301:S317)</f>
        <v>7726.4600000000009</v>
      </c>
      <c r="T318" s="132">
        <f t="shared" si="79"/>
        <v>45.185357142857136</v>
      </c>
      <c r="U318" s="133">
        <f>IFERROR((D318-D246)/D318,)</f>
        <v>0.30089226762864857</v>
      </c>
      <c r="V318" s="133">
        <f>IFERROR((F318-F246)/F318,)</f>
        <v>0.18260869565217391</v>
      </c>
      <c r="W318" s="271">
        <f>IFERROR((D318-[1]monthly_reporting_2021!E109)/D318, )</f>
        <v>0</v>
      </c>
      <c r="X318" s="271">
        <f>IFERROR((F318-[1]monthly_reporting_2021!F109)/F318, )</f>
        <v>0</v>
      </c>
      <c r="Y318" s="50"/>
      <c r="Z318" s="50"/>
      <c r="AA318" s="50"/>
    </row>
    <row r="319" spans="1:27" ht="12.75" hidden="1" outlineLevel="1" x14ac:dyDescent="0.2">
      <c r="A319" s="50"/>
      <c r="B319" s="69">
        <v>45760</v>
      </c>
      <c r="C319" s="70" t="s">
        <v>32</v>
      </c>
      <c r="D319" s="71">
        <v>4694.88</v>
      </c>
      <c r="E319" s="75">
        <v>329.6</v>
      </c>
      <c r="F319" s="73">
        <v>19</v>
      </c>
      <c r="G319" s="73">
        <v>17</v>
      </c>
      <c r="H319" s="74">
        <f t="shared" si="72"/>
        <v>1.1176470588235294</v>
      </c>
      <c r="I319" s="75">
        <f t="shared" si="73"/>
        <v>247.09894736842105</v>
      </c>
      <c r="J319" s="76">
        <f t="shared" si="74"/>
        <v>221.08853185595567</v>
      </c>
      <c r="K319" s="77">
        <v>421.79</v>
      </c>
      <c r="L319" s="73">
        <v>69532</v>
      </c>
      <c r="M319" s="73">
        <v>8</v>
      </c>
      <c r="N319" s="78">
        <v>2757.39</v>
      </c>
      <c r="O319" s="79">
        <f t="shared" si="90"/>
        <v>0.15296711745527475</v>
      </c>
      <c r="P319" s="80">
        <f t="shared" si="76"/>
        <v>6.5373527110647469</v>
      </c>
      <c r="Q319" s="79">
        <f t="shared" si="77"/>
        <v>8.9840421906417209E-2</v>
      </c>
      <c r="R319" s="81">
        <f t="shared" si="78"/>
        <v>0.58731852571311727</v>
      </c>
      <c r="S319" s="82">
        <f t="shared" ref="S319:S335" si="94">D319-N319</f>
        <v>1937.4900000000002</v>
      </c>
      <c r="T319" s="83">
        <f t="shared" si="79"/>
        <v>52.723750000000003</v>
      </c>
      <c r="U319" s="135"/>
      <c r="V319" s="135"/>
      <c r="W319" s="135"/>
      <c r="X319" s="135"/>
      <c r="Y319" s="136"/>
      <c r="Z319" s="50"/>
      <c r="AA319" s="50"/>
    </row>
    <row r="320" spans="1:27" ht="12.75" hidden="1" outlineLevel="1" x14ac:dyDescent="0.2">
      <c r="A320" s="50"/>
      <c r="B320" s="137"/>
      <c r="C320" s="70" t="s">
        <v>33</v>
      </c>
      <c r="D320" s="87">
        <v>2464.65</v>
      </c>
      <c r="E320" s="75">
        <v>121.52</v>
      </c>
      <c r="F320" s="73">
        <v>26</v>
      </c>
      <c r="G320" s="73">
        <v>23</v>
      </c>
      <c r="H320" s="74">
        <f t="shared" si="72"/>
        <v>1.1304347826086956</v>
      </c>
      <c r="I320" s="75">
        <f t="shared" si="73"/>
        <v>94.794230769230779</v>
      </c>
      <c r="J320" s="76">
        <f t="shared" si="74"/>
        <v>83.856434911242616</v>
      </c>
      <c r="K320" s="87">
        <v>223.07</v>
      </c>
      <c r="L320" s="73">
        <v>85387</v>
      </c>
      <c r="M320" s="73">
        <v>3</v>
      </c>
      <c r="N320" s="88">
        <v>113.9</v>
      </c>
      <c r="O320" s="79">
        <f t="shared" si="90"/>
        <v>1.958472344161545</v>
      </c>
      <c r="P320" s="80">
        <f t="shared" si="76"/>
        <v>0.51060205316716734</v>
      </c>
      <c r="Q320" s="79">
        <f t="shared" si="77"/>
        <v>9.0507780009331948E-2</v>
      </c>
      <c r="R320" s="81">
        <f t="shared" si="78"/>
        <v>4.6213458300367195E-2</v>
      </c>
      <c r="S320" s="89">
        <f t="shared" si="94"/>
        <v>2350.75</v>
      </c>
      <c r="T320" s="83">
        <f t="shared" si="79"/>
        <v>74.356666666666669</v>
      </c>
      <c r="U320" s="135"/>
      <c r="V320" s="135"/>
      <c r="W320" s="135"/>
      <c r="X320" s="135"/>
      <c r="Y320" s="136"/>
      <c r="Z320" s="50"/>
      <c r="AA320" s="50"/>
    </row>
    <row r="321" spans="1:27" ht="12.75" hidden="1" outlineLevel="1" x14ac:dyDescent="0.2">
      <c r="A321" s="50"/>
      <c r="B321" s="137"/>
      <c r="C321" s="70" t="s">
        <v>34</v>
      </c>
      <c r="D321" s="90">
        <v>0</v>
      </c>
      <c r="E321" s="75">
        <v>0</v>
      </c>
      <c r="F321" s="73">
        <v>0</v>
      </c>
      <c r="G321" s="73">
        <v>0</v>
      </c>
      <c r="H321" s="74" t="e">
        <f t="shared" si="72"/>
        <v>#DIV/0!</v>
      </c>
      <c r="I321" s="75" t="e">
        <f t="shared" si="73"/>
        <v>#DIV/0!</v>
      </c>
      <c r="J321" s="76" t="e">
        <f t="shared" si="74"/>
        <v>#DIV/0!</v>
      </c>
      <c r="K321" s="90">
        <v>0</v>
      </c>
      <c r="L321" s="73">
        <v>0</v>
      </c>
      <c r="M321" s="73">
        <v>0</v>
      </c>
      <c r="N321" s="91">
        <v>0</v>
      </c>
      <c r="O321" s="79" t="e">
        <f>(K321/N321)</f>
        <v>#DIV/0!</v>
      </c>
      <c r="P321" s="80" t="e">
        <f t="shared" si="76"/>
        <v>#DIV/0!</v>
      </c>
      <c r="Q321" s="79" t="e">
        <f t="shared" si="77"/>
        <v>#DIV/0!</v>
      </c>
      <c r="R321" s="81" t="e">
        <f t="shared" si="78"/>
        <v>#DIV/0!</v>
      </c>
      <c r="S321" s="92">
        <f t="shared" si="94"/>
        <v>0</v>
      </c>
      <c r="T321" s="83" t="e">
        <f t="shared" si="79"/>
        <v>#DIV/0!</v>
      </c>
      <c r="U321" s="135"/>
      <c r="V321" s="135"/>
      <c r="W321" s="135"/>
      <c r="X321" s="135"/>
      <c r="Y321" s="136"/>
      <c r="Z321" s="50"/>
      <c r="AA321" s="50"/>
    </row>
    <row r="322" spans="1:27" ht="12.75" hidden="1" outlineLevel="1" x14ac:dyDescent="0.2">
      <c r="A322" s="50"/>
      <c r="B322" s="137"/>
      <c r="C322" s="70" t="s">
        <v>35</v>
      </c>
      <c r="D322" s="90">
        <v>305.75</v>
      </c>
      <c r="E322" s="75">
        <v>61.45</v>
      </c>
      <c r="F322" s="73">
        <v>5</v>
      </c>
      <c r="G322" s="73">
        <v>4</v>
      </c>
      <c r="H322" s="74">
        <f t="shared" si="72"/>
        <v>1.25</v>
      </c>
      <c r="I322" s="75">
        <f t="shared" si="73"/>
        <v>61.15</v>
      </c>
      <c r="J322" s="76">
        <f t="shared" si="74"/>
        <v>48.92</v>
      </c>
      <c r="K322" s="90">
        <v>59.97</v>
      </c>
      <c r="L322" s="73">
        <v>6063</v>
      </c>
      <c r="M322" s="73">
        <v>2</v>
      </c>
      <c r="N322" s="91">
        <v>119.9</v>
      </c>
      <c r="O322" s="79">
        <f t="shared" ref="O322:O338" si="95">K322/N322</f>
        <v>0.50016680567139282</v>
      </c>
      <c r="P322" s="80">
        <f t="shared" si="76"/>
        <v>1.9993329998332501</v>
      </c>
      <c r="Q322" s="79">
        <f t="shared" si="77"/>
        <v>0.19614063777596075</v>
      </c>
      <c r="R322" s="81">
        <f t="shared" si="78"/>
        <v>0.39215044971381852</v>
      </c>
      <c r="S322" s="92">
        <f t="shared" si="94"/>
        <v>185.85</v>
      </c>
      <c r="T322" s="83">
        <f t="shared" si="79"/>
        <v>29.984999999999999</v>
      </c>
      <c r="U322" s="135"/>
      <c r="V322" s="135"/>
      <c r="W322" s="135"/>
      <c r="X322" s="135"/>
      <c r="Y322" s="136"/>
      <c r="Z322" s="50"/>
      <c r="AA322" s="50"/>
    </row>
    <row r="323" spans="1:27" ht="12.75" hidden="1" outlineLevel="1" x14ac:dyDescent="0.2">
      <c r="A323" s="50"/>
      <c r="B323" s="137"/>
      <c r="C323" s="70" t="s">
        <v>62</v>
      </c>
      <c r="D323" s="200">
        <v>288</v>
      </c>
      <c r="E323" s="75">
        <v>36</v>
      </c>
      <c r="F323" s="73">
        <v>8</v>
      </c>
      <c r="G323" s="73">
        <v>5</v>
      </c>
      <c r="H323" s="74">
        <f t="shared" si="72"/>
        <v>1.6</v>
      </c>
      <c r="I323" s="75">
        <f t="shared" si="73"/>
        <v>36</v>
      </c>
      <c r="J323" s="76">
        <f t="shared" si="74"/>
        <v>22.5</v>
      </c>
      <c r="K323" s="200">
        <v>0</v>
      </c>
      <c r="L323" s="73">
        <v>0</v>
      </c>
      <c r="M323" s="73">
        <v>0</v>
      </c>
      <c r="N323" s="200">
        <v>0</v>
      </c>
      <c r="O323" s="79" t="e">
        <f t="shared" si="95"/>
        <v>#DIV/0!</v>
      </c>
      <c r="P323" s="80" t="e">
        <f t="shared" si="76"/>
        <v>#DIV/0!</v>
      </c>
      <c r="Q323" s="79">
        <f t="shared" si="77"/>
        <v>0</v>
      </c>
      <c r="R323" s="81">
        <f t="shared" si="78"/>
        <v>0</v>
      </c>
      <c r="S323" s="92">
        <f t="shared" si="94"/>
        <v>288</v>
      </c>
      <c r="T323" s="83" t="e">
        <f t="shared" si="79"/>
        <v>#DIV/0!</v>
      </c>
      <c r="U323" s="135"/>
      <c r="V323" s="135"/>
      <c r="W323" s="135"/>
      <c r="X323" s="135"/>
      <c r="Y323" s="136"/>
      <c r="Z323" s="50"/>
      <c r="AA323" s="50"/>
    </row>
    <row r="324" spans="1:27" ht="12.75" hidden="1" outlineLevel="1" x14ac:dyDescent="0.2">
      <c r="A324" s="50"/>
      <c r="B324" s="137"/>
      <c r="C324" s="70" t="s">
        <v>66</v>
      </c>
      <c r="D324" s="201">
        <v>0</v>
      </c>
      <c r="E324" s="75">
        <v>0</v>
      </c>
      <c r="F324" s="73">
        <v>0</v>
      </c>
      <c r="G324" s="73">
        <v>0</v>
      </c>
      <c r="H324" s="74" t="e">
        <f t="shared" si="72"/>
        <v>#DIV/0!</v>
      </c>
      <c r="I324" s="75" t="e">
        <f t="shared" si="73"/>
        <v>#DIV/0!</v>
      </c>
      <c r="J324" s="76" t="e">
        <f t="shared" si="74"/>
        <v>#DIV/0!</v>
      </c>
      <c r="K324" s="201">
        <v>0</v>
      </c>
      <c r="L324" s="73">
        <v>0</v>
      </c>
      <c r="M324" s="73">
        <v>0</v>
      </c>
      <c r="N324" s="202">
        <v>0</v>
      </c>
      <c r="O324" s="79" t="e">
        <f t="shared" si="95"/>
        <v>#DIV/0!</v>
      </c>
      <c r="P324" s="80" t="e">
        <f t="shared" si="76"/>
        <v>#DIV/0!</v>
      </c>
      <c r="Q324" s="79" t="e">
        <f t="shared" si="77"/>
        <v>#DIV/0!</v>
      </c>
      <c r="R324" s="81" t="e">
        <f t="shared" si="78"/>
        <v>#DIV/0!</v>
      </c>
      <c r="S324" s="203">
        <f t="shared" si="94"/>
        <v>0</v>
      </c>
      <c r="T324" s="83" t="e">
        <f t="shared" si="79"/>
        <v>#DIV/0!</v>
      </c>
      <c r="U324" s="135"/>
      <c r="V324" s="135"/>
      <c r="W324" s="135"/>
      <c r="X324" s="135"/>
      <c r="Y324" s="136"/>
      <c r="Z324" s="50"/>
      <c r="AA324" s="50"/>
    </row>
    <row r="325" spans="1:27" ht="12.75" hidden="1" outlineLevel="1" x14ac:dyDescent="0.2">
      <c r="A325" s="50"/>
      <c r="B325" s="137"/>
      <c r="C325" s="70" t="s">
        <v>36</v>
      </c>
      <c r="D325" s="90">
        <v>339.75</v>
      </c>
      <c r="E325" s="75">
        <v>64.95</v>
      </c>
      <c r="F325" s="73">
        <v>5</v>
      </c>
      <c r="G325" s="73">
        <v>5</v>
      </c>
      <c r="H325" s="74">
        <f t="shared" si="72"/>
        <v>1</v>
      </c>
      <c r="I325" s="75">
        <f t="shared" si="73"/>
        <v>67.95</v>
      </c>
      <c r="J325" s="76">
        <f t="shared" si="74"/>
        <v>67.95</v>
      </c>
      <c r="K325" s="90">
        <v>73.209999999999994</v>
      </c>
      <c r="L325" s="73">
        <v>13658</v>
      </c>
      <c r="M325" s="73">
        <v>2</v>
      </c>
      <c r="N325" s="91">
        <v>129.9</v>
      </c>
      <c r="O325" s="79">
        <f t="shared" si="95"/>
        <v>0.56358737490377209</v>
      </c>
      <c r="P325" s="80">
        <f t="shared" si="76"/>
        <v>1.7743477666985388</v>
      </c>
      <c r="Q325" s="79">
        <f t="shared" si="77"/>
        <v>0.21548197203826341</v>
      </c>
      <c r="R325" s="81">
        <f t="shared" si="78"/>
        <v>0.38233995584988967</v>
      </c>
      <c r="S325" s="92">
        <f t="shared" si="94"/>
        <v>209.85</v>
      </c>
      <c r="T325" s="83">
        <f t="shared" si="79"/>
        <v>36.604999999999997</v>
      </c>
      <c r="U325" s="135"/>
      <c r="V325" s="135"/>
      <c r="W325" s="135"/>
      <c r="X325" s="135"/>
      <c r="Y325" s="136"/>
      <c r="Z325" s="50"/>
      <c r="AA325" s="50"/>
    </row>
    <row r="326" spans="1:27" ht="12.75" hidden="1" outlineLevel="1" x14ac:dyDescent="0.2">
      <c r="A326" s="50"/>
      <c r="B326" s="69" t="s">
        <v>37</v>
      </c>
      <c r="C326" s="70" t="s">
        <v>38</v>
      </c>
      <c r="D326" s="93">
        <v>164.32</v>
      </c>
      <c r="E326" s="75">
        <v>46.72</v>
      </c>
      <c r="F326" s="73">
        <v>3</v>
      </c>
      <c r="G326" s="73">
        <v>4</v>
      </c>
      <c r="H326" s="74">
        <f t="shared" si="72"/>
        <v>0.75</v>
      </c>
      <c r="I326" s="75">
        <f t="shared" si="73"/>
        <v>54.773333333333333</v>
      </c>
      <c r="J326" s="76">
        <f t="shared" si="74"/>
        <v>73.031111111111116</v>
      </c>
      <c r="K326" s="93">
        <v>117.82</v>
      </c>
      <c r="L326" s="73">
        <v>14122</v>
      </c>
      <c r="M326" s="73">
        <v>0</v>
      </c>
      <c r="N326" s="94">
        <v>0</v>
      </c>
      <c r="O326" s="79" t="e">
        <f t="shared" si="95"/>
        <v>#DIV/0!</v>
      </c>
      <c r="P326" s="80">
        <f t="shared" si="76"/>
        <v>0</v>
      </c>
      <c r="Q326" s="79">
        <f t="shared" si="77"/>
        <v>0.7170155793573515</v>
      </c>
      <c r="R326" s="81">
        <f t="shared" si="78"/>
        <v>0</v>
      </c>
      <c r="S326" s="95">
        <f t="shared" si="94"/>
        <v>164.32</v>
      </c>
      <c r="T326" s="83" t="e">
        <f t="shared" si="79"/>
        <v>#DIV/0!</v>
      </c>
      <c r="U326" s="135"/>
      <c r="V326" s="135"/>
      <c r="W326" s="135"/>
      <c r="X326" s="135"/>
      <c r="Y326" s="136"/>
      <c r="Z326" s="50"/>
      <c r="AA326" s="50"/>
    </row>
    <row r="327" spans="1:27" ht="12.75" hidden="1" outlineLevel="1" x14ac:dyDescent="0.2">
      <c r="A327" s="50"/>
      <c r="B327" s="137"/>
      <c r="C327" s="70" t="s">
        <v>39</v>
      </c>
      <c r="D327" s="96">
        <v>1059.8900000000001</v>
      </c>
      <c r="E327" s="75">
        <v>129.97</v>
      </c>
      <c r="F327" s="73">
        <v>7</v>
      </c>
      <c r="G327" s="73">
        <v>2</v>
      </c>
      <c r="H327" s="74">
        <f t="shared" si="72"/>
        <v>3.5</v>
      </c>
      <c r="I327" s="75">
        <f t="shared" si="73"/>
        <v>151.41285714285715</v>
      </c>
      <c r="J327" s="76">
        <f t="shared" si="74"/>
        <v>43.260816326530616</v>
      </c>
      <c r="K327" s="96">
        <v>0</v>
      </c>
      <c r="L327" s="73">
        <v>0</v>
      </c>
      <c r="M327" s="73">
        <v>0</v>
      </c>
      <c r="N327" s="97">
        <v>0</v>
      </c>
      <c r="O327" s="79" t="e">
        <f t="shared" si="95"/>
        <v>#DIV/0!</v>
      </c>
      <c r="P327" s="80" t="e">
        <f t="shared" si="76"/>
        <v>#DIV/0!</v>
      </c>
      <c r="Q327" s="79">
        <f t="shared" si="77"/>
        <v>0</v>
      </c>
      <c r="R327" s="81">
        <f t="shared" si="78"/>
        <v>0</v>
      </c>
      <c r="S327" s="98">
        <f t="shared" si="94"/>
        <v>1059.8900000000001</v>
      </c>
      <c r="T327" s="83" t="e">
        <f t="shared" si="79"/>
        <v>#DIV/0!</v>
      </c>
      <c r="U327" s="135"/>
      <c r="V327" s="135"/>
      <c r="W327" s="135"/>
      <c r="X327" s="135"/>
      <c r="Y327" s="136"/>
      <c r="Z327" s="50"/>
      <c r="AA327" s="50"/>
    </row>
    <row r="328" spans="1:27" ht="12.75" hidden="1" outlineLevel="1" x14ac:dyDescent="0.2">
      <c r="A328" s="50"/>
      <c r="B328" s="137"/>
      <c r="C328" s="70" t="s">
        <v>40</v>
      </c>
      <c r="D328" s="99">
        <v>549.5</v>
      </c>
      <c r="E328" s="75">
        <v>54.95</v>
      </c>
      <c r="F328" s="73">
        <v>10</v>
      </c>
      <c r="G328" s="73">
        <v>6</v>
      </c>
      <c r="H328" s="74">
        <f t="shared" si="72"/>
        <v>1.6666666666666667</v>
      </c>
      <c r="I328" s="75">
        <f t="shared" si="73"/>
        <v>54.95</v>
      </c>
      <c r="J328" s="76">
        <f t="shared" si="74"/>
        <v>32.97</v>
      </c>
      <c r="K328" s="99">
        <v>0</v>
      </c>
      <c r="L328" s="73">
        <v>0</v>
      </c>
      <c r="M328" s="73">
        <v>0</v>
      </c>
      <c r="N328" s="100">
        <v>0</v>
      </c>
      <c r="O328" s="79" t="e">
        <f t="shared" si="95"/>
        <v>#DIV/0!</v>
      </c>
      <c r="P328" s="80" t="e">
        <f t="shared" si="76"/>
        <v>#DIV/0!</v>
      </c>
      <c r="Q328" s="79">
        <f t="shared" si="77"/>
        <v>0</v>
      </c>
      <c r="R328" s="81">
        <f t="shared" si="78"/>
        <v>0</v>
      </c>
      <c r="S328" s="101">
        <f t="shared" si="94"/>
        <v>549.5</v>
      </c>
      <c r="T328" s="83" t="e">
        <f t="shared" si="79"/>
        <v>#DIV/0!</v>
      </c>
      <c r="U328" s="135"/>
      <c r="V328" s="135"/>
      <c r="W328" s="135"/>
      <c r="X328" s="135"/>
      <c r="Y328" s="136"/>
      <c r="Z328" s="50"/>
      <c r="AA328" s="50"/>
    </row>
    <row r="329" spans="1:27" ht="12.75" hidden="1" outlineLevel="1" x14ac:dyDescent="0.2">
      <c r="A329" s="50"/>
      <c r="B329" s="137"/>
      <c r="C329" s="70" t="s">
        <v>41</v>
      </c>
      <c r="D329" s="102">
        <v>0</v>
      </c>
      <c r="E329" s="75">
        <v>0</v>
      </c>
      <c r="F329" s="73">
        <v>0</v>
      </c>
      <c r="G329" s="73">
        <v>0</v>
      </c>
      <c r="H329" s="74" t="e">
        <f t="shared" si="72"/>
        <v>#DIV/0!</v>
      </c>
      <c r="I329" s="75" t="e">
        <f t="shared" si="73"/>
        <v>#DIV/0!</v>
      </c>
      <c r="J329" s="76" t="e">
        <f t="shared" si="74"/>
        <v>#DIV/0!</v>
      </c>
      <c r="K329" s="102">
        <v>0</v>
      </c>
      <c r="L329" s="73">
        <v>0</v>
      </c>
      <c r="M329" s="73">
        <v>0</v>
      </c>
      <c r="N329" s="103">
        <v>0</v>
      </c>
      <c r="O329" s="79" t="e">
        <f t="shared" si="95"/>
        <v>#DIV/0!</v>
      </c>
      <c r="P329" s="80" t="e">
        <f t="shared" si="76"/>
        <v>#DIV/0!</v>
      </c>
      <c r="Q329" s="79" t="e">
        <f t="shared" si="77"/>
        <v>#DIV/0!</v>
      </c>
      <c r="R329" s="81" t="e">
        <f t="shared" si="78"/>
        <v>#DIV/0!</v>
      </c>
      <c r="S329" s="104">
        <f t="shared" si="94"/>
        <v>0</v>
      </c>
      <c r="T329" s="83" t="e">
        <f t="shared" si="79"/>
        <v>#DIV/0!</v>
      </c>
      <c r="U329" s="135"/>
      <c r="V329" s="135"/>
      <c r="W329" s="135"/>
      <c r="X329" s="135"/>
      <c r="Y329" s="136"/>
      <c r="Z329" s="50"/>
      <c r="AA329" s="50"/>
    </row>
    <row r="330" spans="1:27" ht="12.75" hidden="1" outlineLevel="1" x14ac:dyDescent="0.2">
      <c r="A330" s="50"/>
      <c r="B330" s="137"/>
      <c r="C330" s="70" t="s">
        <v>42</v>
      </c>
      <c r="D330" s="90">
        <v>139.93</v>
      </c>
      <c r="E330" s="75">
        <v>19.989999999999998</v>
      </c>
      <c r="F330" s="73">
        <v>7</v>
      </c>
      <c r="G330" s="73">
        <v>7</v>
      </c>
      <c r="H330" s="74">
        <f t="shared" si="72"/>
        <v>1</v>
      </c>
      <c r="I330" s="75">
        <f t="shared" si="73"/>
        <v>19.990000000000002</v>
      </c>
      <c r="J330" s="76">
        <f t="shared" si="74"/>
        <v>19.990000000000002</v>
      </c>
      <c r="K330" s="90">
        <v>6.4</v>
      </c>
      <c r="L330" s="73">
        <v>15801</v>
      </c>
      <c r="M330" s="73">
        <v>8</v>
      </c>
      <c r="N330" s="91">
        <v>159.91999999999999</v>
      </c>
      <c r="O330" s="79">
        <f t="shared" si="95"/>
        <v>4.0020010005002507E-2</v>
      </c>
      <c r="P330" s="80">
        <f t="shared" si="76"/>
        <v>24.987499999999997</v>
      </c>
      <c r="Q330" s="79">
        <f t="shared" si="77"/>
        <v>4.573715429143143E-2</v>
      </c>
      <c r="R330" s="81">
        <f t="shared" si="78"/>
        <v>1.1428571428571428</v>
      </c>
      <c r="S330" s="92">
        <f t="shared" si="94"/>
        <v>-19.989999999999981</v>
      </c>
      <c r="T330" s="83">
        <f t="shared" si="79"/>
        <v>0.8</v>
      </c>
      <c r="U330" s="135"/>
      <c r="V330" s="135"/>
      <c r="W330" s="135"/>
      <c r="X330" s="135"/>
      <c r="Y330" s="136"/>
      <c r="Z330" s="50"/>
      <c r="AA330" s="50"/>
    </row>
    <row r="331" spans="1:27" ht="12.75" hidden="1" outlineLevel="1" x14ac:dyDescent="0.2">
      <c r="A331" s="50"/>
      <c r="B331" s="137"/>
      <c r="C331" s="70" t="s">
        <v>43</v>
      </c>
      <c r="D331" s="105">
        <v>344</v>
      </c>
      <c r="E331" s="75">
        <v>172</v>
      </c>
      <c r="F331" s="73">
        <v>2</v>
      </c>
      <c r="G331" s="73">
        <v>2</v>
      </c>
      <c r="H331" s="74">
        <f t="shared" si="72"/>
        <v>1</v>
      </c>
      <c r="I331" s="75">
        <f t="shared" si="73"/>
        <v>172</v>
      </c>
      <c r="J331" s="76">
        <f t="shared" si="74"/>
        <v>172</v>
      </c>
      <c r="K331" s="105">
        <v>12.67</v>
      </c>
      <c r="L331" s="73">
        <v>23602</v>
      </c>
      <c r="M331" s="73">
        <v>1</v>
      </c>
      <c r="N331" s="106">
        <v>195</v>
      </c>
      <c r="O331" s="79">
        <f t="shared" si="95"/>
        <v>6.4974358974358978E-2</v>
      </c>
      <c r="P331" s="80">
        <f t="shared" si="76"/>
        <v>15.390686661404894</v>
      </c>
      <c r="Q331" s="79">
        <f t="shared" si="77"/>
        <v>3.6831395348837212E-2</v>
      </c>
      <c r="R331" s="81">
        <f t="shared" si="78"/>
        <v>0.56686046511627908</v>
      </c>
      <c r="S331" s="107">
        <f t="shared" si="94"/>
        <v>149</v>
      </c>
      <c r="T331" s="83">
        <f t="shared" si="79"/>
        <v>12.67</v>
      </c>
      <c r="U331" s="135"/>
      <c r="V331" s="135"/>
      <c r="W331" s="135"/>
      <c r="X331" s="135"/>
      <c r="Y331" s="136"/>
      <c r="Z331" s="50"/>
      <c r="AA331" s="50"/>
    </row>
    <row r="332" spans="1:27" ht="12.75" hidden="1" outlineLevel="1" x14ac:dyDescent="0.2">
      <c r="A332" s="50"/>
      <c r="B332" s="137"/>
      <c r="C332" s="70" t="s">
        <v>44</v>
      </c>
      <c r="D332" s="108">
        <v>159.80000000000001</v>
      </c>
      <c r="E332" s="75">
        <v>39.950000000000003</v>
      </c>
      <c r="F332" s="73">
        <v>4</v>
      </c>
      <c r="G332" s="73">
        <v>4</v>
      </c>
      <c r="H332" s="74">
        <f t="shared" si="72"/>
        <v>1</v>
      </c>
      <c r="I332" s="75">
        <f t="shared" si="73"/>
        <v>39.950000000000003</v>
      </c>
      <c r="J332" s="76">
        <f t="shared" si="74"/>
        <v>39.950000000000003</v>
      </c>
      <c r="K332" s="108">
        <v>49.37</v>
      </c>
      <c r="L332" s="73">
        <v>13331</v>
      </c>
      <c r="M332" s="73">
        <v>1</v>
      </c>
      <c r="N332" s="109">
        <v>39.950000000000003</v>
      </c>
      <c r="O332" s="79">
        <f t="shared" si="95"/>
        <v>1.2357947434292864</v>
      </c>
      <c r="P332" s="80">
        <f t="shared" si="76"/>
        <v>0.80919586793599363</v>
      </c>
      <c r="Q332" s="79">
        <f t="shared" si="77"/>
        <v>0.3089486858573216</v>
      </c>
      <c r="R332" s="81">
        <f t="shared" si="78"/>
        <v>0.25</v>
      </c>
      <c r="S332" s="110">
        <f t="shared" si="94"/>
        <v>119.85000000000001</v>
      </c>
      <c r="T332" s="83">
        <f t="shared" si="79"/>
        <v>49.37</v>
      </c>
      <c r="U332" s="135"/>
      <c r="V332" s="135"/>
      <c r="W332" s="135"/>
      <c r="X332" s="135"/>
      <c r="Y332" s="136"/>
      <c r="Z332" s="50"/>
      <c r="AA332" s="50"/>
    </row>
    <row r="333" spans="1:27" ht="12.75" hidden="1" outlineLevel="1" x14ac:dyDescent="0.2">
      <c r="A333" s="139"/>
      <c r="B333" s="137"/>
      <c r="C333" s="112" t="s">
        <v>45</v>
      </c>
      <c r="D333" s="71">
        <v>0</v>
      </c>
      <c r="E333" s="75">
        <v>0</v>
      </c>
      <c r="F333" s="73">
        <v>0</v>
      </c>
      <c r="G333" s="73">
        <v>0</v>
      </c>
      <c r="H333" s="74" t="e">
        <f t="shared" si="72"/>
        <v>#DIV/0!</v>
      </c>
      <c r="I333" s="75" t="e">
        <f t="shared" si="73"/>
        <v>#DIV/0!</v>
      </c>
      <c r="J333" s="76" t="e">
        <f t="shared" si="74"/>
        <v>#DIV/0!</v>
      </c>
      <c r="K333" s="71">
        <v>0</v>
      </c>
      <c r="L333" s="73">
        <v>0</v>
      </c>
      <c r="M333" s="73">
        <v>0</v>
      </c>
      <c r="N333" s="78">
        <v>0</v>
      </c>
      <c r="O333" s="79" t="e">
        <f t="shared" si="95"/>
        <v>#DIV/0!</v>
      </c>
      <c r="P333" s="80" t="e">
        <f t="shared" si="76"/>
        <v>#DIV/0!</v>
      </c>
      <c r="Q333" s="79" t="e">
        <f t="shared" si="77"/>
        <v>#DIV/0!</v>
      </c>
      <c r="R333" s="81" t="e">
        <f t="shared" si="78"/>
        <v>#DIV/0!</v>
      </c>
      <c r="S333" s="82">
        <f t="shared" si="94"/>
        <v>0</v>
      </c>
      <c r="T333" s="83" t="e">
        <f t="shared" si="79"/>
        <v>#DIV/0!</v>
      </c>
      <c r="U333" s="140"/>
      <c r="V333" s="140"/>
      <c r="W333" s="140"/>
      <c r="X333" s="141"/>
      <c r="Y333" s="142"/>
      <c r="Z333" s="50"/>
      <c r="AA333" s="50"/>
    </row>
    <row r="334" spans="1:27" ht="12.75" hidden="1" outlineLevel="1" x14ac:dyDescent="0.2">
      <c r="A334" s="50"/>
      <c r="B334" s="137"/>
      <c r="C334" s="70" t="s">
        <v>46</v>
      </c>
      <c r="D334" s="116">
        <v>581.27</v>
      </c>
      <c r="E334" s="75">
        <v>41.55</v>
      </c>
      <c r="F334" s="73">
        <v>14</v>
      </c>
      <c r="G334" s="73">
        <v>16</v>
      </c>
      <c r="H334" s="74">
        <f t="shared" si="72"/>
        <v>0.875</v>
      </c>
      <c r="I334" s="75">
        <f t="shared" si="73"/>
        <v>41.519285714285715</v>
      </c>
      <c r="J334" s="76">
        <f t="shared" si="74"/>
        <v>47.450612244897961</v>
      </c>
      <c r="K334" s="116">
        <v>104.02</v>
      </c>
      <c r="L334" s="73">
        <v>38358</v>
      </c>
      <c r="M334" s="73">
        <v>4</v>
      </c>
      <c r="N334" s="117">
        <v>159.80000000000001</v>
      </c>
      <c r="O334" s="79">
        <f t="shared" si="95"/>
        <v>0.65093867334167699</v>
      </c>
      <c r="P334" s="80">
        <f t="shared" si="76"/>
        <v>1.5362430301865027</v>
      </c>
      <c r="Q334" s="79">
        <f t="shared" si="77"/>
        <v>0.1789529822629759</v>
      </c>
      <c r="R334" s="81">
        <f t="shared" si="78"/>
        <v>0.27491527173258556</v>
      </c>
      <c r="S334" s="82">
        <f t="shared" si="94"/>
        <v>421.46999999999997</v>
      </c>
      <c r="T334" s="83">
        <f t="shared" si="79"/>
        <v>26.004999999999999</v>
      </c>
      <c r="U334" s="135"/>
      <c r="V334" s="135"/>
      <c r="W334" s="135"/>
      <c r="X334" s="135"/>
      <c r="Y334" s="136"/>
      <c r="Z334" s="50"/>
      <c r="AA334" s="50"/>
    </row>
    <row r="335" spans="1:27" ht="12.75" hidden="1" outlineLevel="1" x14ac:dyDescent="0.2">
      <c r="A335" s="118" t="str">
        <f t="shared" ref="A335:A336" si="96">IFERROR(IF(B335&gt;0,MONTH(B335)&amp;"-"&amp;YEAR(B335),B335),)</f>
        <v>4-2025</v>
      </c>
      <c r="B335" s="69">
        <v>45766</v>
      </c>
      <c r="C335" s="70" t="s">
        <v>49</v>
      </c>
      <c r="D335" s="116">
        <v>0</v>
      </c>
      <c r="E335" s="75">
        <v>0</v>
      </c>
      <c r="F335" s="73">
        <v>0</v>
      </c>
      <c r="G335" s="73">
        <v>0</v>
      </c>
      <c r="H335" s="74" t="e">
        <f t="shared" si="72"/>
        <v>#DIV/0!</v>
      </c>
      <c r="I335" s="75" t="e">
        <f t="shared" si="73"/>
        <v>#DIV/0!</v>
      </c>
      <c r="J335" s="76" t="e">
        <f t="shared" si="74"/>
        <v>#DIV/0!</v>
      </c>
      <c r="K335" s="116">
        <v>4.55</v>
      </c>
      <c r="L335" s="73">
        <v>6332</v>
      </c>
      <c r="M335" s="73">
        <v>0</v>
      </c>
      <c r="N335" s="117">
        <v>0</v>
      </c>
      <c r="O335" s="79" t="e">
        <f t="shared" si="95"/>
        <v>#DIV/0!</v>
      </c>
      <c r="P335" s="80">
        <f t="shared" si="76"/>
        <v>0</v>
      </c>
      <c r="Q335" s="79" t="e">
        <f t="shared" si="77"/>
        <v>#DIV/0!</v>
      </c>
      <c r="R335" s="81" t="e">
        <f t="shared" si="78"/>
        <v>#DIV/0!</v>
      </c>
      <c r="S335" s="82">
        <f t="shared" si="94"/>
        <v>0</v>
      </c>
      <c r="T335" s="83" t="e">
        <f t="shared" si="79"/>
        <v>#DIV/0!</v>
      </c>
      <c r="U335" s="135"/>
      <c r="V335" s="135"/>
      <c r="W335" s="135"/>
      <c r="X335" s="135"/>
      <c r="Y335" s="136"/>
      <c r="Z335" s="50"/>
      <c r="AA335" s="50"/>
    </row>
    <row r="336" spans="1:27" ht="12.75" collapsed="1" x14ac:dyDescent="0.2">
      <c r="A336" s="50">
        <f t="shared" si="96"/>
        <v>0</v>
      </c>
      <c r="B336" s="52" t="s">
        <v>74</v>
      </c>
      <c r="C336" s="145"/>
      <c r="D336" s="121">
        <f>SUM(D319:D335)</f>
        <v>11091.74</v>
      </c>
      <c r="E336" s="125"/>
      <c r="F336" s="123">
        <f t="shared" ref="F336:G336" si="97">SUM(F319:F335)</f>
        <v>110</v>
      </c>
      <c r="G336" s="123">
        <f t="shared" si="97"/>
        <v>95</v>
      </c>
      <c r="H336" s="124">
        <f t="shared" si="72"/>
        <v>1.1578947368421053</v>
      </c>
      <c r="I336" s="125">
        <f t="shared" si="73"/>
        <v>100.834</v>
      </c>
      <c r="J336" s="126">
        <f t="shared" si="74"/>
        <v>87.083909090909088</v>
      </c>
      <c r="K336" s="121">
        <f t="shared" ref="K336:N336" si="98">SUM(K319:K335)</f>
        <v>1072.8700000000001</v>
      </c>
      <c r="L336" s="123">
        <f t="shared" si="98"/>
        <v>286186</v>
      </c>
      <c r="M336" s="123">
        <f t="shared" si="98"/>
        <v>29</v>
      </c>
      <c r="N336" s="127">
        <f t="shared" si="98"/>
        <v>3675.76</v>
      </c>
      <c r="O336" s="128">
        <f t="shared" si="95"/>
        <v>0.29187705399699654</v>
      </c>
      <c r="P336" s="129">
        <f t="shared" si="76"/>
        <v>3.4261000866833817</v>
      </c>
      <c r="Q336" s="128">
        <f t="shared" si="77"/>
        <v>9.6726933736275833E-2</v>
      </c>
      <c r="R336" s="130">
        <f t="shared" si="78"/>
        <v>0.33139615605847239</v>
      </c>
      <c r="S336" s="131">
        <f>SUM(S319:S335)</f>
        <v>7415.9800000000014</v>
      </c>
      <c r="T336" s="132">
        <f t="shared" si="79"/>
        <v>36.995517241379318</v>
      </c>
      <c r="U336" s="133">
        <f>IFERROR((D336-D246)/D336,)</f>
        <v>0.31648956791269917</v>
      </c>
      <c r="V336" s="133">
        <f>IFERROR((F336-F246)/F336,)</f>
        <v>0.14545454545454545</v>
      </c>
      <c r="W336" s="271">
        <f>IFERROR((D336-[1]monthly_reporting_2021!E127)/D336, )</f>
        <v>0</v>
      </c>
      <c r="X336" s="271">
        <f>IFERROR((F336-[1]monthly_reporting_2021!F127)/F336, )</f>
        <v>0</v>
      </c>
      <c r="Y336" s="50"/>
      <c r="Z336" s="50"/>
      <c r="AA336" s="50"/>
    </row>
    <row r="337" spans="1:27" ht="12.75" hidden="1" outlineLevel="1" x14ac:dyDescent="0.2">
      <c r="A337" s="50"/>
      <c r="B337" s="69">
        <v>45767</v>
      </c>
      <c r="C337" s="70" t="s">
        <v>32</v>
      </c>
      <c r="D337" s="71">
        <v>1342.64</v>
      </c>
      <c r="E337" s="75">
        <v>185.25</v>
      </c>
      <c r="F337" s="73">
        <v>9</v>
      </c>
      <c r="G337" s="73">
        <v>11</v>
      </c>
      <c r="H337" s="74">
        <f t="shared" si="72"/>
        <v>0.81818181818181823</v>
      </c>
      <c r="I337" s="75">
        <f t="shared" si="73"/>
        <v>149.18222222222224</v>
      </c>
      <c r="J337" s="76">
        <f t="shared" si="74"/>
        <v>182.33382716049383</v>
      </c>
      <c r="K337" s="77">
        <v>269.19</v>
      </c>
      <c r="L337" s="73">
        <v>73735</v>
      </c>
      <c r="M337" s="73">
        <v>4</v>
      </c>
      <c r="N337" s="78">
        <v>124.95</v>
      </c>
      <c r="O337" s="79">
        <f t="shared" si="95"/>
        <v>2.1543817527010805</v>
      </c>
      <c r="P337" s="80">
        <f t="shared" si="76"/>
        <v>0.46417028864370891</v>
      </c>
      <c r="Q337" s="79">
        <f t="shared" si="77"/>
        <v>0.20049305845200499</v>
      </c>
      <c r="R337" s="81">
        <f t="shared" si="78"/>
        <v>9.3062920812727157E-2</v>
      </c>
      <c r="S337" s="82">
        <f t="shared" ref="S337:S353" si="99">D337-N337</f>
        <v>1217.69</v>
      </c>
      <c r="T337" s="83">
        <f t="shared" si="79"/>
        <v>67.297499999999999</v>
      </c>
      <c r="U337" s="135"/>
      <c r="V337" s="135"/>
      <c r="W337" s="135"/>
      <c r="X337" s="135"/>
      <c r="Y337" s="136"/>
      <c r="Z337" s="50"/>
      <c r="AA337" s="50"/>
    </row>
    <row r="338" spans="1:27" ht="12.75" hidden="1" outlineLevel="1" x14ac:dyDescent="0.2">
      <c r="A338" s="50"/>
      <c r="B338" s="137"/>
      <c r="C338" s="70" t="s">
        <v>33</v>
      </c>
      <c r="D338" s="87">
        <v>3154.67</v>
      </c>
      <c r="E338" s="75">
        <v>193.49</v>
      </c>
      <c r="F338" s="73">
        <v>16</v>
      </c>
      <c r="G338" s="73">
        <v>18</v>
      </c>
      <c r="H338" s="74">
        <f t="shared" si="72"/>
        <v>0.88888888888888884</v>
      </c>
      <c r="I338" s="75">
        <f t="shared" si="73"/>
        <v>197.166875</v>
      </c>
      <c r="J338" s="76">
        <f t="shared" si="74"/>
        <v>221.81273437500002</v>
      </c>
      <c r="K338" s="87">
        <v>323.88</v>
      </c>
      <c r="L338" s="73">
        <v>85355</v>
      </c>
      <c r="M338" s="73">
        <v>4</v>
      </c>
      <c r="N338" s="88">
        <v>937.9</v>
      </c>
      <c r="O338" s="79">
        <f t="shared" si="95"/>
        <v>0.34532466147776947</v>
      </c>
      <c r="P338" s="80">
        <f t="shared" si="76"/>
        <v>2.8958256144250956</v>
      </c>
      <c r="Q338" s="79">
        <f t="shared" si="77"/>
        <v>0.10266683995473377</v>
      </c>
      <c r="R338" s="81">
        <f t="shared" si="78"/>
        <v>0.29730526489299991</v>
      </c>
      <c r="S338" s="89">
        <f t="shared" si="99"/>
        <v>2216.77</v>
      </c>
      <c r="T338" s="83">
        <f t="shared" si="79"/>
        <v>80.97</v>
      </c>
      <c r="U338" s="135"/>
      <c r="V338" s="135"/>
      <c r="W338" s="135"/>
      <c r="X338" s="135"/>
      <c r="Y338" s="136"/>
      <c r="Z338" s="50"/>
      <c r="AA338" s="50"/>
    </row>
    <row r="339" spans="1:27" ht="12.75" hidden="1" outlineLevel="1" x14ac:dyDescent="0.2">
      <c r="A339" s="50"/>
      <c r="B339" s="137"/>
      <c r="C339" s="70" t="s">
        <v>34</v>
      </c>
      <c r="D339" s="90">
        <v>69.95</v>
      </c>
      <c r="E339" s="75">
        <v>69.95</v>
      </c>
      <c r="F339" s="73">
        <v>1</v>
      </c>
      <c r="G339" s="73">
        <v>1</v>
      </c>
      <c r="H339" s="74">
        <f t="shared" si="72"/>
        <v>1</v>
      </c>
      <c r="I339" s="75">
        <f t="shared" si="73"/>
        <v>69.95</v>
      </c>
      <c r="J339" s="76">
        <f t="shared" si="74"/>
        <v>69.95</v>
      </c>
      <c r="K339" s="90">
        <v>0</v>
      </c>
      <c r="L339" s="73">
        <v>0</v>
      </c>
      <c r="M339" s="73">
        <v>0</v>
      </c>
      <c r="N339" s="91">
        <v>0</v>
      </c>
      <c r="O339" s="79" t="e">
        <f>(K339/N339)</f>
        <v>#DIV/0!</v>
      </c>
      <c r="P339" s="80" t="e">
        <f t="shared" si="76"/>
        <v>#DIV/0!</v>
      </c>
      <c r="Q339" s="79">
        <f t="shared" si="77"/>
        <v>0</v>
      </c>
      <c r="R339" s="81">
        <f t="shared" si="78"/>
        <v>0</v>
      </c>
      <c r="S339" s="92">
        <f t="shared" si="99"/>
        <v>69.95</v>
      </c>
      <c r="T339" s="83" t="e">
        <f t="shared" si="79"/>
        <v>#DIV/0!</v>
      </c>
      <c r="U339" s="135"/>
      <c r="V339" s="135"/>
      <c r="W339" s="135"/>
      <c r="X339" s="135"/>
      <c r="Y339" s="136"/>
      <c r="Z339" s="50"/>
      <c r="AA339" s="50"/>
    </row>
    <row r="340" spans="1:27" ht="12.75" hidden="1" outlineLevel="1" x14ac:dyDescent="0.2">
      <c r="A340" s="50"/>
      <c r="B340" s="137"/>
      <c r="C340" s="70" t="s">
        <v>35</v>
      </c>
      <c r="D340" s="90">
        <v>188.85</v>
      </c>
      <c r="E340" s="75">
        <v>62.95</v>
      </c>
      <c r="F340" s="73">
        <v>3</v>
      </c>
      <c r="G340" s="73">
        <v>3</v>
      </c>
      <c r="H340" s="74">
        <f t="shared" si="72"/>
        <v>1</v>
      </c>
      <c r="I340" s="75">
        <f t="shared" si="73"/>
        <v>62.949999999999996</v>
      </c>
      <c r="J340" s="76">
        <f t="shared" si="74"/>
        <v>62.949999999999996</v>
      </c>
      <c r="K340" s="90">
        <v>0</v>
      </c>
      <c r="L340" s="73">
        <v>0</v>
      </c>
      <c r="M340" s="73">
        <v>0</v>
      </c>
      <c r="N340" s="91">
        <v>0</v>
      </c>
      <c r="O340" s="79" t="e">
        <f t="shared" ref="O340:O356" si="100">K340/N340</f>
        <v>#DIV/0!</v>
      </c>
      <c r="P340" s="80" t="e">
        <f t="shared" si="76"/>
        <v>#DIV/0!</v>
      </c>
      <c r="Q340" s="79">
        <f t="shared" si="77"/>
        <v>0</v>
      </c>
      <c r="R340" s="81">
        <f t="shared" si="78"/>
        <v>0</v>
      </c>
      <c r="S340" s="92">
        <f t="shared" si="99"/>
        <v>188.85</v>
      </c>
      <c r="T340" s="83" t="e">
        <f t="shared" si="79"/>
        <v>#DIV/0!</v>
      </c>
      <c r="U340" s="135"/>
      <c r="V340" s="135"/>
      <c r="W340" s="135"/>
      <c r="X340" s="135"/>
      <c r="Y340" s="136"/>
      <c r="Z340" s="50"/>
      <c r="AA340" s="50"/>
    </row>
    <row r="341" spans="1:27" ht="12.75" hidden="1" outlineLevel="1" x14ac:dyDescent="0.2">
      <c r="A341" s="50"/>
      <c r="B341" s="137"/>
      <c r="C341" s="70" t="s">
        <v>62</v>
      </c>
      <c r="D341" s="200">
        <v>540</v>
      </c>
      <c r="E341" s="75">
        <v>36</v>
      </c>
      <c r="F341" s="73">
        <v>15</v>
      </c>
      <c r="G341" s="73">
        <v>9</v>
      </c>
      <c r="H341" s="74">
        <f t="shared" si="72"/>
        <v>1.6666666666666667</v>
      </c>
      <c r="I341" s="75">
        <f t="shared" si="73"/>
        <v>36</v>
      </c>
      <c r="J341" s="76">
        <f t="shared" si="74"/>
        <v>21.599999999999998</v>
      </c>
      <c r="K341" s="200">
        <v>0</v>
      </c>
      <c r="L341" s="73">
        <v>0</v>
      </c>
      <c r="M341" s="73">
        <v>0</v>
      </c>
      <c r="N341" s="200">
        <v>0</v>
      </c>
      <c r="O341" s="79" t="e">
        <f t="shared" si="100"/>
        <v>#DIV/0!</v>
      </c>
      <c r="P341" s="80" t="e">
        <f t="shared" si="76"/>
        <v>#DIV/0!</v>
      </c>
      <c r="Q341" s="79">
        <f t="shared" si="77"/>
        <v>0</v>
      </c>
      <c r="R341" s="81">
        <f t="shared" si="78"/>
        <v>0</v>
      </c>
      <c r="S341" s="92">
        <f t="shared" si="99"/>
        <v>540</v>
      </c>
      <c r="T341" s="83" t="e">
        <f t="shared" si="79"/>
        <v>#DIV/0!</v>
      </c>
      <c r="U341" s="135"/>
      <c r="V341" s="135"/>
      <c r="W341" s="135"/>
      <c r="X341" s="135"/>
      <c r="Y341" s="136"/>
      <c r="Z341" s="50"/>
      <c r="AA341" s="50"/>
    </row>
    <row r="342" spans="1:27" ht="12.75" hidden="1" outlineLevel="1" x14ac:dyDescent="0.2">
      <c r="A342" s="50"/>
      <c r="B342" s="137"/>
      <c r="C342" s="70" t="s">
        <v>66</v>
      </c>
      <c r="D342" s="201">
        <v>0</v>
      </c>
      <c r="E342" s="75">
        <v>0</v>
      </c>
      <c r="F342" s="73">
        <v>0</v>
      </c>
      <c r="G342" s="73">
        <v>0</v>
      </c>
      <c r="H342" s="74" t="e">
        <f t="shared" si="72"/>
        <v>#DIV/0!</v>
      </c>
      <c r="I342" s="75" t="e">
        <f t="shared" si="73"/>
        <v>#DIV/0!</v>
      </c>
      <c r="J342" s="76" t="e">
        <f t="shared" si="74"/>
        <v>#DIV/0!</v>
      </c>
      <c r="K342" s="201">
        <v>0</v>
      </c>
      <c r="L342" s="73">
        <v>0</v>
      </c>
      <c r="M342" s="73">
        <v>0</v>
      </c>
      <c r="N342" s="202">
        <v>0</v>
      </c>
      <c r="O342" s="79" t="e">
        <f t="shared" si="100"/>
        <v>#DIV/0!</v>
      </c>
      <c r="P342" s="80" t="e">
        <f t="shared" si="76"/>
        <v>#DIV/0!</v>
      </c>
      <c r="Q342" s="79" t="e">
        <f t="shared" si="77"/>
        <v>#DIV/0!</v>
      </c>
      <c r="R342" s="81" t="e">
        <f t="shared" si="78"/>
        <v>#DIV/0!</v>
      </c>
      <c r="S342" s="203">
        <f t="shared" si="99"/>
        <v>0</v>
      </c>
      <c r="T342" s="83" t="e">
        <f t="shared" si="79"/>
        <v>#DIV/0!</v>
      </c>
      <c r="U342" s="135"/>
      <c r="V342" s="135"/>
      <c r="W342" s="135"/>
      <c r="X342" s="135"/>
      <c r="Y342" s="136"/>
      <c r="Z342" s="50"/>
      <c r="AA342" s="50"/>
    </row>
    <row r="343" spans="1:27" ht="12.75" hidden="1" outlineLevel="1" x14ac:dyDescent="0.2">
      <c r="A343" s="50"/>
      <c r="B343" s="137"/>
      <c r="C343" s="70" t="s">
        <v>36</v>
      </c>
      <c r="D343" s="90">
        <v>69.95</v>
      </c>
      <c r="E343" s="75">
        <v>69.95</v>
      </c>
      <c r="F343" s="73">
        <v>1</v>
      </c>
      <c r="G343" s="73">
        <v>1</v>
      </c>
      <c r="H343" s="74">
        <f t="shared" si="72"/>
        <v>1</v>
      </c>
      <c r="I343" s="75">
        <f t="shared" si="73"/>
        <v>69.95</v>
      </c>
      <c r="J343" s="76">
        <f t="shared" si="74"/>
        <v>69.95</v>
      </c>
      <c r="K343" s="90">
        <v>37.909999999999997</v>
      </c>
      <c r="L343" s="73">
        <v>5071</v>
      </c>
      <c r="M343" s="73">
        <v>0</v>
      </c>
      <c r="N343" s="91">
        <v>0</v>
      </c>
      <c r="O343" s="79" t="e">
        <f t="shared" si="100"/>
        <v>#DIV/0!</v>
      </c>
      <c r="P343" s="80">
        <f t="shared" si="76"/>
        <v>0</v>
      </c>
      <c r="Q343" s="79">
        <f t="shared" si="77"/>
        <v>0.54195854181558245</v>
      </c>
      <c r="R343" s="81">
        <f t="shared" si="78"/>
        <v>0</v>
      </c>
      <c r="S343" s="92">
        <f t="shared" si="99"/>
        <v>69.95</v>
      </c>
      <c r="T343" s="83" t="e">
        <f t="shared" si="79"/>
        <v>#DIV/0!</v>
      </c>
      <c r="U343" s="135"/>
      <c r="V343" s="135"/>
      <c r="W343" s="135"/>
      <c r="X343" s="135"/>
      <c r="Y343" s="136"/>
      <c r="Z343" s="50"/>
      <c r="AA343" s="50"/>
    </row>
    <row r="344" spans="1:27" ht="12.75" hidden="1" outlineLevel="1" x14ac:dyDescent="0.2">
      <c r="A344" s="50"/>
      <c r="B344" s="69" t="s">
        <v>37</v>
      </c>
      <c r="C344" s="70" t="s">
        <v>38</v>
      </c>
      <c r="D344" s="93">
        <v>214.75</v>
      </c>
      <c r="E344" s="75">
        <v>49.95</v>
      </c>
      <c r="F344" s="73">
        <v>5</v>
      </c>
      <c r="G344" s="73">
        <v>6</v>
      </c>
      <c r="H344" s="74">
        <f t="shared" si="72"/>
        <v>0.83333333333333337</v>
      </c>
      <c r="I344" s="75">
        <f t="shared" si="73"/>
        <v>42.95</v>
      </c>
      <c r="J344" s="76">
        <f t="shared" si="74"/>
        <v>51.54</v>
      </c>
      <c r="K344" s="93">
        <v>90.03</v>
      </c>
      <c r="L344" s="73">
        <v>12745</v>
      </c>
      <c r="M344" s="73">
        <v>0</v>
      </c>
      <c r="N344" s="94">
        <v>0</v>
      </c>
      <c r="O344" s="79" t="e">
        <f t="shared" si="100"/>
        <v>#DIV/0!</v>
      </c>
      <c r="P344" s="80">
        <f t="shared" si="76"/>
        <v>0</v>
      </c>
      <c r="Q344" s="79">
        <f t="shared" si="77"/>
        <v>0.41923166472642609</v>
      </c>
      <c r="R344" s="81">
        <f t="shared" si="78"/>
        <v>0</v>
      </c>
      <c r="S344" s="95">
        <f t="shared" si="99"/>
        <v>214.75</v>
      </c>
      <c r="T344" s="83" t="e">
        <f t="shared" si="79"/>
        <v>#DIV/0!</v>
      </c>
      <c r="U344" s="135"/>
      <c r="V344" s="135"/>
      <c r="W344" s="135"/>
      <c r="X344" s="135"/>
      <c r="Y344" s="136"/>
      <c r="Z344" s="50"/>
      <c r="AA344" s="50"/>
    </row>
    <row r="345" spans="1:27" ht="12.75" hidden="1" outlineLevel="1" x14ac:dyDescent="0.2">
      <c r="A345" s="50"/>
      <c r="B345" s="137"/>
      <c r="C345" s="70" t="s">
        <v>39</v>
      </c>
      <c r="D345" s="96">
        <v>199.9</v>
      </c>
      <c r="E345" s="75">
        <v>99.95</v>
      </c>
      <c r="F345" s="73">
        <v>2</v>
      </c>
      <c r="G345" s="73">
        <v>2</v>
      </c>
      <c r="H345" s="74">
        <f t="shared" si="72"/>
        <v>1</v>
      </c>
      <c r="I345" s="75">
        <f t="shared" si="73"/>
        <v>99.95</v>
      </c>
      <c r="J345" s="76">
        <f t="shared" si="74"/>
        <v>99.95</v>
      </c>
      <c r="K345" s="96">
        <v>0</v>
      </c>
      <c r="L345" s="73">
        <v>0</v>
      </c>
      <c r="M345" s="73">
        <v>0</v>
      </c>
      <c r="N345" s="97">
        <v>0</v>
      </c>
      <c r="O345" s="79" t="e">
        <f t="shared" si="100"/>
        <v>#DIV/0!</v>
      </c>
      <c r="P345" s="80" t="e">
        <f t="shared" si="76"/>
        <v>#DIV/0!</v>
      </c>
      <c r="Q345" s="79">
        <f t="shared" si="77"/>
        <v>0</v>
      </c>
      <c r="R345" s="81">
        <f t="shared" si="78"/>
        <v>0</v>
      </c>
      <c r="S345" s="98">
        <f t="shared" si="99"/>
        <v>199.9</v>
      </c>
      <c r="T345" s="83" t="e">
        <f t="shared" si="79"/>
        <v>#DIV/0!</v>
      </c>
      <c r="U345" s="135"/>
      <c r="V345" s="135"/>
      <c r="W345" s="135"/>
      <c r="X345" s="135"/>
      <c r="Y345" s="136"/>
      <c r="Z345" s="50"/>
      <c r="AA345" s="50"/>
    </row>
    <row r="346" spans="1:27" ht="12.75" hidden="1" outlineLevel="1" x14ac:dyDescent="0.2">
      <c r="A346" s="50"/>
      <c r="B346" s="137"/>
      <c r="C346" s="70" t="s">
        <v>40</v>
      </c>
      <c r="D346" s="99">
        <v>659.4</v>
      </c>
      <c r="E346" s="75">
        <v>54.95</v>
      </c>
      <c r="F346" s="73">
        <v>12</v>
      </c>
      <c r="G346" s="73">
        <v>3</v>
      </c>
      <c r="H346" s="74">
        <f t="shared" si="72"/>
        <v>4</v>
      </c>
      <c r="I346" s="75">
        <f t="shared" si="73"/>
        <v>54.949999999999996</v>
      </c>
      <c r="J346" s="76">
        <f t="shared" si="74"/>
        <v>13.737499999999999</v>
      </c>
      <c r="K346" s="99">
        <v>0</v>
      </c>
      <c r="L346" s="73">
        <v>0</v>
      </c>
      <c r="M346" s="73">
        <v>0</v>
      </c>
      <c r="N346" s="100">
        <v>0</v>
      </c>
      <c r="O346" s="79" t="e">
        <f t="shared" si="100"/>
        <v>#DIV/0!</v>
      </c>
      <c r="P346" s="80" t="e">
        <f t="shared" si="76"/>
        <v>#DIV/0!</v>
      </c>
      <c r="Q346" s="79">
        <f t="shared" si="77"/>
        <v>0</v>
      </c>
      <c r="R346" s="81">
        <f t="shared" si="78"/>
        <v>0</v>
      </c>
      <c r="S346" s="101">
        <f t="shared" si="99"/>
        <v>659.4</v>
      </c>
      <c r="T346" s="83" t="e">
        <f t="shared" si="79"/>
        <v>#DIV/0!</v>
      </c>
      <c r="U346" s="135"/>
      <c r="V346" s="135"/>
      <c r="W346" s="135"/>
      <c r="X346" s="135"/>
      <c r="Y346" s="136"/>
      <c r="Z346" s="50"/>
      <c r="AA346" s="50"/>
    </row>
    <row r="347" spans="1:27" ht="12.75" hidden="1" outlineLevel="1" x14ac:dyDescent="0.2">
      <c r="A347" s="50"/>
      <c r="B347" s="137"/>
      <c r="C347" s="70" t="s">
        <v>41</v>
      </c>
      <c r="D347" s="102">
        <v>0</v>
      </c>
      <c r="E347" s="75">
        <v>0</v>
      </c>
      <c r="F347" s="73">
        <v>0</v>
      </c>
      <c r="G347" s="73">
        <v>0</v>
      </c>
      <c r="H347" s="74" t="e">
        <f t="shared" si="72"/>
        <v>#DIV/0!</v>
      </c>
      <c r="I347" s="75" t="e">
        <f t="shared" si="73"/>
        <v>#DIV/0!</v>
      </c>
      <c r="J347" s="76" t="e">
        <f t="shared" si="74"/>
        <v>#DIV/0!</v>
      </c>
      <c r="K347" s="102">
        <v>0</v>
      </c>
      <c r="L347" s="73">
        <v>14</v>
      </c>
      <c r="M347" s="73">
        <v>0</v>
      </c>
      <c r="N347" s="103">
        <v>0</v>
      </c>
      <c r="O347" s="79" t="e">
        <f t="shared" si="100"/>
        <v>#DIV/0!</v>
      </c>
      <c r="P347" s="80" t="e">
        <f t="shared" si="76"/>
        <v>#DIV/0!</v>
      </c>
      <c r="Q347" s="79" t="e">
        <f t="shared" si="77"/>
        <v>#DIV/0!</v>
      </c>
      <c r="R347" s="81" t="e">
        <f t="shared" si="78"/>
        <v>#DIV/0!</v>
      </c>
      <c r="S347" s="104">
        <f t="shared" si="99"/>
        <v>0</v>
      </c>
      <c r="T347" s="83" t="e">
        <f t="shared" si="79"/>
        <v>#DIV/0!</v>
      </c>
      <c r="U347" s="135"/>
      <c r="V347" s="135"/>
      <c r="W347" s="135"/>
      <c r="X347" s="135"/>
      <c r="Y347" s="136"/>
      <c r="Z347" s="50"/>
      <c r="AA347" s="50"/>
    </row>
    <row r="348" spans="1:27" ht="12.75" hidden="1" outlineLevel="1" x14ac:dyDescent="0.2">
      <c r="A348" s="50"/>
      <c r="B348" s="137"/>
      <c r="C348" s="70" t="s">
        <v>42</v>
      </c>
      <c r="D348" s="90">
        <v>79.959999999999994</v>
      </c>
      <c r="E348" s="75">
        <v>19.989999999999998</v>
      </c>
      <c r="F348" s="73">
        <v>4</v>
      </c>
      <c r="G348" s="73">
        <v>2</v>
      </c>
      <c r="H348" s="74">
        <f t="shared" si="72"/>
        <v>2</v>
      </c>
      <c r="I348" s="75">
        <f t="shared" si="73"/>
        <v>19.989999999999998</v>
      </c>
      <c r="J348" s="76">
        <f t="shared" si="74"/>
        <v>9.9949999999999992</v>
      </c>
      <c r="K348" s="90">
        <v>6</v>
      </c>
      <c r="L348" s="73">
        <v>14379</v>
      </c>
      <c r="M348" s="73">
        <v>0</v>
      </c>
      <c r="N348" s="91">
        <v>0</v>
      </c>
      <c r="O348" s="79" t="e">
        <f t="shared" si="100"/>
        <v>#DIV/0!</v>
      </c>
      <c r="P348" s="80">
        <f t="shared" si="76"/>
        <v>0</v>
      </c>
      <c r="Q348" s="79">
        <f t="shared" si="77"/>
        <v>7.5037518759379696E-2</v>
      </c>
      <c r="R348" s="81">
        <f t="shared" si="78"/>
        <v>0</v>
      </c>
      <c r="S348" s="92">
        <f t="shared" si="99"/>
        <v>79.959999999999994</v>
      </c>
      <c r="T348" s="83" t="e">
        <f t="shared" si="79"/>
        <v>#DIV/0!</v>
      </c>
      <c r="U348" s="135"/>
      <c r="V348" s="135"/>
      <c r="W348" s="135"/>
      <c r="X348" s="135"/>
      <c r="Y348" s="136"/>
      <c r="Z348" s="50"/>
      <c r="AA348" s="50"/>
    </row>
    <row r="349" spans="1:27" ht="12.75" hidden="1" outlineLevel="1" x14ac:dyDescent="0.2">
      <c r="A349" s="50"/>
      <c r="B349" s="137"/>
      <c r="C349" s="70" t="s">
        <v>43</v>
      </c>
      <c r="D349" s="105">
        <v>0</v>
      </c>
      <c r="E349" s="75">
        <v>0</v>
      </c>
      <c r="F349" s="73">
        <v>0</v>
      </c>
      <c r="G349" s="73">
        <v>0</v>
      </c>
      <c r="H349" s="74" t="e">
        <f t="shared" si="72"/>
        <v>#DIV/0!</v>
      </c>
      <c r="I349" s="75" t="e">
        <f t="shared" si="73"/>
        <v>#DIV/0!</v>
      </c>
      <c r="J349" s="76" t="e">
        <f t="shared" si="74"/>
        <v>#DIV/0!</v>
      </c>
      <c r="K349" s="105">
        <v>14.56</v>
      </c>
      <c r="L349" s="73">
        <v>21997</v>
      </c>
      <c r="M349" s="73">
        <v>0</v>
      </c>
      <c r="N349" s="106">
        <v>0</v>
      </c>
      <c r="O349" s="79" t="e">
        <f t="shared" si="100"/>
        <v>#DIV/0!</v>
      </c>
      <c r="P349" s="80">
        <f t="shared" si="76"/>
        <v>0</v>
      </c>
      <c r="Q349" s="79" t="e">
        <f t="shared" si="77"/>
        <v>#DIV/0!</v>
      </c>
      <c r="R349" s="81" t="e">
        <f t="shared" si="78"/>
        <v>#DIV/0!</v>
      </c>
      <c r="S349" s="107">
        <f t="shared" si="99"/>
        <v>0</v>
      </c>
      <c r="T349" s="83" t="e">
        <f t="shared" si="79"/>
        <v>#DIV/0!</v>
      </c>
      <c r="U349" s="135"/>
      <c r="V349" s="135"/>
      <c r="W349" s="135"/>
      <c r="X349" s="135"/>
      <c r="Y349" s="136"/>
      <c r="Z349" s="50"/>
      <c r="AA349" s="50"/>
    </row>
    <row r="350" spans="1:27" ht="12.75" hidden="1" outlineLevel="1" x14ac:dyDescent="0.2">
      <c r="A350" s="50"/>
      <c r="B350" s="137"/>
      <c r="C350" s="70" t="s">
        <v>44</v>
      </c>
      <c r="D350" s="108">
        <v>159.80000000000001</v>
      </c>
      <c r="E350" s="75">
        <v>39.950000000000003</v>
      </c>
      <c r="F350" s="73">
        <v>4</v>
      </c>
      <c r="G350" s="73">
        <v>4</v>
      </c>
      <c r="H350" s="74">
        <f t="shared" si="72"/>
        <v>1</v>
      </c>
      <c r="I350" s="75">
        <f t="shared" si="73"/>
        <v>39.950000000000003</v>
      </c>
      <c r="J350" s="76">
        <f t="shared" si="74"/>
        <v>39.950000000000003</v>
      </c>
      <c r="K350" s="108">
        <v>54.38</v>
      </c>
      <c r="L350" s="73">
        <v>11920</v>
      </c>
      <c r="M350" s="73">
        <v>2</v>
      </c>
      <c r="N350" s="109">
        <v>79.900000000000006</v>
      </c>
      <c r="O350" s="79">
        <f t="shared" si="100"/>
        <v>0.68060075093867334</v>
      </c>
      <c r="P350" s="80">
        <f t="shared" si="76"/>
        <v>1.4692901802133138</v>
      </c>
      <c r="Q350" s="79">
        <f t="shared" si="77"/>
        <v>0.34030037546933667</v>
      </c>
      <c r="R350" s="81">
        <f t="shared" si="78"/>
        <v>0.5</v>
      </c>
      <c r="S350" s="110">
        <f t="shared" si="99"/>
        <v>79.900000000000006</v>
      </c>
      <c r="T350" s="83">
        <f t="shared" si="79"/>
        <v>27.19</v>
      </c>
      <c r="U350" s="135"/>
      <c r="V350" s="135"/>
      <c r="W350" s="135"/>
      <c r="X350" s="135"/>
      <c r="Y350" s="136"/>
      <c r="Z350" s="50"/>
      <c r="AA350" s="50"/>
    </row>
    <row r="351" spans="1:27" ht="12.75" hidden="1" outlineLevel="1" x14ac:dyDescent="0.2">
      <c r="A351" s="139"/>
      <c r="B351" s="137"/>
      <c r="C351" s="112" t="s">
        <v>45</v>
      </c>
      <c r="D351" s="71">
        <v>0</v>
      </c>
      <c r="E351" s="75">
        <v>0</v>
      </c>
      <c r="F351" s="73">
        <v>0</v>
      </c>
      <c r="G351" s="73">
        <v>0</v>
      </c>
      <c r="H351" s="74" t="e">
        <f t="shared" si="72"/>
        <v>#DIV/0!</v>
      </c>
      <c r="I351" s="75" t="e">
        <f t="shared" si="73"/>
        <v>#DIV/0!</v>
      </c>
      <c r="J351" s="76" t="e">
        <f t="shared" si="74"/>
        <v>#DIV/0!</v>
      </c>
      <c r="K351" s="71">
        <v>0</v>
      </c>
      <c r="L351" s="73">
        <v>0</v>
      </c>
      <c r="M351" s="73">
        <v>0</v>
      </c>
      <c r="N351" s="78">
        <v>0</v>
      </c>
      <c r="O351" s="79" t="e">
        <f t="shared" si="100"/>
        <v>#DIV/0!</v>
      </c>
      <c r="P351" s="80" t="e">
        <f t="shared" si="76"/>
        <v>#DIV/0!</v>
      </c>
      <c r="Q351" s="79" t="e">
        <f t="shared" si="77"/>
        <v>#DIV/0!</v>
      </c>
      <c r="R351" s="81" t="e">
        <f t="shared" si="78"/>
        <v>#DIV/0!</v>
      </c>
      <c r="S351" s="82">
        <f t="shared" si="99"/>
        <v>0</v>
      </c>
      <c r="T351" s="83" t="e">
        <f t="shared" si="79"/>
        <v>#DIV/0!</v>
      </c>
      <c r="U351" s="140"/>
      <c r="V351" s="140"/>
      <c r="W351" s="140"/>
      <c r="X351" s="141"/>
      <c r="Y351" s="142"/>
      <c r="Z351" s="50"/>
      <c r="AA351" s="50"/>
    </row>
    <row r="352" spans="1:27" ht="12.75" hidden="1" outlineLevel="1" x14ac:dyDescent="0.2">
      <c r="A352" s="50"/>
      <c r="B352" s="137"/>
      <c r="C352" s="70" t="s">
        <v>46</v>
      </c>
      <c r="D352" s="116">
        <v>755.16</v>
      </c>
      <c r="E352" s="75">
        <v>44.76</v>
      </c>
      <c r="F352" s="73">
        <v>17</v>
      </c>
      <c r="G352" s="73">
        <v>17</v>
      </c>
      <c r="H352" s="74">
        <f t="shared" si="72"/>
        <v>1</v>
      </c>
      <c r="I352" s="75">
        <f t="shared" si="73"/>
        <v>44.421176470588236</v>
      </c>
      <c r="J352" s="76">
        <f t="shared" si="74"/>
        <v>44.421176470588236</v>
      </c>
      <c r="K352" s="116">
        <v>85.03</v>
      </c>
      <c r="L352" s="73">
        <v>29388</v>
      </c>
      <c r="M352" s="73">
        <v>7</v>
      </c>
      <c r="N352" s="117">
        <v>314.64999999999998</v>
      </c>
      <c r="O352" s="79">
        <f t="shared" si="100"/>
        <v>0.27023677101541399</v>
      </c>
      <c r="P352" s="80">
        <f t="shared" si="76"/>
        <v>3.7004586616488293</v>
      </c>
      <c r="Q352" s="79">
        <f t="shared" si="77"/>
        <v>0.11259865458975582</v>
      </c>
      <c r="R352" s="81">
        <f t="shared" si="78"/>
        <v>0.41666666666666663</v>
      </c>
      <c r="S352" s="82">
        <f t="shared" si="99"/>
        <v>440.51</v>
      </c>
      <c r="T352" s="83">
        <f t="shared" si="79"/>
        <v>12.147142857142857</v>
      </c>
      <c r="U352" s="135"/>
      <c r="V352" s="135"/>
      <c r="W352" s="135"/>
      <c r="X352" s="135"/>
      <c r="Y352" s="136"/>
      <c r="Z352" s="50"/>
      <c r="AA352" s="50"/>
    </row>
    <row r="353" spans="1:27" ht="12.75" hidden="1" outlineLevel="1" x14ac:dyDescent="0.2">
      <c r="A353" s="118" t="str">
        <f t="shared" ref="A353:A354" si="101">IFERROR(IF(B353&gt;0,MONTH(B353)&amp;"-"&amp;YEAR(B353),B353),)</f>
        <v>4-2025</v>
      </c>
      <c r="B353" s="69">
        <v>45773</v>
      </c>
      <c r="C353" s="70" t="s">
        <v>49</v>
      </c>
      <c r="D353" s="116">
        <v>0</v>
      </c>
      <c r="E353" s="75">
        <v>0</v>
      </c>
      <c r="F353" s="73">
        <v>0</v>
      </c>
      <c r="G353" s="73">
        <v>0</v>
      </c>
      <c r="H353" s="74" t="e">
        <f t="shared" si="72"/>
        <v>#DIV/0!</v>
      </c>
      <c r="I353" s="75" t="e">
        <f t="shared" si="73"/>
        <v>#DIV/0!</v>
      </c>
      <c r="J353" s="76" t="e">
        <f t="shared" si="74"/>
        <v>#DIV/0!</v>
      </c>
      <c r="K353" s="116">
        <v>4.28</v>
      </c>
      <c r="L353" s="73">
        <v>8057</v>
      </c>
      <c r="M353" s="73">
        <v>0</v>
      </c>
      <c r="N353" s="117">
        <v>0</v>
      </c>
      <c r="O353" s="79" t="e">
        <f t="shared" si="100"/>
        <v>#DIV/0!</v>
      </c>
      <c r="P353" s="80">
        <f t="shared" si="76"/>
        <v>0</v>
      </c>
      <c r="Q353" s="79" t="e">
        <f t="shared" si="77"/>
        <v>#DIV/0!</v>
      </c>
      <c r="R353" s="81" t="e">
        <f t="shared" si="78"/>
        <v>#DIV/0!</v>
      </c>
      <c r="S353" s="82">
        <f t="shared" si="99"/>
        <v>0</v>
      </c>
      <c r="T353" s="83" t="e">
        <f t="shared" si="79"/>
        <v>#DIV/0!</v>
      </c>
      <c r="U353" s="135"/>
      <c r="V353" s="135"/>
      <c r="W353" s="135"/>
      <c r="X353" s="135"/>
      <c r="Y353" s="136"/>
      <c r="Z353" s="50"/>
      <c r="AA353" s="50"/>
    </row>
    <row r="354" spans="1:27" ht="12.75" collapsed="1" x14ac:dyDescent="0.2">
      <c r="A354" s="50">
        <f t="shared" si="101"/>
        <v>0</v>
      </c>
      <c r="B354" s="52" t="s">
        <v>75</v>
      </c>
      <c r="C354" s="145"/>
      <c r="D354" s="121">
        <f>SUM(D337:D353)</f>
        <v>7435.03</v>
      </c>
      <c r="E354" s="125"/>
      <c r="F354" s="123">
        <f t="shared" ref="F354:G354" si="102">SUM(F337:F353)</f>
        <v>89</v>
      </c>
      <c r="G354" s="123">
        <f t="shared" si="102"/>
        <v>77</v>
      </c>
      <c r="H354" s="124">
        <f t="shared" si="72"/>
        <v>1.1558441558441559</v>
      </c>
      <c r="I354" s="125">
        <f t="shared" si="73"/>
        <v>83.53966292134831</v>
      </c>
      <c r="J354" s="126">
        <f t="shared" si="74"/>
        <v>72.27588814543617</v>
      </c>
      <c r="K354" s="121">
        <f t="shared" ref="K354:N354" si="103">SUM(K337:K353)</f>
        <v>885.25999999999976</v>
      </c>
      <c r="L354" s="123">
        <f t="shared" si="103"/>
        <v>262661</v>
      </c>
      <c r="M354" s="123">
        <f t="shared" si="103"/>
        <v>17</v>
      </c>
      <c r="N354" s="127">
        <f t="shared" si="103"/>
        <v>1457.4</v>
      </c>
      <c r="O354" s="128">
        <f t="shared" si="100"/>
        <v>0.60742418004665821</v>
      </c>
      <c r="P354" s="129">
        <f t="shared" si="76"/>
        <v>1.6462960034340199</v>
      </c>
      <c r="Q354" s="128">
        <f t="shared" si="77"/>
        <v>0.11906609657257601</v>
      </c>
      <c r="R354" s="130">
        <f t="shared" si="78"/>
        <v>0.19601803893192093</v>
      </c>
      <c r="S354" s="131">
        <f>SUM(S337:S353)</f>
        <v>5977.6299999999992</v>
      </c>
      <c r="T354" s="132">
        <f t="shared" si="79"/>
        <v>52.074117647058813</v>
      </c>
      <c r="U354" s="273">
        <f>IFERROR((D354-D246)/D354,)</f>
        <v>-1.967577803990006E-2</v>
      </c>
      <c r="V354" s="273">
        <f>IFERROR((F354-F246)/F354,)</f>
        <v>-5.6179775280898875E-2</v>
      </c>
      <c r="W354" s="271">
        <f>IFERROR((D354-[1]monthly_reporting_2021!E145)/D354, )</f>
        <v>0</v>
      </c>
      <c r="X354" s="271">
        <f>IFERROR((F354-[1]monthly_reporting_2021!F145)/F354, )</f>
        <v>0</v>
      </c>
      <c r="Y354" s="50"/>
      <c r="Z354" s="50"/>
      <c r="AA354" s="50"/>
    </row>
    <row r="355" spans="1:27" ht="12.75" hidden="1" outlineLevel="1" x14ac:dyDescent="0.2">
      <c r="A355" s="50"/>
      <c r="B355" s="69">
        <v>45774</v>
      </c>
      <c r="C355" s="70" t="s">
        <v>32</v>
      </c>
      <c r="D355" s="71">
        <v>1667.12</v>
      </c>
      <c r="E355" s="75">
        <v>259.01</v>
      </c>
      <c r="F355" s="73">
        <v>16</v>
      </c>
      <c r="G355" s="73">
        <v>17</v>
      </c>
      <c r="H355" s="74">
        <f t="shared" si="72"/>
        <v>0.94117647058823528</v>
      </c>
      <c r="I355" s="75">
        <f t="shared" si="73"/>
        <v>104.19499999999999</v>
      </c>
      <c r="J355" s="76">
        <f t="shared" si="74"/>
        <v>110.70718749999999</v>
      </c>
      <c r="K355" s="77">
        <v>259.54000000000002</v>
      </c>
      <c r="L355" s="73">
        <v>83285</v>
      </c>
      <c r="M355" s="73">
        <v>9</v>
      </c>
      <c r="N355" s="78">
        <v>578.79999999999995</v>
      </c>
      <c r="O355" s="79">
        <f t="shared" si="100"/>
        <v>0.44841050449205261</v>
      </c>
      <c r="P355" s="80">
        <f t="shared" si="76"/>
        <v>2.230099406642521</v>
      </c>
      <c r="Q355" s="79">
        <f t="shared" si="77"/>
        <v>0.15568165458995156</v>
      </c>
      <c r="R355" s="81">
        <f t="shared" si="78"/>
        <v>0.34718556552617685</v>
      </c>
      <c r="S355" s="82">
        <f t="shared" ref="S355:S371" si="104">D355-N355</f>
        <v>1088.32</v>
      </c>
      <c r="T355" s="83">
        <f t="shared" si="79"/>
        <v>28.837777777777781</v>
      </c>
      <c r="U355" s="135"/>
      <c r="V355" s="135"/>
      <c r="W355" s="135"/>
      <c r="X355" s="135"/>
      <c r="Y355" s="136"/>
      <c r="Z355" s="50"/>
      <c r="AA355" s="50"/>
    </row>
    <row r="356" spans="1:27" ht="12.75" hidden="1" outlineLevel="1" x14ac:dyDescent="0.2">
      <c r="A356" s="50"/>
      <c r="B356" s="137"/>
      <c r="C356" s="70" t="s">
        <v>33</v>
      </c>
      <c r="D356" s="87">
        <v>3548.15</v>
      </c>
      <c r="E356" s="75">
        <v>126.33</v>
      </c>
      <c r="F356" s="73">
        <v>31</v>
      </c>
      <c r="G356" s="73">
        <v>32</v>
      </c>
      <c r="H356" s="74">
        <f t="shared" si="72"/>
        <v>0.96875</v>
      </c>
      <c r="I356" s="75">
        <f t="shared" si="73"/>
        <v>114.45645161290322</v>
      </c>
      <c r="J356" s="76">
        <f t="shared" si="74"/>
        <v>118.14859521331945</v>
      </c>
      <c r="K356" s="87">
        <v>184.46</v>
      </c>
      <c r="L356" s="73">
        <v>71041</v>
      </c>
      <c r="M356" s="73">
        <v>2</v>
      </c>
      <c r="N356" s="88">
        <v>59.95</v>
      </c>
      <c r="O356" s="79">
        <f t="shared" si="100"/>
        <v>3.0768974145120933</v>
      </c>
      <c r="P356" s="80">
        <f t="shared" si="76"/>
        <v>0.32500271061476743</v>
      </c>
      <c r="Q356" s="79">
        <f t="shared" si="77"/>
        <v>5.1987655538801913E-2</v>
      </c>
      <c r="R356" s="81">
        <f t="shared" si="78"/>
        <v>1.689612896861745E-2</v>
      </c>
      <c r="S356" s="89">
        <f t="shared" si="104"/>
        <v>3488.2000000000003</v>
      </c>
      <c r="T356" s="83">
        <f t="shared" si="79"/>
        <v>92.23</v>
      </c>
      <c r="U356" s="135"/>
      <c r="V356" s="135"/>
      <c r="W356" s="135"/>
      <c r="X356" s="135"/>
      <c r="Y356" s="136"/>
      <c r="Z356" s="50"/>
      <c r="AA356" s="50"/>
    </row>
    <row r="357" spans="1:27" ht="12.75" hidden="1" outlineLevel="1" x14ac:dyDescent="0.2">
      <c r="A357" s="50"/>
      <c r="B357" s="137"/>
      <c r="C357" s="70" t="s">
        <v>34</v>
      </c>
      <c r="D357" s="90">
        <v>0</v>
      </c>
      <c r="E357" s="75">
        <v>0</v>
      </c>
      <c r="F357" s="73">
        <v>0</v>
      </c>
      <c r="G357" s="73">
        <v>0</v>
      </c>
      <c r="H357" s="74" t="e">
        <f t="shared" si="72"/>
        <v>#DIV/0!</v>
      </c>
      <c r="I357" s="75" t="e">
        <f t="shared" si="73"/>
        <v>#DIV/0!</v>
      </c>
      <c r="J357" s="76" t="e">
        <f t="shared" si="74"/>
        <v>#DIV/0!</v>
      </c>
      <c r="K357" s="90">
        <v>0</v>
      </c>
      <c r="L357" s="73">
        <v>0</v>
      </c>
      <c r="M357" s="73">
        <v>0</v>
      </c>
      <c r="N357" s="91">
        <v>0</v>
      </c>
      <c r="O357" s="79" t="e">
        <f>(K357/N357)</f>
        <v>#DIV/0!</v>
      </c>
      <c r="P357" s="80" t="e">
        <f t="shared" si="76"/>
        <v>#DIV/0!</v>
      </c>
      <c r="Q357" s="79" t="e">
        <f t="shared" si="77"/>
        <v>#DIV/0!</v>
      </c>
      <c r="R357" s="81" t="e">
        <f t="shared" si="78"/>
        <v>#DIV/0!</v>
      </c>
      <c r="S357" s="92">
        <f t="shared" si="104"/>
        <v>0</v>
      </c>
      <c r="T357" s="83" t="e">
        <f t="shared" si="79"/>
        <v>#DIV/0!</v>
      </c>
      <c r="U357" s="135"/>
      <c r="V357" s="135"/>
      <c r="W357" s="135"/>
      <c r="X357" s="135"/>
      <c r="Y357" s="136"/>
      <c r="Z357" s="50"/>
      <c r="AA357" s="50"/>
    </row>
    <row r="358" spans="1:27" ht="12.75" hidden="1" outlineLevel="1" x14ac:dyDescent="0.2">
      <c r="A358" s="50"/>
      <c r="B358" s="137"/>
      <c r="C358" s="70" t="s">
        <v>35</v>
      </c>
      <c r="D358" s="90">
        <v>0</v>
      </c>
      <c r="E358" s="75">
        <v>0</v>
      </c>
      <c r="F358" s="73">
        <v>0</v>
      </c>
      <c r="G358" s="73">
        <v>0</v>
      </c>
      <c r="H358" s="74" t="e">
        <f t="shared" si="72"/>
        <v>#DIV/0!</v>
      </c>
      <c r="I358" s="75" t="e">
        <f t="shared" si="73"/>
        <v>#DIV/0!</v>
      </c>
      <c r="J358" s="76" t="e">
        <f t="shared" si="74"/>
        <v>#DIV/0!</v>
      </c>
      <c r="K358" s="90">
        <v>0</v>
      </c>
      <c r="L358" s="73">
        <v>0</v>
      </c>
      <c r="M358" s="73">
        <v>0</v>
      </c>
      <c r="N358" s="91">
        <v>0</v>
      </c>
      <c r="O358" s="79" t="e">
        <f t="shared" ref="O358:O374" si="105">K358/N358</f>
        <v>#DIV/0!</v>
      </c>
      <c r="P358" s="80" t="e">
        <f t="shared" si="76"/>
        <v>#DIV/0!</v>
      </c>
      <c r="Q358" s="79" t="e">
        <f t="shared" si="77"/>
        <v>#DIV/0!</v>
      </c>
      <c r="R358" s="81" t="e">
        <f t="shared" si="78"/>
        <v>#DIV/0!</v>
      </c>
      <c r="S358" s="92">
        <f t="shared" si="104"/>
        <v>0</v>
      </c>
      <c r="T358" s="83" t="e">
        <f t="shared" si="79"/>
        <v>#DIV/0!</v>
      </c>
      <c r="U358" s="135"/>
      <c r="V358" s="135"/>
      <c r="W358" s="135"/>
      <c r="X358" s="135"/>
      <c r="Y358" s="136"/>
      <c r="Z358" s="50"/>
      <c r="AA358" s="50"/>
    </row>
    <row r="359" spans="1:27" ht="12.75" hidden="1" outlineLevel="1" x14ac:dyDescent="0.2">
      <c r="A359" s="50"/>
      <c r="B359" s="137"/>
      <c r="C359" s="70" t="s">
        <v>62</v>
      </c>
      <c r="D359" s="200">
        <v>0</v>
      </c>
      <c r="E359" s="75">
        <v>0</v>
      </c>
      <c r="F359" s="73">
        <v>0</v>
      </c>
      <c r="G359" s="73">
        <v>0</v>
      </c>
      <c r="H359" s="74" t="e">
        <f t="shared" si="72"/>
        <v>#DIV/0!</v>
      </c>
      <c r="I359" s="75" t="e">
        <f t="shared" si="73"/>
        <v>#DIV/0!</v>
      </c>
      <c r="J359" s="76" t="e">
        <f t="shared" si="74"/>
        <v>#DIV/0!</v>
      </c>
      <c r="K359" s="200">
        <v>0</v>
      </c>
      <c r="L359" s="73">
        <v>0</v>
      </c>
      <c r="M359" s="73">
        <v>0</v>
      </c>
      <c r="N359" s="200">
        <v>0</v>
      </c>
      <c r="O359" s="79" t="e">
        <f t="shared" si="105"/>
        <v>#DIV/0!</v>
      </c>
      <c r="P359" s="80" t="e">
        <f t="shared" si="76"/>
        <v>#DIV/0!</v>
      </c>
      <c r="Q359" s="79" t="e">
        <f t="shared" si="77"/>
        <v>#DIV/0!</v>
      </c>
      <c r="R359" s="81" t="e">
        <f t="shared" si="78"/>
        <v>#DIV/0!</v>
      </c>
      <c r="S359" s="92">
        <f t="shared" si="104"/>
        <v>0</v>
      </c>
      <c r="T359" s="83" t="e">
        <f t="shared" si="79"/>
        <v>#DIV/0!</v>
      </c>
      <c r="U359" s="135"/>
      <c r="V359" s="135"/>
      <c r="W359" s="135"/>
      <c r="X359" s="135"/>
      <c r="Y359" s="136"/>
      <c r="Z359" s="50"/>
      <c r="AA359" s="50"/>
    </row>
    <row r="360" spans="1:27" ht="12.75" hidden="1" outlineLevel="1" x14ac:dyDescent="0.2">
      <c r="A360" s="50"/>
      <c r="B360" s="137"/>
      <c r="C360" s="70" t="s">
        <v>66</v>
      </c>
      <c r="D360" s="201">
        <v>0</v>
      </c>
      <c r="E360" s="75">
        <v>0</v>
      </c>
      <c r="F360" s="73">
        <v>0</v>
      </c>
      <c r="G360" s="73">
        <v>0</v>
      </c>
      <c r="H360" s="74" t="e">
        <f t="shared" si="72"/>
        <v>#DIV/0!</v>
      </c>
      <c r="I360" s="75" t="e">
        <f t="shared" si="73"/>
        <v>#DIV/0!</v>
      </c>
      <c r="J360" s="76" t="e">
        <f t="shared" si="74"/>
        <v>#DIV/0!</v>
      </c>
      <c r="K360" s="201">
        <v>0</v>
      </c>
      <c r="L360" s="73">
        <v>0</v>
      </c>
      <c r="M360" s="73">
        <v>0</v>
      </c>
      <c r="N360" s="202">
        <v>0</v>
      </c>
      <c r="O360" s="79" t="e">
        <f t="shared" si="105"/>
        <v>#DIV/0!</v>
      </c>
      <c r="P360" s="80" t="e">
        <f t="shared" si="76"/>
        <v>#DIV/0!</v>
      </c>
      <c r="Q360" s="79" t="e">
        <f t="shared" si="77"/>
        <v>#DIV/0!</v>
      </c>
      <c r="R360" s="81" t="e">
        <f t="shared" si="78"/>
        <v>#DIV/0!</v>
      </c>
      <c r="S360" s="203">
        <f t="shared" si="104"/>
        <v>0</v>
      </c>
      <c r="T360" s="83" t="e">
        <f t="shared" si="79"/>
        <v>#DIV/0!</v>
      </c>
      <c r="U360" s="135"/>
      <c r="V360" s="135"/>
      <c r="W360" s="135"/>
      <c r="X360" s="135"/>
      <c r="Y360" s="136"/>
      <c r="Z360" s="50"/>
      <c r="AA360" s="50"/>
    </row>
    <row r="361" spans="1:27" ht="12.75" hidden="1" outlineLevel="1" x14ac:dyDescent="0.2">
      <c r="A361" s="50"/>
      <c r="B361" s="137"/>
      <c r="C361" s="70" t="s">
        <v>36</v>
      </c>
      <c r="D361" s="90">
        <v>209.85</v>
      </c>
      <c r="E361" s="75">
        <v>69.95</v>
      </c>
      <c r="F361" s="73">
        <v>3</v>
      </c>
      <c r="G361" s="73">
        <v>3</v>
      </c>
      <c r="H361" s="74">
        <f t="shared" si="72"/>
        <v>1</v>
      </c>
      <c r="I361" s="75">
        <f t="shared" si="73"/>
        <v>69.95</v>
      </c>
      <c r="J361" s="76">
        <f t="shared" si="74"/>
        <v>69.95</v>
      </c>
      <c r="K361" s="90">
        <v>31.45</v>
      </c>
      <c r="L361" s="73">
        <v>5187</v>
      </c>
      <c r="M361" s="73">
        <v>1</v>
      </c>
      <c r="N361" s="91">
        <v>69.95</v>
      </c>
      <c r="O361" s="79">
        <f t="shared" si="105"/>
        <v>0.44960686204431732</v>
      </c>
      <c r="P361" s="80">
        <f t="shared" si="76"/>
        <v>2.2241653418124008</v>
      </c>
      <c r="Q361" s="79">
        <f t="shared" si="77"/>
        <v>0.14986895401477246</v>
      </c>
      <c r="R361" s="81">
        <f t="shared" si="78"/>
        <v>0.33333333333333337</v>
      </c>
      <c r="S361" s="92">
        <f t="shared" si="104"/>
        <v>139.89999999999998</v>
      </c>
      <c r="T361" s="83">
        <f t="shared" si="79"/>
        <v>31.45</v>
      </c>
      <c r="U361" s="135"/>
      <c r="V361" s="135"/>
      <c r="W361" s="135"/>
      <c r="X361" s="135"/>
      <c r="Y361" s="136"/>
      <c r="Z361" s="50"/>
      <c r="AA361" s="50"/>
    </row>
    <row r="362" spans="1:27" ht="12.75" hidden="1" outlineLevel="1" x14ac:dyDescent="0.2">
      <c r="A362" s="50"/>
      <c r="B362" s="69" t="s">
        <v>37</v>
      </c>
      <c r="C362" s="70" t="s">
        <v>38</v>
      </c>
      <c r="D362" s="93">
        <v>-50.22</v>
      </c>
      <c r="E362" s="75">
        <v>61.1</v>
      </c>
      <c r="F362" s="73">
        <v>0</v>
      </c>
      <c r="G362" s="73">
        <v>1</v>
      </c>
      <c r="H362" s="74">
        <f t="shared" si="72"/>
        <v>0</v>
      </c>
      <c r="I362" s="75" t="e">
        <f t="shared" si="73"/>
        <v>#DIV/0!</v>
      </c>
      <c r="J362" s="76" t="e">
        <f t="shared" si="74"/>
        <v>#DIV/0!</v>
      </c>
      <c r="K362" s="93">
        <v>83.6</v>
      </c>
      <c r="L362" s="73">
        <v>10037</v>
      </c>
      <c r="M362" s="73">
        <v>1</v>
      </c>
      <c r="N362" s="94">
        <v>35.99</v>
      </c>
      <c r="O362" s="79">
        <f t="shared" si="105"/>
        <v>2.3228674631842177</v>
      </c>
      <c r="P362" s="80">
        <f t="shared" si="76"/>
        <v>0.43050239234449766</v>
      </c>
      <c r="Q362" s="79">
        <f t="shared" si="77"/>
        <v>-1.6646754281162883</v>
      </c>
      <c r="R362" s="81">
        <f t="shared" si="78"/>
        <v>-0.71664675428116298</v>
      </c>
      <c r="S362" s="95">
        <f t="shared" si="104"/>
        <v>-86.210000000000008</v>
      </c>
      <c r="T362" s="83">
        <f t="shared" si="79"/>
        <v>83.6</v>
      </c>
      <c r="U362" s="135"/>
      <c r="V362" s="135"/>
      <c r="W362" s="135"/>
      <c r="X362" s="135"/>
      <c r="Y362" s="136"/>
      <c r="Z362" s="50"/>
      <c r="AA362" s="50"/>
    </row>
    <row r="363" spans="1:27" ht="12.75" hidden="1" outlineLevel="1" x14ac:dyDescent="0.2">
      <c r="A363" s="50"/>
      <c r="B363" s="137"/>
      <c r="C363" s="70" t="s">
        <v>39</v>
      </c>
      <c r="D363" s="96">
        <v>-99.95</v>
      </c>
      <c r="E363" s="75">
        <v>99.95</v>
      </c>
      <c r="F363" s="73">
        <v>-1</v>
      </c>
      <c r="G363" s="73">
        <v>0</v>
      </c>
      <c r="H363" s="74" t="e">
        <f t="shared" si="72"/>
        <v>#DIV/0!</v>
      </c>
      <c r="I363" s="75">
        <f t="shared" si="73"/>
        <v>99.95</v>
      </c>
      <c r="J363" s="76" t="e">
        <f t="shared" si="74"/>
        <v>#DIV/0!</v>
      </c>
      <c r="K363" s="96">
        <v>0</v>
      </c>
      <c r="L363" s="73">
        <v>0</v>
      </c>
      <c r="M363" s="73">
        <v>0</v>
      </c>
      <c r="N363" s="97">
        <v>0</v>
      </c>
      <c r="O363" s="79" t="e">
        <f t="shared" si="105"/>
        <v>#DIV/0!</v>
      </c>
      <c r="P363" s="80" t="e">
        <f t="shared" si="76"/>
        <v>#DIV/0!</v>
      </c>
      <c r="Q363" s="79">
        <f t="shared" si="77"/>
        <v>0</v>
      </c>
      <c r="R363" s="81">
        <f t="shared" si="78"/>
        <v>0</v>
      </c>
      <c r="S363" s="98">
        <f t="shared" si="104"/>
        <v>-99.95</v>
      </c>
      <c r="T363" s="83" t="e">
        <f t="shared" si="79"/>
        <v>#DIV/0!</v>
      </c>
      <c r="U363" s="135"/>
      <c r="V363" s="135"/>
      <c r="W363" s="135"/>
      <c r="X363" s="135"/>
      <c r="Y363" s="136"/>
      <c r="Z363" s="50"/>
      <c r="AA363" s="50"/>
    </row>
    <row r="364" spans="1:27" ht="12.75" hidden="1" outlineLevel="1" x14ac:dyDescent="0.2">
      <c r="A364" s="50"/>
      <c r="B364" s="137"/>
      <c r="C364" s="70" t="s">
        <v>40</v>
      </c>
      <c r="D364" s="99">
        <v>0</v>
      </c>
      <c r="E364" s="75">
        <v>0</v>
      </c>
      <c r="F364" s="73">
        <v>0</v>
      </c>
      <c r="G364" s="73">
        <v>0</v>
      </c>
      <c r="H364" s="74" t="e">
        <f t="shared" si="72"/>
        <v>#DIV/0!</v>
      </c>
      <c r="I364" s="75" t="e">
        <f t="shared" si="73"/>
        <v>#DIV/0!</v>
      </c>
      <c r="J364" s="76" t="e">
        <f t="shared" si="74"/>
        <v>#DIV/0!</v>
      </c>
      <c r="K364" s="99">
        <v>0</v>
      </c>
      <c r="L364" s="73">
        <v>0</v>
      </c>
      <c r="M364" s="73">
        <v>0</v>
      </c>
      <c r="N364" s="100">
        <v>0</v>
      </c>
      <c r="O364" s="79" t="e">
        <f t="shared" si="105"/>
        <v>#DIV/0!</v>
      </c>
      <c r="P364" s="80" t="e">
        <f t="shared" si="76"/>
        <v>#DIV/0!</v>
      </c>
      <c r="Q364" s="79" t="e">
        <f t="shared" si="77"/>
        <v>#DIV/0!</v>
      </c>
      <c r="R364" s="81" t="e">
        <f t="shared" si="78"/>
        <v>#DIV/0!</v>
      </c>
      <c r="S364" s="101">
        <f t="shared" si="104"/>
        <v>0</v>
      </c>
      <c r="T364" s="83" t="e">
        <f t="shared" si="79"/>
        <v>#DIV/0!</v>
      </c>
      <c r="U364" s="135"/>
      <c r="V364" s="135"/>
      <c r="W364" s="135"/>
      <c r="X364" s="135"/>
      <c r="Y364" s="136"/>
      <c r="Z364" s="50"/>
      <c r="AA364" s="50"/>
    </row>
    <row r="365" spans="1:27" ht="12.75" hidden="1" outlineLevel="1" x14ac:dyDescent="0.2">
      <c r="A365" s="50"/>
      <c r="B365" s="137"/>
      <c r="C365" s="70" t="s">
        <v>41</v>
      </c>
      <c r="D365" s="102">
        <v>0</v>
      </c>
      <c r="E365" s="75">
        <v>0</v>
      </c>
      <c r="F365" s="73">
        <v>0</v>
      </c>
      <c r="G365" s="73">
        <v>0</v>
      </c>
      <c r="H365" s="74" t="e">
        <f t="shared" si="72"/>
        <v>#DIV/0!</v>
      </c>
      <c r="I365" s="75" t="e">
        <f t="shared" si="73"/>
        <v>#DIV/0!</v>
      </c>
      <c r="J365" s="76" t="e">
        <f t="shared" si="74"/>
        <v>#DIV/0!</v>
      </c>
      <c r="K365" s="102">
        <v>0</v>
      </c>
      <c r="L365" s="73">
        <v>0</v>
      </c>
      <c r="M365" s="73">
        <v>0</v>
      </c>
      <c r="N365" s="103">
        <v>0</v>
      </c>
      <c r="O365" s="79" t="e">
        <f t="shared" si="105"/>
        <v>#DIV/0!</v>
      </c>
      <c r="P365" s="80" t="e">
        <f t="shared" si="76"/>
        <v>#DIV/0!</v>
      </c>
      <c r="Q365" s="79" t="e">
        <f t="shared" si="77"/>
        <v>#DIV/0!</v>
      </c>
      <c r="R365" s="81" t="e">
        <f t="shared" si="78"/>
        <v>#DIV/0!</v>
      </c>
      <c r="S365" s="104">
        <f t="shared" si="104"/>
        <v>0</v>
      </c>
      <c r="T365" s="83" t="e">
        <f t="shared" si="79"/>
        <v>#DIV/0!</v>
      </c>
      <c r="U365" s="135"/>
      <c r="V365" s="135"/>
      <c r="W365" s="135"/>
      <c r="X365" s="135"/>
      <c r="Y365" s="136"/>
      <c r="Z365" s="50"/>
      <c r="AA365" s="50"/>
    </row>
    <row r="366" spans="1:27" ht="12.75" hidden="1" outlineLevel="1" x14ac:dyDescent="0.2">
      <c r="A366" s="50"/>
      <c r="B366" s="137"/>
      <c r="C366" s="70" t="s">
        <v>42</v>
      </c>
      <c r="D366" s="90">
        <v>0</v>
      </c>
      <c r="E366" s="75">
        <v>0</v>
      </c>
      <c r="F366" s="73">
        <v>0</v>
      </c>
      <c r="G366" s="73">
        <v>0</v>
      </c>
      <c r="H366" s="74" t="e">
        <f t="shared" si="72"/>
        <v>#DIV/0!</v>
      </c>
      <c r="I366" s="75" t="e">
        <f t="shared" si="73"/>
        <v>#DIV/0!</v>
      </c>
      <c r="J366" s="76" t="e">
        <f t="shared" si="74"/>
        <v>#DIV/0!</v>
      </c>
      <c r="K366" s="90">
        <v>8.4700000000000006</v>
      </c>
      <c r="L366" s="73">
        <v>15222</v>
      </c>
      <c r="M366" s="73">
        <v>0</v>
      </c>
      <c r="N366" s="91">
        <v>0</v>
      </c>
      <c r="O366" s="79" t="e">
        <f t="shared" si="105"/>
        <v>#DIV/0!</v>
      </c>
      <c r="P366" s="80">
        <f t="shared" si="76"/>
        <v>0</v>
      </c>
      <c r="Q366" s="79" t="e">
        <f t="shared" si="77"/>
        <v>#DIV/0!</v>
      </c>
      <c r="R366" s="81" t="e">
        <f t="shared" si="78"/>
        <v>#DIV/0!</v>
      </c>
      <c r="S366" s="92">
        <f t="shared" si="104"/>
        <v>0</v>
      </c>
      <c r="T366" s="83" t="e">
        <f t="shared" si="79"/>
        <v>#DIV/0!</v>
      </c>
      <c r="U366" s="135"/>
      <c r="V366" s="135"/>
      <c r="W366" s="135"/>
      <c r="X366" s="135"/>
      <c r="Y366" s="136"/>
      <c r="Z366" s="50"/>
      <c r="AA366" s="50"/>
    </row>
    <row r="367" spans="1:27" ht="12.75" hidden="1" outlineLevel="1" x14ac:dyDescent="0.2">
      <c r="A367" s="50"/>
      <c r="B367" s="137"/>
      <c r="C367" s="70" t="s">
        <v>43</v>
      </c>
      <c r="D367" s="105">
        <v>154.94999999999999</v>
      </c>
      <c r="E367" s="75">
        <v>154.94999999999999</v>
      </c>
      <c r="F367" s="73">
        <v>1</v>
      </c>
      <c r="G367" s="73">
        <v>2</v>
      </c>
      <c r="H367" s="74">
        <f t="shared" si="72"/>
        <v>0.5</v>
      </c>
      <c r="I367" s="75">
        <f t="shared" si="73"/>
        <v>154.94999999999999</v>
      </c>
      <c r="J367" s="76">
        <f t="shared" si="74"/>
        <v>309.89999999999998</v>
      </c>
      <c r="K367" s="105">
        <v>17.46</v>
      </c>
      <c r="L367" s="73">
        <v>22425</v>
      </c>
      <c r="M367" s="73">
        <v>1</v>
      </c>
      <c r="N367" s="106">
        <v>0</v>
      </c>
      <c r="O367" s="79" t="e">
        <f t="shared" si="105"/>
        <v>#DIV/0!</v>
      </c>
      <c r="P367" s="80">
        <f t="shared" si="76"/>
        <v>0</v>
      </c>
      <c r="Q367" s="79">
        <f t="shared" si="77"/>
        <v>0.11268151016456923</v>
      </c>
      <c r="R367" s="81">
        <f t="shared" si="78"/>
        <v>0</v>
      </c>
      <c r="S367" s="107">
        <f t="shared" si="104"/>
        <v>154.94999999999999</v>
      </c>
      <c r="T367" s="83">
        <f t="shared" si="79"/>
        <v>17.46</v>
      </c>
      <c r="U367" s="135"/>
      <c r="V367" s="135"/>
      <c r="W367" s="135"/>
      <c r="X367" s="135"/>
      <c r="Y367" s="136"/>
      <c r="Z367" s="50"/>
      <c r="AA367" s="50"/>
    </row>
    <row r="368" spans="1:27" ht="12.75" hidden="1" outlineLevel="1" x14ac:dyDescent="0.2">
      <c r="A368" s="50"/>
      <c r="B368" s="137"/>
      <c r="C368" s="70" t="s">
        <v>44</v>
      </c>
      <c r="D368" s="108">
        <v>281.64</v>
      </c>
      <c r="E368" s="75">
        <v>39.950000000000003</v>
      </c>
      <c r="F368" s="73">
        <v>7</v>
      </c>
      <c r="G368" s="73">
        <v>9</v>
      </c>
      <c r="H368" s="74">
        <f t="shared" si="72"/>
        <v>0.77777777777777779</v>
      </c>
      <c r="I368" s="75">
        <f t="shared" si="73"/>
        <v>40.234285714285711</v>
      </c>
      <c r="J368" s="76">
        <f t="shared" si="74"/>
        <v>51.729795918367344</v>
      </c>
      <c r="K368" s="108">
        <v>29.75</v>
      </c>
      <c r="L368" s="73">
        <v>11811</v>
      </c>
      <c r="M368" s="73">
        <v>5</v>
      </c>
      <c r="N368" s="109">
        <v>199.75</v>
      </c>
      <c r="O368" s="79">
        <f t="shared" si="105"/>
        <v>0.14893617021276595</v>
      </c>
      <c r="P368" s="80">
        <f t="shared" si="76"/>
        <v>6.7142857142857144</v>
      </c>
      <c r="Q368" s="79">
        <f t="shared" si="77"/>
        <v>0.10563130237182219</v>
      </c>
      <c r="R368" s="81">
        <f t="shared" si="78"/>
        <v>0.70923874449652047</v>
      </c>
      <c r="S368" s="110">
        <f t="shared" si="104"/>
        <v>81.889999999999986</v>
      </c>
      <c r="T368" s="83">
        <f t="shared" si="79"/>
        <v>5.95</v>
      </c>
      <c r="U368" s="135"/>
      <c r="V368" s="135"/>
      <c r="W368" s="135"/>
      <c r="X368" s="135"/>
      <c r="Y368" s="136"/>
      <c r="Z368" s="50"/>
      <c r="AA368" s="50"/>
    </row>
    <row r="369" spans="1:27" ht="12.75" hidden="1" outlineLevel="1" x14ac:dyDescent="0.2">
      <c r="A369" s="139"/>
      <c r="B369" s="137"/>
      <c r="C369" s="112" t="s">
        <v>45</v>
      </c>
      <c r="D369" s="71">
        <v>0</v>
      </c>
      <c r="E369" s="75">
        <v>0</v>
      </c>
      <c r="F369" s="73">
        <v>0</v>
      </c>
      <c r="G369" s="73">
        <v>0</v>
      </c>
      <c r="H369" s="74" t="e">
        <f t="shared" si="72"/>
        <v>#DIV/0!</v>
      </c>
      <c r="I369" s="75" t="e">
        <f t="shared" si="73"/>
        <v>#DIV/0!</v>
      </c>
      <c r="J369" s="76" t="e">
        <f t="shared" si="74"/>
        <v>#DIV/0!</v>
      </c>
      <c r="K369" s="71">
        <v>0</v>
      </c>
      <c r="L369" s="73">
        <v>0</v>
      </c>
      <c r="M369" s="73">
        <v>0</v>
      </c>
      <c r="N369" s="78">
        <v>0</v>
      </c>
      <c r="O369" s="79" t="e">
        <f t="shared" si="105"/>
        <v>#DIV/0!</v>
      </c>
      <c r="P369" s="80" t="e">
        <f t="shared" si="76"/>
        <v>#DIV/0!</v>
      </c>
      <c r="Q369" s="79" t="e">
        <f t="shared" si="77"/>
        <v>#DIV/0!</v>
      </c>
      <c r="R369" s="81" t="e">
        <f t="shared" si="78"/>
        <v>#DIV/0!</v>
      </c>
      <c r="S369" s="82">
        <f t="shared" si="104"/>
        <v>0</v>
      </c>
      <c r="T369" s="83" t="e">
        <f t="shared" si="79"/>
        <v>#DIV/0!</v>
      </c>
      <c r="U369" s="140"/>
      <c r="V369" s="140"/>
      <c r="W369" s="140"/>
      <c r="X369" s="141"/>
      <c r="Y369" s="142"/>
      <c r="Z369" s="50"/>
      <c r="AA369" s="50"/>
    </row>
    <row r="370" spans="1:27" ht="12.75" hidden="1" outlineLevel="1" x14ac:dyDescent="0.2">
      <c r="A370" s="50"/>
      <c r="B370" s="137"/>
      <c r="C370" s="70" t="s">
        <v>46</v>
      </c>
      <c r="D370" s="116">
        <v>404.55</v>
      </c>
      <c r="E370" s="75">
        <v>44.95</v>
      </c>
      <c r="F370" s="73">
        <v>9</v>
      </c>
      <c r="G370" s="73">
        <v>10</v>
      </c>
      <c r="H370" s="74">
        <f t="shared" si="72"/>
        <v>0.9</v>
      </c>
      <c r="I370" s="75">
        <f t="shared" si="73"/>
        <v>44.95</v>
      </c>
      <c r="J370" s="76">
        <f t="shared" si="74"/>
        <v>49.944444444444443</v>
      </c>
      <c r="K370" s="116">
        <v>75.45</v>
      </c>
      <c r="L370" s="73">
        <v>33347</v>
      </c>
      <c r="M370" s="73">
        <v>2</v>
      </c>
      <c r="N370" s="117">
        <v>89.9</v>
      </c>
      <c r="O370" s="79">
        <f t="shared" si="105"/>
        <v>0.839265850945495</v>
      </c>
      <c r="P370" s="80">
        <f t="shared" si="76"/>
        <v>1.1915175612988735</v>
      </c>
      <c r="Q370" s="79">
        <f t="shared" si="77"/>
        <v>0.18650352243233223</v>
      </c>
      <c r="R370" s="81">
        <f t="shared" si="78"/>
        <v>0.22222222222222224</v>
      </c>
      <c r="S370" s="82">
        <f t="shared" si="104"/>
        <v>314.64999999999998</v>
      </c>
      <c r="T370" s="83">
        <f t="shared" si="79"/>
        <v>37.725000000000001</v>
      </c>
      <c r="U370" s="135"/>
      <c r="V370" s="135"/>
      <c r="W370" s="135"/>
      <c r="X370" s="135"/>
      <c r="Y370" s="136"/>
      <c r="Z370" s="50"/>
      <c r="AA370" s="50"/>
    </row>
    <row r="371" spans="1:27" ht="12.75" hidden="1" outlineLevel="1" x14ac:dyDescent="0.2">
      <c r="A371" s="118" t="str">
        <f t="shared" ref="A371:A372" si="106">IFERROR(IF(B371&gt;0,MONTH(B371)&amp;"-"&amp;YEAR(B371),B371),)</f>
        <v>5-2025</v>
      </c>
      <c r="B371" s="69">
        <v>45780</v>
      </c>
      <c r="C371" s="70" t="s">
        <v>49</v>
      </c>
      <c r="D371" s="116">
        <v>0</v>
      </c>
      <c r="E371" s="75">
        <v>0</v>
      </c>
      <c r="F371" s="73">
        <v>0</v>
      </c>
      <c r="G371" s="73">
        <v>0</v>
      </c>
      <c r="H371" s="74" t="e">
        <f t="shared" si="72"/>
        <v>#DIV/0!</v>
      </c>
      <c r="I371" s="75" t="e">
        <f t="shared" si="73"/>
        <v>#DIV/0!</v>
      </c>
      <c r="J371" s="76" t="e">
        <f t="shared" si="74"/>
        <v>#DIV/0!</v>
      </c>
      <c r="K371" s="116">
        <v>10.06</v>
      </c>
      <c r="L371" s="73">
        <v>8353</v>
      </c>
      <c r="M371" s="73">
        <v>0</v>
      </c>
      <c r="N371" s="117">
        <v>0</v>
      </c>
      <c r="O371" s="79" t="e">
        <f t="shared" si="105"/>
        <v>#DIV/0!</v>
      </c>
      <c r="P371" s="80">
        <f t="shared" si="76"/>
        <v>0</v>
      </c>
      <c r="Q371" s="79" t="e">
        <f t="shared" si="77"/>
        <v>#DIV/0!</v>
      </c>
      <c r="R371" s="81" t="e">
        <f t="shared" si="78"/>
        <v>#DIV/0!</v>
      </c>
      <c r="S371" s="82">
        <f t="shared" si="104"/>
        <v>0</v>
      </c>
      <c r="T371" s="83" t="e">
        <f t="shared" si="79"/>
        <v>#DIV/0!</v>
      </c>
      <c r="U371" s="135"/>
      <c r="V371" s="135"/>
      <c r="W371" s="135"/>
      <c r="X371" s="135"/>
      <c r="Y371" s="136"/>
      <c r="Z371" s="50"/>
      <c r="AA371" s="50"/>
    </row>
    <row r="372" spans="1:27" ht="12.75" collapsed="1" x14ac:dyDescent="0.2">
      <c r="A372" s="50">
        <f t="shared" si="106"/>
        <v>0</v>
      </c>
      <c r="B372" s="52" t="s">
        <v>76</v>
      </c>
      <c r="C372" s="145"/>
      <c r="D372" s="121">
        <f>SUM(D355:D371)</f>
        <v>6116.0900000000011</v>
      </c>
      <c r="E372" s="125"/>
      <c r="F372" s="123">
        <f t="shared" ref="F372:G372" si="107">SUM(F355:F371)</f>
        <v>66</v>
      </c>
      <c r="G372" s="123">
        <f t="shared" si="107"/>
        <v>74</v>
      </c>
      <c r="H372" s="124">
        <f t="shared" si="72"/>
        <v>0.89189189189189189</v>
      </c>
      <c r="I372" s="125">
        <f t="shared" si="73"/>
        <v>92.668030303030321</v>
      </c>
      <c r="J372" s="126">
        <f t="shared" si="74"/>
        <v>103.90051882460975</v>
      </c>
      <c r="K372" s="121">
        <f t="shared" ref="K372:N372" si="108">SUM(K355:K371)</f>
        <v>700.24</v>
      </c>
      <c r="L372" s="123">
        <f t="shared" si="108"/>
        <v>260708</v>
      </c>
      <c r="M372" s="123">
        <f t="shared" si="108"/>
        <v>21</v>
      </c>
      <c r="N372" s="127">
        <f t="shared" si="108"/>
        <v>1034.3400000000001</v>
      </c>
      <c r="O372" s="128">
        <f t="shared" si="105"/>
        <v>0.67699209157530393</v>
      </c>
      <c r="P372" s="129">
        <f t="shared" si="76"/>
        <v>1.4771221295555812</v>
      </c>
      <c r="Q372" s="128">
        <f t="shared" si="77"/>
        <v>0.11449144796757403</v>
      </c>
      <c r="R372" s="130">
        <f t="shared" si="78"/>
        <v>0.16911785143776498</v>
      </c>
      <c r="S372" s="131">
        <f>SUM(S355:S371)</f>
        <v>5081.75</v>
      </c>
      <c r="T372" s="132">
        <f t="shared" si="79"/>
        <v>33.344761904761903</v>
      </c>
      <c r="U372" s="273">
        <f>IFERROR((D372-D246)/D372,)</f>
        <v>-0.23956972510214802</v>
      </c>
      <c r="V372" s="273">
        <f>IFERROR((F372-F246)/F372,)</f>
        <v>-0.42424242424242425</v>
      </c>
      <c r="W372" s="271">
        <f>IFERROR((D372-[1]monthly_reporting_2021!E163)/D372, )</f>
        <v>0</v>
      </c>
      <c r="X372" s="271">
        <f>IFERROR((F372-[1]monthly_reporting_2021!F163)/F372, )</f>
        <v>0</v>
      </c>
      <c r="Y372" s="50"/>
      <c r="Z372" s="50"/>
      <c r="AA372" s="50"/>
    </row>
    <row r="373" spans="1:27" ht="12.75" hidden="1" outlineLevel="1" x14ac:dyDescent="0.2">
      <c r="A373" s="50"/>
      <c r="B373" s="69">
        <v>45781</v>
      </c>
      <c r="C373" s="70" t="s">
        <v>32</v>
      </c>
      <c r="D373" s="71">
        <v>342.79</v>
      </c>
      <c r="E373" s="75">
        <v>188.49</v>
      </c>
      <c r="F373" s="73">
        <v>3</v>
      </c>
      <c r="G373" s="73">
        <v>9</v>
      </c>
      <c r="H373" s="74">
        <f t="shared" si="72"/>
        <v>0.33333333333333331</v>
      </c>
      <c r="I373" s="75">
        <f t="shared" si="73"/>
        <v>114.26333333333334</v>
      </c>
      <c r="J373" s="76">
        <f t="shared" si="74"/>
        <v>342.79</v>
      </c>
      <c r="K373" s="77">
        <v>242.37</v>
      </c>
      <c r="L373" s="73">
        <v>71806</v>
      </c>
      <c r="M373" s="73">
        <v>2</v>
      </c>
      <c r="N373" s="78">
        <v>194.9</v>
      </c>
      <c r="O373" s="79">
        <f t="shared" si="105"/>
        <v>1.2435608004104668</v>
      </c>
      <c r="P373" s="80">
        <f t="shared" si="76"/>
        <v>0.80414242686801174</v>
      </c>
      <c r="Q373" s="79">
        <f t="shared" si="77"/>
        <v>0.70705096414714541</v>
      </c>
      <c r="R373" s="81">
        <f t="shared" si="78"/>
        <v>0.56856967822865312</v>
      </c>
      <c r="S373" s="82">
        <f t="shared" ref="S373:S389" si="109">D373-N373</f>
        <v>147.89000000000001</v>
      </c>
      <c r="T373" s="83">
        <f t="shared" si="79"/>
        <v>121.185</v>
      </c>
      <c r="U373" s="135"/>
      <c r="V373" s="135"/>
      <c r="W373" s="135"/>
      <c r="X373" s="135"/>
      <c r="Y373" s="136"/>
      <c r="Z373" s="50"/>
      <c r="AA373" s="50"/>
    </row>
    <row r="374" spans="1:27" ht="12.75" hidden="1" outlineLevel="1" x14ac:dyDescent="0.2">
      <c r="A374" s="50"/>
      <c r="B374" s="137"/>
      <c r="C374" s="70" t="s">
        <v>33</v>
      </c>
      <c r="D374" s="87">
        <v>384.65</v>
      </c>
      <c r="E374" s="75">
        <v>231.42</v>
      </c>
      <c r="F374" s="73">
        <v>7</v>
      </c>
      <c r="G374" s="73">
        <v>9</v>
      </c>
      <c r="H374" s="74">
        <f t="shared" si="72"/>
        <v>0.77777777777777779</v>
      </c>
      <c r="I374" s="75">
        <f t="shared" si="73"/>
        <v>54.949999999999996</v>
      </c>
      <c r="J374" s="76">
        <f t="shared" si="74"/>
        <v>70.649999999999991</v>
      </c>
      <c r="K374" s="87">
        <v>227.73</v>
      </c>
      <c r="L374" s="73">
        <v>80914</v>
      </c>
      <c r="M374" s="73">
        <v>3</v>
      </c>
      <c r="N374" s="88">
        <v>99.9</v>
      </c>
      <c r="O374" s="79">
        <f t="shared" si="105"/>
        <v>2.2795795795795795</v>
      </c>
      <c r="P374" s="80">
        <f t="shared" si="76"/>
        <v>0.43867738110920834</v>
      </c>
      <c r="Q374" s="79">
        <f t="shared" si="77"/>
        <v>0.59204471597556219</v>
      </c>
      <c r="R374" s="81">
        <f t="shared" si="78"/>
        <v>0.25971662550370472</v>
      </c>
      <c r="S374" s="89">
        <f t="shared" si="109"/>
        <v>284.75</v>
      </c>
      <c r="T374" s="83">
        <f t="shared" si="79"/>
        <v>75.91</v>
      </c>
      <c r="U374" s="135"/>
      <c r="V374" s="135"/>
      <c r="W374" s="135"/>
      <c r="X374" s="135"/>
      <c r="Y374" s="136"/>
      <c r="Z374" s="50"/>
      <c r="AA374" s="50"/>
    </row>
    <row r="375" spans="1:27" ht="12.75" hidden="1" outlineLevel="1" x14ac:dyDescent="0.2">
      <c r="A375" s="50"/>
      <c r="B375" s="137"/>
      <c r="C375" s="70" t="s">
        <v>34</v>
      </c>
      <c r="D375" s="90">
        <v>0</v>
      </c>
      <c r="E375" s="75">
        <v>0</v>
      </c>
      <c r="F375" s="73">
        <v>0</v>
      </c>
      <c r="G375" s="73">
        <v>0</v>
      </c>
      <c r="H375" s="74" t="e">
        <f t="shared" si="72"/>
        <v>#DIV/0!</v>
      </c>
      <c r="I375" s="75" t="e">
        <f t="shared" si="73"/>
        <v>#DIV/0!</v>
      </c>
      <c r="J375" s="76" t="e">
        <f t="shared" si="74"/>
        <v>#DIV/0!</v>
      </c>
      <c r="K375" s="90">
        <v>0</v>
      </c>
      <c r="L375" s="73">
        <v>0</v>
      </c>
      <c r="M375" s="73">
        <v>0</v>
      </c>
      <c r="N375" s="91">
        <v>0</v>
      </c>
      <c r="O375" s="79" t="e">
        <f>(K375/N375)</f>
        <v>#DIV/0!</v>
      </c>
      <c r="P375" s="80" t="e">
        <f t="shared" si="76"/>
        <v>#DIV/0!</v>
      </c>
      <c r="Q375" s="79" t="e">
        <f t="shared" si="77"/>
        <v>#DIV/0!</v>
      </c>
      <c r="R375" s="81" t="e">
        <f t="shared" si="78"/>
        <v>#DIV/0!</v>
      </c>
      <c r="S375" s="92">
        <f t="shared" si="109"/>
        <v>0</v>
      </c>
      <c r="T375" s="83" t="e">
        <f t="shared" si="79"/>
        <v>#DIV/0!</v>
      </c>
      <c r="U375" s="135"/>
      <c r="V375" s="135"/>
      <c r="W375" s="135"/>
      <c r="X375" s="135"/>
      <c r="Y375" s="136"/>
      <c r="Z375" s="50"/>
      <c r="AA375" s="50"/>
    </row>
    <row r="376" spans="1:27" ht="12.75" hidden="1" outlineLevel="1" x14ac:dyDescent="0.2">
      <c r="A376" s="50"/>
      <c r="B376" s="137"/>
      <c r="C376" s="70" t="s">
        <v>35</v>
      </c>
      <c r="D376" s="90">
        <v>188.85</v>
      </c>
      <c r="E376" s="75">
        <v>62.95</v>
      </c>
      <c r="F376" s="73">
        <v>3</v>
      </c>
      <c r="G376" s="73">
        <v>3</v>
      </c>
      <c r="H376" s="74">
        <f t="shared" si="72"/>
        <v>1</v>
      </c>
      <c r="I376" s="75">
        <f t="shared" si="73"/>
        <v>62.949999999999996</v>
      </c>
      <c r="J376" s="76">
        <f t="shared" si="74"/>
        <v>62.949999999999996</v>
      </c>
      <c r="K376" s="90">
        <v>0</v>
      </c>
      <c r="L376" s="73">
        <v>0</v>
      </c>
      <c r="M376" s="73">
        <v>0</v>
      </c>
      <c r="N376" s="91">
        <v>0</v>
      </c>
      <c r="O376" s="79" t="e">
        <f t="shared" ref="O376:O392" si="110">K376/N376</f>
        <v>#DIV/0!</v>
      </c>
      <c r="P376" s="80" t="e">
        <f t="shared" si="76"/>
        <v>#DIV/0!</v>
      </c>
      <c r="Q376" s="79">
        <f t="shared" si="77"/>
        <v>0</v>
      </c>
      <c r="R376" s="81">
        <f t="shared" si="78"/>
        <v>0</v>
      </c>
      <c r="S376" s="92">
        <f t="shared" si="109"/>
        <v>188.85</v>
      </c>
      <c r="T376" s="83" t="e">
        <f t="shared" si="79"/>
        <v>#DIV/0!</v>
      </c>
      <c r="U376" s="135"/>
      <c r="V376" s="135"/>
      <c r="W376" s="135"/>
      <c r="X376" s="135"/>
      <c r="Y376" s="136"/>
      <c r="Z376" s="50"/>
      <c r="AA376" s="50"/>
    </row>
    <row r="377" spans="1:27" ht="12.75" hidden="1" outlineLevel="1" x14ac:dyDescent="0.2">
      <c r="A377" s="50"/>
      <c r="B377" s="137"/>
      <c r="C377" s="70" t="s">
        <v>62</v>
      </c>
      <c r="D377" s="200">
        <v>0</v>
      </c>
      <c r="E377" s="75">
        <v>0</v>
      </c>
      <c r="F377" s="73">
        <v>0</v>
      </c>
      <c r="G377" s="73">
        <v>0</v>
      </c>
      <c r="H377" s="74" t="e">
        <f t="shared" si="72"/>
        <v>#DIV/0!</v>
      </c>
      <c r="I377" s="75" t="e">
        <f t="shared" si="73"/>
        <v>#DIV/0!</v>
      </c>
      <c r="J377" s="76" t="e">
        <f t="shared" si="74"/>
        <v>#DIV/0!</v>
      </c>
      <c r="K377" s="200">
        <v>0</v>
      </c>
      <c r="L377" s="73">
        <v>0</v>
      </c>
      <c r="M377" s="73">
        <v>0</v>
      </c>
      <c r="N377" s="200">
        <v>0</v>
      </c>
      <c r="O377" s="79" t="e">
        <f t="shared" si="110"/>
        <v>#DIV/0!</v>
      </c>
      <c r="P377" s="80" t="e">
        <f t="shared" si="76"/>
        <v>#DIV/0!</v>
      </c>
      <c r="Q377" s="79" t="e">
        <f t="shared" si="77"/>
        <v>#DIV/0!</v>
      </c>
      <c r="R377" s="81" t="e">
        <f t="shared" si="78"/>
        <v>#DIV/0!</v>
      </c>
      <c r="S377" s="92">
        <f t="shared" si="109"/>
        <v>0</v>
      </c>
      <c r="T377" s="83" t="e">
        <f t="shared" si="79"/>
        <v>#DIV/0!</v>
      </c>
      <c r="U377" s="135"/>
      <c r="V377" s="135"/>
      <c r="W377" s="135"/>
      <c r="X377" s="135"/>
      <c r="Y377" s="136"/>
      <c r="Z377" s="50"/>
      <c r="AA377" s="50"/>
    </row>
    <row r="378" spans="1:27" ht="12.75" hidden="1" outlineLevel="1" x14ac:dyDescent="0.2">
      <c r="A378" s="50"/>
      <c r="B378" s="137"/>
      <c r="C378" s="70" t="s">
        <v>66</v>
      </c>
      <c r="D378" s="201">
        <v>0</v>
      </c>
      <c r="E378" s="75">
        <v>0</v>
      </c>
      <c r="F378" s="73">
        <v>0</v>
      </c>
      <c r="G378" s="73">
        <v>0</v>
      </c>
      <c r="H378" s="74" t="e">
        <f t="shared" si="72"/>
        <v>#DIV/0!</v>
      </c>
      <c r="I378" s="75" t="e">
        <f t="shared" si="73"/>
        <v>#DIV/0!</v>
      </c>
      <c r="J378" s="76" t="e">
        <f t="shared" si="74"/>
        <v>#DIV/0!</v>
      </c>
      <c r="K378" s="201">
        <v>0</v>
      </c>
      <c r="L378" s="73">
        <v>0</v>
      </c>
      <c r="M378" s="73">
        <v>0</v>
      </c>
      <c r="N378" s="202">
        <v>0</v>
      </c>
      <c r="O378" s="79" t="e">
        <f t="shared" si="110"/>
        <v>#DIV/0!</v>
      </c>
      <c r="P378" s="80" t="e">
        <f t="shared" si="76"/>
        <v>#DIV/0!</v>
      </c>
      <c r="Q378" s="79" t="e">
        <f t="shared" si="77"/>
        <v>#DIV/0!</v>
      </c>
      <c r="R378" s="81" t="e">
        <f t="shared" si="78"/>
        <v>#DIV/0!</v>
      </c>
      <c r="S378" s="203">
        <f t="shared" si="109"/>
        <v>0</v>
      </c>
      <c r="T378" s="83" t="e">
        <f t="shared" si="79"/>
        <v>#DIV/0!</v>
      </c>
      <c r="U378" s="135"/>
      <c r="V378" s="135"/>
      <c r="W378" s="135"/>
      <c r="X378" s="135"/>
      <c r="Y378" s="136"/>
      <c r="Z378" s="50"/>
      <c r="AA378" s="50"/>
    </row>
    <row r="379" spans="1:27" ht="12.75" hidden="1" outlineLevel="1" x14ac:dyDescent="0.2">
      <c r="A379" s="50"/>
      <c r="B379" s="137"/>
      <c r="C379" s="70" t="s">
        <v>36</v>
      </c>
      <c r="D379" s="90">
        <v>139.9</v>
      </c>
      <c r="E379" s="75">
        <v>69.95</v>
      </c>
      <c r="F379" s="73">
        <v>2</v>
      </c>
      <c r="G379" s="73">
        <v>2</v>
      </c>
      <c r="H379" s="74">
        <f t="shared" si="72"/>
        <v>1</v>
      </c>
      <c r="I379" s="75">
        <f t="shared" si="73"/>
        <v>69.95</v>
      </c>
      <c r="J379" s="76">
        <f t="shared" si="74"/>
        <v>69.95</v>
      </c>
      <c r="K379" s="90">
        <v>20.34</v>
      </c>
      <c r="L379" s="73">
        <v>4695</v>
      </c>
      <c r="M379" s="73">
        <v>0</v>
      </c>
      <c r="N379" s="91">
        <v>0</v>
      </c>
      <c r="O379" s="79" t="e">
        <f t="shared" si="110"/>
        <v>#DIV/0!</v>
      </c>
      <c r="P379" s="80">
        <f t="shared" si="76"/>
        <v>0</v>
      </c>
      <c r="Q379" s="79">
        <f t="shared" si="77"/>
        <v>0.14538956397426733</v>
      </c>
      <c r="R379" s="81">
        <f t="shared" si="78"/>
        <v>0</v>
      </c>
      <c r="S379" s="92">
        <f t="shared" si="109"/>
        <v>139.9</v>
      </c>
      <c r="T379" s="83" t="e">
        <f t="shared" si="79"/>
        <v>#DIV/0!</v>
      </c>
      <c r="U379" s="135"/>
      <c r="V379" s="135"/>
      <c r="W379" s="135"/>
      <c r="X379" s="135"/>
      <c r="Y379" s="136"/>
      <c r="Z379" s="50"/>
      <c r="AA379" s="50"/>
    </row>
    <row r="380" spans="1:27" ht="12.75" hidden="1" outlineLevel="1" x14ac:dyDescent="0.2">
      <c r="A380" s="50"/>
      <c r="B380" s="69" t="s">
        <v>37</v>
      </c>
      <c r="C380" s="70" t="s">
        <v>38</v>
      </c>
      <c r="D380" s="93">
        <v>144.85</v>
      </c>
      <c r="E380" s="75">
        <v>57.45</v>
      </c>
      <c r="F380" s="73">
        <v>3</v>
      </c>
      <c r="G380" s="73">
        <v>2</v>
      </c>
      <c r="H380" s="74">
        <f t="shared" si="72"/>
        <v>1.5</v>
      </c>
      <c r="I380" s="75">
        <f t="shared" si="73"/>
        <v>48.283333333333331</v>
      </c>
      <c r="J380" s="76">
        <f t="shared" si="74"/>
        <v>32.18888888888889</v>
      </c>
      <c r="K380" s="93">
        <v>45.33</v>
      </c>
      <c r="L380" s="73">
        <v>9084</v>
      </c>
      <c r="M380" s="73">
        <v>2</v>
      </c>
      <c r="N380" s="94">
        <v>59.9</v>
      </c>
      <c r="O380" s="79">
        <f t="shared" si="110"/>
        <v>0.75676126878130212</v>
      </c>
      <c r="P380" s="80">
        <f t="shared" si="76"/>
        <v>1.3214206926979926</v>
      </c>
      <c r="Q380" s="79">
        <f t="shared" si="77"/>
        <v>0.31294442526751814</v>
      </c>
      <c r="R380" s="81">
        <f t="shared" si="78"/>
        <v>0.41353123921297896</v>
      </c>
      <c r="S380" s="95">
        <f t="shared" si="109"/>
        <v>84.949999999999989</v>
      </c>
      <c r="T380" s="83">
        <f t="shared" si="79"/>
        <v>22.664999999999999</v>
      </c>
      <c r="U380" s="135"/>
      <c r="V380" s="135"/>
      <c r="W380" s="135"/>
      <c r="X380" s="135"/>
      <c r="Y380" s="136"/>
      <c r="Z380" s="50"/>
      <c r="AA380" s="50"/>
    </row>
    <row r="381" spans="1:27" ht="12.75" hidden="1" outlineLevel="1" x14ac:dyDescent="0.2">
      <c r="A381" s="50"/>
      <c r="B381" s="137"/>
      <c r="C381" s="70" t="s">
        <v>39</v>
      </c>
      <c r="D381" s="96">
        <v>284.89</v>
      </c>
      <c r="E381" s="75">
        <v>94.96</v>
      </c>
      <c r="F381" s="73">
        <v>3</v>
      </c>
      <c r="G381" s="73">
        <v>3</v>
      </c>
      <c r="H381" s="74">
        <f t="shared" si="72"/>
        <v>1</v>
      </c>
      <c r="I381" s="75">
        <f t="shared" si="73"/>
        <v>94.963333333333324</v>
      </c>
      <c r="J381" s="76">
        <f t="shared" si="74"/>
        <v>94.963333333333324</v>
      </c>
      <c r="K381" s="96">
        <v>0</v>
      </c>
      <c r="L381" s="73">
        <v>0</v>
      </c>
      <c r="M381" s="73">
        <v>0</v>
      </c>
      <c r="N381" s="97">
        <v>0</v>
      </c>
      <c r="O381" s="79" t="e">
        <f t="shared" si="110"/>
        <v>#DIV/0!</v>
      </c>
      <c r="P381" s="80" t="e">
        <f t="shared" si="76"/>
        <v>#DIV/0!</v>
      </c>
      <c r="Q381" s="79">
        <f t="shared" si="77"/>
        <v>0</v>
      </c>
      <c r="R381" s="81">
        <f t="shared" si="78"/>
        <v>0</v>
      </c>
      <c r="S381" s="98">
        <f t="shared" si="109"/>
        <v>284.89</v>
      </c>
      <c r="T381" s="83" t="e">
        <f t="shared" si="79"/>
        <v>#DIV/0!</v>
      </c>
      <c r="U381" s="135"/>
      <c r="V381" s="135"/>
      <c r="W381" s="135"/>
      <c r="X381" s="135"/>
      <c r="Y381" s="136"/>
      <c r="Z381" s="50"/>
      <c r="AA381" s="50"/>
    </row>
    <row r="382" spans="1:27" ht="12.75" hidden="1" outlineLevel="1" x14ac:dyDescent="0.2">
      <c r="A382" s="50"/>
      <c r="B382" s="137"/>
      <c r="C382" s="70" t="s">
        <v>40</v>
      </c>
      <c r="D382" s="99">
        <v>0</v>
      </c>
      <c r="E382" s="75">
        <v>0</v>
      </c>
      <c r="F382" s="73">
        <v>0</v>
      </c>
      <c r="G382" s="73">
        <v>0</v>
      </c>
      <c r="H382" s="74" t="e">
        <f t="shared" si="72"/>
        <v>#DIV/0!</v>
      </c>
      <c r="I382" s="75" t="e">
        <f t="shared" si="73"/>
        <v>#DIV/0!</v>
      </c>
      <c r="J382" s="76" t="e">
        <f t="shared" si="74"/>
        <v>#DIV/0!</v>
      </c>
      <c r="K382" s="99">
        <v>0</v>
      </c>
      <c r="L382" s="73">
        <v>0</v>
      </c>
      <c r="M382" s="73">
        <v>0</v>
      </c>
      <c r="N382" s="100">
        <v>0</v>
      </c>
      <c r="O382" s="79" t="e">
        <f t="shared" si="110"/>
        <v>#DIV/0!</v>
      </c>
      <c r="P382" s="80" t="e">
        <f t="shared" si="76"/>
        <v>#DIV/0!</v>
      </c>
      <c r="Q382" s="79" t="e">
        <f t="shared" si="77"/>
        <v>#DIV/0!</v>
      </c>
      <c r="R382" s="81" t="e">
        <f t="shared" si="78"/>
        <v>#DIV/0!</v>
      </c>
      <c r="S382" s="101">
        <f t="shared" si="109"/>
        <v>0</v>
      </c>
      <c r="T382" s="83" t="e">
        <f t="shared" si="79"/>
        <v>#DIV/0!</v>
      </c>
      <c r="U382" s="135"/>
      <c r="V382" s="135"/>
      <c r="W382" s="135"/>
      <c r="X382" s="135"/>
      <c r="Y382" s="136"/>
      <c r="Z382" s="50"/>
      <c r="AA382" s="50"/>
    </row>
    <row r="383" spans="1:27" ht="12.75" hidden="1" outlineLevel="1" x14ac:dyDescent="0.2">
      <c r="A383" s="50"/>
      <c r="B383" s="137"/>
      <c r="C383" s="70" t="s">
        <v>41</v>
      </c>
      <c r="D383" s="102">
        <v>0</v>
      </c>
      <c r="E383" s="75">
        <v>0</v>
      </c>
      <c r="F383" s="73">
        <v>0</v>
      </c>
      <c r="G383" s="73">
        <v>0</v>
      </c>
      <c r="H383" s="74" t="e">
        <f t="shared" si="72"/>
        <v>#DIV/0!</v>
      </c>
      <c r="I383" s="75" t="e">
        <f t="shared" si="73"/>
        <v>#DIV/0!</v>
      </c>
      <c r="J383" s="76" t="e">
        <f t="shared" si="74"/>
        <v>#DIV/0!</v>
      </c>
      <c r="K383" s="102">
        <v>0</v>
      </c>
      <c r="L383" s="73">
        <v>0</v>
      </c>
      <c r="M383" s="73">
        <v>0</v>
      </c>
      <c r="N383" s="103">
        <v>0</v>
      </c>
      <c r="O383" s="79" t="e">
        <f t="shared" si="110"/>
        <v>#DIV/0!</v>
      </c>
      <c r="P383" s="80" t="e">
        <f t="shared" si="76"/>
        <v>#DIV/0!</v>
      </c>
      <c r="Q383" s="79" t="e">
        <f t="shared" si="77"/>
        <v>#DIV/0!</v>
      </c>
      <c r="R383" s="81" t="e">
        <f t="shared" si="78"/>
        <v>#DIV/0!</v>
      </c>
      <c r="S383" s="104">
        <f t="shared" si="109"/>
        <v>0</v>
      </c>
      <c r="T383" s="83" t="e">
        <f t="shared" si="79"/>
        <v>#DIV/0!</v>
      </c>
      <c r="U383" s="135"/>
      <c r="V383" s="135"/>
      <c r="W383" s="135"/>
      <c r="X383" s="135"/>
      <c r="Y383" s="136"/>
      <c r="Z383" s="50"/>
      <c r="AA383" s="50"/>
    </row>
    <row r="384" spans="1:27" ht="12.75" hidden="1" outlineLevel="1" x14ac:dyDescent="0.2">
      <c r="A384" s="50"/>
      <c r="B384" s="137"/>
      <c r="C384" s="70" t="s">
        <v>42</v>
      </c>
      <c r="D384" s="90">
        <v>0</v>
      </c>
      <c r="E384" s="75">
        <v>0</v>
      </c>
      <c r="F384" s="73">
        <v>0</v>
      </c>
      <c r="G384" s="73">
        <v>0</v>
      </c>
      <c r="H384" s="74" t="e">
        <f t="shared" si="72"/>
        <v>#DIV/0!</v>
      </c>
      <c r="I384" s="75" t="e">
        <f t="shared" si="73"/>
        <v>#DIV/0!</v>
      </c>
      <c r="J384" s="76" t="e">
        <f t="shared" si="74"/>
        <v>#DIV/0!</v>
      </c>
      <c r="K384" s="90">
        <v>4.5</v>
      </c>
      <c r="L384" s="73">
        <v>13522</v>
      </c>
      <c r="M384" s="73">
        <v>0</v>
      </c>
      <c r="N384" s="91">
        <v>0</v>
      </c>
      <c r="O384" s="79" t="e">
        <f t="shared" si="110"/>
        <v>#DIV/0!</v>
      </c>
      <c r="P384" s="80">
        <f t="shared" si="76"/>
        <v>0</v>
      </c>
      <c r="Q384" s="79" t="e">
        <f t="shared" si="77"/>
        <v>#DIV/0!</v>
      </c>
      <c r="R384" s="81" t="e">
        <f t="shared" si="78"/>
        <v>#DIV/0!</v>
      </c>
      <c r="S384" s="92">
        <f t="shared" si="109"/>
        <v>0</v>
      </c>
      <c r="T384" s="83" t="e">
        <f t="shared" si="79"/>
        <v>#DIV/0!</v>
      </c>
      <c r="U384" s="135"/>
      <c r="V384" s="135"/>
      <c r="W384" s="135"/>
      <c r="X384" s="135"/>
      <c r="Y384" s="136"/>
      <c r="Z384" s="50"/>
      <c r="AA384" s="50"/>
    </row>
    <row r="385" spans="1:27" ht="12.75" hidden="1" outlineLevel="1" x14ac:dyDescent="0.2">
      <c r="A385" s="50"/>
      <c r="B385" s="137"/>
      <c r="C385" s="70" t="s">
        <v>43</v>
      </c>
      <c r="D385" s="105">
        <v>154.94999999999999</v>
      </c>
      <c r="E385" s="75">
        <v>154.94999999999999</v>
      </c>
      <c r="F385" s="73">
        <v>1</v>
      </c>
      <c r="G385" s="73">
        <v>1</v>
      </c>
      <c r="H385" s="74">
        <f t="shared" si="72"/>
        <v>1</v>
      </c>
      <c r="I385" s="75">
        <f t="shared" si="73"/>
        <v>154.94999999999999</v>
      </c>
      <c r="J385" s="76">
        <f t="shared" si="74"/>
        <v>154.94999999999999</v>
      </c>
      <c r="K385" s="105">
        <v>11.4</v>
      </c>
      <c r="L385" s="73">
        <v>21520</v>
      </c>
      <c r="M385" s="73">
        <v>0</v>
      </c>
      <c r="N385" s="106">
        <v>0</v>
      </c>
      <c r="O385" s="79" t="e">
        <f t="shared" si="110"/>
        <v>#DIV/0!</v>
      </c>
      <c r="P385" s="80">
        <f t="shared" si="76"/>
        <v>0</v>
      </c>
      <c r="Q385" s="79">
        <f t="shared" si="77"/>
        <v>7.3572120038722183E-2</v>
      </c>
      <c r="R385" s="81">
        <f t="shared" si="78"/>
        <v>0</v>
      </c>
      <c r="S385" s="107">
        <f t="shared" si="109"/>
        <v>154.94999999999999</v>
      </c>
      <c r="T385" s="83" t="e">
        <f t="shared" si="79"/>
        <v>#DIV/0!</v>
      </c>
      <c r="U385" s="135"/>
      <c r="V385" s="135"/>
      <c r="W385" s="135"/>
      <c r="X385" s="135"/>
      <c r="Y385" s="136"/>
      <c r="Z385" s="50"/>
      <c r="AA385" s="50"/>
    </row>
    <row r="386" spans="1:27" ht="12.75" hidden="1" outlineLevel="1" x14ac:dyDescent="0.2">
      <c r="A386" s="50"/>
      <c r="B386" s="137"/>
      <c r="C386" s="70" t="s">
        <v>44</v>
      </c>
      <c r="D386" s="108">
        <v>279.64999999999998</v>
      </c>
      <c r="E386" s="75">
        <v>39.950000000000003</v>
      </c>
      <c r="F386" s="73">
        <v>7</v>
      </c>
      <c r="G386" s="73">
        <v>8</v>
      </c>
      <c r="H386" s="74">
        <f t="shared" si="72"/>
        <v>0.875</v>
      </c>
      <c r="I386" s="75">
        <f t="shared" si="73"/>
        <v>39.949999999999996</v>
      </c>
      <c r="J386" s="76">
        <f t="shared" si="74"/>
        <v>45.657142857142851</v>
      </c>
      <c r="K386" s="108">
        <v>26.9</v>
      </c>
      <c r="L386" s="73">
        <v>10786</v>
      </c>
      <c r="M386" s="73">
        <v>5</v>
      </c>
      <c r="N386" s="109">
        <v>199.75</v>
      </c>
      <c r="O386" s="79">
        <f t="shared" si="110"/>
        <v>0.13466833541927409</v>
      </c>
      <c r="P386" s="80">
        <f t="shared" si="76"/>
        <v>7.425650557620818</v>
      </c>
      <c r="Q386" s="79">
        <f t="shared" si="77"/>
        <v>9.619166815662436E-2</v>
      </c>
      <c r="R386" s="81">
        <f t="shared" si="78"/>
        <v>0.7142857142857143</v>
      </c>
      <c r="S386" s="110">
        <f t="shared" si="109"/>
        <v>79.899999999999977</v>
      </c>
      <c r="T386" s="83">
        <f t="shared" si="79"/>
        <v>5.38</v>
      </c>
      <c r="U386" s="135"/>
      <c r="V386" s="135"/>
      <c r="W386" s="135"/>
      <c r="X386" s="135"/>
      <c r="Y386" s="136"/>
      <c r="Z386" s="50"/>
      <c r="AA386" s="50"/>
    </row>
    <row r="387" spans="1:27" ht="12.75" hidden="1" outlineLevel="1" x14ac:dyDescent="0.2">
      <c r="A387" s="139"/>
      <c r="B387" s="137"/>
      <c r="C387" s="112" t="s">
        <v>45</v>
      </c>
      <c r="D387" s="71">
        <v>0</v>
      </c>
      <c r="E387" s="75">
        <v>0</v>
      </c>
      <c r="F387" s="73">
        <v>0</v>
      </c>
      <c r="G387" s="73">
        <v>0</v>
      </c>
      <c r="H387" s="74" t="e">
        <f t="shared" si="72"/>
        <v>#DIV/0!</v>
      </c>
      <c r="I387" s="75" t="e">
        <f t="shared" si="73"/>
        <v>#DIV/0!</v>
      </c>
      <c r="J387" s="76" t="e">
        <f t="shared" si="74"/>
        <v>#DIV/0!</v>
      </c>
      <c r="K387" s="71">
        <v>0</v>
      </c>
      <c r="L387" s="73">
        <v>0</v>
      </c>
      <c r="M387" s="73">
        <v>0</v>
      </c>
      <c r="N387" s="78">
        <v>0</v>
      </c>
      <c r="O387" s="79" t="e">
        <f t="shared" si="110"/>
        <v>#DIV/0!</v>
      </c>
      <c r="P387" s="80" t="e">
        <f t="shared" si="76"/>
        <v>#DIV/0!</v>
      </c>
      <c r="Q387" s="79" t="e">
        <f t="shared" si="77"/>
        <v>#DIV/0!</v>
      </c>
      <c r="R387" s="81" t="e">
        <f t="shared" si="78"/>
        <v>#DIV/0!</v>
      </c>
      <c r="S387" s="82">
        <f t="shared" si="109"/>
        <v>0</v>
      </c>
      <c r="T387" s="83" t="e">
        <f t="shared" si="79"/>
        <v>#DIV/0!</v>
      </c>
      <c r="U387" s="140"/>
      <c r="V387" s="140"/>
      <c r="W387" s="140"/>
      <c r="X387" s="141"/>
      <c r="Y387" s="142"/>
      <c r="Z387" s="50"/>
      <c r="AA387" s="50"/>
    </row>
    <row r="388" spans="1:27" ht="12.75" hidden="1" outlineLevel="1" x14ac:dyDescent="0.2">
      <c r="A388" s="50"/>
      <c r="B388" s="137"/>
      <c r="C388" s="70" t="s">
        <v>46</v>
      </c>
      <c r="D388" s="116">
        <v>544.4</v>
      </c>
      <c r="E388" s="75">
        <v>44.95</v>
      </c>
      <c r="F388" s="73">
        <v>12</v>
      </c>
      <c r="G388" s="73">
        <v>12</v>
      </c>
      <c r="H388" s="74">
        <f t="shared" si="72"/>
        <v>1</v>
      </c>
      <c r="I388" s="75">
        <f t="shared" si="73"/>
        <v>45.366666666666667</v>
      </c>
      <c r="J388" s="76">
        <f t="shared" si="74"/>
        <v>45.366666666666667</v>
      </c>
      <c r="K388" s="116">
        <v>87.2</v>
      </c>
      <c r="L388" s="73">
        <v>30155</v>
      </c>
      <c r="M388" s="73">
        <v>5</v>
      </c>
      <c r="N388" s="117">
        <v>224.75</v>
      </c>
      <c r="O388" s="79">
        <f t="shared" si="110"/>
        <v>0.38798665183537268</v>
      </c>
      <c r="P388" s="80">
        <f t="shared" si="76"/>
        <v>2.5774082568807337</v>
      </c>
      <c r="Q388" s="79">
        <f t="shared" si="77"/>
        <v>0.16017634092578986</v>
      </c>
      <c r="R388" s="81">
        <f t="shared" si="78"/>
        <v>0.41283982365907423</v>
      </c>
      <c r="S388" s="82">
        <f t="shared" si="109"/>
        <v>319.64999999999998</v>
      </c>
      <c r="T388" s="83">
        <f t="shared" si="79"/>
        <v>17.440000000000001</v>
      </c>
      <c r="U388" s="135"/>
      <c r="V388" s="135"/>
      <c r="W388" s="135"/>
      <c r="X388" s="135"/>
      <c r="Y388" s="136"/>
      <c r="Z388" s="50"/>
      <c r="AA388" s="50"/>
    </row>
    <row r="389" spans="1:27" ht="12.75" hidden="1" outlineLevel="1" x14ac:dyDescent="0.2">
      <c r="A389" s="118" t="str">
        <f t="shared" ref="A389:A390" si="111">IFERROR(IF(B389&gt;0,MONTH(B389)&amp;"-"&amp;YEAR(B389),B389),)</f>
        <v>5-2025</v>
      </c>
      <c r="B389" s="69">
        <v>45787</v>
      </c>
      <c r="C389" s="70" t="s">
        <v>49</v>
      </c>
      <c r="D389" s="116">
        <v>0</v>
      </c>
      <c r="E389" s="75">
        <v>0</v>
      </c>
      <c r="F389" s="73">
        <v>0</v>
      </c>
      <c r="G389" s="73">
        <v>0</v>
      </c>
      <c r="H389" s="74" t="e">
        <f t="shared" si="72"/>
        <v>#DIV/0!</v>
      </c>
      <c r="I389" s="75" t="e">
        <f t="shared" si="73"/>
        <v>#DIV/0!</v>
      </c>
      <c r="J389" s="76" t="e">
        <f t="shared" si="74"/>
        <v>#DIV/0!</v>
      </c>
      <c r="K389" s="116">
        <v>1.37</v>
      </c>
      <c r="L389" s="73">
        <v>7445</v>
      </c>
      <c r="M389" s="73">
        <v>0</v>
      </c>
      <c r="N389" s="117">
        <v>0</v>
      </c>
      <c r="O389" s="79" t="e">
        <f t="shared" si="110"/>
        <v>#DIV/0!</v>
      </c>
      <c r="P389" s="80">
        <f t="shared" si="76"/>
        <v>0</v>
      </c>
      <c r="Q389" s="79" t="e">
        <f t="shared" si="77"/>
        <v>#DIV/0!</v>
      </c>
      <c r="R389" s="81" t="e">
        <f t="shared" si="78"/>
        <v>#DIV/0!</v>
      </c>
      <c r="S389" s="82">
        <f t="shared" si="109"/>
        <v>0</v>
      </c>
      <c r="T389" s="83" t="e">
        <f t="shared" si="79"/>
        <v>#DIV/0!</v>
      </c>
      <c r="U389" s="135"/>
      <c r="V389" s="135"/>
      <c r="W389" s="135"/>
      <c r="X389" s="135"/>
      <c r="Y389" s="136"/>
      <c r="Z389" s="50"/>
      <c r="AA389" s="50"/>
    </row>
    <row r="390" spans="1:27" ht="12.75" collapsed="1" x14ac:dyDescent="0.2">
      <c r="A390" s="50">
        <f t="shared" si="111"/>
        <v>0</v>
      </c>
      <c r="B390" s="52" t="s">
        <v>77</v>
      </c>
      <c r="C390" s="145"/>
      <c r="D390" s="121">
        <f>SUM(D373:D389)</f>
        <v>2464.9299999999998</v>
      </c>
      <c r="E390" s="125"/>
      <c r="F390" s="123">
        <f t="shared" ref="F390:G390" si="112">SUM(F373:F389)</f>
        <v>41</v>
      </c>
      <c r="G390" s="123">
        <f t="shared" si="112"/>
        <v>49</v>
      </c>
      <c r="H390" s="124">
        <f t="shared" si="72"/>
        <v>0.83673469387755106</v>
      </c>
      <c r="I390" s="125">
        <f t="shared" si="73"/>
        <v>60.120243902439022</v>
      </c>
      <c r="J390" s="126">
        <f t="shared" si="74"/>
        <v>71.851023200475893</v>
      </c>
      <c r="K390" s="121">
        <f t="shared" ref="K390:N390" si="113">SUM(K373:K389)</f>
        <v>667.14</v>
      </c>
      <c r="L390" s="123">
        <f t="shared" si="113"/>
        <v>249927</v>
      </c>
      <c r="M390" s="123">
        <f t="shared" si="113"/>
        <v>17</v>
      </c>
      <c r="N390" s="127">
        <f t="shared" si="113"/>
        <v>779.2</v>
      </c>
      <c r="O390" s="128">
        <f t="shared" si="110"/>
        <v>0.85618583162217654</v>
      </c>
      <c r="P390" s="129">
        <f t="shared" si="76"/>
        <v>1.1679707407740505</v>
      </c>
      <c r="Q390" s="128">
        <f t="shared" si="77"/>
        <v>0.27065271630431698</v>
      </c>
      <c r="R390" s="130">
        <f t="shared" si="78"/>
        <v>0.31611445355446205</v>
      </c>
      <c r="S390" s="131">
        <f>SUM(S373:S389)</f>
        <v>1685.73</v>
      </c>
      <c r="T390" s="132">
        <f t="shared" si="79"/>
        <v>39.243529411764705</v>
      </c>
      <c r="U390" s="273">
        <f>IFERROR((D390-D246)/D390,)</f>
        <v>-2.0756735485389028</v>
      </c>
      <c r="V390" s="273">
        <f>IFERROR((F390-F246)/F390,)</f>
        <v>-1.2926829268292683</v>
      </c>
      <c r="W390" s="271">
        <f>IFERROR((D390-[1]monthly_reporting_2021!E181)/D390, )</f>
        <v>0</v>
      </c>
      <c r="X390" s="271">
        <f>IFERROR((F390-[1]monthly_reporting_2021!F181)/F390, )</f>
        <v>0</v>
      </c>
      <c r="Y390" s="50"/>
      <c r="Z390" s="50"/>
      <c r="AA390" s="50"/>
    </row>
    <row r="391" spans="1:27" ht="12.75" hidden="1" outlineLevel="1" x14ac:dyDescent="0.2">
      <c r="A391" s="50"/>
      <c r="B391" s="69">
        <v>45788</v>
      </c>
      <c r="C391" s="70" t="s">
        <v>32</v>
      </c>
      <c r="D391" s="71">
        <v>953</v>
      </c>
      <c r="E391" s="75">
        <v>124.79</v>
      </c>
      <c r="F391" s="73">
        <v>2</v>
      </c>
      <c r="G391" s="73">
        <v>7</v>
      </c>
      <c r="H391" s="74">
        <f t="shared" si="72"/>
        <v>0.2857142857142857</v>
      </c>
      <c r="I391" s="75">
        <f t="shared" si="73"/>
        <v>476.5</v>
      </c>
      <c r="J391" s="76">
        <f t="shared" si="74"/>
        <v>1667.75</v>
      </c>
      <c r="K391" s="77">
        <v>225</v>
      </c>
      <c r="L391" s="73">
        <v>75399</v>
      </c>
      <c r="M391" s="73">
        <v>3</v>
      </c>
      <c r="N391" s="78">
        <v>543.9</v>
      </c>
      <c r="O391" s="79">
        <f t="shared" si="110"/>
        <v>0.41367898510755657</v>
      </c>
      <c r="P391" s="80">
        <f t="shared" si="76"/>
        <v>2.4173333333333331</v>
      </c>
      <c r="Q391" s="79">
        <f t="shared" si="77"/>
        <v>0.236096537250787</v>
      </c>
      <c r="R391" s="81">
        <f t="shared" si="78"/>
        <v>0.57072402938090239</v>
      </c>
      <c r="S391" s="82">
        <f t="shared" ref="S391:S407" si="114">D391-N391</f>
        <v>409.1</v>
      </c>
      <c r="T391" s="83">
        <f t="shared" si="79"/>
        <v>75</v>
      </c>
      <c r="U391" s="135"/>
      <c r="V391" s="135"/>
      <c r="W391" s="135"/>
      <c r="X391" s="135"/>
      <c r="Y391" s="136"/>
      <c r="Z391" s="50"/>
      <c r="AA391" s="50"/>
    </row>
    <row r="392" spans="1:27" ht="12.75" hidden="1" outlineLevel="1" x14ac:dyDescent="0.2">
      <c r="A392" s="50"/>
      <c r="B392" s="137"/>
      <c r="C392" s="70" t="s">
        <v>33</v>
      </c>
      <c r="D392" s="87">
        <v>1383.61</v>
      </c>
      <c r="E392" s="75">
        <v>226.77</v>
      </c>
      <c r="F392" s="73">
        <v>8</v>
      </c>
      <c r="G392" s="73">
        <v>11</v>
      </c>
      <c r="H392" s="74">
        <f t="shared" si="72"/>
        <v>0.72727272727272729</v>
      </c>
      <c r="I392" s="75">
        <f t="shared" si="73"/>
        <v>172.95124999999999</v>
      </c>
      <c r="J392" s="76">
        <f t="shared" si="74"/>
        <v>237.80796874999999</v>
      </c>
      <c r="K392" s="87">
        <v>169.45</v>
      </c>
      <c r="L392" s="73">
        <v>87225</v>
      </c>
      <c r="M392" s="73">
        <v>1</v>
      </c>
      <c r="N392" s="88">
        <v>495</v>
      </c>
      <c r="O392" s="79">
        <f t="shared" si="110"/>
        <v>0.34232323232323231</v>
      </c>
      <c r="P392" s="80">
        <f t="shared" si="76"/>
        <v>2.9212156978459727</v>
      </c>
      <c r="Q392" s="79">
        <f t="shared" si="77"/>
        <v>0.12246948200721301</v>
      </c>
      <c r="R392" s="81">
        <f t="shared" si="78"/>
        <v>0.35775977334653553</v>
      </c>
      <c r="S392" s="89">
        <f t="shared" si="114"/>
        <v>888.6099999999999</v>
      </c>
      <c r="T392" s="83">
        <f t="shared" si="79"/>
        <v>169.45</v>
      </c>
      <c r="U392" s="135"/>
      <c r="V392" s="135"/>
      <c r="W392" s="135"/>
      <c r="X392" s="135"/>
      <c r="Y392" s="136"/>
      <c r="Z392" s="50"/>
      <c r="AA392" s="50"/>
    </row>
    <row r="393" spans="1:27" ht="12.75" hidden="1" outlineLevel="1" x14ac:dyDescent="0.2">
      <c r="A393" s="50"/>
      <c r="B393" s="137"/>
      <c r="C393" s="70" t="s">
        <v>34</v>
      </c>
      <c r="D393" s="90">
        <v>0</v>
      </c>
      <c r="E393" s="75">
        <v>0</v>
      </c>
      <c r="F393" s="73">
        <v>0</v>
      </c>
      <c r="G393" s="73">
        <v>0</v>
      </c>
      <c r="H393" s="74" t="e">
        <f t="shared" si="72"/>
        <v>#DIV/0!</v>
      </c>
      <c r="I393" s="75" t="e">
        <f t="shared" si="73"/>
        <v>#DIV/0!</v>
      </c>
      <c r="J393" s="76" t="e">
        <f t="shared" si="74"/>
        <v>#DIV/0!</v>
      </c>
      <c r="K393" s="90">
        <v>0</v>
      </c>
      <c r="L393" s="73">
        <v>0</v>
      </c>
      <c r="M393" s="73">
        <v>0</v>
      </c>
      <c r="N393" s="91">
        <v>0</v>
      </c>
      <c r="O393" s="79" t="e">
        <f>(K393/N393)</f>
        <v>#DIV/0!</v>
      </c>
      <c r="P393" s="80" t="e">
        <f t="shared" si="76"/>
        <v>#DIV/0!</v>
      </c>
      <c r="Q393" s="79" t="e">
        <f t="shared" si="77"/>
        <v>#DIV/0!</v>
      </c>
      <c r="R393" s="81" t="e">
        <f t="shared" si="78"/>
        <v>#DIV/0!</v>
      </c>
      <c r="S393" s="92">
        <f t="shared" si="114"/>
        <v>0</v>
      </c>
      <c r="T393" s="83" t="e">
        <f t="shared" si="79"/>
        <v>#DIV/0!</v>
      </c>
      <c r="U393" s="135"/>
      <c r="V393" s="135"/>
      <c r="W393" s="135"/>
      <c r="X393" s="135"/>
      <c r="Y393" s="136"/>
      <c r="Z393" s="50"/>
      <c r="AA393" s="50"/>
    </row>
    <row r="394" spans="1:27" ht="12.75" hidden="1" outlineLevel="1" x14ac:dyDescent="0.2">
      <c r="A394" s="50"/>
      <c r="B394" s="137"/>
      <c r="C394" s="70" t="s">
        <v>35</v>
      </c>
      <c r="D394" s="90">
        <v>188.85</v>
      </c>
      <c r="E394" s="75">
        <v>62.95</v>
      </c>
      <c r="F394" s="73">
        <v>3</v>
      </c>
      <c r="G394" s="73">
        <v>4</v>
      </c>
      <c r="H394" s="74">
        <f t="shared" si="72"/>
        <v>0.75</v>
      </c>
      <c r="I394" s="75">
        <f t="shared" si="73"/>
        <v>62.949999999999996</v>
      </c>
      <c r="J394" s="76">
        <f t="shared" si="74"/>
        <v>83.933333333333323</v>
      </c>
      <c r="K394" s="90">
        <v>0</v>
      </c>
      <c r="L394" s="73">
        <v>0</v>
      </c>
      <c r="M394" s="73">
        <v>0</v>
      </c>
      <c r="N394" s="91">
        <v>0</v>
      </c>
      <c r="O394" s="79" t="e">
        <f t="shared" ref="O394:O410" si="115">K394/N394</f>
        <v>#DIV/0!</v>
      </c>
      <c r="P394" s="80" t="e">
        <f t="shared" si="76"/>
        <v>#DIV/0!</v>
      </c>
      <c r="Q394" s="79">
        <f t="shared" si="77"/>
        <v>0</v>
      </c>
      <c r="R394" s="81">
        <f t="shared" si="78"/>
        <v>0</v>
      </c>
      <c r="S394" s="92">
        <f t="shared" si="114"/>
        <v>188.85</v>
      </c>
      <c r="T394" s="83" t="e">
        <f t="shared" si="79"/>
        <v>#DIV/0!</v>
      </c>
      <c r="U394" s="135"/>
      <c r="V394" s="135"/>
      <c r="W394" s="135"/>
      <c r="X394" s="135"/>
      <c r="Y394" s="136"/>
      <c r="Z394" s="50"/>
      <c r="AA394" s="50"/>
    </row>
    <row r="395" spans="1:27" ht="12.75" hidden="1" outlineLevel="1" x14ac:dyDescent="0.2">
      <c r="A395" s="50"/>
      <c r="B395" s="137"/>
      <c r="C395" s="70" t="s">
        <v>62</v>
      </c>
      <c r="D395" s="200">
        <v>0</v>
      </c>
      <c r="E395" s="75">
        <v>0</v>
      </c>
      <c r="F395" s="73">
        <v>0</v>
      </c>
      <c r="G395" s="73">
        <v>0</v>
      </c>
      <c r="H395" s="74" t="e">
        <f t="shared" si="72"/>
        <v>#DIV/0!</v>
      </c>
      <c r="I395" s="75" t="e">
        <f t="shared" si="73"/>
        <v>#DIV/0!</v>
      </c>
      <c r="J395" s="76" t="e">
        <f t="shared" si="74"/>
        <v>#DIV/0!</v>
      </c>
      <c r="K395" s="200">
        <v>0</v>
      </c>
      <c r="L395" s="73">
        <v>0</v>
      </c>
      <c r="M395" s="73">
        <v>0</v>
      </c>
      <c r="N395" s="200">
        <v>0</v>
      </c>
      <c r="O395" s="79" t="e">
        <f t="shared" si="115"/>
        <v>#DIV/0!</v>
      </c>
      <c r="P395" s="80" t="e">
        <f t="shared" si="76"/>
        <v>#DIV/0!</v>
      </c>
      <c r="Q395" s="79" t="e">
        <f t="shared" si="77"/>
        <v>#DIV/0!</v>
      </c>
      <c r="R395" s="81" t="e">
        <f t="shared" si="78"/>
        <v>#DIV/0!</v>
      </c>
      <c r="S395" s="92">
        <f t="shared" si="114"/>
        <v>0</v>
      </c>
      <c r="T395" s="83" t="e">
        <f t="shared" si="79"/>
        <v>#DIV/0!</v>
      </c>
      <c r="U395" s="135"/>
      <c r="V395" s="135"/>
      <c r="W395" s="135"/>
      <c r="X395" s="135"/>
      <c r="Y395" s="136"/>
      <c r="Z395" s="50"/>
      <c r="AA395" s="50"/>
    </row>
    <row r="396" spans="1:27" ht="12.75" hidden="1" outlineLevel="1" x14ac:dyDescent="0.2">
      <c r="A396" s="50"/>
      <c r="B396" s="137"/>
      <c r="C396" s="70" t="s">
        <v>66</v>
      </c>
      <c r="D396" s="201">
        <v>0</v>
      </c>
      <c r="E396" s="75">
        <v>0</v>
      </c>
      <c r="F396" s="73">
        <v>0</v>
      </c>
      <c r="G396" s="73">
        <v>0</v>
      </c>
      <c r="H396" s="74" t="e">
        <f t="shared" si="72"/>
        <v>#DIV/0!</v>
      </c>
      <c r="I396" s="75" t="e">
        <f t="shared" si="73"/>
        <v>#DIV/0!</v>
      </c>
      <c r="J396" s="76" t="e">
        <f t="shared" si="74"/>
        <v>#DIV/0!</v>
      </c>
      <c r="K396" s="201">
        <v>0</v>
      </c>
      <c r="L396" s="73">
        <v>0</v>
      </c>
      <c r="M396" s="73">
        <v>0</v>
      </c>
      <c r="N396" s="202">
        <v>0</v>
      </c>
      <c r="O396" s="79" t="e">
        <f t="shared" si="115"/>
        <v>#DIV/0!</v>
      </c>
      <c r="P396" s="80" t="e">
        <f t="shared" si="76"/>
        <v>#DIV/0!</v>
      </c>
      <c r="Q396" s="79" t="e">
        <f t="shared" si="77"/>
        <v>#DIV/0!</v>
      </c>
      <c r="R396" s="81" t="e">
        <f t="shared" si="78"/>
        <v>#DIV/0!</v>
      </c>
      <c r="S396" s="203">
        <f t="shared" si="114"/>
        <v>0</v>
      </c>
      <c r="T396" s="83" t="e">
        <f t="shared" si="79"/>
        <v>#DIV/0!</v>
      </c>
      <c r="U396" s="135"/>
      <c r="V396" s="135"/>
      <c r="W396" s="135"/>
      <c r="X396" s="135"/>
      <c r="Y396" s="136"/>
      <c r="Z396" s="50"/>
      <c r="AA396" s="50"/>
    </row>
    <row r="397" spans="1:27" ht="12.75" hidden="1" outlineLevel="1" x14ac:dyDescent="0.2">
      <c r="A397" s="50"/>
      <c r="B397" s="137"/>
      <c r="C397" s="70" t="s">
        <v>36</v>
      </c>
      <c r="D397" s="90">
        <v>69.95</v>
      </c>
      <c r="E397" s="75">
        <v>69.95</v>
      </c>
      <c r="F397" s="73">
        <v>1</v>
      </c>
      <c r="G397" s="73">
        <v>1</v>
      </c>
      <c r="H397" s="74">
        <f t="shared" si="72"/>
        <v>1</v>
      </c>
      <c r="I397" s="75">
        <f t="shared" si="73"/>
        <v>69.95</v>
      </c>
      <c r="J397" s="76">
        <f t="shared" si="74"/>
        <v>69.95</v>
      </c>
      <c r="K397" s="90">
        <v>16.190000000000001</v>
      </c>
      <c r="L397" s="73">
        <v>3961</v>
      </c>
      <c r="M397" s="73">
        <v>0</v>
      </c>
      <c r="N397" s="91">
        <v>0</v>
      </c>
      <c r="O397" s="79" t="e">
        <f t="shared" si="115"/>
        <v>#DIV/0!</v>
      </c>
      <c r="P397" s="80">
        <f t="shared" si="76"/>
        <v>0</v>
      </c>
      <c r="Q397" s="79">
        <f t="shared" si="77"/>
        <v>0.23145103645461043</v>
      </c>
      <c r="R397" s="81">
        <f t="shared" si="78"/>
        <v>0</v>
      </c>
      <c r="S397" s="92">
        <f t="shared" si="114"/>
        <v>69.95</v>
      </c>
      <c r="T397" s="83" t="e">
        <f t="shared" si="79"/>
        <v>#DIV/0!</v>
      </c>
      <c r="U397" s="135"/>
      <c r="V397" s="135"/>
      <c r="W397" s="135"/>
      <c r="X397" s="135"/>
      <c r="Y397" s="136"/>
      <c r="Z397" s="50"/>
      <c r="AA397" s="50"/>
    </row>
    <row r="398" spans="1:27" ht="12.75" hidden="1" outlineLevel="1" x14ac:dyDescent="0.2">
      <c r="A398" s="50"/>
      <c r="B398" s="69" t="s">
        <v>37</v>
      </c>
      <c r="C398" s="70" t="s">
        <v>38</v>
      </c>
      <c r="D398" s="93">
        <v>94.85</v>
      </c>
      <c r="E398" s="75">
        <v>54.95</v>
      </c>
      <c r="F398" s="73">
        <v>3</v>
      </c>
      <c r="G398" s="73">
        <v>3</v>
      </c>
      <c r="H398" s="74">
        <f t="shared" si="72"/>
        <v>1</v>
      </c>
      <c r="I398" s="75">
        <f t="shared" si="73"/>
        <v>31.616666666666664</v>
      </c>
      <c r="J398" s="76">
        <f t="shared" si="74"/>
        <v>31.616666666666664</v>
      </c>
      <c r="K398" s="93">
        <v>32.71</v>
      </c>
      <c r="L398" s="73">
        <v>7853</v>
      </c>
      <c r="M398" s="73">
        <v>2</v>
      </c>
      <c r="N398" s="94">
        <v>59.9</v>
      </c>
      <c r="O398" s="79">
        <f t="shared" si="115"/>
        <v>0.54607679465776293</v>
      </c>
      <c r="P398" s="80">
        <f t="shared" si="76"/>
        <v>1.8312442678080096</v>
      </c>
      <c r="Q398" s="79">
        <f t="shared" si="77"/>
        <v>0.34486030574591464</v>
      </c>
      <c r="R398" s="81">
        <f t="shared" si="78"/>
        <v>0.63152345809172383</v>
      </c>
      <c r="S398" s="95">
        <f t="shared" si="114"/>
        <v>34.949999999999996</v>
      </c>
      <c r="T398" s="83">
        <f t="shared" si="79"/>
        <v>16.355</v>
      </c>
      <c r="U398" s="135"/>
      <c r="V398" s="135"/>
      <c r="W398" s="135"/>
      <c r="X398" s="135"/>
      <c r="Y398" s="136"/>
      <c r="Z398" s="50"/>
      <c r="AA398" s="50"/>
    </row>
    <row r="399" spans="1:27" ht="12.75" hidden="1" outlineLevel="1" x14ac:dyDescent="0.2">
      <c r="A399" s="50"/>
      <c r="B399" s="137"/>
      <c r="C399" s="70" t="s">
        <v>39</v>
      </c>
      <c r="D399" s="96">
        <v>99.95</v>
      </c>
      <c r="E399" s="75">
        <v>99.95</v>
      </c>
      <c r="F399" s="73">
        <v>1</v>
      </c>
      <c r="G399" s="73">
        <v>1</v>
      </c>
      <c r="H399" s="74">
        <f t="shared" si="72"/>
        <v>1</v>
      </c>
      <c r="I399" s="75">
        <f t="shared" si="73"/>
        <v>99.95</v>
      </c>
      <c r="J399" s="76">
        <f t="shared" si="74"/>
        <v>99.95</v>
      </c>
      <c r="K399" s="96">
        <v>0</v>
      </c>
      <c r="L399" s="73">
        <v>0</v>
      </c>
      <c r="M399" s="73">
        <v>0</v>
      </c>
      <c r="N399" s="97">
        <v>0</v>
      </c>
      <c r="O399" s="79" t="e">
        <f t="shared" si="115"/>
        <v>#DIV/0!</v>
      </c>
      <c r="P399" s="80" t="e">
        <f t="shared" si="76"/>
        <v>#DIV/0!</v>
      </c>
      <c r="Q399" s="79">
        <f t="shared" si="77"/>
        <v>0</v>
      </c>
      <c r="R399" s="81">
        <f t="shared" si="78"/>
        <v>0</v>
      </c>
      <c r="S399" s="98">
        <f t="shared" si="114"/>
        <v>99.95</v>
      </c>
      <c r="T399" s="83" t="e">
        <f t="shared" si="79"/>
        <v>#DIV/0!</v>
      </c>
      <c r="U399" s="135"/>
      <c r="V399" s="135"/>
      <c r="W399" s="135"/>
      <c r="X399" s="135"/>
      <c r="Y399" s="136"/>
      <c r="Z399" s="50"/>
      <c r="AA399" s="50"/>
    </row>
    <row r="400" spans="1:27" ht="12.75" hidden="1" outlineLevel="1" x14ac:dyDescent="0.2">
      <c r="A400" s="50"/>
      <c r="B400" s="137"/>
      <c r="C400" s="70" t="s">
        <v>40</v>
      </c>
      <c r="D400" s="99">
        <v>0</v>
      </c>
      <c r="E400" s="75">
        <v>0</v>
      </c>
      <c r="F400" s="73">
        <v>0</v>
      </c>
      <c r="G400" s="73">
        <v>0</v>
      </c>
      <c r="H400" s="74" t="e">
        <f t="shared" si="72"/>
        <v>#DIV/0!</v>
      </c>
      <c r="I400" s="75" t="e">
        <f t="shared" si="73"/>
        <v>#DIV/0!</v>
      </c>
      <c r="J400" s="76" t="e">
        <f t="shared" si="74"/>
        <v>#DIV/0!</v>
      </c>
      <c r="K400" s="99">
        <v>0</v>
      </c>
      <c r="L400" s="73">
        <v>0</v>
      </c>
      <c r="M400" s="73">
        <v>0</v>
      </c>
      <c r="N400" s="100">
        <v>0</v>
      </c>
      <c r="O400" s="79" t="e">
        <f t="shared" si="115"/>
        <v>#DIV/0!</v>
      </c>
      <c r="P400" s="80" t="e">
        <f t="shared" si="76"/>
        <v>#DIV/0!</v>
      </c>
      <c r="Q400" s="79" t="e">
        <f t="shared" si="77"/>
        <v>#DIV/0!</v>
      </c>
      <c r="R400" s="81" t="e">
        <f t="shared" si="78"/>
        <v>#DIV/0!</v>
      </c>
      <c r="S400" s="101">
        <f t="shared" si="114"/>
        <v>0</v>
      </c>
      <c r="T400" s="83" t="e">
        <f t="shared" si="79"/>
        <v>#DIV/0!</v>
      </c>
      <c r="U400" s="135"/>
      <c r="V400" s="135"/>
      <c r="W400" s="135"/>
      <c r="X400" s="135"/>
      <c r="Y400" s="136"/>
      <c r="Z400" s="50"/>
      <c r="AA400" s="50"/>
    </row>
    <row r="401" spans="1:27" ht="12.75" hidden="1" outlineLevel="1" x14ac:dyDescent="0.2">
      <c r="A401" s="50"/>
      <c r="B401" s="137"/>
      <c r="C401" s="70" t="s">
        <v>41</v>
      </c>
      <c r="D401" s="102">
        <v>0</v>
      </c>
      <c r="E401" s="75">
        <v>0</v>
      </c>
      <c r="F401" s="73">
        <v>0</v>
      </c>
      <c r="G401" s="73">
        <v>0</v>
      </c>
      <c r="H401" s="74" t="e">
        <f t="shared" si="72"/>
        <v>#DIV/0!</v>
      </c>
      <c r="I401" s="75" t="e">
        <f t="shared" si="73"/>
        <v>#DIV/0!</v>
      </c>
      <c r="J401" s="76" t="e">
        <f t="shared" si="74"/>
        <v>#DIV/0!</v>
      </c>
      <c r="K401" s="102">
        <v>0</v>
      </c>
      <c r="L401" s="73">
        <v>0</v>
      </c>
      <c r="M401" s="73">
        <v>0</v>
      </c>
      <c r="N401" s="103">
        <v>0</v>
      </c>
      <c r="O401" s="79" t="e">
        <f t="shared" si="115"/>
        <v>#DIV/0!</v>
      </c>
      <c r="P401" s="80" t="e">
        <f t="shared" si="76"/>
        <v>#DIV/0!</v>
      </c>
      <c r="Q401" s="79" t="e">
        <f t="shared" si="77"/>
        <v>#DIV/0!</v>
      </c>
      <c r="R401" s="81" t="e">
        <f t="shared" si="78"/>
        <v>#DIV/0!</v>
      </c>
      <c r="S401" s="104">
        <f t="shared" si="114"/>
        <v>0</v>
      </c>
      <c r="T401" s="83" t="e">
        <f t="shared" si="79"/>
        <v>#DIV/0!</v>
      </c>
      <c r="U401" s="135"/>
      <c r="V401" s="135"/>
      <c r="W401" s="135"/>
      <c r="X401" s="135"/>
      <c r="Y401" s="136"/>
      <c r="Z401" s="50"/>
      <c r="AA401" s="50"/>
    </row>
    <row r="402" spans="1:27" ht="12.75" hidden="1" outlineLevel="1" x14ac:dyDescent="0.2">
      <c r="A402" s="50"/>
      <c r="B402" s="137"/>
      <c r="C402" s="70" t="s">
        <v>42</v>
      </c>
      <c r="D402" s="90">
        <v>89.95</v>
      </c>
      <c r="E402" s="75">
        <v>14.99</v>
      </c>
      <c r="F402" s="73">
        <v>5</v>
      </c>
      <c r="G402" s="73">
        <v>6</v>
      </c>
      <c r="H402" s="74">
        <f t="shared" si="72"/>
        <v>0.83333333333333337</v>
      </c>
      <c r="I402" s="75">
        <f t="shared" si="73"/>
        <v>17.990000000000002</v>
      </c>
      <c r="J402" s="76">
        <f t="shared" si="74"/>
        <v>21.588000000000001</v>
      </c>
      <c r="K402" s="90">
        <v>2.2000000000000002</v>
      </c>
      <c r="L402" s="73">
        <v>10936</v>
      </c>
      <c r="M402" s="73">
        <v>1</v>
      </c>
      <c r="N402" s="91">
        <v>19.989999999999998</v>
      </c>
      <c r="O402" s="79">
        <f t="shared" si="115"/>
        <v>0.1100550275137569</v>
      </c>
      <c r="P402" s="80">
        <f t="shared" si="76"/>
        <v>9.0863636363636342</v>
      </c>
      <c r="Q402" s="79">
        <f t="shared" si="77"/>
        <v>2.4458032240133407E-2</v>
      </c>
      <c r="R402" s="81">
        <f t="shared" si="78"/>
        <v>0.22223457476375763</v>
      </c>
      <c r="S402" s="92">
        <f t="shared" si="114"/>
        <v>69.960000000000008</v>
      </c>
      <c r="T402" s="83">
        <f t="shared" si="79"/>
        <v>2.2000000000000002</v>
      </c>
      <c r="U402" s="135"/>
      <c r="V402" s="135"/>
      <c r="W402" s="135"/>
      <c r="X402" s="135"/>
      <c r="Y402" s="136"/>
      <c r="Z402" s="50"/>
      <c r="AA402" s="50"/>
    </row>
    <row r="403" spans="1:27" ht="12.75" hidden="1" outlineLevel="1" x14ac:dyDescent="0.2">
      <c r="A403" s="50"/>
      <c r="B403" s="137"/>
      <c r="C403" s="70" t="s">
        <v>43</v>
      </c>
      <c r="D403" s="105">
        <v>503.95</v>
      </c>
      <c r="E403" s="75">
        <v>177.47</v>
      </c>
      <c r="F403" s="73">
        <v>3</v>
      </c>
      <c r="G403" s="73">
        <v>3</v>
      </c>
      <c r="H403" s="74">
        <f t="shared" si="72"/>
        <v>1</v>
      </c>
      <c r="I403" s="75">
        <f t="shared" si="73"/>
        <v>167.98333333333332</v>
      </c>
      <c r="J403" s="76">
        <f t="shared" si="74"/>
        <v>167.98333333333332</v>
      </c>
      <c r="K403" s="105">
        <v>16.27</v>
      </c>
      <c r="L403" s="73">
        <v>21623</v>
      </c>
      <c r="M403" s="73">
        <v>0</v>
      </c>
      <c r="N403" s="106">
        <v>0</v>
      </c>
      <c r="O403" s="79" t="e">
        <f t="shared" si="115"/>
        <v>#DIV/0!</v>
      </c>
      <c r="P403" s="80">
        <f t="shared" si="76"/>
        <v>0</v>
      </c>
      <c r="Q403" s="79">
        <f t="shared" si="77"/>
        <v>3.2284948903661077E-2</v>
      </c>
      <c r="R403" s="81">
        <f t="shared" si="78"/>
        <v>0</v>
      </c>
      <c r="S403" s="107">
        <f t="shared" si="114"/>
        <v>503.95</v>
      </c>
      <c r="T403" s="83" t="e">
        <f t="shared" si="79"/>
        <v>#DIV/0!</v>
      </c>
      <c r="U403" s="135"/>
      <c r="V403" s="135"/>
      <c r="W403" s="135"/>
      <c r="X403" s="135"/>
      <c r="Y403" s="136"/>
      <c r="Z403" s="50"/>
      <c r="AA403" s="50"/>
    </row>
    <row r="404" spans="1:27" ht="12.75" hidden="1" outlineLevel="1" x14ac:dyDescent="0.2">
      <c r="A404" s="50"/>
      <c r="B404" s="137"/>
      <c r="C404" s="70" t="s">
        <v>44</v>
      </c>
      <c r="D404" s="108">
        <v>234.75</v>
      </c>
      <c r="E404" s="75">
        <v>47.62</v>
      </c>
      <c r="F404" s="73">
        <v>5</v>
      </c>
      <c r="G404" s="73">
        <v>6</v>
      </c>
      <c r="H404" s="74">
        <f t="shared" si="72"/>
        <v>0.83333333333333337</v>
      </c>
      <c r="I404" s="75">
        <f t="shared" si="73"/>
        <v>46.95</v>
      </c>
      <c r="J404" s="76">
        <f t="shared" si="74"/>
        <v>56.34</v>
      </c>
      <c r="K404" s="108">
        <v>35.75</v>
      </c>
      <c r="L404" s="73">
        <v>10309</v>
      </c>
      <c r="M404" s="73">
        <v>5</v>
      </c>
      <c r="N404" s="109">
        <v>234.75</v>
      </c>
      <c r="O404" s="79">
        <f t="shared" si="115"/>
        <v>0.15228966986155484</v>
      </c>
      <c r="P404" s="80">
        <f t="shared" si="76"/>
        <v>6.5664335664335667</v>
      </c>
      <c r="Q404" s="79">
        <f t="shared" si="77"/>
        <v>0.15228966986155484</v>
      </c>
      <c r="R404" s="81">
        <f t="shared" si="78"/>
        <v>1</v>
      </c>
      <c r="S404" s="110">
        <f t="shared" si="114"/>
        <v>0</v>
      </c>
      <c r="T404" s="83">
        <f t="shared" si="79"/>
        <v>7.15</v>
      </c>
      <c r="U404" s="135"/>
      <c r="V404" s="135"/>
      <c r="W404" s="135"/>
      <c r="X404" s="135"/>
      <c r="Y404" s="136"/>
      <c r="Z404" s="50"/>
      <c r="AA404" s="50"/>
    </row>
    <row r="405" spans="1:27" ht="12.75" hidden="1" outlineLevel="1" x14ac:dyDescent="0.2">
      <c r="A405" s="139"/>
      <c r="B405" s="137"/>
      <c r="C405" s="112" t="s">
        <v>45</v>
      </c>
      <c r="D405" s="71">
        <v>0</v>
      </c>
      <c r="E405" s="75">
        <v>0</v>
      </c>
      <c r="F405" s="73">
        <v>0</v>
      </c>
      <c r="G405" s="73">
        <v>0</v>
      </c>
      <c r="H405" s="74" t="e">
        <f t="shared" si="72"/>
        <v>#DIV/0!</v>
      </c>
      <c r="I405" s="75" t="e">
        <f t="shared" si="73"/>
        <v>#DIV/0!</v>
      </c>
      <c r="J405" s="76" t="e">
        <f t="shared" si="74"/>
        <v>#DIV/0!</v>
      </c>
      <c r="K405" s="71">
        <v>0</v>
      </c>
      <c r="L405" s="73">
        <v>0</v>
      </c>
      <c r="M405" s="73">
        <v>0</v>
      </c>
      <c r="N405" s="78">
        <v>0</v>
      </c>
      <c r="O405" s="79" t="e">
        <f t="shared" si="115"/>
        <v>#DIV/0!</v>
      </c>
      <c r="P405" s="80" t="e">
        <f t="shared" si="76"/>
        <v>#DIV/0!</v>
      </c>
      <c r="Q405" s="79" t="e">
        <f t="shared" si="77"/>
        <v>#DIV/0!</v>
      </c>
      <c r="R405" s="81" t="e">
        <f t="shared" si="78"/>
        <v>#DIV/0!</v>
      </c>
      <c r="S405" s="82">
        <f t="shared" si="114"/>
        <v>0</v>
      </c>
      <c r="T405" s="83" t="e">
        <f t="shared" si="79"/>
        <v>#DIV/0!</v>
      </c>
      <c r="U405" s="140"/>
      <c r="V405" s="140"/>
      <c r="W405" s="140"/>
      <c r="X405" s="141"/>
      <c r="Y405" s="142"/>
      <c r="Z405" s="50"/>
      <c r="AA405" s="50"/>
    </row>
    <row r="406" spans="1:27" ht="12.75" hidden="1" outlineLevel="1" x14ac:dyDescent="0.2">
      <c r="A406" s="50"/>
      <c r="B406" s="137"/>
      <c r="C406" s="70" t="s">
        <v>46</v>
      </c>
      <c r="D406" s="116">
        <v>539.4</v>
      </c>
      <c r="E406" s="75">
        <v>44.95</v>
      </c>
      <c r="F406" s="73">
        <v>12</v>
      </c>
      <c r="G406" s="73">
        <v>11</v>
      </c>
      <c r="H406" s="74">
        <f t="shared" si="72"/>
        <v>1.0909090909090908</v>
      </c>
      <c r="I406" s="75">
        <f t="shared" si="73"/>
        <v>44.949999999999996</v>
      </c>
      <c r="J406" s="76">
        <f t="shared" si="74"/>
        <v>41.204166666666666</v>
      </c>
      <c r="K406" s="116">
        <v>72.540000000000006</v>
      </c>
      <c r="L406" s="73">
        <v>29062</v>
      </c>
      <c r="M406" s="73">
        <v>11</v>
      </c>
      <c r="N406" s="117">
        <v>494.45</v>
      </c>
      <c r="O406" s="79">
        <f t="shared" si="115"/>
        <v>0.14670846394984327</v>
      </c>
      <c r="P406" s="80">
        <f t="shared" si="76"/>
        <v>6.8162393162393151</v>
      </c>
      <c r="Q406" s="79">
        <f t="shared" si="77"/>
        <v>0.13448275862068967</v>
      </c>
      <c r="R406" s="81">
        <f t="shared" si="78"/>
        <v>0.91666666666666663</v>
      </c>
      <c r="S406" s="82">
        <f t="shared" si="114"/>
        <v>44.949999999999989</v>
      </c>
      <c r="T406" s="83">
        <f t="shared" si="79"/>
        <v>6.5945454545454547</v>
      </c>
      <c r="U406" s="135"/>
      <c r="V406" s="135"/>
      <c r="W406" s="135"/>
      <c r="X406" s="135"/>
      <c r="Y406" s="136"/>
      <c r="Z406" s="50"/>
      <c r="AA406" s="50"/>
    </row>
    <row r="407" spans="1:27" ht="12.75" hidden="1" outlineLevel="1" x14ac:dyDescent="0.2">
      <c r="A407" s="118" t="str">
        <f t="shared" ref="A407:A408" si="116">IFERROR(IF(B407&gt;0,MONTH(B407)&amp;"-"&amp;YEAR(B407),B407),)</f>
        <v>5-2025</v>
      </c>
      <c r="B407" s="69">
        <v>45794</v>
      </c>
      <c r="C407" s="70" t="s">
        <v>49</v>
      </c>
      <c r="D407" s="116">
        <v>0</v>
      </c>
      <c r="E407" s="75">
        <v>0</v>
      </c>
      <c r="F407" s="73">
        <v>0</v>
      </c>
      <c r="G407" s="73">
        <v>0</v>
      </c>
      <c r="H407" s="74" t="e">
        <f t="shared" si="72"/>
        <v>#DIV/0!</v>
      </c>
      <c r="I407" s="75" t="e">
        <f t="shared" si="73"/>
        <v>#DIV/0!</v>
      </c>
      <c r="J407" s="76" t="e">
        <f t="shared" si="74"/>
        <v>#DIV/0!</v>
      </c>
      <c r="K407" s="116">
        <v>1.1399999999999999</v>
      </c>
      <c r="L407" s="73">
        <v>5553</v>
      </c>
      <c r="M407" s="73">
        <v>0</v>
      </c>
      <c r="N407" s="117">
        <v>0</v>
      </c>
      <c r="O407" s="79" t="e">
        <f t="shared" si="115"/>
        <v>#DIV/0!</v>
      </c>
      <c r="P407" s="80">
        <f t="shared" si="76"/>
        <v>0</v>
      </c>
      <c r="Q407" s="79" t="e">
        <f t="shared" si="77"/>
        <v>#DIV/0!</v>
      </c>
      <c r="R407" s="81" t="e">
        <f t="shared" si="78"/>
        <v>#DIV/0!</v>
      </c>
      <c r="S407" s="82">
        <f t="shared" si="114"/>
        <v>0</v>
      </c>
      <c r="T407" s="83" t="e">
        <f t="shared" si="79"/>
        <v>#DIV/0!</v>
      </c>
      <c r="U407" s="135"/>
      <c r="V407" s="135"/>
      <c r="W407" s="135"/>
      <c r="X407" s="135"/>
      <c r="Y407" s="136"/>
      <c r="Z407" s="50"/>
      <c r="AA407" s="50"/>
    </row>
    <row r="408" spans="1:27" ht="12.75" collapsed="1" x14ac:dyDescent="0.2">
      <c r="A408" s="50">
        <f t="shared" si="116"/>
        <v>0</v>
      </c>
      <c r="B408" s="52" t="s">
        <v>78</v>
      </c>
      <c r="C408" s="145"/>
      <c r="D408" s="121">
        <f>SUM(D391:D407)</f>
        <v>4158.2599999999984</v>
      </c>
      <c r="E408" s="297"/>
      <c r="F408" s="123">
        <f t="shared" ref="F408:G408" si="117">SUM(F391:F407)</f>
        <v>43</v>
      </c>
      <c r="G408" s="123">
        <f t="shared" si="117"/>
        <v>53</v>
      </c>
      <c r="H408" s="124">
        <f t="shared" si="72"/>
        <v>0.81132075471698117</v>
      </c>
      <c r="I408" s="125">
        <f t="shared" si="73"/>
        <v>96.703720930232521</v>
      </c>
      <c r="J408" s="126">
        <f t="shared" si="74"/>
        <v>119.19295835586799</v>
      </c>
      <c r="K408" s="121">
        <f t="shared" ref="K408:N408" si="118">SUM(K391:K407)</f>
        <v>571.24999999999989</v>
      </c>
      <c r="L408" s="123">
        <f t="shared" si="118"/>
        <v>251921</v>
      </c>
      <c r="M408" s="123">
        <f t="shared" si="118"/>
        <v>23</v>
      </c>
      <c r="N408" s="127">
        <f t="shared" si="118"/>
        <v>1847.9900000000002</v>
      </c>
      <c r="O408" s="128">
        <f t="shared" si="115"/>
        <v>0.30911963809327964</v>
      </c>
      <c r="P408" s="129">
        <f t="shared" si="76"/>
        <v>3.2349934354485788</v>
      </c>
      <c r="Q408" s="128">
        <f t="shared" si="77"/>
        <v>0.13737717218259562</v>
      </c>
      <c r="R408" s="130">
        <f t="shared" si="78"/>
        <v>0.44441425019118597</v>
      </c>
      <c r="S408" s="131">
        <f>SUM(S391:S407)</f>
        <v>2310.27</v>
      </c>
      <c r="T408" s="132">
        <f t="shared" si="79"/>
        <v>24.836956521739125</v>
      </c>
      <c r="U408" s="273">
        <f>IFERROR((D408-D246)/D408,)</f>
        <v>-0.82319527879449594</v>
      </c>
      <c r="V408" s="273">
        <f>IFERROR((F408-F246)/F408,)</f>
        <v>-1.1860465116279071</v>
      </c>
      <c r="W408" s="271">
        <f>IFERROR((D408-[1]monthly_reporting_2021!E199)/D408, )</f>
        <v>0</v>
      </c>
      <c r="X408" s="271">
        <f>IFERROR((F408-[1]monthly_reporting_2021!F199)/F408, )</f>
        <v>0</v>
      </c>
      <c r="Y408" s="50"/>
      <c r="Z408" s="50"/>
      <c r="AA408" s="50"/>
    </row>
    <row r="409" spans="1:27" ht="12.75" hidden="1" outlineLevel="1" x14ac:dyDescent="0.2">
      <c r="A409" s="50"/>
      <c r="B409" s="69">
        <v>45795</v>
      </c>
      <c r="C409" s="70" t="s">
        <v>32</v>
      </c>
      <c r="D409" s="71">
        <v>2645.88</v>
      </c>
      <c r="E409" s="75">
        <v>132.21</v>
      </c>
      <c r="F409" s="73">
        <v>13</v>
      </c>
      <c r="G409" s="73">
        <v>15</v>
      </c>
      <c r="H409" s="74">
        <f t="shared" si="72"/>
        <v>0.8666666666666667</v>
      </c>
      <c r="I409" s="75">
        <f t="shared" si="73"/>
        <v>203.52923076923076</v>
      </c>
      <c r="J409" s="76">
        <f t="shared" si="74"/>
        <v>234.84142011834319</v>
      </c>
      <c r="K409" s="77">
        <v>245.75</v>
      </c>
      <c r="L409" s="73">
        <v>84992</v>
      </c>
      <c r="M409" s="73">
        <v>6</v>
      </c>
      <c r="N409" s="78">
        <v>2178.85</v>
      </c>
      <c r="O409" s="79">
        <f t="shared" si="115"/>
        <v>0.1127888565068729</v>
      </c>
      <c r="P409" s="80">
        <f t="shared" si="76"/>
        <v>8.8661241098677515</v>
      </c>
      <c r="Q409" s="79">
        <f t="shared" si="77"/>
        <v>9.2880251560917351E-2</v>
      </c>
      <c r="R409" s="81">
        <f t="shared" si="78"/>
        <v>0.82348783769483114</v>
      </c>
      <c r="S409" s="82">
        <f t="shared" ref="S409:S425" si="119">D409-N409</f>
        <v>467.0300000000002</v>
      </c>
      <c r="T409" s="83">
        <f t="shared" si="79"/>
        <v>40.958333333333336</v>
      </c>
      <c r="U409" s="135"/>
      <c r="V409" s="135"/>
      <c r="W409" s="135"/>
      <c r="X409" s="135"/>
      <c r="Y409" s="136"/>
      <c r="Z409" s="50"/>
      <c r="AA409" s="50"/>
    </row>
    <row r="410" spans="1:27" ht="12.75" hidden="1" outlineLevel="1" x14ac:dyDescent="0.2">
      <c r="A410" s="50"/>
      <c r="B410" s="137"/>
      <c r="C410" s="70" t="s">
        <v>33</v>
      </c>
      <c r="D410" s="87">
        <v>2429.4</v>
      </c>
      <c r="E410" s="75">
        <v>215.26</v>
      </c>
      <c r="F410" s="73">
        <v>22</v>
      </c>
      <c r="G410" s="73">
        <v>19</v>
      </c>
      <c r="H410" s="74">
        <f t="shared" si="72"/>
        <v>1.1578947368421053</v>
      </c>
      <c r="I410" s="75">
        <f t="shared" si="73"/>
        <v>110.42727272727274</v>
      </c>
      <c r="J410" s="76">
        <f t="shared" si="74"/>
        <v>95.369008264462821</v>
      </c>
      <c r="K410" s="87">
        <v>225.91</v>
      </c>
      <c r="L410" s="73">
        <v>82622</v>
      </c>
      <c r="M410" s="73">
        <v>3</v>
      </c>
      <c r="N410" s="88">
        <v>770</v>
      </c>
      <c r="O410" s="79">
        <f t="shared" si="115"/>
        <v>0.29338961038961037</v>
      </c>
      <c r="P410" s="80">
        <f t="shared" si="76"/>
        <v>3.4084369881811343</v>
      </c>
      <c r="Q410" s="79">
        <f t="shared" si="77"/>
        <v>9.2990038692681312E-2</v>
      </c>
      <c r="R410" s="81">
        <f t="shared" si="78"/>
        <v>0.31695068741252985</v>
      </c>
      <c r="S410" s="89">
        <f t="shared" si="119"/>
        <v>1659.4</v>
      </c>
      <c r="T410" s="83">
        <f t="shared" si="79"/>
        <v>75.303333333333327</v>
      </c>
      <c r="U410" s="135"/>
      <c r="V410" s="135"/>
      <c r="W410" s="135"/>
      <c r="X410" s="135"/>
      <c r="Y410" s="136"/>
      <c r="Z410" s="50"/>
      <c r="AA410" s="50"/>
    </row>
    <row r="411" spans="1:27" ht="12.75" hidden="1" outlineLevel="1" x14ac:dyDescent="0.2">
      <c r="A411" s="50"/>
      <c r="B411" s="137"/>
      <c r="C411" s="70" t="s">
        <v>34</v>
      </c>
      <c r="D411" s="90">
        <v>0</v>
      </c>
      <c r="E411" s="75">
        <v>0</v>
      </c>
      <c r="F411" s="73">
        <v>0</v>
      </c>
      <c r="G411" s="73">
        <v>0</v>
      </c>
      <c r="H411" s="74" t="e">
        <f t="shared" si="72"/>
        <v>#DIV/0!</v>
      </c>
      <c r="I411" s="75" t="e">
        <f t="shared" si="73"/>
        <v>#DIV/0!</v>
      </c>
      <c r="J411" s="76" t="e">
        <f t="shared" si="74"/>
        <v>#DIV/0!</v>
      </c>
      <c r="K411" s="90">
        <v>0</v>
      </c>
      <c r="L411" s="73">
        <v>0</v>
      </c>
      <c r="M411" s="73">
        <v>0</v>
      </c>
      <c r="N411" s="91">
        <v>0</v>
      </c>
      <c r="O411" s="79" t="e">
        <f>(K411/N411)</f>
        <v>#DIV/0!</v>
      </c>
      <c r="P411" s="80" t="e">
        <f t="shared" si="76"/>
        <v>#DIV/0!</v>
      </c>
      <c r="Q411" s="79" t="e">
        <f t="shared" si="77"/>
        <v>#DIV/0!</v>
      </c>
      <c r="R411" s="81" t="e">
        <f t="shared" si="78"/>
        <v>#DIV/0!</v>
      </c>
      <c r="S411" s="92">
        <f t="shared" si="119"/>
        <v>0</v>
      </c>
      <c r="T411" s="83" t="e">
        <f t="shared" si="79"/>
        <v>#DIV/0!</v>
      </c>
      <c r="U411" s="135"/>
      <c r="V411" s="135"/>
      <c r="W411" s="135"/>
      <c r="X411" s="135"/>
      <c r="Y411" s="136"/>
      <c r="Z411" s="50"/>
      <c r="AA411" s="50"/>
    </row>
    <row r="412" spans="1:27" ht="12.75" hidden="1" outlineLevel="1" x14ac:dyDescent="0.2">
      <c r="A412" s="50"/>
      <c r="B412" s="137"/>
      <c r="C412" s="70" t="s">
        <v>35</v>
      </c>
      <c r="D412" s="90">
        <v>0</v>
      </c>
      <c r="E412" s="75">
        <v>0</v>
      </c>
      <c r="F412" s="73">
        <v>0</v>
      </c>
      <c r="G412" s="73">
        <v>0</v>
      </c>
      <c r="H412" s="74" t="e">
        <f t="shared" si="72"/>
        <v>#DIV/0!</v>
      </c>
      <c r="I412" s="75" t="e">
        <f t="shared" si="73"/>
        <v>#DIV/0!</v>
      </c>
      <c r="J412" s="76" t="e">
        <f t="shared" si="74"/>
        <v>#DIV/0!</v>
      </c>
      <c r="K412" s="90">
        <v>0</v>
      </c>
      <c r="L412" s="73">
        <v>0</v>
      </c>
      <c r="M412" s="73">
        <v>0</v>
      </c>
      <c r="N412" s="91">
        <v>0</v>
      </c>
      <c r="O412" s="79" t="e">
        <f t="shared" ref="O412:O428" si="120">K412/N412</f>
        <v>#DIV/0!</v>
      </c>
      <c r="P412" s="80" t="e">
        <f t="shared" si="76"/>
        <v>#DIV/0!</v>
      </c>
      <c r="Q412" s="79" t="e">
        <f t="shared" si="77"/>
        <v>#DIV/0!</v>
      </c>
      <c r="R412" s="81" t="e">
        <f t="shared" si="78"/>
        <v>#DIV/0!</v>
      </c>
      <c r="S412" s="92">
        <f t="shared" si="119"/>
        <v>0</v>
      </c>
      <c r="T412" s="83" t="e">
        <f t="shared" si="79"/>
        <v>#DIV/0!</v>
      </c>
      <c r="U412" s="135"/>
      <c r="V412" s="135"/>
      <c r="W412" s="135"/>
      <c r="X412" s="135"/>
      <c r="Y412" s="136"/>
      <c r="Z412" s="50"/>
      <c r="AA412" s="50"/>
    </row>
    <row r="413" spans="1:27" ht="12.75" hidden="1" outlineLevel="1" x14ac:dyDescent="0.2">
      <c r="A413" s="50"/>
      <c r="B413" s="137"/>
      <c r="C413" s="70" t="s">
        <v>62</v>
      </c>
      <c r="D413" s="200">
        <v>0</v>
      </c>
      <c r="E413" s="75">
        <v>0</v>
      </c>
      <c r="F413" s="73">
        <v>0</v>
      </c>
      <c r="G413" s="73">
        <v>0</v>
      </c>
      <c r="H413" s="74" t="e">
        <f t="shared" si="72"/>
        <v>#DIV/0!</v>
      </c>
      <c r="I413" s="75" t="e">
        <f t="shared" si="73"/>
        <v>#DIV/0!</v>
      </c>
      <c r="J413" s="76" t="e">
        <f t="shared" si="74"/>
        <v>#DIV/0!</v>
      </c>
      <c r="K413" s="200">
        <v>0</v>
      </c>
      <c r="L413" s="73">
        <v>0</v>
      </c>
      <c r="M413" s="73">
        <v>0</v>
      </c>
      <c r="N413" s="200">
        <v>0</v>
      </c>
      <c r="O413" s="79" t="e">
        <f t="shared" si="120"/>
        <v>#DIV/0!</v>
      </c>
      <c r="P413" s="80" t="e">
        <f t="shared" si="76"/>
        <v>#DIV/0!</v>
      </c>
      <c r="Q413" s="79" t="e">
        <f t="shared" si="77"/>
        <v>#DIV/0!</v>
      </c>
      <c r="R413" s="81" t="e">
        <f t="shared" si="78"/>
        <v>#DIV/0!</v>
      </c>
      <c r="S413" s="92">
        <f t="shared" si="119"/>
        <v>0</v>
      </c>
      <c r="T413" s="83" t="e">
        <f t="shared" si="79"/>
        <v>#DIV/0!</v>
      </c>
      <c r="U413" s="135"/>
      <c r="V413" s="135"/>
      <c r="W413" s="135"/>
      <c r="X413" s="135"/>
      <c r="Y413" s="136"/>
      <c r="Z413" s="50"/>
      <c r="AA413" s="50"/>
    </row>
    <row r="414" spans="1:27" ht="12.75" hidden="1" outlineLevel="1" x14ac:dyDescent="0.2">
      <c r="A414" s="50"/>
      <c r="B414" s="137"/>
      <c r="C414" s="70" t="s">
        <v>66</v>
      </c>
      <c r="D414" s="201">
        <v>0</v>
      </c>
      <c r="E414" s="75">
        <v>0</v>
      </c>
      <c r="F414" s="73">
        <v>0</v>
      </c>
      <c r="G414" s="73">
        <v>0</v>
      </c>
      <c r="H414" s="74" t="e">
        <f t="shared" si="72"/>
        <v>#DIV/0!</v>
      </c>
      <c r="I414" s="75" t="e">
        <f t="shared" si="73"/>
        <v>#DIV/0!</v>
      </c>
      <c r="J414" s="76" t="e">
        <f t="shared" si="74"/>
        <v>#DIV/0!</v>
      </c>
      <c r="K414" s="201">
        <v>0</v>
      </c>
      <c r="L414" s="73">
        <v>0</v>
      </c>
      <c r="M414" s="73">
        <v>0</v>
      </c>
      <c r="N414" s="202">
        <v>0</v>
      </c>
      <c r="O414" s="79" t="e">
        <f t="shared" si="120"/>
        <v>#DIV/0!</v>
      </c>
      <c r="P414" s="80" t="e">
        <f t="shared" si="76"/>
        <v>#DIV/0!</v>
      </c>
      <c r="Q414" s="79" t="e">
        <f t="shared" si="77"/>
        <v>#DIV/0!</v>
      </c>
      <c r="R414" s="81" t="e">
        <f t="shared" si="78"/>
        <v>#DIV/0!</v>
      </c>
      <c r="S414" s="203">
        <f t="shared" si="119"/>
        <v>0</v>
      </c>
      <c r="T414" s="83" t="e">
        <f t="shared" si="79"/>
        <v>#DIV/0!</v>
      </c>
      <c r="U414" s="135"/>
      <c r="V414" s="135"/>
      <c r="W414" s="135"/>
      <c r="X414" s="135"/>
      <c r="Y414" s="136"/>
      <c r="Z414" s="50"/>
      <c r="AA414" s="50"/>
    </row>
    <row r="415" spans="1:27" ht="12.75" hidden="1" outlineLevel="1" x14ac:dyDescent="0.2">
      <c r="A415" s="50"/>
      <c r="B415" s="137"/>
      <c r="C415" s="70" t="s">
        <v>36</v>
      </c>
      <c r="D415" s="90">
        <v>279.8</v>
      </c>
      <c r="E415" s="75">
        <v>69.95</v>
      </c>
      <c r="F415" s="73">
        <v>4</v>
      </c>
      <c r="G415" s="73">
        <v>5</v>
      </c>
      <c r="H415" s="74">
        <f t="shared" si="72"/>
        <v>0.8</v>
      </c>
      <c r="I415" s="75">
        <f t="shared" si="73"/>
        <v>69.95</v>
      </c>
      <c r="J415" s="76">
        <f t="shared" si="74"/>
        <v>87.4375</v>
      </c>
      <c r="K415" s="90">
        <v>14.08</v>
      </c>
      <c r="L415" s="73">
        <v>1814</v>
      </c>
      <c r="M415" s="73">
        <v>1</v>
      </c>
      <c r="N415" s="91">
        <v>69.95</v>
      </c>
      <c r="O415" s="79">
        <f t="shared" si="120"/>
        <v>0.20128663330950677</v>
      </c>
      <c r="P415" s="80">
        <f t="shared" si="76"/>
        <v>4.9680397727272725</v>
      </c>
      <c r="Q415" s="79">
        <f t="shared" si="77"/>
        <v>5.0321658327376693E-2</v>
      </c>
      <c r="R415" s="81">
        <f t="shared" si="78"/>
        <v>0.25</v>
      </c>
      <c r="S415" s="92">
        <f t="shared" si="119"/>
        <v>209.85000000000002</v>
      </c>
      <c r="T415" s="83">
        <f t="shared" si="79"/>
        <v>14.08</v>
      </c>
      <c r="U415" s="135"/>
      <c r="V415" s="135"/>
      <c r="W415" s="135"/>
      <c r="X415" s="135"/>
      <c r="Y415" s="136"/>
      <c r="Z415" s="50"/>
      <c r="AA415" s="50"/>
    </row>
    <row r="416" spans="1:27" ht="12.75" hidden="1" outlineLevel="1" x14ac:dyDescent="0.2">
      <c r="A416" s="50"/>
      <c r="B416" s="69" t="s">
        <v>37</v>
      </c>
      <c r="C416" s="70" t="s">
        <v>38</v>
      </c>
      <c r="D416" s="93">
        <v>29.95</v>
      </c>
      <c r="E416" s="75">
        <v>29.95</v>
      </c>
      <c r="F416" s="73">
        <v>1</v>
      </c>
      <c r="G416" s="73">
        <v>1</v>
      </c>
      <c r="H416" s="74">
        <f t="shared" si="72"/>
        <v>1</v>
      </c>
      <c r="I416" s="75">
        <f t="shared" si="73"/>
        <v>29.95</v>
      </c>
      <c r="J416" s="76">
        <f t="shared" si="74"/>
        <v>29.95</v>
      </c>
      <c r="K416" s="93">
        <v>40.409999999999997</v>
      </c>
      <c r="L416" s="73">
        <v>15078</v>
      </c>
      <c r="M416" s="73">
        <v>1</v>
      </c>
      <c r="N416" s="94">
        <v>29.95</v>
      </c>
      <c r="O416" s="79">
        <f t="shared" si="120"/>
        <v>1.3492487479131885</v>
      </c>
      <c r="P416" s="80">
        <f t="shared" si="76"/>
        <v>0.74115317990596397</v>
      </c>
      <c r="Q416" s="79">
        <f t="shared" si="77"/>
        <v>1.3492487479131885</v>
      </c>
      <c r="R416" s="81">
        <f t="shared" si="78"/>
        <v>1</v>
      </c>
      <c r="S416" s="95">
        <f t="shared" si="119"/>
        <v>0</v>
      </c>
      <c r="T416" s="83">
        <f t="shared" si="79"/>
        <v>40.409999999999997</v>
      </c>
      <c r="U416" s="135"/>
      <c r="V416" s="135"/>
      <c r="W416" s="135"/>
      <c r="X416" s="135"/>
      <c r="Y416" s="136"/>
      <c r="Z416" s="50"/>
      <c r="AA416" s="50"/>
    </row>
    <row r="417" spans="1:27" ht="12.75" hidden="1" outlineLevel="1" x14ac:dyDescent="0.2">
      <c r="A417" s="50"/>
      <c r="B417" s="137"/>
      <c r="C417" s="70" t="s">
        <v>39</v>
      </c>
      <c r="D417" s="96">
        <v>24.95</v>
      </c>
      <c r="E417" s="75">
        <v>24.95</v>
      </c>
      <c r="F417" s="73">
        <v>1</v>
      </c>
      <c r="G417" s="73">
        <v>1</v>
      </c>
      <c r="H417" s="74">
        <f t="shared" si="72"/>
        <v>1</v>
      </c>
      <c r="I417" s="75">
        <f t="shared" si="73"/>
        <v>24.95</v>
      </c>
      <c r="J417" s="76">
        <f t="shared" si="74"/>
        <v>24.95</v>
      </c>
      <c r="K417" s="96">
        <v>0</v>
      </c>
      <c r="L417" s="73">
        <v>0</v>
      </c>
      <c r="M417" s="73">
        <v>0</v>
      </c>
      <c r="N417" s="97">
        <v>0</v>
      </c>
      <c r="O417" s="79" t="e">
        <f t="shared" si="120"/>
        <v>#DIV/0!</v>
      </c>
      <c r="P417" s="80" t="e">
        <f t="shared" si="76"/>
        <v>#DIV/0!</v>
      </c>
      <c r="Q417" s="79">
        <f t="shared" si="77"/>
        <v>0</v>
      </c>
      <c r="R417" s="81">
        <f t="shared" si="78"/>
        <v>0</v>
      </c>
      <c r="S417" s="98">
        <f t="shared" si="119"/>
        <v>24.95</v>
      </c>
      <c r="T417" s="83" t="e">
        <f t="shared" si="79"/>
        <v>#DIV/0!</v>
      </c>
      <c r="U417" s="135"/>
      <c r="V417" s="135"/>
      <c r="W417" s="135"/>
      <c r="X417" s="135"/>
      <c r="Y417" s="136"/>
      <c r="Z417" s="50"/>
      <c r="AA417" s="50"/>
    </row>
    <row r="418" spans="1:27" ht="12.75" hidden="1" outlineLevel="1" x14ac:dyDescent="0.2">
      <c r="A418" s="50"/>
      <c r="B418" s="137"/>
      <c r="C418" s="70" t="s">
        <v>40</v>
      </c>
      <c r="D418" s="99">
        <v>0</v>
      </c>
      <c r="E418" s="75">
        <v>0</v>
      </c>
      <c r="F418" s="73">
        <v>0</v>
      </c>
      <c r="G418" s="73">
        <v>0</v>
      </c>
      <c r="H418" s="74" t="e">
        <f t="shared" si="72"/>
        <v>#DIV/0!</v>
      </c>
      <c r="I418" s="75" t="e">
        <f t="shared" si="73"/>
        <v>#DIV/0!</v>
      </c>
      <c r="J418" s="76" t="e">
        <f t="shared" si="74"/>
        <v>#DIV/0!</v>
      </c>
      <c r="K418" s="99">
        <v>0</v>
      </c>
      <c r="L418" s="73">
        <v>0</v>
      </c>
      <c r="M418" s="73">
        <v>0</v>
      </c>
      <c r="N418" s="100">
        <v>0</v>
      </c>
      <c r="O418" s="79" t="e">
        <f t="shared" si="120"/>
        <v>#DIV/0!</v>
      </c>
      <c r="P418" s="80" t="e">
        <f t="shared" si="76"/>
        <v>#DIV/0!</v>
      </c>
      <c r="Q418" s="79" t="e">
        <f t="shared" si="77"/>
        <v>#DIV/0!</v>
      </c>
      <c r="R418" s="81" t="e">
        <f t="shared" si="78"/>
        <v>#DIV/0!</v>
      </c>
      <c r="S418" s="101">
        <f t="shared" si="119"/>
        <v>0</v>
      </c>
      <c r="T418" s="83" t="e">
        <f t="shared" si="79"/>
        <v>#DIV/0!</v>
      </c>
      <c r="U418" s="135"/>
      <c r="V418" s="135"/>
      <c r="W418" s="135"/>
      <c r="X418" s="135"/>
      <c r="Y418" s="136"/>
      <c r="Z418" s="50"/>
      <c r="AA418" s="50"/>
    </row>
    <row r="419" spans="1:27" ht="12.75" hidden="1" outlineLevel="1" x14ac:dyDescent="0.2">
      <c r="A419" s="50"/>
      <c r="B419" s="137"/>
      <c r="C419" s="70" t="s">
        <v>41</v>
      </c>
      <c r="D419" s="102">
        <v>0</v>
      </c>
      <c r="E419" s="75">
        <v>0</v>
      </c>
      <c r="F419" s="73">
        <v>0</v>
      </c>
      <c r="G419" s="73">
        <v>0</v>
      </c>
      <c r="H419" s="74" t="e">
        <f t="shared" si="72"/>
        <v>#DIV/0!</v>
      </c>
      <c r="I419" s="75" t="e">
        <f t="shared" si="73"/>
        <v>#DIV/0!</v>
      </c>
      <c r="J419" s="76" t="e">
        <f t="shared" si="74"/>
        <v>#DIV/0!</v>
      </c>
      <c r="K419" s="102">
        <v>0</v>
      </c>
      <c r="L419" s="73">
        <v>0</v>
      </c>
      <c r="M419" s="73">
        <v>0</v>
      </c>
      <c r="N419" s="103">
        <v>0</v>
      </c>
      <c r="O419" s="79" t="e">
        <f t="shared" si="120"/>
        <v>#DIV/0!</v>
      </c>
      <c r="P419" s="80" t="e">
        <f t="shared" si="76"/>
        <v>#DIV/0!</v>
      </c>
      <c r="Q419" s="79" t="e">
        <f t="shared" si="77"/>
        <v>#DIV/0!</v>
      </c>
      <c r="R419" s="81" t="e">
        <f t="shared" si="78"/>
        <v>#DIV/0!</v>
      </c>
      <c r="S419" s="104">
        <f t="shared" si="119"/>
        <v>0</v>
      </c>
      <c r="T419" s="83" t="e">
        <f t="shared" si="79"/>
        <v>#DIV/0!</v>
      </c>
      <c r="U419" s="135"/>
      <c r="V419" s="135"/>
      <c r="W419" s="135"/>
      <c r="X419" s="135"/>
      <c r="Y419" s="136"/>
      <c r="Z419" s="50"/>
      <c r="AA419" s="50"/>
    </row>
    <row r="420" spans="1:27" ht="12.75" hidden="1" outlineLevel="1" x14ac:dyDescent="0.2">
      <c r="A420" s="50"/>
      <c r="B420" s="137"/>
      <c r="C420" s="70" t="s">
        <v>42</v>
      </c>
      <c r="D420" s="90">
        <v>0</v>
      </c>
      <c r="E420" s="75">
        <v>0</v>
      </c>
      <c r="F420" s="73">
        <v>0</v>
      </c>
      <c r="G420" s="73">
        <v>0</v>
      </c>
      <c r="H420" s="74" t="e">
        <f t="shared" si="72"/>
        <v>#DIV/0!</v>
      </c>
      <c r="I420" s="75" t="e">
        <f t="shared" si="73"/>
        <v>#DIV/0!</v>
      </c>
      <c r="J420" s="76" t="e">
        <f t="shared" si="74"/>
        <v>#DIV/0!</v>
      </c>
      <c r="K420" s="90">
        <v>3.2</v>
      </c>
      <c r="L420" s="73">
        <v>13667</v>
      </c>
      <c r="M420" s="73">
        <v>0</v>
      </c>
      <c r="N420" s="91">
        <v>0</v>
      </c>
      <c r="O420" s="79" t="e">
        <f t="shared" si="120"/>
        <v>#DIV/0!</v>
      </c>
      <c r="P420" s="80">
        <f t="shared" si="76"/>
        <v>0</v>
      </c>
      <c r="Q420" s="79" t="e">
        <f t="shared" si="77"/>
        <v>#DIV/0!</v>
      </c>
      <c r="R420" s="81" t="e">
        <f t="shared" si="78"/>
        <v>#DIV/0!</v>
      </c>
      <c r="S420" s="92">
        <f t="shared" si="119"/>
        <v>0</v>
      </c>
      <c r="T420" s="83" t="e">
        <f t="shared" si="79"/>
        <v>#DIV/0!</v>
      </c>
      <c r="U420" s="135"/>
      <c r="V420" s="135"/>
      <c r="W420" s="135"/>
      <c r="X420" s="135"/>
      <c r="Y420" s="136"/>
      <c r="Z420" s="50"/>
      <c r="AA420" s="50"/>
    </row>
    <row r="421" spans="1:27" ht="12.75" hidden="1" outlineLevel="1" x14ac:dyDescent="0.2">
      <c r="A421" s="50"/>
      <c r="B421" s="137"/>
      <c r="C421" s="70" t="s">
        <v>43</v>
      </c>
      <c r="D421" s="105">
        <v>0</v>
      </c>
      <c r="E421" s="75">
        <v>0</v>
      </c>
      <c r="F421" s="73">
        <v>0</v>
      </c>
      <c r="G421" s="73">
        <v>0</v>
      </c>
      <c r="H421" s="74" t="e">
        <f t="shared" si="72"/>
        <v>#DIV/0!</v>
      </c>
      <c r="I421" s="75" t="e">
        <f t="shared" si="73"/>
        <v>#DIV/0!</v>
      </c>
      <c r="J421" s="76" t="e">
        <f t="shared" si="74"/>
        <v>#DIV/0!</v>
      </c>
      <c r="K421" s="105">
        <v>10.17</v>
      </c>
      <c r="L421" s="73">
        <v>24031</v>
      </c>
      <c r="M421" s="73">
        <v>0</v>
      </c>
      <c r="N421" s="106">
        <v>0</v>
      </c>
      <c r="O421" s="79" t="e">
        <f t="shared" si="120"/>
        <v>#DIV/0!</v>
      </c>
      <c r="P421" s="80">
        <f t="shared" si="76"/>
        <v>0</v>
      </c>
      <c r="Q421" s="79" t="e">
        <f t="shared" si="77"/>
        <v>#DIV/0!</v>
      </c>
      <c r="R421" s="81" t="e">
        <f t="shared" si="78"/>
        <v>#DIV/0!</v>
      </c>
      <c r="S421" s="107">
        <f t="shared" si="119"/>
        <v>0</v>
      </c>
      <c r="T421" s="83" t="e">
        <f t="shared" si="79"/>
        <v>#DIV/0!</v>
      </c>
      <c r="U421" s="135"/>
      <c r="V421" s="135"/>
      <c r="W421" s="135"/>
      <c r="X421" s="135"/>
      <c r="Y421" s="136"/>
      <c r="Z421" s="50"/>
      <c r="AA421" s="50"/>
    </row>
    <row r="422" spans="1:27" ht="12.75" hidden="1" outlineLevel="1" x14ac:dyDescent="0.2">
      <c r="A422" s="50"/>
      <c r="B422" s="137"/>
      <c r="C422" s="70" t="s">
        <v>44</v>
      </c>
      <c r="D422" s="108">
        <v>44.95</v>
      </c>
      <c r="E422" s="75">
        <v>44.95</v>
      </c>
      <c r="F422" s="73">
        <v>1</v>
      </c>
      <c r="G422" s="73">
        <v>1</v>
      </c>
      <c r="H422" s="74">
        <f t="shared" si="72"/>
        <v>1</v>
      </c>
      <c r="I422" s="75">
        <f t="shared" si="73"/>
        <v>44.95</v>
      </c>
      <c r="J422" s="76">
        <f t="shared" si="74"/>
        <v>44.95</v>
      </c>
      <c r="K422" s="108">
        <v>31.07</v>
      </c>
      <c r="L422" s="73">
        <v>10216</v>
      </c>
      <c r="M422" s="73">
        <v>0</v>
      </c>
      <c r="N422" s="109">
        <v>0</v>
      </c>
      <c r="O422" s="79" t="e">
        <f t="shared" si="120"/>
        <v>#DIV/0!</v>
      </c>
      <c r="P422" s="80">
        <f t="shared" si="76"/>
        <v>0</v>
      </c>
      <c r="Q422" s="79">
        <f t="shared" si="77"/>
        <v>0.69121245828698552</v>
      </c>
      <c r="R422" s="81">
        <f t="shared" si="78"/>
        <v>0</v>
      </c>
      <c r="S422" s="110">
        <f t="shared" si="119"/>
        <v>44.95</v>
      </c>
      <c r="T422" s="83" t="e">
        <f t="shared" si="79"/>
        <v>#DIV/0!</v>
      </c>
      <c r="U422" s="135"/>
      <c r="V422" s="135"/>
      <c r="W422" s="135"/>
      <c r="X422" s="135"/>
      <c r="Y422" s="136"/>
      <c r="Z422" s="50"/>
      <c r="AA422" s="50"/>
    </row>
    <row r="423" spans="1:27" ht="12.75" hidden="1" outlineLevel="1" x14ac:dyDescent="0.2">
      <c r="A423" s="139"/>
      <c r="B423" s="137"/>
      <c r="C423" s="112" t="s">
        <v>45</v>
      </c>
      <c r="D423" s="71">
        <v>0</v>
      </c>
      <c r="E423" s="75">
        <v>0</v>
      </c>
      <c r="F423" s="73">
        <v>0</v>
      </c>
      <c r="G423" s="73">
        <v>0</v>
      </c>
      <c r="H423" s="74" t="e">
        <f t="shared" si="72"/>
        <v>#DIV/0!</v>
      </c>
      <c r="I423" s="75" t="e">
        <f t="shared" si="73"/>
        <v>#DIV/0!</v>
      </c>
      <c r="J423" s="76" t="e">
        <f t="shared" si="74"/>
        <v>#DIV/0!</v>
      </c>
      <c r="K423" s="71">
        <v>0</v>
      </c>
      <c r="L423" s="73">
        <v>0</v>
      </c>
      <c r="M423" s="73">
        <v>0</v>
      </c>
      <c r="N423" s="78">
        <v>0</v>
      </c>
      <c r="O423" s="79" t="e">
        <f t="shared" si="120"/>
        <v>#DIV/0!</v>
      </c>
      <c r="P423" s="80" t="e">
        <f t="shared" si="76"/>
        <v>#DIV/0!</v>
      </c>
      <c r="Q423" s="79" t="e">
        <f t="shared" si="77"/>
        <v>#DIV/0!</v>
      </c>
      <c r="R423" s="81" t="e">
        <f t="shared" si="78"/>
        <v>#DIV/0!</v>
      </c>
      <c r="S423" s="82">
        <f t="shared" si="119"/>
        <v>0</v>
      </c>
      <c r="T423" s="83" t="e">
        <f t="shared" si="79"/>
        <v>#DIV/0!</v>
      </c>
      <c r="U423" s="140"/>
      <c r="V423" s="140"/>
      <c r="W423" s="140"/>
      <c r="X423" s="141"/>
      <c r="Y423" s="142"/>
      <c r="Z423" s="50"/>
      <c r="AA423" s="50"/>
    </row>
    <row r="424" spans="1:27" ht="12.75" hidden="1" outlineLevel="1" x14ac:dyDescent="0.2">
      <c r="A424" s="50"/>
      <c r="B424" s="137"/>
      <c r="C424" s="70" t="s">
        <v>46</v>
      </c>
      <c r="D424" s="116">
        <v>539.4</v>
      </c>
      <c r="E424" s="75">
        <v>44.95</v>
      </c>
      <c r="F424" s="73">
        <v>12</v>
      </c>
      <c r="G424" s="73">
        <v>13</v>
      </c>
      <c r="H424" s="74">
        <f t="shared" si="72"/>
        <v>0.92307692307692313</v>
      </c>
      <c r="I424" s="75">
        <f t="shared" si="73"/>
        <v>44.949999999999996</v>
      </c>
      <c r="J424" s="76">
        <f t="shared" si="74"/>
        <v>48.695833333333326</v>
      </c>
      <c r="K424" s="116">
        <v>89.44</v>
      </c>
      <c r="L424" s="73">
        <v>31575</v>
      </c>
      <c r="M424" s="73">
        <v>4</v>
      </c>
      <c r="N424" s="117">
        <v>179.8</v>
      </c>
      <c r="O424" s="79">
        <f t="shared" si="120"/>
        <v>0.49744160177975522</v>
      </c>
      <c r="P424" s="80">
        <f t="shared" si="76"/>
        <v>2.0102862254025045</v>
      </c>
      <c r="Q424" s="79">
        <f t="shared" si="77"/>
        <v>0.16581386725991842</v>
      </c>
      <c r="R424" s="81">
        <f t="shared" si="78"/>
        <v>0.33333333333333337</v>
      </c>
      <c r="S424" s="82">
        <f t="shared" si="119"/>
        <v>359.59999999999997</v>
      </c>
      <c r="T424" s="83">
        <f t="shared" si="79"/>
        <v>22.36</v>
      </c>
      <c r="U424" s="135"/>
      <c r="V424" s="135"/>
      <c r="W424" s="135"/>
      <c r="X424" s="135"/>
      <c r="Y424" s="136"/>
      <c r="Z424" s="50"/>
      <c r="AA424" s="50"/>
    </row>
    <row r="425" spans="1:27" ht="12.75" hidden="1" outlineLevel="1" x14ac:dyDescent="0.2">
      <c r="A425" s="118" t="str">
        <f t="shared" ref="A425:A426" si="121">IFERROR(IF(B425&gt;0,MONTH(B425)&amp;"-"&amp;YEAR(B425),B425),)</f>
        <v>5-2025</v>
      </c>
      <c r="B425" s="69">
        <v>45801</v>
      </c>
      <c r="C425" s="70" t="s">
        <v>49</v>
      </c>
      <c r="D425" s="116">
        <v>0</v>
      </c>
      <c r="E425" s="75">
        <v>0</v>
      </c>
      <c r="F425" s="73">
        <v>0</v>
      </c>
      <c r="G425" s="73">
        <v>0</v>
      </c>
      <c r="H425" s="74" t="e">
        <f t="shared" si="72"/>
        <v>#DIV/0!</v>
      </c>
      <c r="I425" s="75" t="e">
        <f t="shared" si="73"/>
        <v>#DIV/0!</v>
      </c>
      <c r="J425" s="76" t="e">
        <f t="shared" si="74"/>
        <v>#DIV/0!</v>
      </c>
      <c r="K425" s="116">
        <v>1.92</v>
      </c>
      <c r="L425" s="73">
        <v>4938</v>
      </c>
      <c r="M425" s="73">
        <v>0</v>
      </c>
      <c r="N425" s="117">
        <v>0</v>
      </c>
      <c r="O425" s="79" t="e">
        <f t="shared" si="120"/>
        <v>#DIV/0!</v>
      </c>
      <c r="P425" s="80">
        <f t="shared" si="76"/>
        <v>0</v>
      </c>
      <c r="Q425" s="79" t="e">
        <f t="shared" si="77"/>
        <v>#DIV/0!</v>
      </c>
      <c r="R425" s="81" t="e">
        <f t="shared" si="78"/>
        <v>#DIV/0!</v>
      </c>
      <c r="S425" s="82">
        <f t="shared" si="119"/>
        <v>0</v>
      </c>
      <c r="T425" s="83" t="e">
        <f t="shared" si="79"/>
        <v>#DIV/0!</v>
      </c>
      <c r="U425" s="135"/>
      <c r="V425" s="135"/>
      <c r="W425" s="135"/>
      <c r="X425" s="135"/>
      <c r="Y425" s="136"/>
      <c r="Z425" s="50"/>
      <c r="AA425" s="50"/>
    </row>
    <row r="426" spans="1:27" ht="12.75" collapsed="1" x14ac:dyDescent="0.2">
      <c r="A426" s="50">
        <f t="shared" si="121"/>
        <v>0</v>
      </c>
      <c r="B426" s="52" t="s">
        <v>79</v>
      </c>
      <c r="C426" s="145"/>
      <c r="D426" s="121">
        <f>SUM(D409:D425)</f>
        <v>5994.33</v>
      </c>
      <c r="E426" s="297"/>
      <c r="F426" s="123">
        <f t="shared" ref="F426:G426" si="122">SUM(F409:F425)</f>
        <v>54</v>
      </c>
      <c r="G426" s="123">
        <f t="shared" si="122"/>
        <v>55</v>
      </c>
      <c r="H426" s="124">
        <f t="shared" si="72"/>
        <v>0.98181818181818181</v>
      </c>
      <c r="I426" s="125">
        <f t="shared" si="73"/>
        <v>111.00611111111111</v>
      </c>
      <c r="J426" s="126">
        <f t="shared" si="74"/>
        <v>113.06177983539095</v>
      </c>
      <c r="K426" s="121">
        <f t="shared" ref="K426:N426" si="123">SUM(K409:K425)</f>
        <v>661.94999999999993</v>
      </c>
      <c r="L426" s="123">
        <f t="shared" si="123"/>
        <v>268933</v>
      </c>
      <c r="M426" s="123">
        <f t="shared" si="123"/>
        <v>15</v>
      </c>
      <c r="N426" s="127">
        <f t="shared" si="123"/>
        <v>3228.5499999999997</v>
      </c>
      <c r="O426" s="128">
        <f t="shared" si="120"/>
        <v>0.20503012188133993</v>
      </c>
      <c r="P426" s="129">
        <f t="shared" si="76"/>
        <v>4.8773321247828383</v>
      </c>
      <c r="Q426" s="128">
        <f t="shared" si="77"/>
        <v>0.11042935574117541</v>
      </c>
      <c r="R426" s="130">
        <f t="shared" si="78"/>
        <v>0.53860064427550702</v>
      </c>
      <c r="S426" s="131">
        <f>SUM(S409:S425)</f>
        <v>2765.7799999999997</v>
      </c>
      <c r="T426" s="132">
        <f t="shared" si="79"/>
        <v>44.129999999999995</v>
      </c>
      <c r="U426" s="273">
        <f>IFERROR((D426-D246)/D426,)</f>
        <v>-0.26474852068538068</v>
      </c>
      <c r="V426" s="273">
        <f>IFERROR((F426-F246)/F426,)</f>
        <v>-0.7407407407407407</v>
      </c>
      <c r="W426" s="271">
        <f>IFERROR((D426-[1]monthly_reporting_2021!E217)/D426, )</f>
        <v>0</v>
      </c>
      <c r="X426" s="271">
        <f>IFERROR((F426-[1]monthly_reporting_2021!F217)/F426, )</f>
        <v>0</v>
      </c>
      <c r="Y426" s="50"/>
      <c r="Z426" s="50"/>
      <c r="AA426" s="50"/>
    </row>
    <row r="427" spans="1:27" ht="12.75" hidden="1" outlineLevel="1" x14ac:dyDescent="0.2">
      <c r="A427" s="50"/>
      <c r="B427" s="69">
        <v>45802</v>
      </c>
      <c r="C427" s="70" t="s">
        <v>32</v>
      </c>
      <c r="D427" s="71">
        <v>3901.4</v>
      </c>
      <c r="E427" s="75">
        <v>199.27</v>
      </c>
      <c r="F427" s="73">
        <v>25</v>
      </c>
      <c r="G427" s="73">
        <v>22</v>
      </c>
      <c r="H427" s="74">
        <f t="shared" si="72"/>
        <v>1.1363636363636365</v>
      </c>
      <c r="I427" s="75">
        <f t="shared" si="73"/>
        <v>156.05600000000001</v>
      </c>
      <c r="J427" s="76">
        <f t="shared" si="74"/>
        <v>137.32928000000001</v>
      </c>
      <c r="K427" s="77">
        <v>313.7</v>
      </c>
      <c r="L427" s="73">
        <v>92402</v>
      </c>
      <c r="M427" s="73">
        <v>10</v>
      </c>
      <c r="N427" s="78">
        <v>1774.15</v>
      </c>
      <c r="O427" s="79">
        <f t="shared" si="120"/>
        <v>0.17681706732801622</v>
      </c>
      <c r="P427" s="80">
        <f t="shared" si="76"/>
        <v>5.6555626394644571</v>
      </c>
      <c r="Q427" s="79">
        <f t="shared" si="77"/>
        <v>8.0407033372635453E-2</v>
      </c>
      <c r="R427" s="81">
        <f t="shared" si="78"/>
        <v>0.45474701389244887</v>
      </c>
      <c r="S427" s="82">
        <f t="shared" ref="S427:S443" si="124">D427-N427</f>
        <v>2127.25</v>
      </c>
      <c r="T427" s="83">
        <f t="shared" si="79"/>
        <v>31.369999999999997</v>
      </c>
      <c r="U427" s="135"/>
      <c r="V427" s="135"/>
      <c r="W427" s="135"/>
      <c r="X427" s="135"/>
      <c r="Y427" s="136"/>
      <c r="Z427" s="50"/>
      <c r="AA427" s="50"/>
    </row>
    <row r="428" spans="1:27" ht="12.75" hidden="1" outlineLevel="1" x14ac:dyDescent="0.2">
      <c r="A428" s="50"/>
      <c r="B428" s="137"/>
      <c r="C428" s="70" t="s">
        <v>33</v>
      </c>
      <c r="D428" s="87">
        <v>2261.8000000000002</v>
      </c>
      <c r="E428" s="75">
        <v>219.82</v>
      </c>
      <c r="F428" s="73">
        <v>10</v>
      </c>
      <c r="G428" s="73">
        <v>12</v>
      </c>
      <c r="H428" s="74">
        <f t="shared" si="72"/>
        <v>0.83333333333333337</v>
      </c>
      <c r="I428" s="75">
        <f t="shared" si="73"/>
        <v>226.18</v>
      </c>
      <c r="J428" s="76">
        <f t="shared" si="74"/>
        <v>271.416</v>
      </c>
      <c r="K428" s="87">
        <v>158.74</v>
      </c>
      <c r="L428" s="73">
        <v>77568</v>
      </c>
      <c r="M428" s="73">
        <v>2</v>
      </c>
      <c r="N428" s="88">
        <v>59.95</v>
      </c>
      <c r="O428" s="79">
        <f t="shared" si="120"/>
        <v>2.6478732276897414</v>
      </c>
      <c r="P428" s="80">
        <f t="shared" si="76"/>
        <v>0.37766158498173114</v>
      </c>
      <c r="Q428" s="79">
        <f t="shared" si="77"/>
        <v>7.0183040056592094E-2</v>
      </c>
      <c r="R428" s="81">
        <f t="shared" si="78"/>
        <v>2.6505438146608894E-2</v>
      </c>
      <c r="S428" s="89">
        <f t="shared" si="124"/>
        <v>2201.8500000000004</v>
      </c>
      <c r="T428" s="83">
        <f t="shared" si="79"/>
        <v>79.37</v>
      </c>
      <c r="U428" s="135"/>
      <c r="V428" s="135"/>
      <c r="W428" s="135"/>
      <c r="X428" s="135"/>
      <c r="Y428" s="136"/>
      <c r="Z428" s="50"/>
      <c r="AA428" s="50"/>
    </row>
    <row r="429" spans="1:27" ht="12.75" hidden="1" outlineLevel="1" x14ac:dyDescent="0.2">
      <c r="A429" s="50"/>
      <c r="B429" s="137"/>
      <c r="C429" s="70" t="s">
        <v>34</v>
      </c>
      <c r="D429" s="90">
        <v>0</v>
      </c>
      <c r="E429" s="75">
        <v>0</v>
      </c>
      <c r="F429" s="73">
        <v>0</v>
      </c>
      <c r="G429" s="73">
        <v>0</v>
      </c>
      <c r="H429" s="74" t="e">
        <f t="shared" si="72"/>
        <v>#DIV/0!</v>
      </c>
      <c r="I429" s="75" t="e">
        <f t="shared" si="73"/>
        <v>#DIV/0!</v>
      </c>
      <c r="J429" s="76" t="e">
        <f t="shared" si="74"/>
        <v>#DIV/0!</v>
      </c>
      <c r="K429" s="90">
        <v>0</v>
      </c>
      <c r="L429" s="73">
        <v>0</v>
      </c>
      <c r="M429" s="73">
        <v>0</v>
      </c>
      <c r="N429" s="91">
        <v>0</v>
      </c>
      <c r="O429" s="79" t="e">
        <f>(K429/N429)</f>
        <v>#DIV/0!</v>
      </c>
      <c r="P429" s="80" t="e">
        <f t="shared" si="76"/>
        <v>#DIV/0!</v>
      </c>
      <c r="Q429" s="79" t="e">
        <f t="shared" si="77"/>
        <v>#DIV/0!</v>
      </c>
      <c r="R429" s="81" t="e">
        <f t="shared" si="78"/>
        <v>#DIV/0!</v>
      </c>
      <c r="S429" s="92">
        <f t="shared" si="124"/>
        <v>0</v>
      </c>
      <c r="T429" s="83" t="e">
        <f t="shared" si="79"/>
        <v>#DIV/0!</v>
      </c>
      <c r="U429" s="135"/>
      <c r="V429" s="135"/>
      <c r="W429" s="135"/>
      <c r="X429" s="135"/>
      <c r="Y429" s="136"/>
      <c r="Z429" s="50"/>
      <c r="AA429" s="50"/>
    </row>
    <row r="430" spans="1:27" ht="12.75" hidden="1" outlineLevel="1" x14ac:dyDescent="0.2">
      <c r="A430" s="50"/>
      <c r="B430" s="137"/>
      <c r="C430" s="70" t="s">
        <v>35</v>
      </c>
      <c r="D430" s="90">
        <v>377.7</v>
      </c>
      <c r="E430" s="75">
        <v>62.95</v>
      </c>
      <c r="F430" s="73">
        <v>6</v>
      </c>
      <c r="G430" s="73">
        <v>5</v>
      </c>
      <c r="H430" s="74">
        <f t="shared" si="72"/>
        <v>1.2</v>
      </c>
      <c r="I430" s="75">
        <f t="shared" si="73"/>
        <v>62.949999999999996</v>
      </c>
      <c r="J430" s="76">
        <f t="shared" si="74"/>
        <v>52.458333333333329</v>
      </c>
      <c r="K430" s="90">
        <v>0</v>
      </c>
      <c r="L430" s="73">
        <v>0</v>
      </c>
      <c r="M430" s="73">
        <v>0</v>
      </c>
      <c r="N430" s="91">
        <v>0</v>
      </c>
      <c r="O430" s="79" t="e">
        <f t="shared" ref="O430:O446" si="125">K430/N430</f>
        <v>#DIV/0!</v>
      </c>
      <c r="P430" s="80" t="e">
        <f t="shared" si="76"/>
        <v>#DIV/0!</v>
      </c>
      <c r="Q430" s="79">
        <f t="shared" si="77"/>
        <v>0</v>
      </c>
      <c r="R430" s="81">
        <f t="shared" si="78"/>
        <v>0</v>
      </c>
      <c r="S430" s="92">
        <f t="shared" si="124"/>
        <v>377.7</v>
      </c>
      <c r="T430" s="83" t="e">
        <f t="shared" si="79"/>
        <v>#DIV/0!</v>
      </c>
      <c r="U430" s="135"/>
      <c r="V430" s="135"/>
      <c r="W430" s="135"/>
      <c r="X430" s="135"/>
      <c r="Y430" s="136"/>
      <c r="Z430" s="50"/>
      <c r="AA430" s="50"/>
    </row>
    <row r="431" spans="1:27" ht="12.75" hidden="1" outlineLevel="1" x14ac:dyDescent="0.2">
      <c r="A431" s="50"/>
      <c r="B431" s="137"/>
      <c r="C431" s="70" t="s">
        <v>62</v>
      </c>
      <c r="D431" s="200">
        <v>0</v>
      </c>
      <c r="E431" s="75">
        <v>0</v>
      </c>
      <c r="F431" s="73">
        <v>0</v>
      </c>
      <c r="G431" s="73">
        <v>0</v>
      </c>
      <c r="H431" s="74" t="e">
        <f t="shared" si="72"/>
        <v>#DIV/0!</v>
      </c>
      <c r="I431" s="75" t="e">
        <f t="shared" si="73"/>
        <v>#DIV/0!</v>
      </c>
      <c r="J431" s="76" t="e">
        <f t="shared" si="74"/>
        <v>#DIV/0!</v>
      </c>
      <c r="K431" s="200">
        <v>0</v>
      </c>
      <c r="L431" s="73">
        <v>0</v>
      </c>
      <c r="M431" s="73">
        <v>0</v>
      </c>
      <c r="N431" s="200">
        <v>0</v>
      </c>
      <c r="O431" s="79" t="e">
        <f t="shared" si="125"/>
        <v>#DIV/0!</v>
      </c>
      <c r="P431" s="80" t="e">
        <f t="shared" si="76"/>
        <v>#DIV/0!</v>
      </c>
      <c r="Q431" s="79" t="e">
        <f t="shared" si="77"/>
        <v>#DIV/0!</v>
      </c>
      <c r="R431" s="81" t="e">
        <f t="shared" si="78"/>
        <v>#DIV/0!</v>
      </c>
      <c r="S431" s="92">
        <f t="shared" si="124"/>
        <v>0</v>
      </c>
      <c r="T431" s="83" t="e">
        <f t="shared" si="79"/>
        <v>#DIV/0!</v>
      </c>
      <c r="U431" s="135"/>
      <c r="V431" s="135"/>
      <c r="W431" s="135"/>
      <c r="X431" s="135"/>
      <c r="Y431" s="136"/>
      <c r="Z431" s="50"/>
      <c r="AA431" s="50"/>
    </row>
    <row r="432" spans="1:27" ht="12.75" hidden="1" outlineLevel="1" x14ac:dyDescent="0.2">
      <c r="A432" s="50"/>
      <c r="B432" s="137"/>
      <c r="C432" s="70" t="s">
        <v>66</v>
      </c>
      <c r="D432" s="201">
        <v>0</v>
      </c>
      <c r="E432" s="75">
        <v>0</v>
      </c>
      <c r="F432" s="73">
        <v>0</v>
      </c>
      <c r="G432" s="73">
        <v>0</v>
      </c>
      <c r="H432" s="74" t="e">
        <f t="shared" si="72"/>
        <v>#DIV/0!</v>
      </c>
      <c r="I432" s="75" t="e">
        <f t="shared" si="73"/>
        <v>#DIV/0!</v>
      </c>
      <c r="J432" s="76" t="e">
        <f t="shared" si="74"/>
        <v>#DIV/0!</v>
      </c>
      <c r="K432" s="201">
        <v>0</v>
      </c>
      <c r="L432" s="73">
        <v>0</v>
      </c>
      <c r="M432" s="73">
        <v>0</v>
      </c>
      <c r="N432" s="202">
        <v>0</v>
      </c>
      <c r="O432" s="79" t="e">
        <f t="shared" si="125"/>
        <v>#DIV/0!</v>
      </c>
      <c r="P432" s="80" t="e">
        <f t="shared" si="76"/>
        <v>#DIV/0!</v>
      </c>
      <c r="Q432" s="79" t="e">
        <f t="shared" si="77"/>
        <v>#DIV/0!</v>
      </c>
      <c r="R432" s="81" t="e">
        <f t="shared" si="78"/>
        <v>#DIV/0!</v>
      </c>
      <c r="S432" s="203">
        <f t="shared" si="124"/>
        <v>0</v>
      </c>
      <c r="T432" s="83" t="e">
        <f t="shared" si="79"/>
        <v>#DIV/0!</v>
      </c>
      <c r="U432" s="135"/>
      <c r="V432" s="135"/>
      <c r="W432" s="135"/>
      <c r="X432" s="135"/>
      <c r="Y432" s="136"/>
      <c r="Z432" s="50"/>
      <c r="AA432" s="50"/>
    </row>
    <row r="433" spans="1:27" ht="12.75" hidden="1" outlineLevel="1" x14ac:dyDescent="0.2">
      <c r="A433" s="50"/>
      <c r="B433" s="137"/>
      <c r="C433" s="70" t="s">
        <v>36</v>
      </c>
      <c r="D433" s="90">
        <v>0</v>
      </c>
      <c r="E433" s="75">
        <v>0</v>
      </c>
      <c r="F433" s="73">
        <v>0</v>
      </c>
      <c r="G433" s="73">
        <v>0</v>
      </c>
      <c r="H433" s="74" t="e">
        <f t="shared" si="72"/>
        <v>#DIV/0!</v>
      </c>
      <c r="I433" s="75" t="e">
        <f t="shared" si="73"/>
        <v>#DIV/0!</v>
      </c>
      <c r="J433" s="76" t="e">
        <f t="shared" si="74"/>
        <v>#DIV/0!</v>
      </c>
      <c r="K433" s="90">
        <v>0</v>
      </c>
      <c r="L433" s="73">
        <v>0</v>
      </c>
      <c r="M433" s="73">
        <v>0</v>
      </c>
      <c r="N433" s="91">
        <v>0</v>
      </c>
      <c r="O433" s="79" t="e">
        <f t="shared" si="125"/>
        <v>#DIV/0!</v>
      </c>
      <c r="P433" s="80" t="e">
        <f t="shared" si="76"/>
        <v>#DIV/0!</v>
      </c>
      <c r="Q433" s="79" t="e">
        <f t="shared" si="77"/>
        <v>#DIV/0!</v>
      </c>
      <c r="R433" s="81" t="e">
        <f t="shared" si="78"/>
        <v>#DIV/0!</v>
      </c>
      <c r="S433" s="92">
        <f t="shared" si="124"/>
        <v>0</v>
      </c>
      <c r="T433" s="83" t="e">
        <f t="shared" si="79"/>
        <v>#DIV/0!</v>
      </c>
      <c r="U433" s="135"/>
      <c r="V433" s="135"/>
      <c r="W433" s="135"/>
      <c r="X433" s="135"/>
      <c r="Y433" s="136"/>
      <c r="Z433" s="50"/>
      <c r="AA433" s="50"/>
    </row>
    <row r="434" spans="1:27" ht="12.75" hidden="1" outlineLevel="1" x14ac:dyDescent="0.2">
      <c r="A434" s="50"/>
      <c r="B434" s="69" t="s">
        <v>37</v>
      </c>
      <c r="C434" s="70" t="s">
        <v>38</v>
      </c>
      <c r="D434" s="93">
        <v>135.84</v>
      </c>
      <c r="E434" s="75">
        <v>33.630000000000003</v>
      </c>
      <c r="F434" s="73">
        <v>4</v>
      </c>
      <c r="G434" s="73">
        <v>4</v>
      </c>
      <c r="H434" s="74">
        <f t="shared" si="72"/>
        <v>1</v>
      </c>
      <c r="I434" s="75">
        <f t="shared" si="73"/>
        <v>33.96</v>
      </c>
      <c r="J434" s="76">
        <f t="shared" si="74"/>
        <v>33.96</v>
      </c>
      <c r="K434" s="93">
        <v>51.1</v>
      </c>
      <c r="L434" s="73">
        <v>16493</v>
      </c>
      <c r="M434" s="73">
        <v>0</v>
      </c>
      <c r="N434" s="94">
        <v>0</v>
      </c>
      <c r="O434" s="79" t="e">
        <f t="shared" si="125"/>
        <v>#DIV/0!</v>
      </c>
      <c r="P434" s="80">
        <f t="shared" si="76"/>
        <v>0</v>
      </c>
      <c r="Q434" s="79">
        <f t="shared" si="77"/>
        <v>0.37617785630153122</v>
      </c>
      <c r="R434" s="81">
        <f t="shared" si="78"/>
        <v>0</v>
      </c>
      <c r="S434" s="95">
        <f t="shared" si="124"/>
        <v>135.84</v>
      </c>
      <c r="T434" s="83" t="e">
        <f t="shared" si="79"/>
        <v>#DIV/0!</v>
      </c>
      <c r="U434" s="135"/>
      <c r="V434" s="135"/>
      <c r="W434" s="135"/>
      <c r="X434" s="135"/>
      <c r="Y434" s="136"/>
      <c r="Z434" s="50"/>
      <c r="AA434" s="50"/>
    </row>
    <row r="435" spans="1:27" ht="12.75" hidden="1" outlineLevel="1" x14ac:dyDescent="0.2">
      <c r="A435" s="50"/>
      <c r="B435" s="137"/>
      <c r="C435" s="70" t="s">
        <v>39</v>
      </c>
      <c r="D435" s="96">
        <v>0</v>
      </c>
      <c r="E435" s="75">
        <v>0</v>
      </c>
      <c r="F435" s="73">
        <v>0</v>
      </c>
      <c r="G435" s="73">
        <v>0</v>
      </c>
      <c r="H435" s="74" t="e">
        <f t="shared" si="72"/>
        <v>#DIV/0!</v>
      </c>
      <c r="I435" s="75" t="e">
        <f t="shared" si="73"/>
        <v>#DIV/0!</v>
      </c>
      <c r="J435" s="76" t="e">
        <f t="shared" si="74"/>
        <v>#DIV/0!</v>
      </c>
      <c r="K435" s="96">
        <v>0</v>
      </c>
      <c r="L435" s="73">
        <v>0</v>
      </c>
      <c r="M435" s="73">
        <v>0</v>
      </c>
      <c r="N435" s="97">
        <v>0</v>
      </c>
      <c r="O435" s="79" t="e">
        <f t="shared" si="125"/>
        <v>#DIV/0!</v>
      </c>
      <c r="P435" s="80" t="e">
        <f t="shared" si="76"/>
        <v>#DIV/0!</v>
      </c>
      <c r="Q435" s="79" t="e">
        <f t="shared" si="77"/>
        <v>#DIV/0!</v>
      </c>
      <c r="R435" s="81" t="e">
        <f t="shared" si="78"/>
        <v>#DIV/0!</v>
      </c>
      <c r="S435" s="98">
        <f t="shared" si="124"/>
        <v>0</v>
      </c>
      <c r="T435" s="83" t="e">
        <f t="shared" si="79"/>
        <v>#DIV/0!</v>
      </c>
      <c r="U435" s="135"/>
      <c r="V435" s="135"/>
      <c r="W435" s="135"/>
      <c r="X435" s="135"/>
      <c r="Y435" s="136"/>
      <c r="Z435" s="50"/>
      <c r="AA435" s="50"/>
    </row>
    <row r="436" spans="1:27" ht="12.75" hidden="1" outlineLevel="1" x14ac:dyDescent="0.2">
      <c r="A436" s="50"/>
      <c r="B436" s="137"/>
      <c r="C436" s="70" t="s">
        <v>40</v>
      </c>
      <c r="D436" s="99">
        <v>0</v>
      </c>
      <c r="E436" s="75">
        <v>0</v>
      </c>
      <c r="F436" s="73">
        <v>0</v>
      </c>
      <c r="G436" s="73">
        <v>0</v>
      </c>
      <c r="H436" s="74" t="e">
        <f t="shared" si="72"/>
        <v>#DIV/0!</v>
      </c>
      <c r="I436" s="75" t="e">
        <f t="shared" si="73"/>
        <v>#DIV/0!</v>
      </c>
      <c r="J436" s="76" t="e">
        <f t="shared" si="74"/>
        <v>#DIV/0!</v>
      </c>
      <c r="K436" s="99">
        <v>0</v>
      </c>
      <c r="L436" s="73">
        <v>0</v>
      </c>
      <c r="M436" s="73">
        <v>0</v>
      </c>
      <c r="N436" s="100">
        <v>0</v>
      </c>
      <c r="O436" s="79" t="e">
        <f t="shared" si="125"/>
        <v>#DIV/0!</v>
      </c>
      <c r="P436" s="80" t="e">
        <f t="shared" si="76"/>
        <v>#DIV/0!</v>
      </c>
      <c r="Q436" s="79" t="e">
        <f t="shared" si="77"/>
        <v>#DIV/0!</v>
      </c>
      <c r="R436" s="81" t="e">
        <f t="shared" si="78"/>
        <v>#DIV/0!</v>
      </c>
      <c r="S436" s="101">
        <f t="shared" si="124"/>
        <v>0</v>
      </c>
      <c r="T436" s="83" t="e">
        <f t="shared" si="79"/>
        <v>#DIV/0!</v>
      </c>
      <c r="U436" s="135"/>
      <c r="V436" s="135"/>
      <c r="W436" s="135"/>
      <c r="X436" s="135"/>
      <c r="Y436" s="136"/>
      <c r="Z436" s="50"/>
      <c r="AA436" s="50"/>
    </row>
    <row r="437" spans="1:27" ht="12.75" hidden="1" outlineLevel="1" x14ac:dyDescent="0.2">
      <c r="A437" s="50"/>
      <c r="B437" s="137"/>
      <c r="C437" s="70" t="s">
        <v>41</v>
      </c>
      <c r="D437" s="102">
        <v>0</v>
      </c>
      <c r="E437" s="75">
        <v>0</v>
      </c>
      <c r="F437" s="73">
        <v>0</v>
      </c>
      <c r="G437" s="73">
        <v>0</v>
      </c>
      <c r="H437" s="74" t="e">
        <f t="shared" si="72"/>
        <v>#DIV/0!</v>
      </c>
      <c r="I437" s="75" t="e">
        <f t="shared" si="73"/>
        <v>#DIV/0!</v>
      </c>
      <c r="J437" s="76" t="e">
        <f t="shared" si="74"/>
        <v>#DIV/0!</v>
      </c>
      <c r="K437" s="102">
        <v>0</v>
      </c>
      <c r="L437" s="73">
        <v>0</v>
      </c>
      <c r="M437" s="73">
        <v>0</v>
      </c>
      <c r="N437" s="103">
        <v>0</v>
      </c>
      <c r="O437" s="79" t="e">
        <f t="shared" si="125"/>
        <v>#DIV/0!</v>
      </c>
      <c r="P437" s="80" t="e">
        <f t="shared" si="76"/>
        <v>#DIV/0!</v>
      </c>
      <c r="Q437" s="79" t="e">
        <f t="shared" si="77"/>
        <v>#DIV/0!</v>
      </c>
      <c r="R437" s="81" t="e">
        <f t="shared" si="78"/>
        <v>#DIV/0!</v>
      </c>
      <c r="S437" s="104">
        <f t="shared" si="124"/>
        <v>0</v>
      </c>
      <c r="T437" s="83" t="e">
        <f t="shared" si="79"/>
        <v>#DIV/0!</v>
      </c>
      <c r="U437" s="135"/>
      <c r="V437" s="135"/>
      <c r="W437" s="135"/>
      <c r="X437" s="135"/>
      <c r="Y437" s="136"/>
      <c r="Z437" s="50"/>
      <c r="AA437" s="50"/>
    </row>
    <row r="438" spans="1:27" ht="12.75" hidden="1" outlineLevel="1" x14ac:dyDescent="0.2">
      <c r="A438" s="50"/>
      <c r="B438" s="137"/>
      <c r="C438" s="70" t="s">
        <v>42</v>
      </c>
      <c r="D438" s="90">
        <v>19.989999999999998</v>
      </c>
      <c r="E438" s="75">
        <v>19.989999999999998</v>
      </c>
      <c r="F438" s="73">
        <v>1</v>
      </c>
      <c r="G438" s="73">
        <v>1</v>
      </c>
      <c r="H438" s="74">
        <f t="shared" si="72"/>
        <v>1</v>
      </c>
      <c r="I438" s="75">
        <f t="shared" si="73"/>
        <v>19.989999999999998</v>
      </c>
      <c r="J438" s="76">
        <f t="shared" si="74"/>
        <v>19.989999999999998</v>
      </c>
      <c r="K438" s="90">
        <v>5.52</v>
      </c>
      <c r="L438" s="73">
        <v>14092</v>
      </c>
      <c r="M438" s="73">
        <v>1</v>
      </c>
      <c r="N438" s="91">
        <v>19.989999999999998</v>
      </c>
      <c r="O438" s="79">
        <f t="shared" si="125"/>
        <v>0.27613806903451726</v>
      </c>
      <c r="P438" s="80">
        <f t="shared" si="76"/>
        <v>3.6213768115942031</v>
      </c>
      <c r="Q438" s="79">
        <f t="shared" si="77"/>
        <v>0.27613806903451726</v>
      </c>
      <c r="R438" s="81">
        <f t="shared" si="78"/>
        <v>1</v>
      </c>
      <c r="S438" s="92">
        <f t="shared" si="124"/>
        <v>0</v>
      </c>
      <c r="T438" s="83">
        <f t="shared" si="79"/>
        <v>5.52</v>
      </c>
      <c r="U438" s="135"/>
      <c r="V438" s="135"/>
      <c r="W438" s="135"/>
      <c r="X438" s="135"/>
      <c r="Y438" s="136"/>
      <c r="Z438" s="50"/>
      <c r="AA438" s="50"/>
    </row>
    <row r="439" spans="1:27" ht="12.75" hidden="1" outlineLevel="1" x14ac:dyDescent="0.2">
      <c r="A439" s="50"/>
      <c r="B439" s="137"/>
      <c r="C439" s="70" t="s">
        <v>43</v>
      </c>
      <c r="D439" s="105">
        <v>159.94999999999999</v>
      </c>
      <c r="E439" s="75">
        <v>159.94999999999999</v>
      </c>
      <c r="F439" s="73">
        <v>1</v>
      </c>
      <c r="G439" s="73">
        <v>1</v>
      </c>
      <c r="H439" s="74">
        <f t="shared" si="72"/>
        <v>1</v>
      </c>
      <c r="I439" s="75">
        <f t="shared" si="73"/>
        <v>159.94999999999999</v>
      </c>
      <c r="J439" s="76">
        <f t="shared" si="74"/>
        <v>159.94999999999999</v>
      </c>
      <c r="K439" s="105">
        <v>11.55</v>
      </c>
      <c r="L439" s="73">
        <v>22100</v>
      </c>
      <c r="M439" s="73">
        <v>0</v>
      </c>
      <c r="N439" s="106">
        <v>0</v>
      </c>
      <c r="O439" s="79" t="e">
        <f t="shared" si="125"/>
        <v>#DIV/0!</v>
      </c>
      <c r="P439" s="80">
        <f t="shared" si="76"/>
        <v>0</v>
      </c>
      <c r="Q439" s="79">
        <f t="shared" si="77"/>
        <v>7.2210065645514229E-2</v>
      </c>
      <c r="R439" s="81">
        <f t="shared" si="78"/>
        <v>0</v>
      </c>
      <c r="S439" s="107">
        <f t="shared" si="124"/>
        <v>159.94999999999999</v>
      </c>
      <c r="T439" s="83" t="e">
        <f t="shared" si="79"/>
        <v>#DIV/0!</v>
      </c>
      <c r="U439" s="135"/>
      <c r="V439" s="135"/>
      <c r="W439" s="135"/>
      <c r="X439" s="135"/>
      <c r="Y439" s="136"/>
      <c r="Z439" s="50"/>
      <c r="AA439" s="50"/>
    </row>
    <row r="440" spans="1:27" ht="12.75" hidden="1" outlineLevel="1" x14ac:dyDescent="0.2">
      <c r="A440" s="50"/>
      <c r="B440" s="137"/>
      <c r="C440" s="70" t="s">
        <v>44</v>
      </c>
      <c r="D440" s="108">
        <v>134.85</v>
      </c>
      <c r="E440" s="75">
        <v>44.95</v>
      </c>
      <c r="F440" s="73">
        <v>3</v>
      </c>
      <c r="G440" s="73">
        <v>3</v>
      </c>
      <c r="H440" s="74">
        <f t="shared" si="72"/>
        <v>1</v>
      </c>
      <c r="I440" s="75">
        <f t="shared" si="73"/>
        <v>44.949999999999996</v>
      </c>
      <c r="J440" s="76">
        <f t="shared" si="74"/>
        <v>44.949999999999996</v>
      </c>
      <c r="K440" s="108">
        <v>28.89</v>
      </c>
      <c r="L440" s="73">
        <v>11058</v>
      </c>
      <c r="M440" s="73">
        <v>1</v>
      </c>
      <c r="N440" s="109">
        <v>44.95</v>
      </c>
      <c r="O440" s="79">
        <f t="shared" si="125"/>
        <v>0.6427141268075639</v>
      </c>
      <c r="P440" s="80">
        <f t="shared" si="76"/>
        <v>1.5559016960886121</v>
      </c>
      <c r="Q440" s="79">
        <f t="shared" si="77"/>
        <v>0.21423804226918799</v>
      </c>
      <c r="R440" s="81">
        <f t="shared" si="78"/>
        <v>0.33333333333333337</v>
      </c>
      <c r="S440" s="110">
        <f t="shared" si="124"/>
        <v>89.899999999999991</v>
      </c>
      <c r="T440" s="83">
        <f t="shared" si="79"/>
        <v>28.89</v>
      </c>
      <c r="U440" s="135"/>
      <c r="V440" s="135"/>
      <c r="W440" s="135"/>
      <c r="X440" s="135"/>
      <c r="Y440" s="136"/>
      <c r="Z440" s="50"/>
      <c r="AA440" s="50"/>
    </row>
    <row r="441" spans="1:27" ht="12.75" hidden="1" outlineLevel="1" x14ac:dyDescent="0.2">
      <c r="A441" s="139"/>
      <c r="B441" s="137"/>
      <c r="C441" s="112" t="s">
        <v>45</v>
      </c>
      <c r="D441" s="71">
        <v>0</v>
      </c>
      <c r="E441" s="75">
        <v>0</v>
      </c>
      <c r="F441" s="73">
        <v>0</v>
      </c>
      <c r="G441" s="73">
        <v>0</v>
      </c>
      <c r="H441" s="74" t="e">
        <f t="shared" si="72"/>
        <v>#DIV/0!</v>
      </c>
      <c r="I441" s="75" t="e">
        <f t="shared" si="73"/>
        <v>#DIV/0!</v>
      </c>
      <c r="J441" s="76" t="e">
        <f t="shared" si="74"/>
        <v>#DIV/0!</v>
      </c>
      <c r="K441" s="71">
        <v>0</v>
      </c>
      <c r="L441" s="73">
        <v>0</v>
      </c>
      <c r="M441" s="73">
        <v>0</v>
      </c>
      <c r="N441" s="78">
        <v>0</v>
      </c>
      <c r="O441" s="79" t="e">
        <f t="shared" si="125"/>
        <v>#DIV/0!</v>
      </c>
      <c r="P441" s="80" t="e">
        <f t="shared" si="76"/>
        <v>#DIV/0!</v>
      </c>
      <c r="Q441" s="79" t="e">
        <f t="shared" si="77"/>
        <v>#DIV/0!</v>
      </c>
      <c r="R441" s="81" t="e">
        <f t="shared" si="78"/>
        <v>#DIV/0!</v>
      </c>
      <c r="S441" s="82">
        <f t="shared" si="124"/>
        <v>0</v>
      </c>
      <c r="T441" s="83" t="e">
        <f t="shared" si="79"/>
        <v>#DIV/0!</v>
      </c>
      <c r="U441" s="140"/>
      <c r="V441" s="140"/>
      <c r="W441" s="140"/>
      <c r="X441" s="141"/>
      <c r="Y441" s="142"/>
      <c r="Z441" s="50"/>
      <c r="AA441" s="50"/>
    </row>
    <row r="442" spans="1:27" ht="12.75" hidden="1" outlineLevel="1" x14ac:dyDescent="0.2">
      <c r="A442" s="50"/>
      <c r="B442" s="137"/>
      <c r="C442" s="70" t="s">
        <v>46</v>
      </c>
      <c r="D442" s="116">
        <v>224.75</v>
      </c>
      <c r="E442" s="75">
        <v>44.95</v>
      </c>
      <c r="F442" s="73">
        <v>5</v>
      </c>
      <c r="G442" s="73">
        <v>5</v>
      </c>
      <c r="H442" s="74">
        <f t="shared" si="72"/>
        <v>1</v>
      </c>
      <c r="I442" s="75">
        <f t="shared" si="73"/>
        <v>44.95</v>
      </c>
      <c r="J442" s="76">
        <f t="shared" si="74"/>
        <v>44.95</v>
      </c>
      <c r="K442" s="116">
        <v>97.89</v>
      </c>
      <c r="L442" s="73">
        <v>25599</v>
      </c>
      <c r="M442" s="73">
        <v>4</v>
      </c>
      <c r="N442" s="117">
        <v>179.8</v>
      </c>
      <c r="O442" s="79">
        <f t="shared" si="125"/>
        <v>0.54443826473859847</v>
      </c>
      <c r="P442" s="80">
        <f t="shared" si="76"/>
        <v>1.8367555419348249</v>
      </c>
      <c r="Q442" s="79">
        <f t="shared" si="77"/>
        <v>0.43555061179087878</v>
      </c>
      <c r="R442" s="81">
        <f t="shared" si="78"/>
        <v>0.8</v>
      </c>
      <c r="S442" s="82">
        <f t="shared" si="124"/>
        <v>44.949999999999989</v>
      </c>
      <c r="T442" s="83">
        <f t="shared" si="79"/>
        <v>24.4725</v>
      </c>
      <c r="U442" s="135"/>
      <c r="V442" s="135"/>
      <c r="W442" s="135"/>
      <c r="X442" s="135"/>
      <c r="Y442" s="136"/>
      <c r="Z442" s="50"/>
      <c r="AA442" s="50"/>
    </row>
    <row r="443" spans="1:27" ht="12.75" hidden="1" outlineLevel="1" x14ac:dyDescent="0.2">
      <c r="A443" s="118" t="str">
        <f t="shared" ref="A443:A444" si="126">IFERROR(IF(B443&gt;0,MONTH(B443)&amp;"-"&amp;YEAR(B443),B443),)</f>
        <v>5-2025</v>
      </c>
      <c r="B443" s="69">
        <v>45808</v>
      </c>
      <c r="C443" s="70" t="s">
        <v>49</v>
      </c>
      <c r="D443" s="116">
        <v>192</v>
      </c>
      <c r="E443" s="75">
        <v>96</v>
      </c>
      <c r="F443" s="73">
        <v>2</v>
      </c>
      <c r="G443" s="73">
        <v>1</v>
      </c>
      <c r="H443" s="74">
        <f t="shared" si="72"/>
        <v>2</v>
      </c>
      <c r="I443" s="75">
        <f t="shared" si="73"/>
        <v>96</v>
      </c>
      <c r="J443" s="76">
        <f t="shared" si="74"/>
        <v>48</v>
      </c>
      <c r="K443" s="116">
        <v>4.47</v>
      </c>
      <c r="L443" s="73">
        <v>5564</v>
      </c>
      <c r="M443" s="73">
        <v>0</v>
      </c>
      <c r="N443" s="117">
        <v>0</v>
      </c>
      <c r="O443" s="79" t="e">
        <f t="shared" si="125"/>
        <v>#DIV/0!</v>
      </c>
      <c r="P443" s="80">
        <f t="shared" si="76"/>
        <v>0</v>
      </c>
      <c r="Q443" s="79">
        <f t="shared" si="77"/>
        <v>2.328125E-2</v>
      </c>
      <c r="R443" s="81">
        <f t="shared" si="78"/>
        <v>0</v>
      </c>
      <c r="S443" s="82">
        <f t="shared" si="124"/>
        <v>192</v>
      </c>
      <c r="T443" s="83" t="e">
        <f t="shared" si="79"/>
        <v>#DIV/0!</v>
      </c>
      <c r="U443" s="135"/>
      <c r="V443" s="135"/>
      <c r="W443" s="135"/>
      <c r="X443" s="135"/>
      <c r="Y443" s="136"/>
      <c r="Z443" s="50"/>
      <c r="AA443" s="50"/>
    </row>
    <row r="444" spans="1:27" ht="12.75" collapsed="1" x14ac:dyDescent="0.2">
      <c r="A444" s="50">
        <f t="shared" si="126"/>
        <v>0</v>
      </c>
      <c r="B444" s="52" t="s">
        <v>80</v>
      </c>
      <c r="C444" s="145"/>
      <c r="D444" s="121">
        <f>SUM(D427:D443)</f>
        <v>7408.2800000000007</v>
      </c>
      <c r="E444" s="297"/>
      <c r="F444" s="123">
        <f t="shared" ref="F444:G444" si="127">SUM(F427:F443)</f>
        <v>57</v>
      </c>
      <c r="G444" s="123">
        <f t="shared" si="127"/>
        <v>54</v>
      </c>
      <c r="H444" s="124">
        <f t="shared" si="72"/>
        <v>1.0555555555555556</v>
      </c>
      <c r="I444" s="125">
        <f t="shared" si="73"/>
        <v>129.96982456140353</v>
      </c>
      <c r="J444" s="126">
        <f t="shared" si="74"/>
        <v>123.12930747922439</v>
      </c>
      <c r="K444" s="121">
        <f t="shared" ref="K444:N444" si="128">SUM(K427:K443)</f>
        <v>671.8599999999999</v>
      </c>
      <c r="L444" s="123">
        <f t="shared" si="128"/>
        <v>264876</v>
      </c>
      <c r="M444" s="123">
        <f t="shared" si="128"/>
        <v>18</v>
      </c>
      <c r="N444" s="127">
        <f t="shared" si="128"/>
        <v>2078.84</v>
      </c>
      <c r="O444" s="128">
        <f t="shared" si="125"/>
        <v>0.32318985588116445</v>
      </c>
      <c r="P444" s="129">
        <f t="shared" si="76"/>
        <v>3.0941565207037187</v>
      </c>
      <c r="Q444" s="128">
        <f t="shared" si="77"/>
        <v>9.0690416668916377E-2</v>
      </c>
      <c r="R444" s="130">
        <f t="shared" si="78"/>
        <v>0.28061034410146485</v>
      </c>
      <c r="S444" s="131">
        <f>SUM(S427:S443)</f>
        <v>5329.44</v>
      </c>
      <c r="T444" s="132">
        <f t="shared" si="79"/>
        <v>37.325555555555553</v>
      </c>
      <c r="U444" s="273">
        <f>IFERROR((D444-D246)/D444,)</f>
        <v>-2.3357648469009975E-2</v>
      </c>
      <c r="V444" s="273">
        <f>IFERROR((F444-F246)/F444,)</f>
        <v>-0.64912280701754388</v>
      </c>
      <c r="W444" s="271">
        <f>IFERROR((D444-[1]monthly_reporting_2021!E235)/D444, )</f>
        <v>0</v>
      </c>
      <c r="X444" s="271">
        <f>IFERROR((F444-[1]monthly_reporting_2021!F235)/F444, )</f>
        <v>0</v>
      </c>
      <c r="Y444" s="50"/>
      <c r="Z444" s="50"/>
      <c r="AA444" s="50"/>
    </row>
    <row r="445" spans="1:27" ht="12.75" hidden="1" outlineLevel="1" x14ac:dyDescent="0.2">
      <c r="A445" s="50"/>
      <c r="B445" s="69">
        <v>45809</v>
      </c>
      <c r="C445" s="70" t="s">
        <v>32</v>
      </c>
      <c r="D445" s="71">
        <v>4636.71</v>
      </c>
      <c r="E445" s="298"/>
      <c r="F445" s="73">
        <v>14</v>
      </c>
      <c r="G445" s="73">
        <v>17</v>
      </c>
      <c r="H445" s="74">
        <f t="shared" si="72"/>
        <v>0.82352941176470584</v>
      </c>
      <c r="I445" s="75">
        <f t="shared" si="73"/>
        <v>331.19357142857143</v>
      </c>
      <c r="J445" s="76">
        <f t="shared" si="74"/>
        <v>402.16362244897959</v>
      </c>
      <c r="K445" s="77">
        <v>388.85</v>
      </c>
      <c r="L445" s="73">
        <v>109811</v>
      </c>
      <c r="M445" s="73">
        <v>3</v>
      </c>
      <c r="N445" s="78">
        <v>1407</v>
      </c>
      <c r="O445" s="79">
        <f t="shared" si="125"/>
        <v>0.27636815920398011</v>
      </c>
      <c r="P445" s="80">
        <f t="shared" si="76"/>
        <v>3.6183618361836181</v>
      </c>
      <c r="Q445" s="79">
        <f t="shared" si="77"/>
        <v>8.386334275811945E-2</v>
      </c>
      <c r="R445" s="81">
        <f t="shared" si="78"/>
        <v>0.30344791889076522</v>
      </c>
      <c r="S445" s="82">
        <f t="shared" ref="S445:S461" si="129">D445-N445</f>
        <v>3229.71</v>
      </c>
      <c r="T445" s="83">
        <f t="shared" si="79"/>
        <v>129.61666666666667</v>
      </c>
      <c r="U445" s="135"/>
      <c r="V445" s="135"/>
      <c r="W445" s="135"/>
      <c r="X445" s="135"/>
      <c r="Y445" s="136"/>
      <c r="Z445" s="50"/>
      <c r="AA445" s="50"/>
    </row>
    <row r="446" spans="1:27" ht="12.75" hidden="1" outlineLevel="1" x14ac:dyDescent="0.2">
      <c r="A446" s="50"/>
      <c r="B446" s="137"/>
      <c r="C446" s="70" t="s">
        <v>33</v>
      </c>
      <c r="D446" s="87">
        <v>3950.14</v>
      </c>
      <c r="E446" s="298"/>
      <c r="F446" s="73">
        <v>25</v>
      </c>
      <c r="G446" s="73">
        <v>27</v>
      </c>
      <c r="H446" s="74">
        <f t="shared" si="72"/>
        <v>0.92592592592592593</v>
      </c>
      <c r="I446" s="75">
        <f t="shared" si="73"/>
        <v>158.00559999999999</v>
      </c>
      <c r="J446" s="76">
        <f t="shared" si="74"/>
        <v>170.64604799999998</v>
      </c>
      <c r="K446" s="87">
        <v>219.82</v>
      </c>
      <c r="L446" s="73">
        <v>82468</v>
      </c>
      <c r="M446" s="73">
        <v>11</v>
      </c>
      <c r="N446" s="88">
        <v>1263.7</v>
      </c>
      <c r="O446" s="79">
        <f t="shared" si="125"/>
        <v>0.17394951333386088</v>
      </c>
      <c r="P446" s="80">
        <f t="shared" si="76"/>
        <v>5.7487944682012557</v>
      </c>
      <c r="Q446" s="79">
        <f t="shared" si="77"/>
        <v>5.5648660553803159E-2</v>
      </c>
      <c r="R446" s="81">
        <f t="shared" si="78"/>
        <v>0.31991271195451304</v>
      </c>
      <c r="S446" s="89">
        <f t="shared" si="129"/>
        <v>2686.4399999999996</v>
      </c>
      <c r="T446" s="83">
        <f t="shared" si="79"/>
        <v>19.983636363636364</v>
      </c>
      <c r="U446" s="135"/>
      <c r="V446" s="135"/>
      <c r="W446" s="135"/>
      <c r="X446" s="135"/>
      <c r="Y446" s="136"/>
      <c r="Z446" s="50"/>
      <c r="AA446" s="50"/>
    </row>
    <row r="447" spans="1:27" ht="12.75" hidden="1" outlineLevel="1" x14ac:dyDescent="0.2">
      <c r="A447" s="50"/>
      <c r="B447" s="137"/>
      <c r="C447" s="70" t="s">
        <v>34</v>
      </c>
      <c r="D447" s="90">
        <v>69.95</v>
      </c>
      <c r="E447" s="298"/>
      <c r="F447" s="73">
        <v>1</v>
      </c>
      <c r="G447" s="73">
        <v>1</v>
      </c>
      <c r="H447" s="74">
        <f t="shared" si="72"/>
        <v>1</v>
      </c>
      <c r="I447" s="75">
        <f t="shared" si="73"/>
        <v>69.95</v>
      </c>
      <c r="J447" s="76">
        <f t="shared" si="74"/>
        <v>69.95</v>
      </c>
      <c r="K447" s="90">
        <v>0</v>
      </c>
      <c r="L447" s="73">
        <v>0</v>
      </c>
      <c r="M447" s="73">
        <v>0</v>
      </c>
      <c r="N447" s="91">
        <v>0</v>
      </c>
      <c r="O447" s="79" t="e">
        <f>(K447/N447)</f>
        <v>#DIV/0!</v>
      </c>
      <c r="P447" s="80" t="e">
        <f t="shared" si="76"/>
        <v>#DIV/0!</v>
      </c>
      <c r="Q447" s="79">
        <f t="shared" si="77"/>
        <v>0</v>
      </c>
      <c r="R447" s="81">
        <f t="shared" si="78"/>
        <v>0</v>
      </c>
      <c r="S447" s="92">
        <f t="shared" si="129"/>
        <v>69.95</v>
      </c>
      <c r="T447" s="83" t="e">
        <f t="shared" si="79"/>
        <v>#DIV/0!</v>
      </c>
      <c r="U447" s="135"/>
      <c r="V447" s="135"/>
      <c r="W447" s="135"/>
      <c r="X447" s="135"/>
      <c r="Y447" s="136"/>
      <c r="Z447" s="50"/>
      <c r="AA447" s="50"/>
    </row>
    <row r="448" spans="1:27" ht="12.75" hidden="1" outlineLevel="1" x14ac:dyDescent="0.2">
      <c r="A448" s="50"/>
      <c r="B448" s="137"/>
      <c r="C448" s="70" t="s">
        <v>35</v>
      </c>
      <c r="D448" s="90">
        <v>242.8</v>
      </c>
      <c r="E448" s="298"/>
      <c r="F448" s="73">
        <v>4</v>
      </c>
      <c r="G448" s="73">
        <v>4</v>
      </c>
      <c r="H448" s="74">
        <f t="shared" si="72"/>
        <v>1</v>
      </c>
      <c r="I448" s="75">
        <f t="shared" si="73"/>
        <v>60.7</v>
      </c>
      <c r="J448" s="76">
        <f t="shared" si="74"/>
        <v>60.7</v>
      </c>
      <c r="K448" s="90">
        <v>56.6</v>
      </c>
      <c r="L448" s="73">
        <v>3246</v>
      </c>
      <c r="M448" s="73">
        <v>3</v>
      </c>
      <c r="N448" s="91">
        <v>179.85</v>
      </c>
      <c r="O448" s="79">
        <f t="shared" ref="O448:O464" si="130">K448/N448</f>
        <v>0.31470670002780099</v>
      </c>
      <c r="P448" s="80">
        <f t="shared" si="76"/>
        <v>3.1775618374558303</v>
      </c>
      <c r="Q448" s="79">
        <f t="shared" si="77"/>
        <v>0.2331136738056013</v>
      </c>
      <c r="R448" s="81">
        <f t="shared" si="78"/>
        <v>0.74073311367380557</v>
      </c>
      <c r="S448" s="92">
        <f t="shared" si="129"/>
        <v>62.950000000000017</v>
      </c>
      <c r="T448" s="83">
        <f t="shared" si="79"/>
        <v>18.866666666666667</v>
      </c>
      <c r="U448" s="135"/>
      <c r="V448" s="135"/>
      <c r="W448" s="135"/>
      <c r="X448" s="135"/>
      <c r="Y448" s="136"/>
      <c r="Z448" s="50"/>
      <c r="AA448" s="50"/>
    </row>
    <row r="449" spans="1:27" ht="12.75" hidden="1" outlineLevel="1" x14ac:dyDescent="0.2">
      <c r="A449" s="50"/>
      <c r="B449" s="137"/>
      <c r="C449" s="70" t="s">
        <v>62</v>
      </c>
      <c r="D449" s="200">
        <v>0</v>
      </c>
      <c r="E449" s="298"/>
      <c r="F449" s="73">
        <v>0</v>
      </c>
      <c r="G449" s="73">
        <v>0</v>
      </c>
      <c r="H449" s="74" t="e">
        <f t="shared" si="72"/>
        <v>#DIV/0!</v>
      </c>
      <c r="I449" s="75" t="e">
        <f t="shared" si="73"/>
        <v>#DIV/0!</v>
      </c>
      <c r="J449" s="76" t="e">
        <f t="shared" si="74"/>
        <v>#DIV/0!</v>
      </c>
      <c r="K449" s="200">
        <v>0</v>
      </c>
      <c r="L449" s="73">
        <v>0</v>
      </c>
      <c r="M449" s="73">
        <v>0</v>
      </c>
      <c r="N449" s="200">
        <v>0</v>
      </c>
      <c r="O449" s="79" t="e">
        <f t="shared" si="130"/>
        <v>#DIV/0!</v>
      </c>
      <c r="P449" s="80" t="e">
        <f t="shared" si="76"/>
        <v>#DIV/0!</v>
      </c>
      <c r="Q449" s="79" t="e">
        <f t="shared" si="77"/>
        <v>#DIV/0!</v>
      </c>
      <c r="R449" s="81" t="e">
        <f t="shared" si="78"/>
        <v>#DIV/0!</v>
      </c>
      <c r="S449" s="92">
        <f t="shared" si="129"/>
        <v>0</v>
      </c>
      <c r="T449" s="83" t="e">
        <f t="shared" si="79"/>
        <v>#DIV/0!</v>
      </c>
      <c r="U449" s="135"/>
      <c r="V449" s="135"/>
      <c r="W449" s="135"/>
      <c r="X449" s="135"/>
      <c r="Y449" s="136"/>
      <c r="Z449" s="50"/>
      <c r="AA449" s="50"/>
    </row>
    <row r="450" spans="1:27" ht="12.75" hidden="1" outlineLevel="1" x14ac:dyDescent="0.2">
      <c r="A450" s="50"/>
      <c r="B450" s="137"/>
      <c r="C450" s="70" t="s">
        <v>66</v>
      </c>
      <c r="D450" s="201">
        <v>0</v>
      </c>
      <c r="E450" s="298"/>
      <c r="F450" s="73">
        <v>0</v>
      </c>
      <c r="G450" s="73">
        <v>0</v>
      </c>
      <c r="H450" s="74" t="e">
        <f t="shared" si="72"/>
        <v>#DIV/0!</v>
      </c>
      <c r="I450" s="75" t="e">
        <f t="shared" si="73"/>
        <v>#DIV/0!</v>
      </c>
      <c r="J450" s="76" t="e">
        <f t="shared" si="74"/>
        <v>#DIV/0!</v>
      </c>
      <c r="K450" s="201">
        <v>0</v>
      </c>
      <c r="L450" s="73">
        <v>0</v>
      </c>
      <c r="M450" s="73">
        <v>0</v>
      </c>
      <c r="N450" s="202">
        <v>0</v>
      </c>
      <c r="O450" s="79" t="e">
        <f t="shared" si="130"/>
        <v>#DIV/0!</v>
      </c>
      <c r="P450" s="80" t="e">
        <f t="shared" si="76"/>
        <v>#DIV/0!</v>
      </c>
      <c r="Q450" s="79" t="e">
        <f t="shared" si="77"/>
        <v>#DIV/0!</v>
      </c>
      <c r="R450" s="81" t="e">
        <f t="shared" si="78"/>
        <v>#DIV/0!</v>
      </c>
      <c r="S450" s="203">
        <f t="shared" si="129"/>
        <v>0</v>
      </c>
      <c r="T450" s="83" t="e">
        <f t="shared" si="79"/>
        <v>#DIV/0!</v>
      </c>
      <c r="U450" s="135"/>
      <c r="V450" s="135"/>
      <c r="W450" s="135"/>
      <c r="X450" s="135"/>
      <c r="Y450" s="136"/>
      <c r="Z450" s="50"/>
      <c r="AA450" s="50"/>
    </row>
    <row r="451" spans="1:27" ht="12.75" hidden="1" outlineLevel="1" x14ac:dyDescent="0.2">
      <c r="A451" s="50"/>
      <c r="B451" s="137"/>
      <c r="C451" s="70" t="s">
        <v>36</v>
      </c>
      <c r="D451" s="90">
        <v>0</v>
      </c>
      <c r="E451" s="298"/>
      <c r="F451" s="73">
        <v>0</v>
      </c>
      <c r="G451" s="73">
        <v>0</v>
      </c>
      <c r="H451" s="74" t="e">
        <f t="shared" si="72"/>
        <v>#DIV/0!</v>
      </c>
      <c r="I451" s="75" t="e">
        <f t="shared" si="73"/>
        <v>#DIV/0!</v>
      </c>
      <c r="J451" s="76" t="e">
        <f t="shared" si="74"/>
        <v>#DIV/0!</v>
      </c>
      <c r="K451" s="90">
        <v>8.31</v>
      </c>
      <c r="L451" s="73">
        <v>1217</v>
      </c>
      <c r="M451" s="73">
        <v>0</v>
      </c>
      <c r="N451" s="91">
        <v>0</v>
      </c>
      <c r="O451" s="79" t="e">
        <f t="shared" si="130"/>
        <v>#DIV/0!</v>
      </c>
      <c r="P451" s="80">
        <f t="shared" si="76"/>
        <v>0</v>
      </c>
      <c r="Q451" s="79" t="e">
        <f t="shared" si="77"/>
        <v>#DIV/0!</v>
      </c>
      <c r="R451" s="81" t="e">
        <f t="shared" si="78"/>
        <v>#DIV/0!</v>
      </c>
      <c r="S451" s="92">
        <f t="shared" si="129"/>
        <v>0</v>
      </c>
      <c r="T451" s="83" t="e">
        <f t="shared" si="79"/>
        <v>#DIV/0!</v>
      </c>
      <c r="U451" s="135"/>
      <c r="V451" s="135"/>
      <c r="W451" s="135"/>
      <c r="X451" s="135"/>
      <c r="Y451" s="136"/>
      <c r="Z451" s="50"/>
      <c r="AA451" s="50"/>
    </row>
    <row r="452" spans="1:27" ht="12.75" hidden="1" outlineLevel="1" x14ac:dyDescent="0.2">
      <c r="A452" s="50"/>
      <c r="B452" s="69" t="s">
        <v>37</v>
      </c>
      <c r="C452" s="70" t="s">
        <v>38</v>
      </c>
      <c r="D452" s="93">
        <v>89.85</v>
      </c>
      <c r="E452" s="298"/>
      <c r="F452" s="73">
        <v>3</v>
      </c>
      <c r="G452" s="73">
        <v>3</v>
      </c>
      <c r="H452" s="74">
        <f t="shared" si="72"/>
        <v>1</v>
      </c>
      <c r="I452" s="75">
        <f t="shared" si="73"/>
        <v>29.95</v>
      </c>
      <c r="J452" s="76">
        <f t="shared" si="74"/>
        <v>29.95</v>
      </c>
      <c r="K452" s="93">
        <v>53.65</v>
      </c>
      <c r="L452" s="73">
        <v>15664</v>
      </c>
      <c r="M452" s="73">
        <v>2</v>
      </c>
      <c r="N452" s="94">
        <v>59.9</v>
      </c>
      <c r="O452" s="79">
        <f t="shared" si="130"/>
        <v>0.89565943238731216</v>
      </c>
      <c r="P452" s="80">
        <f t="shared" si="76"/>
        <v>1.1164958061509787</v>
      </c>
      <c r="Q452" s="79">
        <f t="shared" si="77"/>
        <v>0.59710628825820811</v>
      </c>
      <c r="R452" s="81">
        <f t="shared" si="78"/>
        <v>0.66666666666666674</v>
      </c>
      <c r="S452" s="95">
        <f t="shared" si="129"/>
        <v>29.949999999999996</v>
      </c>
      <c r="T452" s="83">
        <f t="shared" si="79"/>
        <v>26.824999999999999</v>
      </c>
      <c r="U452" s="135"/>
      <c r="V452" s="135"/>
      <c r="W452" s="135"/>
      <c r="X452" s="135"/>
      <c r="Y452" s="136"/>
      <c r="Z452" s="50"/>
      <c r="AA452" s="50"/>
    </row>
    <row r="453" spans="1:27" ht="12.75" hidden="1" outlineLevel="1" x14ac:dyDescent="0.2">
      <c r="A453" s="50"/>
      <c r="B453" s="137"/>
      <c r="C453" s="70" t="s">
        <v>39</v>
      </c>
      <c r="D453" s="96">
        <v>0</v>
      </c>
      <c r="E453" s="298"/>
      <c r="F453" s="73">
        <v>0</v>
      </c>
      <c r="G453" s="73">
        <v>0</v>
      </c>
      <c r="H453" s="74" t="e">
        <f t="shared" si="72"/>
        <v>#DIV/0!</v>
      </c>
      <c r="I453" s="75" t="e">
        <f t="shared" si="73"/>
        <v>#DIV/0!</v>
      </c>
      <c r="J453" s="76" t="e">
        <f t="shared" si="74"/>
        <v>#DIV/0!</v>
      </c>
      <c r="K453" s="96">
        <v>0</v>
      </c>
      <c r="L453" s="73">
        <v>0</v>
      </c>
      <c r="M453" s="73">
        <v>0</v>
      </c>
      <c r="N453" s="97">
        <v>0</v>
      </c>
      <c r="O453" s="79" t="e">
        <f t="shared" si="130"/>
        <v>#DIV/0!</v>
      </c>
      <c r="P453" s="80" t="e">
        <f t="shared" si="76"/>
        <v>#DIV/0!</v>
      </c>
      <c r="Q453" s="79" t="e">
        <f t="shared" si="77"/>
        <v>#DIV/0!</v>
      </c>
      <c r="R453" s="81" t="e">
        <f t="shared" si="78"/>
        <v>#DIV/0!</v>
      </c>
      <c r="S453" s="98">
        <f t="shared" si="129"/>
        <v>0</v>
      </c>
      <c r="T453" s="83" t="e">
        <f t="shared" si="79"/>
        <v>#DIV/0!</v>
      </c>
      <c r="U453" s="135"/>
      <c r="V453" s="135"/>
      <c r="W453" s="135"/>
      <c r="X453" s="135"/>
      <c r="Y453" s="136"/>
      <c r="Z453" s="50"/>
      <c r="AA453" s="50"/>
    </row>
    <row r="454" spans="1:27" ht="12.75" hidden="1" outlineLevel="1" x14ac:dyDescent="0.2">
      <c r="A454" s="50"/>
      <c r="B454" s="137"/>
      <c r="C454" s="70" t="s">
        <v>40</v>
      </c>
      <c r="D454" s="99">
        <v>0</v>
      </c>
      <c r="E454" s="298"/>
      <c r="F454" s="73">
        <v>0</v>
      </c>
      <c r="G454" s="73">
        <v>0</v>
      </c>
      <c r="H454" s="74" t="e">
        <f t="shared" si="72"/>
        <v>#DIV/0!</v>
      </c>
      <c r="I454" s="75" t="e">
        <f t="shared" si="73"/>
        <v>#DIV/0!</v>
      </c>
      <c r="J454" s="76" t="e">
        <f t="shared" si="74"/>
        <v>#DIV/0!</v>
      </c>
      <c r="K454" s="99">
        <v>0</v>
      </c>
      <c r="L454" s="73">
        <v>0</v>
      </c>
      <c r="M454" s="73">
        <v>0</v>
      </c>
      <c r="N454" s="100">
        <v>0</v>
      </c>
      <c r="O454" s="79" t="e">
        <f t="shared" si="130"/>
        <v>#DIV/0!</v>
      </c>
      <c r="P454" s="80" t="e">
        <f t="shared" si="76"/>
        <v>#DIV/0!</v>
      </c>
      <c r="Q454" s="79" t="e">
        <f t="shared" si="77"/>
        <v>#DIV/0!</v>
      </c>
      <c r="R454" s="81" t="e">
        <f t="shared" si="78"/>
        <v>#DIV/0!</v>
      </c>
      <c r="S454" s="101">
        <f t="shared" si="129"/>
        <v>0</v>
      </c>
      <c r="T454" s="83" t="e">
        <f t="shared" si="79"/>
        <v>#DIV/0!</v>
      </c>
      <c r="U454" s="135"/>
      <c r="V454" s="135"/>
      <c r="W454" s="135"/>
      <c r="X454" s="135"/>
      <c r="Y454" s="136"/>
      <c r="Z454" s="50"/>
      <c r="AA454" s="50"/>
    </row>
    <row r="455" spans="1:27" ht="12.75" hidden="1" outlineLevel="1" x14ac:dyDescent="0.2">
      <c r="A455" s="50"/>
      <c r="B455" s="137"/>
      <c r="C455" s="70" t="s">
        <v>41</v>
      </c>
      <c r="D455" s="102">
        <v>109.98</v>
      </c>
      <c r="E455" s="298"/>
      <c r="F455" s="73">
        <v>2</v>
      </c>
      <c r="G455" s="73">
        <v>2</v>
      </c>
      <c r="H455" s="74">
        <f t="shared" si="72"/>
        <v>1</v>
      </c>
      <c r="I455" s="75">
        <f t="shared" si="73"/>
        <v>54.99</v>
      </c>
      <c r="J455" s="76">
        <f t="shared" si="74"/>
        <v>54.99</v>
      </c>
      <c r="K455" s="102">
        <v>55.42</v>
      </c>
      <c r="L455" s="73">
        <v>6823</v>
      </c>
      <c r="M455" s="73">
        <v>0</v>
      </c>
      <c r="N455" s="103">
        <v>0</v>
      </c>
      <c r="O455" s="79" t="e">
        <f t="shared" si="130"/>
        <v>#DIV/0!</v>
      </c>
      <c r="P455" s="80">
        <f t="shared" si="76"/>
        <v>0</v>
      </c>
      <c r="Q455" s="79">
        <f t="shared" si="77"/>
        <v>0.50390980178214217</v>
      </c>
      <c r="R455" s="81">
        <f t="shared" si="78"/>
        <v>0</v>
      </c>
      <c r="S455" s="104">
        <f t="shared" si="129"/>
        <v>109.98</v>
      </c>
      <c r="T455" s="83" t="e">
        <f t="shared" si="79"/>
        <v>#DIV/0!</v>
      </c>
      <c r="U455" s="135"/>
      <c r="V455" s="135"/>
      <c r="W455" s="135"/>
      <c r="X455" s="135"/>
      <c r="Y455" s="136"/>
      <c r="Z455" s="50"/>
      <c r="AA455" s="50"/>
    </row>
    <row r="456" spans="1:27" ht="12.75" hidden="1" outlineLevel="1" x14ac:dyDescent="0.2">
      <c r="A456" s="50"/>
      <c r="B456" s="137"/>
      <c r="C456" s="70" t="s">
        <v>42</v>
      </c>
      <c r="D456" s="90">
        <v>39.979999999999997</v>
      </c>
      <c r="E456" s="298"/>
      <c r="F456" s="73">
        <v>2</v>
      </c>
      <c r="G456" s="73">
        <v>1</v>
      </c>
      <c r="H456" s="74">
        <f t="shared" si="72"/>
        <v>2</v>
      </c>
      <c r="I456" s="75">
        <f t="shared" si="73"/>
        <v>19.989999999999998</v>
      </c>
      <c r="J456" s="76">
        <f t="shared" si="74"/>
        <v>9.9949999999999992</v>
      </c>
      <c r="K456" s="90">
        <v>3</v>
      </c>
      <c r="L456" s="73">
        <v>12079</v>
      </c>
      <c r="M456" s="73">
        <v>0</v>
      </c>
      <c r="N456" s="91">
        <v>0</v>
      </c>
      <c r="O456" s="79" t="e">
        <f t="shared" si="130"/>
        <v>#DIV/0!</v>
      </c>
      <c r="P456" s="80">
        <f t="shared" si="76"/>
        <v>0</v>
      </c>
      <c r="Q456" s="79">
        <f t="shared" si="77"/>
        <v>7.5037518759379696E-2</v>
      </c>
      <c r="R456" s="81">
        <f t="shared" si="78"/>
        <v>0</v>
      </c>
      <c r="S456" s="92">
        <f t="shared" si="129"/>
        <v>39.979999999999997</v>
      </c>
      <c r="T456" s="83" t="e">
        <f t="shared" si="79"/>
        <v>#DIV/0!</v>
      </c>
      <c r="U456" s="135"/>
      <c r="V456" s="135"/>
      <c r="W456" s="135"/>
      <c r="X456" s="135"/>
      <c r="Y456" s="136"/>
      <c r="Z456" s="50"/>
      <c r="AA456" s="50"/>
    </row>
    <row r="457" spans="1:27" ht="12.75" hidden="1" outlineLevel="1" x14ac:dyDescent="0.2">
      <c r="A457" s="50"/>
      <c r="B457" s="137"/>
      <c r="C457" s="70" t="s">
        <v>43</v>
      </c>
      <c r="D457" s="105">
        <v>205.95</v>
      </c>
      <c r="E457" s="298"/>
      <c r="F457" s="73">
        <v>1</v>
      </c>
      <c r="G457" s="73">
        <v>1</v>
      </c>
      <c r="H457" s="74">
        <f t="shared" si="72"/>
        <v>1</v>
      </c>
      <c r="I457" s="75">
        <f t="shared" si="73"/>
        <v>205.95</v>
      </c>
      <c r="J457" s="76">
        <f t="shared" si="74"/>
        <v>205.95</v>
      </c>
      <c r="K457" s="105">
        <v>15.29</v>
      </c>
      <c r="L457" s="73">
        <v>24325</v>
      </c>
      <c r="M457" s="73">
        <v>1</v>
      </c>
      <c r="N457" s="106">
        <v>205.95</v>
      </c>
      <c r="O457" s="79">
        <f t="shared" si="130"/>
        <v>7.424132070890993E-2</v>
      </c>
      <c r="P457" s="80">
        <f t="shared" si="76"/>
        <v>13.469587965990844</v>
      </c>
      <c r="Q457" s="79">
        <f t="shared" si="77"/>
        <v>7.424132070890993E-2</v>
      </c>
      <c r="R457" s="81">
        <f t="shared" si="78"/>
        <v>1</v>
      </c>
      <c r="S457" s="107">
        <f t="shared" si="129"/>
        <v>0</v>
      </c>
      <c r="T457" s="83">
        <f t="shared" si="79"/>
        <v>15.29</v>
      </c>
      <c r="U457" s="135"/>
      <c r="V457" s="135"/>
      <c r="W457" s="135"/>
      <c r="X457" s="135"/>
      <c r="Y457" s="136"/>
      <c r="Z457" s="50"/>
      <c r="AA457" s="50"/>
    </row>
    <row r="458" spans="1:27" ht="12.75" hidden="1" outlineLevel="1" x14ac:dyDescent="0.2">
      <c r="A458" s="50"/>
      <c r="B458" s="137"/>
      <c r="C458" s="70" t="s">
        <v>44</v>
      </c>
      <c r="D458" s="108">
        <v>44.95</v>
      </c>
      <c r="E458" s="298"/>
      <c r="F458" s="73">
        <v>1</v>
      </c>
      <c r="G458" s="73">
        <v>2</v>
      </c>
      <c r="H458" s="74">
        <f t="shared" si="72"/>
        <v>0.5</v>
      </c>
      <c r="I458" s="75">
        <f t="shared" si="73"/>
        <v>44.95</v>
      </c>
      <c r="J458" s="76">
        <f t="shared" si="74"/>
        <v>89.9</v>
      </c>
      <c r="K458" s="108">
        <v>18.23</v>
      </c>
      <c r="L458" s="73">
        <v>10368</v>
      </c>
      <c r="M458" s="73">
        <v>2</v>
      </c>
      <c r="N458" s="109">
        <v>89.9</v>
      </c>
      <c r="O458" s="79">
        <f t="shared" si="130"/>
        <v>0.20278086763070077</v>
      </c>
      <c r="P458" s="80">
        <f t="shared" si="76"/>
        <v>4.931431705979155</v>
      </c>
      <c r="Q458" s="79">
        <f t="shared" si="77"/>
        <v>0.40556173526140155</v>
      </c>
      <c r="R458" s="81">
        <f t="shared" si="78"/>
        <v>2</v>
      </c>
      <c r="S458" s="110">
        <f t="shared" si="129"/>
        <v>-44.95</v>
      </c>
      <c r="T458" s="83">
        <f t="shared" si="79"/>
        <v>9.1150000000000002</v>
      </c>
      <c r="U458" s="135"/>
      <c r="V458" s="135"/>
      <c r="W458" s="135"/>
      <c r="X458" s="135"/>
      <c r="Y458" s="136"/>
      <c r="Z458" s="50"/>
      <c r="AA458" s="50"/>
    </row>
    <row r="459" spans="1:27" ht="12.75" hidden="1" outlineLevel="1" x14ac:dyDescent="0.2">
      <c r="A459" s="139"/>
      <c r="B459" s="137"/>
      <c r="C459" s="112" t="s">
        <v>45</v>
      </c>
      <c r="D459" s="71">
        <v>69.8</v>
      </c>
      <c r="E459" s="298"/>
      <c r="F459" s="73">
        <v>4</v>
      </c>
      <c r="G459" s="73">
        <v>2</v>
      </c>
      <c r="H459" s="74">
        <f t="shared" si="72"/>
        <v>2</v>
      </c>
      <c r="I459" s="75">
        <f t="shared" si="73"/>
        <v>17.45</v>
      </c>
      <c r="J459" s="76">
        <f t="shared" si="74"/>
        <v>8.7249999999999996</v>
      </c>
      <c r="K459" s="71">
        <v>0</v>
      </c>
      <c r="L459" s="73">
        <v>0</v>
      </c>
      <c r="M459" s="73">
        <v>0</v>
      </c>
      <c r="N459" s="78">
        <v>0</v>
      </c>
      <c r="O459" s="79" t="e">
        <f t="shared" si="130"/>
        <v>#DIV/0!</v>
      </c>
      <c r="P459" s="80" t="e">
        <f t="shared" si="76"/>
        <v>#DIV/0!</v>
      </c>
      <c r="Q459" s="79">
        <f t="shared" si="77"/>
        <v>0</v>
      </c>
      <c r="R459" s="81">
        <f t="shared" si="78"/>
        <v>0</v>
      </c>
      <c r="S459" s="82">
        <f t="shared" si="129"/>
        <v>69.8</v>
      </c>
      <c r="T459" s="83" t="e">
        <f t="shared" si="79"/>
        <v>#DIV/0!</v>
      </c>
      <c r="U459" s="140"/>
      <c r="V459" s="140"/>
      <c r="W459" s="140"/>
      <c r="X459" s="141"/>
      <c r="Y459" s="142"/>
      <c r="Z459" s="50"/>
      <c r="AA459" s="50"/>
    </row>
    <row r="460" spans="1:27" ht="12.75" hidden="1" outlineLevel="1" x14ac:dyDescent="0.2">
      <c r="A460" s="50"/>
      <c r="B460" s="137"/>
      <c r="C460" s="70" t="s">
        <v>46</v>
      </c>
      <c r="D460" s="116">
        <v>310.16000000000003</v>
      </c>
      <c r="E460" s="298"/>
      <c r="F460" s="73">
        <v>7</v>
      </c>
      <c r="G460" s="73">
        <v>8</v>
      </c>
      <c r="H460" s="74">
        <f t="shared" si="72"/>
        <v>0.875</v>
      </c>
      <c r="I460" s="75">
        <f t="shared" si="73"/>
        <v>44.308571428571433</v>
      </c>
      <c r="J460" s="76">
        <f t="shared" si="74"/>
        <v>50.638367346938779</v>
      </c>
      <c r="K460" s="116">
        <v>66.59</v>
      </c>
      <c r="L460" s="73">
        <v>26183</v>
      </c>
      <c r="M460" s="73">
        <v>3</v>
      </c>
      <c r="N460" s="117">
        <v>134.85</v>
      </c>
      <c r="O460" s="79">
        <f t="shared" si="130"/>
        <v>0.49380793474230633</v>
      </c>
      <c r="P460" s="80">
        <f t="shared" si="76"/>
        <v>2.0250788406667666</v>
      </c>
      <c r="Q460" s="79">
        <f t="shared" si="77"/>
        <v>0.21469564095950477</v>
      </c>
      <c r="R460" s="81">
        <f t="shared" si="78"/>
        <v>0.4347755996904823</v>
      </c>
      <c r="S460" s="82">
        <f t="shared" si="129"/>
        <v>175.31000000000003</v>
      </c>
      <c r="T460" s="83">
        <f t="shared" si="79"/>
        <v>22.196666666666669</v>
      </c>
      <c r="U460" s="135"/>
      <c r="V460" s="135"/>
      <c r="W460" s="135"/>
      <c r="X460" s="135"/>
      <c r="Y460" s="136"/>
      <c r="Z460" s="50"/>
      <c r="AA460" s="50"/>
    </row>
    <row r="461" spans="1:27" ht="12.75" hidden="1" outlineLevel="1" x14ac:dyDescent="0.2">
      <c r="A461" s="118" t="str">
        <f t="shared" ref="A461:A462" si="131">IFERROR(IF(B461&gt;0,MONTH(B461)&amp;"-"&amp;YEAR(B461),B461),)</f>
        <v>6-2025</v>
      </c>
      <c r="B461" s="69">
        <v>45815</v>
      </c>
      <c r="C461" s="70" t="s">
        <v>49</v>
      </c>
      <c r="D461" s="116">
        <v>0</v>
      </c>
      <c r="E461" s="298"/>
      <c r="F461" s="73">
        <v>0</v>
      </c>
      <c r="G461" s="73">
        <v>0</v>
      </c>
      <c r="H461" s="74" t="e">
        <f t="shared" si="72"/>
        <v>#DIV/0!</v>
      </c>
      <c r="I461" s="75" t="e">
        <f t="shared" si="73"/>
        <v>#DIV/0!</v>
      </c>
      <c r="J461" s="76" t="e">
        <f t="shared" si="74"/>
        <v>#DIV/0!</v>
      </c>
      <c r="K461" s="116">
        <v>3.79</v>
      </c>
      <c r="L461" s="73">
        <v>6277</v>
      </c>
      <c r="M461" s="73">
        <v>0</v>
      </c>
      <c r="N461" s="117">
        <v>0</v>
      </c>
      <c r="O461" s="79" t="e">
        <f t="shared" si="130"/>
        <v>#DIV/0!</v>
      </c>
      <c r="P461" s="80">
        <f t="shared" si="76"/>
        <v>0</v>
      </c>
      <c r="Q461" s="79" t="e">
        <f t="shared" si="77"/>
        <v>#DIV/0!</v>
      </c>
      <c r="R461" s="81" t="e">
        <f t="shared" si="78"/>
        <v>#DIV/0!</v>
      </c>
      <c r="S461" s="82">
        <f t="shared" si="129"/>
        <v>0</v>
      </c>
      <c r="T461" s="83" t="e">
        <f t="shared" si="79"/>
        <v>#DIV/0!</v>
      </c>
      <c r="U461" s="135"/>
      <c r="V461" s="135"/>
      <c r="W461" s="135"/>
      <c r="X461" s="135"/>
      <c r="Y461" s="136"/>
      <c r="Z461" s="50"/>
      <c r="AA461" s="50"/>
    </row>
    <row r="462" spans="1:27" ht="12.75" collapsed="1" x14ac:dyDescent="0.2">
      <c r="A462" s="50">
        <f t="shared" si="131"/>
        <v>0</v>
      </c>
      <c r="B462" s="52" t="s">
        <v>81</v>
      </c>
      <c r="C462" s="145"/>
      <c r="D462" s="121">
        <f>SUM(D445:D461)</f>
        <v>9770.27</v>
      </c>
      <c r="E462" s="297"/>
      <c r="F462" s="123">
        <f t="shared" ref="F462:G462" si="132">SUM(F445:F461)</f>
        <v>64</v>
      </c>
      <c r="G462" s="123">
        <f t="shared" si="132"/>
        <v>68</v>
      </c>
      <c r="H462" s="124">
        <f t="shared" si="72"/>
        <v>0.94117647058823528</v>
      </c>
      <c r="I462" s="125">
        <f t="shared" si="73"/>
        <v>152.66046875000001</v>
      </c>
      <c r="J462" s="126">
        <f t="shared" si="74"/>
        <v>162.201748046875</v>
      </c>
      <c r="K462" s="121">
        <f t="shared" ref="K462:N462" si="133">SUM(K445:K461)</f>
        <v>889.55</v>
      </c>
      <c r="L462" s="123">
        <f t="shared" si="133"/>
        <v>298461</v>
      </c>
      <c r="M462" s="123">
        <f t="shared" si="133"/>
        <v>25</v>
      </c>
      <c r="N462" s="127">
        <f t="shared" si="133"/>
        <v>3341.1499999999996</v>
      </c>
      <c r="O462" s="128">
        <f t="shared" si="130"/>
        <v>0.26624066563907639</v>
      </c>
      <c r="P462" s="129">
        <f t="shared" si="76"/>
        <v>3.7560002248327806</v>
      </c>
      <c r="Q462" s="128">
        <f t="shared" si="77"/>
        <v>9.104661386021061E-2</v>
      </c>
      <c r="R462" s="130">
        <f t="shared" si="78"/>
        <v>0.34197110212921439</v>
      </c>
      <c r="S462" s="131">
        <f>SUM(S445:S461)</f>
        <v>6429.119999999999</v>
      </c>
      <c r="T462" s="132">
        <f t="shared" si="79"/>
        <v>35.582000000000001</v>
      </c>
      <c r="U462" s="133">
        <f>IFERROR((D462-D246)/D462,)</f>
        <v>0.22404191491125655</v>
      </c>
      <c r="V462" s="273">
        <f>IFERROR((F462-F246)/F462,)</f>
        <v>-0.46875</v>
      </c>
      <c r="W462" s="271">
        <f>IFERROR((D462-[1]monthly_reporting_2021!E253)/D462, )</f>
        <v>0</v>
      </c>
      <c r="X462" s="271">
        <f>IFERROR((F462-[1]monthly_reporting_2021!F253)/F462, )</f>
        <v>0</v>
      </c>
      <c r="Y462" s="50"/>
      <c r="Z462" s="50"/>
      <c r="AA462" s="50"/>
    </row>
    <row r="463" spans="1:27" ht="12.75" hidden="1" outlineLevel="1" x14ac:dyDescent="0.2">
      <c r="A463" s="50"/>
      <c r="B463" s="69">
        <v>45816</v>
      </c>
      <c r="C463" s="70" t="s">
        <v>32</v>
      </c>
      <c r="D463" s="71">
        <v>-1273.1500000000001</v>
      </c>
      <c r="E463" s="298"/>
      <c r="F463" s="73">
        <v>1</v>
      </c>
      <c r="G463" s="73">
        <v>5</v>
      </c>
      <c r="H463" s="74">
        <f t="shared" si="72"/>
        <v>0.2</v>
      </c>
      <c r="I463" s="75">
        <f t="shared" si="73"/>
        <v>-1273.1500000000001</v>
      </c>
      <c r="J463" s="76">
        <f t="shared" si="74"/>
        <v>-6365.75</v>
      </c>
      <c r="K463" s="77">
        <v>325.77999999999997</v>
      </c>
      <c r="L463" s="73">
        <v>92597</v>
      </c>
      <c r="M463" s="73">
        <v>2</v>
      </c>
      <c r="N463" s="78">
        <v>628.95000000000005</v>
      </c>
      <c r="O463" s="79">
        <f t="shared" si="130"/>
        <v>0.51797440178074561</v>
      </c>
      <c r="P463" s="80">
        <f t="shared" si="76"/>
        <v>1.9305973356252688</v>
      </c>
      <c r="Q463" s="79">
        <f t="shared" si="77"/>
        <v>-0.25588500962180416</v>
      </c>
      <c r="R463" s="81">
        <f t="shared" si="78"/>
        <v>-0.49401091780230139</v>
      </c>
      <c r="S463" s="82">
        <f t="shared" ref="S463:S479" si="134">D463-N463</f>
        <v>-1902.1000000000001</v>
      </c>
      <c r="T463" s="83">
        <f t="shared" si="79"/>
        <v>162.88999999999999</v>
      </c>
      <c r="U463" s="135"/>
      <c r="V463" s="135"/>
      <c r="W463" s="135"/>
      <c r="X463" s="135"/>
      <c r="Y463" s="136"/>
      <c r="Z463" s="50"/>
      <c r="AA463" s="50"/>
    </row>
    <row r="464" spans="1:27" ht="12.75" hidden="1" outlineLevel="1" x14ac:dyDescent="0.2">
      <c r="A464" s="50"/>
      <c r="B464" s="137"/>
      <c r="C464" s="70" t="s">
        <v>33</v>
      </c>
      <c r="D464" s="87">
        <v>4078.34</v>
      </c>
      <c r="E464" s="298"/>
      <c r="F464" s="73">
        <v>36</v>
      </c>
      <c r="G464" s="73">
        <v>40</v>
      </c>
      <c r="H464" s="74">
        <f t="shared" si="72"/>
        <v>0.9</v>
      </c>
      <c r="I464" s="75">
        <f t="shared" si="73"/>
        <v>113.28722222222223</v>
      </c>
      <c r="J464" s="76">
        <f t="shared" si="74"/>
        <v>125.87469135802469</v>
      </c>
      <c r="K464" s="87">
        <v>245.4</v>
      </c>
      <c r="L464" s="73">
        <v>91425</v>
      </c>
      <c r="M464" s="73">
        <v>17</v>
      </c>
      <c r="N464" s="88">
        <v>1016.4</v>
      </c>
      <c r="O464" s="79">
        <f t="shared" si="130"/>
        <v>0.24144037780401417</v>
      </c>
      <c r="P464" s="80">
        <f t="shared" si="76"/>
        <v>4.1418092909535451</v>
      </c>
      <c r="Q464" s="79">
        <f t="shared" si="77"/>
        <v>6.0171540381625858E-2</v>
      </c>
      <c r="R464" s="81">
        <f t="shared" si="78"/>
        <v>0.24921904500360439</v>
      </c>
      <c r="S464" s="89">
        <f t="shared" si="134"/>
        <v>3061.94</v>
      </c>
      <c r="T464" s="83">
        <f t="shared" si="79"/>
        <v>14.435294117647059</v>
      </c>
      <c r="U464" s="135"/>
      <c r="V464" s="135"/>
      <c r="W464" s="135"/>
      <c r="X464" s="135"/>
      <c r="Y464" s="136"/>
      <c r="Z464" s="50"/>
      <c r="AA464" s="50"/>
    </row>
    <row r="465" spans="1:27" ht="12.75" hidden="1" outlineLevel="1" x14ac:dyDescent="0.2">
      <c r="A465" s="50"/>
      <c r="B465" s="137"/>
      <c r="C465" s="70" t="s">
        <v>34</v>
      </c>
      <c r="D465" s="90">
        <v>0</v>
      </c>
      <c r="E465" s="298"/>
      <c r="F465" s="73">
        <v>0</v>
      </c>
      <c r="G465" s="73">
        <v>0</v>
      </c>
      <c r="H465" s="74" t="e">
        <f t="shared" si="72"/>
        <v>#DIV/0!</v>
      </c>
      <c r="I465" s="75" t="e">
        <f t="shared" si="73"/>
        <v>#DIV/0!</v>
      </c>
      <c r="J465" s="76" t="e">
        <f t="shared" si="74"/>
        <v>#DIV/0!</v>
      </c>
      <c r="K465" s="90">
        <v>0</v>
      </c>
      <c r="L465" s="73">
        <v>1</v>
      </c>
      <c r="M465" s="73">
        <v>0</v>
      </c>
      <c r="N465" s="91">
        <v>0</v>
      </c>
      <c r="O465" s="79" t="e">
        <f>(K465/N465)</f>
        <v>#DIV/0!</v>
      </c>
      <c r="P465" s="80" t="e">
        <f t="shared" si="76"/>
        <v>#DIV/0!</v>
      </c>
      <c r="Q465" s="79" t="e">
        <f t="shared" si="77"/>
        <v>#DIV/0!</v>
      </c>
      <c r="R465" s="81" t="e">
        <f t="shared" si="78"/>
        <v>#DIV/0!</v>
      </c>
      <c r="S465" s="92">
        <f t="shared" si="134"/>
        <v>0</v>
      </c>
      <c r="T465" s="83" t="e">
        <f t="shared" si="79"/>
        <v>#DIV/0!</v>
      </c>
      <c r="U465" s="135"/>
      <c r="V465" s="135"/>
      <c r="W465" s="135"/>
      <c r="X465" s="135"/>
      <c r="Y465" s="136"/>
      <c r="Z465" s="50"/>
      <c r="AA465" s="50"/>
    </row>
    <row r="466" spans="1:27" ht="12.75" hidden="1" outlineLevel="1" x14ac:dyDescent="0.2">
      <c r="A466" s="50"/>
      <c r="B466" s="137"/>
      <c r="C466" s="70" t="s">
        <v>35</v>
      </c>
      <c r="D466" s="90">
        <v>905.25</v>
      </c>
      <c r="E466" s="298"/>
      <c r="F466" s="73">
        <v>15</v>
      </c>
      <c r="G466" s="73">
        <v>13</v>
      </c>
      <c r="H466" s="74">
        <f t="shared" si="72"/>
        <v>1.1538461538461537</v>
      </c>
      <c r="I466" s="75">
        <f t="shared" si="73"/>
        <v>60.35</v>
      </c>
      <c r="J466" s="76">
        <f t="shared" si="74"/>
        <v>52.303333333333342</v>
      </c>
      <c r="K466" s="90">
        <v>59.65</v>
      </c>
      <c r="L466" s="73">
        <v>4492</v>
      </c>
      <c r="M466" s="73">
        <v>6</v>
      </c>
      <c r="N466" s="91">
        <v>359.7</v>
      </c>
      <c r="O466" s="79">
        <f t="shared" ref="O466:O482" si="135">K466/N466</f>
        <v>0.16583263830970252</v>
      </c>
      <c r="P466" s="80">
        <f t="shared" si="76"/>
        <v>6.0301760268231348</v>
      </c>
      <c r="Q466" s="79">
        <f t="shared" si="77"/>
        <v>6.5893399613366474E-2</v>
      </c>
      <c r="R466" s="81">
        <f t="shared" si="78"/>
        <v>0.39734879867439932</v>
      </c>
      <c r="S466" s="92">
        <f t="shared" si="134"/>
        <v>545.54999999999995</v>
      </c>
      <c r="T466" s="83">
        <f t="shared" si="79"/>
        <v>9.9416666666666664</v>
      </c>
      <c r="U466" s="135"/>
      <c r="V466" s="135"/>
      <c r="W466" s="135"/>
      <c r="X466" s="135"/>
      <c r="Y466" s="136"/>
      <c r="Z466" s="50"/>
      <c r="AA466" s="50"/>
    </row>
    <row r="467" spans="1:27" ht="12.75" hidden="1" outlineLevel="1" x14ac:dyDescent="0.2">
      <c r="A467" s="50"/>
      <c r="B467" s="137"/>
      <c r="C467" s="70" t="s">
        <v>62</v>
      </c>
      <c r="D467" s="200">
        <v>0</v>
      </c>
      <c r="E467" s="298"/>
      <c r="F467" s="73">
        <v>0</v>
      </c>
      <c r="G467" s="73">
        <v>0</v>
      </c>
      <c r="H467" s="74" t="e">
        <f t="shared" si="72"/>
        <v>#DIV/0!</v>
      </c>
      <c r="I467" s="75" t="e">
        <f t="shared" si="73"/>
        <v>#DIV/0!</v>
      </c>
      <c r="J467" s="76" t="e">
        <f t="shared" si="74"/>
        <v>#DIV/0!</v>
      </c>
      <c r="K467" s="200">
        <v>0</v>
      </c>
      <c r="L467" s="73">
        <v>0</v>
      </c>
      <c r="M467" s="73">
        <v>0</v>
      </c>
      <c r="N467" s="200">
        <v>0</v>
      </c>
      <c r="O467" s="79" t="e">
        <f t="shared" si="135"/>
        <v>#DIV/0!</v>
      </c>
      <c r="P467" s="80" t="e">
        <f t="shared" si="76"/>
        <v>#DIV/0!</v>
      </c>
      <c r="Q467" s="79" t="e">
        <f t="shared" si="77"/>
        <v>#DIV/0!</v>
      </c>
      <c r="R467" s="81" t="e">
        <f t="shared" si="78"/>
        <v>#DIV/0!</v>
      </c>
      <c r="S467" s="92">
        <f t="shared" si="134"/>
        <v>0</v>
      </c>
      <c r="T467" s="83" t="e">
        <f t="shared" si="79"/>
        <v>#DIV/0!</v>
      </c>
      <c r="U467" s="135"/>
      <c r="V467" s="135"/>
      <c r="W467" s="135"/>
      <c r="X467" s="135"/>
      <c r="Y467" s="136"/>
      <c r="Z467" s="50"/>
      <c r="AA467" s="50"/>
    </row>
    <row r="468" spans="1:27" ht="12.75" hidden="1" outlineLevel="1" x14ac:dyDescent="0.2">
      <c r="A468" s="50"/>
      <c r="B468" s="137"/>
      <c r="C468" s="70" t="s">
        <v>66</v>
      </c>
      <c r="D468" s="201">
        <v>0</v>
      </c>
      <c r="E468" s="298"/>
      <c r="F468" s="73">
        <v>0</v>
      </c>
      <c r="G468" s="73">
        <v>0</v>
      </c>
      <c r="H468" s="74" t="e">
        <f t="shared" si="72"/>
        <v>#DIV/0!</v>
      </c>
      <c r="I468" s="75" t="e">
        <f t="shared" si="73"/>
        <v>#DIV/0!</v>
      </c>
      <c r="J468" s="76" t="e">
        <f t="shared" si="74"/>
        <v>#DIV/0!</v>
      </c>
      <c r="K468" s="201">
        <v>0</v>
      </c>
      <c r="L468" s="73">
        <v>0</v>
      </c>
      <c r="M468" s="73">
        <v>0</v>
      </c>
      <c r="N468" s="202">
        <v>0</v>
      </c>
      <c r="O468" s="79" t="e">
        <f t="shared" si="135"/>
        <v>#DIV/0!</v>
      </c>
      <c r="P468" s="80" t="e">
        <f t="shared" si="76"/>
        <v>#DIV/0!</v>
      </c>
      <c r="Q468" s="79" t="e">
        <f t="shared" si="77"/>
        <v>#DIV/0!</v>
      </c>
      <c r="R468" s="81" t="e">
        <f t="shared" si="78"/>
        <v>#DIV/0!</v>
      </c>
      <c r="S468" s="203">
        <f t="shared" si="134"/>
        <v>0</v>
      </c>
      <c r="T468" s="83" t="e">
        <f t="shared" si="79"/>
        <v>#DIV/0!</v>
      </c>
      <c r="U468" s="135"/>
      <c r="V468" s="135"/>
      <c r="W468" s="135"/>
      <c r="X468" s="135"/>
      <c r="Y468" s="136"/>
      <c r="Z468" s="50"/>
      <c r="AA468" s="50"/>
    </row>
    <row r="469" spans="1:27" ht="12.75" hidden="1" outlineLevel="1" x14ac:dyDescent="0.2">
      <c r="A469" s="50"/>
      <c r="B469" s="137"/>
      <c r="C469" s="70" t="s">
        <v>36</v>
      </c>
      <c r="D469" s="90">
        <v>719.4</v>
      </c>
      <c r="E469" s="298"/>
      <c r="F469" s="73">
        <v>12</v>
      </c>
      <c r="G469" s="73">
        <v>8</v>
      </c>
      <c r="H469" s="74">
        <f t="shared" si="72"/>
        <v>1.5</v>
      </c>
      <c r="I469" s="75">
        <f t="shared" si="73"/>
        <v>59.949999999999996</v>
      </c>
      <c r="J469" s="76">
        <f t="shared" si="74"/>
        <v>39.966666666666661</v>
      </c>
      <c r="K469" s="90">
        <v>55.14</v>
      </c>
      <c r="L469" s="73">
        <v>14476</v>
      </c>
      <c r="M469" s="73">
        <v>3</v>
      </c>
      <c r="N469" s="91">
        <v>119.9</v>
      </c>
      <c r="O469" s="79">
        <f t="shared" si="135"/>
        <v>0.45988323603002501</v>
      </c>
      <c r="P469" s="80">
        <f t="shared" si="76"/>
        <v>2.1744649981864348</v>
      </c>
      <c r="Q469" s="79">
        <f t="shared" si="77"/>
        <v>7.6647206005004173E-2</v>
      </c>
      <c r="R469" s="81">
        <f t="shared" si="78"/>
        <v>0.16666666666666669</v>
      </c>
      <c r="S469" s="92">
        <f t="shared" si="134"/>
        <v>599.5</v>
      </c>
      <c r="T469" s="83">
        <f t="shared" si="79"/>
        <v>18.38</v>
      </c>
      <c r="U469" s="135"/>
      <c r="V469" s="135"/>
      <c r="W469" s="135"/>
      <c r="X469" s="135"/>
      <c r="Y469" s="136"/>
      <c r="Z469" s="50"/>
      <c r="AA469" s="50"/>
    </row>
    <row r="470" spans="1:27" ht="12.75" hidden="1" outlineLevel="1" x14ac:dyDescent="0.2">
      <c r="A470" s="50"/>
      <c r="B470" s="69" t="s">
        <v>37</v>
      </c>
      <c r="C470" s="70" t="s">
        <v>38</v>
      </c>
      <c r="D470" s="93">
        <v>5</v>
      </c>
      <c r="E470" s="298"/>
      <c r="F470" s="73">
        <v>0</v>
      </c>
      <c r="G470" s="73">
        <v>1</v>
      </c>
      <c r="H470" s="74">
        <f t="shared" si="72"/>
        <v>0</v>
      </c>
      <c r="I470" s="75" t="e">
        <f t="shared" si="73"/>
        <v>#DIV/0!</v>
      </c>
      <c r="J470" s="76" t="e">
        <f t="shared" si="74"/>
        <v>#DIV/0!</v>
      </c>
      <c r="K470" s="93">
        <v>45.64</v>
      </c>
      <c r="L470" s="73">
        <v>17257</v>
      </c>
      <c r="M470" s="73">
        <v>0</v>
      </c>
      <c r="N470" s="94">
        <v>0</v>
      </c>
      <c r="O470" s="79" t="e">
        <f t="shared" si="135"/>
        <v>#DIV/0!</v>
      </c>
      <c r="P470" s="80">
        <f t="shared" si="76"/>
        <v>0</v>
      </c>
      <c r="Q470" s="79">
        <f t="shared" si="77"/>
        <v>9.1280000000000001</v>
      </c>
      <c r="R470" s="81">
        <f t="shared" si="78"/>
        <v>0</v>
      </c>
      <c r="S470" s="95">
        <f t="shared" si="134"/>
        <v>5</v>
      </c>
      <c r="T470" s="83" t="e">
        <f t="shared" si="79"/>
        <v>#DIV/0!</v>
      </c>
      <c r="U470" s="135"/>
      <c r="V470" s="135"/>
      <c r="W470" s="135"/>
      <c r="X470" s="135"/>
      <c r="Y470" s="136"/>
      <c r="Z470" s="50"/>
      <c r="AA470" s="50"/>
    </row>
    <row r="471" spans="1:27" ht="12.75" hidden="1" outlineLevel="1" x14ac:dyDescent="0.2">
      <c r="A471" s="50"/>
      <c r="B471" s="137"/>
      <c r="C471" s="70" t="s">
        <v>39</v>
      </c>
      <c r="D471" s="96">
        <v>0</v>
      </c>
      <c r="E471" s="298"/>
      <c r="F471" s="73">
        <v>0</v>
      </c>
      <c r="G471" s="73">
        <v>0</v>
      </c>
      <c r="H471" s="74" t="e">
        <f t="shared" si="72"/>
        <v>#DIV/0!</v>
      </c>
      <c r="I471" s="75" t="e">
        <f t="shared" si="73"/>
        <v>#DIV/0!</v>
      </c>
      <c r="J471" s="76" t="e">
        <f t="shared" si="74"/>
        <v>#DIV/0!</v>
      </c>
      <c r="K471" s="96">
        <v>0</v>
      </c>
      <c r="L471" s="73">
        <v>0</v>
      </c>
      <c r="M471" s="73">
        <v>0</v>
      </c>
      <c r="N471" s="97">
        <v>0</v>
      </c>
      <c r="O471" s="79" t="e">
        <f t="shared" si="135"/>
        <v>#DIV/0!</v>
      </c>
      <c r="P471" s="80" t="e">
        <f t="shared" si="76"/>
        <v>#DIV/0!</v>
      </c>
      <c r="Q471" s="79" t="e">
        <f t="shared" si="77"/>
        <v>#DIV/0!</v>
      </c>
      <c r="R471" s="81" t="e">
        <f t="shared" si="78"/>
        <v>#DIV/0!</v>
      </c>
      <c r="S471" s="98">
        <f t="shared" si="134"/>
        <v>0</v>
      </c>
      <c r="T471" s="83" t="e">
        <f t="shared" si="79"/>
        <v>#DIV/0!</v>
      </c>
      <c r="U471" s="135"/>
      <c r="V471" s="135"/>
      <c r="W471" s="135"/>
      <c r="X471" s="135"/>
      <c r="Y471" s="136"/>
      <c r="Z471" s="50"/>
      <c r="AA471" s="50"/>
    </row>
    <row r="472" spans="1:27" ht="12.75" hidden="1" outlineLevel="1" x14ac:dyDescent="0.2">
      <c r="A472" s="50"/>
      <c r="B472" s="137"/>
      <c r="C472" s="70" t="s">
        <v>40</v>
      </c>
      <c r="D472" s="99">
        <v>0</v>
      </c>
      <c r="E472" s="298"/>
      <c r="F472" s="73">
        <v>0</v>
      </c>
      <c r="G472" s="73">
        <v>0</v>
      </c>
      <c r="H472" s="74" t="e">
        <f t="shared" si="72"/>
        <v>#DIV/0!</v>
      </c>
      <c r="I472" s="75" t="e">
        <f t="shared" si="73"/>
        <v>#DIV/0!</v>
      </c>
      <c r="J472" s="76" t="e">
        <f t="shared" si="74"/>
        <v>#DIV/0!</v>
      </c>
      <c r="K472" s="99">
        <v>0</v>
      </c>
      <c r="L472" s="73">
        <v>0</v>
      </c>
      <c r="M472" s="73">
        <v>0</v>
      </c>
      <c r="N472" s="100">
        <v>0</v>
      </c>
      <c r="O472" s="79" t="e">
        <f t="shared" si="135"/>
        <v>#DIV/0!</v>
      </c>
      <c r="P472" s="80" t="e">
        <f t="shared" si="76"/>
        <v>#DIV/0!</v>
      </c>
      <c r="Q472" s="79" t="e">
        <f t="shared" si="77"/>
        <v>#DIV/0!</v>
      </c>
      <c r="R472" s="81" t="e">
        <f t="shared" si="78"/>
        <v>#DIV/0!</v>
      </c>
      <c r="S472" s="101">
        <f t="shared" si="134"/>
        <v>0</v>
      </c>
      <c r="T472" s="83" t="e">
        <f t="shared" si="79"/>
        <v>#DIV/0!</v>
      </c>
      <c r="U472" s="135"/>
      <c r="V472" s="135"/>
      <c r="W472" s="135"/>
      <c r="X472" s="135"/>
      <c r="Y472" s="136"/>
      <c r="Z472" s="50"/>
      <c r="AA472" s="50"/>
    </row>
    <row r="473" spans="1:27" ht="12.75" hidden="1" outlineLevel="1" x14ac:dyDescent="0.2">
      <c r="A473" s="50"/>
      <c r="B473" s="137"/>
      <c r="C473" s="70" t="s">
        <v>41</v>
      </c>
      <c r="D473" s="102">
        <v>494.91</v>
      </c>
      <c r="E473" s="298"/>
      <c r="F473" s="73">
        <v>9</v>
      </c>
      <c r="G473" s="73">
        <v>9</v>
      </c>
      <c r="H473" s="74">
        <f t="shared" si="72"/>
        <v>1</v>
      </c>
      <c r="I473" s="75">
        <f t="shared" si="73"/>
        <v>54.99</v>
      </c>
      <c r="J473" s="76">
        <f t="shared" si="74"/>
        <v>54.99</v>
      </c>
      <c r="K473" s="102">
        <v>93.9</v>
      </c>
      <c r="L473" s="73">
        <v>14200</v>
      </c>
      <c r="M473" s="73">
        <v>2</v>
      </c>
      <c r="N473" s="103">
        <v>109.98</v>
      </c>
      <c r="O473" s="79">
        <f t="shared" si="135"/>
        <v>0.85379159847244956</v>
      </c>
      <c r="P473" s="80">
        <f t="shared" si="76"/>
        <v>1.1712460063897763</v>
      </c>
      <c r="Q473" s="79">
        <f t="shared" si="77"/>
        <v>0.18973146632721102</v>
      </c>
      <c r="R473" s="81">
        <f t="shared" si="78"/>
        <v>0.22222222222222221</v>
      </c>
      <c r="S473" s="104">
        <f t="shared" si="134"/>
        <v>384.93</v>
      </c>
      <c r="T473" s="83">
        <f t="shared" si="79"/>
        <v>46.95</v>
      </c>
      <c r="U473" s="135"/>
      <c r="V473" s="135"/>
      <c r="W473" s="135"/>
      <c r="X473" s="135"/>
      <c r="Y473" s="136"/>
      <c r="Z473" s="50"/>
      <c r="AA473" s="50"/>
    </row>
    <row r="474" spans="1:27" ht="12.75" hidden="1" outlineLevel="1" x14ac:dyDescent="0.2">
      <c r="A474" s="50"/>
      <c r="B474" s="137"/>
      <c r="C474" s="70" t="s">
        <v>42</v>
      </c>
      <c r="D474" s="90">
        <v>159.91999999999999</v>
      </c>
      <c r="E474" s="298"/>
      <c r="F474" s="73">
        <v>8</v>
      </c>
      <c r="G474" s="73">
        <v>7</v>
      </c>
      <c r="H474" s="74">
        <f t="shared" si="72"/>
        <v>1.1428571428571428</v>
      </c>
      <c r="I474" s="75">
        <f t="shared" si="73"/>
        <v>19.989999999999998</v>
      </c>
      <c r="J474" s="76">
        <f t="shared" si="74"/>
        <v>17.491250000000001</v>
      </c>
      <c r="K474" s="90">
        <v>4.1399999999999997</v>
      </c>
      <c r="L474" s="73">
        <v>9150</v>
      </c>
      <c r="M474" s="73">
        <v>4</v>
      </c>
      <c r="N474" s="91">
        <v>79.959999999999994</v>
      </c>
      <c r="O474" s="79">
        <f t="shared" si="135"/>
        <v>5.1775887943971984E-2</v>
      </c>
      <c r="P474" s="80">
        <f t="shared" si="76"/>
        <v>19.314009661835748</v>
      </c>
      <c r="Q474" s="79">
        <f t="shared" si="77"/>
        <v>2.5887943971985992E-2</v>
      </c>
      <c r="R474" s="81">
        <f t="shared" si="78"/>
        <v>0.5</v>
      </c>
      <c r="S474" s="92">
        <f t="shared" si="134"/>
        <v>79.959999999999994</v>
      </c>
      <c r="T474" s="83">
        <f t="shared" si="79"/>
        <v>1.0349999999999999</v>
      </c>
      <c r="U474" s="135"/>
      <c r="V474" s="135"/>
      <c r="W474" s="135"/>
      <c r="X474" s="135"/>
      <c r="Y474" s="136"/>
      <c r="Z474" s="50"/>
      <c r="AA474" s="50"/>
    </row>
    <row r="475" spans="1:27" ht="12.75" hidden="1" outlineLevel="1" x14ac:dyDescent="0.2">
      <c r="A475" s="50"/>
      <c r="B475" s="137"/>
      <c r="C475" s="70" t="s">
        <v>43</v>
      </c>
      <c r="D475" s="105">
        <v>1317.8</v>
      </c>
      <c r="E475" s="298"/>
      <c r="F475" s="73">
        <v>8</v>
      </c>
      <c r="G475" s="73">
        <v>10</v>
      </c>
      <c r="H475" s="74">
        <f t="shared" si="72"/>
        <v>0.8</v>
      </c>
      <c r="I475" s="75">
        <f t="shared" si="73"/>
        <v>164.72499999999999</v>
      </c>
      <c r="J475" s="76">
        <f t="shared" si="74"/>
        <v>205.90624999999997</v>
      </c>
      <c r="K475" s="105">
        <v>18.510000000000002</v>
      </c>
      <c r="L475" s="73">
        <v>23677</v>
      </c>
      <c r="M475" s="73">
        <v>1</v>
      </c>
      <c r="N475" s="106">
        <v>205.95</v>
      </c>
      <c r="O475" s="79">
        <f t="shared" si="135"/>
        <v>8.9876183539694107E-2</v>
      </c>
      <c r="P475" s="80">
        <f t="shared" si="76"/>
        <v>11.12641815235008</v>
      </c>
      <c r="Q475" s="79">
        <f t="shared" si="77"/>
        <v>1.4046137501897102E-2</v>
      </c>
      <c r="R475" s="81">
        <f t="shared" si="78"/>
        <v>0.15628319927151313</v>
      </c>
      <c r="S475" s="107">
        <f t="shared" si="134"/>
        <v>1111.8499999999999</v>
      </c>
      <c r="T475" s="83">
        <f t="shared" si="79"/>
        <v>18.510000000000002</v>
      </c>
      <c r="U475" s="135"/>
      <c r="V475" s="135"/>
      <c r="W475" s="135"/>
      <c r="X475" s="135"/>
      <c r="Y475" s="136"/>
      <c r="Z475" s="50"/>
      <c r="AA475" s="50"/>
    </row>
    <row r="476" spans="1:27" ht="12.75" hidden="1" outlineLevel="1" x14ac:dyDescent="0.2">
      <c r="A476" s="50"/>
      <c r="B476" s="137"/>
      <c r="C476" s="70" t="s">
        <v>44</v>
      </c>
      <c r="D476" s="108">
        <v>144.85</v>
      </c>
      <c r="E476" s="298"/>
      <c r="F476" s="73">
        <v>3</v>
      </c>
      <c r="G476" s="73">
        <v>4</v>
      </c>
      <c r="H476" s="74">
        <f t="shared" si="72"/>
        <v>0.75</v>
      </c>
      <c r="I476" s="75">
        <f t="shared" si="73"/>
        <v>48.283333333333331</v>
      </c>
      <c r="J476" s="76">
        <f t="shared" si="74"/>
        <v>64.37777777777778</v>
      </c>
      <c r="K476" s="108">
        <v>21.63</v>
      </c>
      <c r="L476" s="73">
        <v>11095</v>
      </c>
      <c r="M476" s="73">
        <v>1</v>
      </c>
      <c r="N476" s="109">
        <v>44.95</v>
      </c>
      <c r="O476" s="79">
        <f t="shared" si="135"/>
        <v>0.48120133481646271</v>
      </c>
      <c r="P476" s="80">
        <f t="shared" si="76"/>
        <v>2.078132223763292</v>
      </c>
      <c r="Q476" s="79">
        <f t="shared" si="77"/>
        <v>0.14932688988608905</v>
      </c>
      <c r="R476" s="81">
        <f t="shared" si="78"/>
        <v>0.31032102174663451</v>
      </c>
      <c r="S476" s="110">
        <f t="shared" si="134"/>
        <v>99.899999999999991</v>
      </c>
      <c r="T476" s="83">
        <f t="shared" si="79"/>
        <v>21.63</v>
      </c>
      <c r="U476" s="135"/>
      <c r="V476" s="135"/>
      <c r="W476" s="135"/>
      <c r="X476" s="135"/>
      <c r="Y476" s="136"/>
      <c r="Z476" s="50"/>
      <c r="AA476" s="50"/>
    </row>
    <row r="477" spans="1:27" ht="12.75" hidden="1" outlineLevel="1" x14ac:dyDescent="0.2">
      <c r="A477" s="139"/>
      <c r="B477" s="137"/>
      <c r="C477" s="112" t="s">
        <v>45</v>
      </c>
      <c r="D477" s="71">
        <v>0</v>
      </c>
      <c r="E477" s="298"/>
      <c r="F477" s="73">
        <v>0</v>
      </c>
      <c r="G477" s="73">
        <v>0</v>
      </c>
      <c r="H477" s="74" t="e">
        <f t="shared" si="72"/>
        <v>#DIV/0!</v>
      </c>
      <c r="I477" s="75" t="e">
        <f t="shared" si="73"/>
        <v>#DIV/0!</v>
      </c>
      <c r="J477" s="76" t="e">
        <f t="shared" si="74"/>
        <v>#DIV/0!</v>
      </c>
      <c r="K477" s="71">
        <v>0</v>
      </c>
      <c r="L477" s="73">
        <v>0</v>
      </c>
      <c r="M477" s="73">
        <v>0</v>
      </c>
      <c r="N477" s="78">
        <v>0</v>
      </c>
      <c r="O477" s="79" t="e">
        <f t="shared" si="135"/>
        <v>#DIV/0!</v>
      </c>
      <c r="P477" s="80" t="e">
        <f t="shared" si="76"/>
        <v>#DIV/0!</v>
      </c>
      <c r="Q477" s="79" t="e">
        <f t="shared" si="77"/>
        <v>#DIV/0!</v>
      </c>
      <c r="R477" s="81" t="e">
        <f t="shared" si="78"/>
        <v>#DIV/0!</v>
      </c>
      <c r="S477" s="82">
        <f t="shared" si="134"/>
        <v>0</v>
      </c>
      <c r="T477" s="83" t="e">
        <f t="shared" si="79"/>
        <v>#DIV/0!</v>
      </c>
      <c r="U477" s="140"/>
      <c r="V477" s="140"/>
      <c r="W477" s="140"/>
      <c r="X477" s="141"/>
      <c r="Y477" s="142"/>
      <c r="Z477" s="50"/>
      <c r="AA477" s="50"/>
    </row>
    <row r="478" spans="1:27" ht="12.75" hidden="1" outlineLevel="1" x14ac:dyDescent="0.2">
      <c r="A478" s="50"/>
      <c r="B478" s="137"/>
      <c r="C478" s="70" t="s">
        <v>46</v>
      </c>
      <c r="D478" s="116">
        <v>505.97</v>
      </c>
      <c r="E478" s="298"/>
      <c r="F478" s="73">
        <v>12</v>
      </c>
      <c r="G478" s="73">
        <v>12</v>
      </c>
      <c r="H478" s="74">
        <f t="shared" si="72"/>
        <v>1</v>
      </c>
      <c r="I478" s="75">
        <f t="shared" si="73"/>
        <v>42.164166666666667</v>
      </c>
      <c r="J478" s="76">
        <f t="shared" si="74"/>
        <v>42.164166666666667</v>
      </c>
      <c r="K478" s="116">
        <v>62.76</v>
      </c>
      <c r="L478" s="73">
        <v>30586</v>
      </c>
      <c r="M478" s="73">
        <v>5</v>
      </c>
      <c r="N478" s="117">
        <v>218.26</v>
      </c>
      <c r="O478" s="79">
        <f t="shared" si="135"/>
        <v>0.28754696233849536</v>
      </c>
      <c r="P478" s="80">
        <f t="shared" si="76"/>
        <v>3.4776927979604841</v>
      </c>
      <c r="Q478" s="79">
        <f t="shared" si="77"/>
        <v>0.12403897464276536</v>
      </c>
      <c r="R478" s="81">
        <f t="shared" si="78"/>
        <v>0.43136944878154826</v>
      </c>
      <c r="S478" s="82">
        <f t="shared" si="134"/>
        <v>287.71000000000004</v>
      </c>
      <c r="T478" s="83">
        <f t="shared" si="79"/>
        <v>12.552</v>
      </c>
      <c r="U478" s="135"/>
      <c r="V478" s="135"/>
      <c r="W478" s="135"/>
      <c r="X478" s="135"/>
      <c r="Y478" s="136"/>
      <c r="Z478" s="50"/>
      <c r="AA478" s="50"/>
    </row>
    <row r="479" spans="1:27" ht="12.75" hidden="1" outlineLevel="1" x14ac:dyDescent="0.2">
      <c r="A479" s="118" t="str">
        <f t="shared" ref="A479:A480" si="136">IFERROR(IF(B479&gt;0,MONTH(B479)&amp;"-"&amp;YEAR(B479),B479),)</f>
        <v>6-2025</v>
      </c>
      <c r="B479" s="69">
        <v>45822</v>
      </c>
      <c r="C479" s="70" t="s">
        <v>49</v>
      </c>
      <c r="D479" s="116">
        <v>0</v>
      </c>
      <c r="E479" s="298"/>
      <c r="F479" s="73">
        <v>0</v>
      </c>
      <c r="G479" s="73">
        <v>0</v>
      </c>
      <c r="H479" s="74" t="e">
        <f t="shared" si="72"/>
        <v>#DIV/0!</v>
      </c>
      <c r="I479" s="75" t="e">
        <f t="shared" si="73"/>
        <v>#DIV/0!</v>
      </c>
      <c r="J479" s="76" t="e">
        <f t="shared" si="74"/>
        <v>#DIV/0!</v>
      </c>
      <c r="K479" s="116">
        <v>8.3000000000000007</v>
      </c>
      <c r="L479" s="73">
        <v>8145</v>
      </c>
      <c r="M479" s="73">
        <v>0</v>
      </c>
      <c r="N479" s="117">
        <v>0</v>
      </c>
      <c r="O479" s="79" t="e">
        <f t="shared" si="135"/>
        <v>#DIV/0!</v>
      </c>
      <c r="P479" s="80">
        <f t="shared" si="76"/>
        <v>0</v>
      </c>
      <c r="Q479" s="79" t="e">
        <f t="shared" si="77"/>
        <v>#DIV/0!</v>
      </c>
      <c r="R479" s="81" t="e">
        <f t="shared" si="78"/>
        <v>#DIV/0!</v>
      </c>
      <c r="S479" s="82">
        <f t="shared" si="134"/>
        <v>0</v>
      </c>
      <c r="T479" s="83" t="e">
        <f t="shared" si="79"/>
        <v>#DIV/0!</v>
      </c>
      <c r="U479" s="135"/>
      <c r="V479" s="135"/>
      <c r="W479" s="135"/>
      <c r="X479" s="135"/>
      <c r="Y479" s="136"/>
      <c r="Z479" s="50"/>
      <c r="AA479" s="50"/>
    </row>
    <row r="480" spans="1:27" ht="12.75" collapsed="1" x14ac:dyDescent="0.2">
      <c r="A480" s="50">
        <f t="shared" si="136"/>
        <v>0</v>
      </c>
      <c r="B480" s="52" t="s">
        <v>82</v>
      </c>
      <c r="C480" s="145"/>
      <c r="D480" s="121">
        <f>SUM(D463:D479)</f>
        <v>7058.2900000000009</v>
      </c>
      <c r="E480" s="297"/>
      <c r="F480" s="123">
        <f t="shared" ref="F480:G480" si="137">SUM(F463:F479)</f>
        <v>104</v>
      </c>
      <c r="G480" s="123">
        <f t="shared" si="137"/>
        <v>109</v>
      </c>
      <c r="H480" s="124">
        <f t="shared" si="72"/>
        <v>0.95412844036697253</v>
      </c>
      <c r="I480" s="125">
        <f t="shared" si="73"/>
        <v>67.868173076923085</v>
      </c>
      <c r="J480" s="126">
        <f t="shared" si="74"/>
        <v>71.131066013313614</v>
      </c>
      <c r="K480" s="121">
        <f t="shared" ref="K480:N480" si="138">SUM(K463:K479)</f>
        <v>940.8499999999998</v>
      </c>
      <c r="L480" s="123">
        <f t="shared" si="138"/>
        <v>317101</v>
      </c>
      <c r="M480" s="123">
        <f t="shared" si="138"/>
        <v>41</v>
      </c>
      <c r="N480" s="127">
        <f t="shared" si="138"/>
        <v>2784.0499999999993</v>
      </c>
      <c r="O480" s="128">
        <f t="shared" si="135"/>
        <v>0.33794292487563082</v>
      </c>
      <c r="P480" s="129">
        <f t="shared" si="76"/>
        <v>2.9590795557208907</v>
      </c>
      <c r="Q480" s="128">
        <f t="shared" si="77"/>
        <v>0.13329715837688727</v>
      </c>
      <c r="R480" s="130">
        <f t="shared" si="78"/>
        <v>0.39443689618873679</v>
      </c>
      <c r="S480" s="131">
        <f>SUM(S463:S479)</f>
        <v>4274.24</v>
      </c>
      <c r="T480" s="132">
        <f t="shared" si="79"/>
        <v>22.94756097560975</v>
      </c>
      <c r="U480" s="273">
        <f>IFERROR((D480-D246)/D480,)</f>
        <v>-7.4101517506364428E-2</v>
      </c>
      <c r="V480" s="133">
        <f>IFERROR((F480-F246)/F480,)</f>
        <v>9.6153846153846159E-2</v>
      </c>
      <c r="W480" s="271">
        <f>IFERROR((D480-[1]monthly_reporting_2021!E271)/D480, )</f>
        <v>0</v>
      </c>
      <c r="X480" s="271">
        <f>IFERROR((F480-[1]monthly_reporting_2021!F271)/F480, )</f>
        <v>0</v>
      </c>
      <c r="Y480" s="50"/>
      <c r="Z480" s="50"/>
      <c r="AA480" s="50"/>
    </row>
    <row r="481" spans="1:27" ht="12.75" hidden="1" outlineLevel="1" x14ac:dyDescent="0.2">
      <c r="A481" s="50"/>
      <c r="B481" s="69">
        <v>45823</v>
      </c>
      <c r="C481" s="70" t="s">
        <v>32</v>
      </c>
      <c r="D481" s="71">
        <v>2337.5</v>
      </c>
      <c r="E481" s="298"/>
      <c r="F481" s="73">
        <v>14</v>
      </c>
      <c r="G481" s="73">
        <v>12</v>
      </c>
      <c r="H481" s="74">
        <f t="shared" si="72"/>
        <v>1.1666666666666667</v>
      </c>
      <c r="I481" s="75">
        <f t="shared" si="73"/>
        <v>166.96428571428572</v>
      </c>
      <c r="J481" s="76">
        <f t="shared" si="74"/>
        <v>143.11224489795919</v>
      </c>
      <c r="K481" s="77">
        <v>471.04</v>
      </c>
      <c r="L481" s="73">
        <v>106839</v>
      </c>
      <c r="M481" s="73">
        <v>4</v>
      </c>
      <c r="N481" s="78">
        <v>628.95000000000005</v>
      </c>
      <c r="O481" s="79">
        <f t="shared" si="135"/>
        <v>0.74893075761189276</v>
      </c>
      <c r="P481" s="80">
        <f t="shared" si="76"/>
        <v>1.3352369225543479</v>
      </c>
      <c r="Q481" s="79">
        <f t="shared" si="77"/>
        <v>0.20151443850267381</v>
      </c>
      <c r="R481" s="81">
        <f t="shared" si="78"/>
        <v>0.26906951871657758</v>
      </c>
      <c r="S481" s="82">
        <f t="shared" ref="S481:S497" si="139">D481-N481</f>
        <v>1708.55</v>
      </c>
      <c r="T481" s="83">
        <f t="shared" si="79"/>
        <v>117.76</v>
      </c>
      <c r="U481" s="135"/>
      <c r="V481" s="135"/>
      <c r="W481" s="135"/>
      <c r="X481" s="135"/>
      <c r="Y481" s="136"/>
      <c r="Z481" s="50"/>
      <c r="AA481" s="50"/>
    </row>
    <row r="482" spans="1:27" ht="12.75" hidden="1" outlineLevel="1" x14ac:dyDescent="0.2">
      <c r="A482" s="50"/>
      <c r="B482" s="137"/>
      <c r="C482" s="70" t="s">
        <v>33</v>
      </c>
      <c r="D482" s="87">
        <v>3124.5</v>
      </c>
      <c r="E482" s="298"/>
      <c r="F482" s="73">
        <v>40</v>
      </c>
      <c r="G482" s="73">
        <v>47</v>
      </c>
      <c r="H482" s="74">
        <f t="shared" si="72"/>
        <v>0.85106382978723405</v>
      </c>
      <c r="I482" s="75">
        <f t="shared" si="73"/>
        <v>78.112499999999997</v>
      </c>
      <c r="J482" s="76">
        <f t="shared" si="74"/>
        <v>91.782187499999992</v>
      </c>
      <c r="K482" s="87">
        <v>247.73</v>
      </c>
      <c r="L482" s="73">
        <v>94889</v>
      </c>
      <c r="M482" s="73">
        <v>10</v>
      </c>
      <c r="N482" s="88">
        <v>539.79999999999995</v>
      </c>
      <c r="O482" s="79">
        <f t="shared" si="135"/>
        <v>0.45892923304927752</v>
      </c>
      <c r="P482" s="80">
        <f t="shared" si="76"/>
        <v>2.1789851854841964</v>
      </c>
      <c r="Q482" s="79">
        <f t="shared" si="77"/>
        <v>7.9286285805728912E-2</v>
      </c>
      <c r="R482" s="81">
        <f t="shared" si="78"/>
        <v>0.17276364218274923</v>
      </c>
      <c r="S482" s="89">
        <f t="shared" si="139"/>
        <v>2584.6999999999998</v>
      </c>
      <c r="T482" s="83">
        <f t="shared" si="79"/>
        <v>24.773</v>
      </c>
      <c r="U482" s="135"/>
      <c r="V482" s="135"/>
      <c r="W482" s="135"/>
      <c r="X482" s="135"/>
      <c r="Y482" s="136"/>
      <c r="Z482" s="50"/>
      <c r="AA482" s="50"/>
    </row>
    <row r="483" spans="1:27" ht="12.75" hidden="1" outlineLevel="1" x14ac:dyDescent="0.2">
      <c r="A483" s="50"/>
      <c r="B483" s="137"/>
      <c r="C483" s="70" t="s">
        <v>34</v>
      </c>
      <c r="D483" s="90">
        <v>0</v>
      </c>
      <c r="E483" s="298"/>
      <c r="F483" s="73">
        <v>0</v>
      </c>
      <c r="G483" s="73">
        <v>0</v>
      </c>
      <c r="H483" s="74" t="e">
        <f t="shared" si="72"/>
        <v>#DIV/0!</v>
      </c>
      <c r="I483" s="75" t="e">
        <f t="shared" si="73"/>
        <v>#DIV/0!</v>
      </c>
      <c r="J483" s="76" t="e">
        <f t="shared" si="74"/>
        <v>#DIV/0!</v>
      </c>
      <c r="K483" s="90">
        <v>0</v>
      </c>
      <c r="L483" s="73">
        <v>1</v>
      </c>
      <c r="M483" s="73">
        <v>0</v>
      </c>
      <c r="N483" s="91">
        <v>0</v>
      </c>
      <c r="O483" s="79" t="e">
        <f>(K483/N483)</f>
        <v>#DIV/0!</v>
      </c>
      <c r="P483" s="80" t="e">
        <f t="shared" si="76"/>
        <v>#DIV/0!</v>
      </c>
      <c r="Q483" s="79" t="e">
        <f t="shared" si="77"/>
        <v>#DIV/0!</v>
      </c>
      <c r="R483" s="81" t="e">
        <f t="shared" si="78"/>
        <v>#DIV/0!</v>
      </c>
      <c r="S483" s="92">
        <f t="shared" si="139"/>
        <v>0</v>
      </c>
      <c r="T483" s="83" t="e">
        <f t="shared" si="79"/>
        <v>#DIV/0!</v>
      </c>
      <c r="U483" s="135"/>
      <c r="V483" s="135"/>
      <c r="W483" s="135"/>
      <c r="X483" s="135"/>
      <c r="Y483" s="136"/>
      <c r="Z483" s="50"/>
      <c r="AA483" s="50"/>
    </row>
    <row r="484" spans="1:27" ht="12.75" hidden="1" outlineLevel="1" x14ac:dyDescent="0.2">
      <c r="A484" s="50"/>
      <c r="B484" s="137"/>
      <c r="C484" s="70" t="s">
        <v>35</v>
      </c>
      <c r="D484" s="90">
        <v>359.7</v>
      </c>
      <c r="E484" s="298"/>
      <c r="F484" s="73">
        <v>6</v>
      </c>
      <c r="G484" s="73">
        <v>4</v>
      </c>
      <c r="H484" s="74">
        <f t="shared" si="72"/>
        <v>1.5</v>
      </c>
      <c r="I484" s="75">
        <f t="shared" si="73"/>
        <v>59.949999999999996</v>
      </c>
      <c r="J484" s="76">
        <f t="shared" si="74"/>
        <v>39.966666666666661</v>
      </c>
      <c r="K484" s="90">
        <v>0</v>
      </c>
      <c r="L484" s="73">
        <v>0</v>
      </c>
      <c r="M484" s="73">
        <v>0</v>
      </c>
      <c r="N484" s="91">
        <v>0</v>
      </c>
      <c r="O484" s="79" t="e">
        <f t="shared" ref="O484:O500" si="140">K484/N484</f>
        <v>#DIV/0!</v>
      </c>
      <c r="P484" s="80" t="e">
        <f t="shared" si="76"/>
        <v>#DIV/0!</v>
      </c>
      <c r="Q484" s="79">
        <f t="shared" si="77"/>
        <v>0</v>
      </c>
      <c r="R484" s="81">
        <f t="shared" si="78"/>
        <v>0</v>
      </c>
      <c r="S484" s="92">
        <f t="shared" si="139"/>
        <v>359.7</v>
      </c>
      <c r="T484" s="83" t="e">
        <f t="shared" si="79"/>
        <v>#DIV/0!</v>
      </c>
      <c r="U484" s="135"/>
      <c r="V484" s="135"/>
      <c r="W484" s="135"/>
      <c r="X484" s="135"/>
      <c r="Y484" s="136"/>
      <c r="Z484" s="50"/>
      <c r="AA484" s="50"/>
    </row>
    <row r="485" spans="1:27" ht="12.75" hidden="1" outlineLevel="1" x14ac:dyDescent="0.2">
      <c r="A485" s="50"/>
      <c r="B485" s="137"/>
      <c r="C485" s="70" t="s">
        <v>62</v>
      </c>
      <c r="D485" s="200">
        <v>0</v>
      </c>
      <c r="E485" s="298"/>
      <c r="F485" s="73">
        <v>0</v>
      </c>
      <c r="G485" s="73">
        <v>0</v>
      </c>
      <c r="H485" s="74" t="e">
        <f t="shared" si="72"/>
        <v>#DIV/0!</v>
      </c>
      <c r="I485" s="75" t="e">
        <f t="shared" si="73"/>
        <v>#DIV/0!</v>
      </c>
      <c r="J485" s="76" t="e">
        <f t="shared" si="74"/>
        <v>#DIV/0!</v>
      </c>
      <c r="K485" s="200">
        <v>0</v>
      </c>
      <c r="L485" s="73">
        <v>0</v>
      </c>
      <c r="M485" s="73">
        <v>0</v>
      </c>
      <c r="N485" s="200">
        <v>0</v>
      </c>
      <c r="O485" s="79" t="e">
        <f t="shared" si="140"/>
        <v>#DIV/0!</v>
      </c>
      <c r="P485" s="80" t="e">
        <f t="shared" si="76"/>
        <v>#DIV/0!</v>
      </c>
      <c r="Q485" s="79" t="e">
        <f t="shared" si="77"/>
        <v>#DIV/0!</v>
      </c>
      <c r="R485" s="81" t="e">
        <f t="shared" si="78"/>
        <v>#DIV/0!</v>
      </c>
      <c r="S485" s="92">
        <f t="shared" si="139"/>
        <v>0</v>
      </c>
      <c r="T485" s="83" t="e">
        <f t="shared" si="79"/>
        <v>#DIV/0!</v>
      </c>
      <c r="U485" s="135"/>
      <c r="V485" s="135"/>
      <c r="W485" s="135"/>
      <c r="X485" s="135"/>
      <c r="Y485" s="136"/>
      <c r="Z485" s="50"/>
      <c r="AA485" s="50"/>
    </row>
    <row r="486" spans="1:27" ht="12.75" hidden="1" outlineLevel="1" x14ac:dyDescent="0.2">
      <c r="A486" s="50"/>
      <c r="B486" s="137"/>
      <c r="C486" s="70" t="s">
        <v>66</v>
      </c>
      <c r="D486" s="201">
        <v>0</v>
      </c>
      <c r="E486" s="298"/>
      <c r="F486" s="73">
        <v>0</v>
      </c>
      <c r="G486" s="73">
        <v>0</v>
      </c>
      <c r="H486" s="74" t="e">
        <f t="shared" si="72"/>
        <v>#DIV/0!</v>
      </c>
      <c r="I486" s="75" t="e">
        <f t="shared" si="73"/>
        <v>#DIV/0!</v>
      </c>
      <c r="J486" s="76" t="e">
        <f t="shared" si="74"/>
        <v>#DIV/0!</v>
      </c>
      <c r="K486" s="201">
        <v>0</v>
      </c>
      <c r="L486" s="73">
        <v>0</v>
      </c>
      <c r="M486" s="73">
        <v>0</v>
      </c>
      <c r="N486" s="202">
        <v>0</v>
      </c>
      <c r="O486" s="79" t="e">
        <f t="shared" si="140"/>
        <v>#DIV/0!</v>
      </c>
      <c r="P486" s="80" t="e">
        <f t="shared" si="76"/>
        <v>#DIV/0!</v>
      </c>
      <c r="Q486" s="79" t="e">
        <f t="shared" si="77"/>
        <v>#DIV/0!</v>
      </c>
      <c r="R486" s="81" t="e">
        <f t="shared" si="78"/>
        <v>#DIV/0!</v>
      </c>
      <c r="S486" s="203">
        <f t="shared" si="139"/>
        <v>0</v>
      </c>
      <c r="T486" s="83" t="e">
        <f t="shared" si="79"/>
        <v>#DIV/0!</v>
      </c>
      <c r="U486" s="135"/>
      <c r="V486" s="135"/>
      <c r="W486" s="135"/>
      <c r="X486" s="135"/>
      <c r="Y486" s="136"/>
      <c r="Z486" s="50"/>
      <c r="AA486" s="50"/>
    </row>
    <row r="487" spans="1:27" ht="12.75" hidden="1" outlineLevel="1" x14ac:dyDescent="0.2">
      <c r="A487" s="50"/>
      <c r="B487" s="137"/>
      <c r="C487" s="70" t="s">
        <v>36</v>
      </c>
      <c r="D487" s="90">
        <v>239.8</v>
      </c>
      <c r="E487" s="298"/>
      <c r="F487" s="73">
        <v>4</v>
      </c>
      <c r="G487" s="73">
        <v>4</v>
      </c>
      <c r="H487" s="74">
        <f t="shared" si="72"/>
        <v>1</v>
      </c>
      <c r="I487" s="75">
        <f t="shared" si="73"/>
        <v>59.95</v>
      </c>
      <c r="J487" s="76">
        <f t="shared" si="74"/>
        <v>59.95</v>
      </c>
      <c r="K487" s="90">
        <v>72.53</v>
      </c>
      <c r="L487" s="73">
        <v>15478</v>
      </c>
      <c r="M487" s="73">
        <v>3</v>
      </c>
      <c r="N487" s="91">
        <v>179.85</v>
      </c>
      <c r="O487" s="79">
        <f t="shared" si="140"/>
        <v>0.40328051153739231</v>
      </c>
      <c r="P487" s="80">
        <f t="shared" si="76"/>
        <v>2.4796635874810424</v>
      </c>
      <c r="Q487" s="79">
        <f t="shared" si="77"/>
        <v>0.30246038365304417</v>
      </c>
      <c r="R487" s="81">
        <f t="shared" si="78"/>
        <v>0.74999999999999989</v>
      </c>
      <c r="S487" s="92">
        <f t="shared" si="139"/>
        <v>59.950000000000017</v>
      </c>
      <c r="T487" s="83">
        <f t="shared" si="79"/>
        <v>24.176666666666666</v>
      </c>
      <c r="U487" s="135"/>
      <c r="V487" s="135"/>
      <c r="W487" s="135"/>
      <c r="X487" s="135"/>
      <c r="Y487" s="136"/>
      <c r="Z487" s="50"/>
      <c r="AA487" s="50"/>
    </row>
    <row r="488" spans="1:27" ht="12.75" hidden="1" outlineLevel="1" x14ac:dyDescent="0.2">
      <c r="A488" s="50"/>
      <c r="B488" s="69" t="s">
        <v>37</v>
      </c>
      <c r="C488" s="70" t="s">
        <v>38</v>
      </c>
      <c r="D488" s="93">
        <v>64.900000000000006</v>
      </c>
      <c r="E488" s="298"/>
      <c r="F488" s="73">
        <v>2</v>
      </c>
      <c r="G488" s="73">
        <v>2</v>
      </c>
      <c r="H488" s="74">
        <f t="shared" si="72"/>
        <v>1</v>
      </c>
      <c r="I488" s="75">
        <f t="shared" si="73"/>
        <v>32.450000000000003</v>
      </c>
      <c r="J488" s="76">
        <f t="shared" si="74"/>
        <v>32.450000000000003</v>
      </c>
      <c r="K488" s="93">
        <v>49.27</v>
      </c>
      <c r="L488" s="73">
        <v>12961</v>
      </c>
      <c r="M488" s="73">
        <v>1</v>
      </c>
      <c r="N488" s="94">
        <v>34.950000000000003</v>
      </c>
      <c r="O488" s="79">
        <f t="shared" si="140"/>
        <v>1.4097281831187409</v>
      </c>
      <c r="P488" s="80">
        <f t="shared" si="76"/>
        <v>0.70935660645423182</v>
      </c>
      <c r="Q488" s="79">
        <f t="shared" si="77"/>
        <v>0.75916795069337439</v>
      </c>
      <c r="R488" s="81">
        <f t="shared" si="78"/>
        <v>0.53852080123266566</v>
      </c>
      <c r="S488" s="95">
        <f t="shared" si="139"/>
        <v>29.950000000000003</v>
      </c>
      <c r="T488" s="83">
        <f t="shared" si="79"/>
        <v>49.27</v>
      </c>
      <c r="U488" s="135"/>
      <c r="V488" s="135"/>
      <c r="W488" s="135"/>
      <c r="X488" s="135"/>
      <c r="Y488" s="136"/>
      <c r="Z488" s="50"/>
      <c r="AA488" s="50"/>
    </row>
    <row r="489" spans="1:27" ht="12.75" hidden="1" outlineLevel="1" x14ac:dyDescent="0.2">
      <c r="A489" s="50"/>
      <c r="B489" s="137"/>
      <c r="C489" s="70" t="s">
        <v>39</v>
      </c>
      <c r="D489" s="96">
        <v>0</v>
      </c>
      <c r="E489" s="298"/>
      <c r="F489" s="73">
        <v>0</v>
      </c>
      <c r="G489" s="73">
        <v>0</v>
      </c>
      <c r="H489" s="74" t="e">
        <f t="shared" si="72"/>
        <v>#DIV/0!</v>
      </c>
      <c r="I489" s="75" t="e">
        <f t="shared" si="73"/>
        <v>#DIV/0!</v>
      </c>
      <c r="J489" s="76" t="e">
        <f t="shared" si="74"/>
        <v>#DIV/0!</v>
      </c>
      <c r="K489" s="96">
        <v>0</v>
      </c>
      <c r="L489" s="73">
        <v>0</v>
      </c>
      <c r="M489" s="73">
        <v>0</v>
      </c>
      <c r="N489" s="97">
        <v>0</v>
      </c>
      <c r="O489" s="79" t="e">
        <f t="shared" si="140"/>
        <v>#DIV/0!</v>
      </c>
      <c r="P489" s="80" t="e">
        <f t="shared" si="76"/>
        <v>#DIV/0!</v>
      </c>
      <c r="Q489" s="79" t="e">
        <f t="shared" si="77"/>
        <v>#DIV/0!</v>
      </c>
      <c r="R489" s="81" t="e">
        <f t="shared" si="78"/>
        <v>#DIV/0!</v>
      </c>
      <c r="S489" s="98">
        <f t="shared" si="139"/>
        <v>0</v>
      </c>
      <c r="T489" s="83" t="e">
        <f t="shared" si="79"/>
        <v>#DIV/0!</v>
      </c>
      <c r="U489" s="135"/>
      <c r="V489" s="135"/>
      <c r="W489" s="135"/>
      <c r="X489" s="135"/>
      <c r="Y489" s="136"/>
      <c r="Z489" s="50"/>
      <c r="AA489" s="50"/>
    </row>
    <row r="490" spans="1:27" ht="12.75" hidden="1" outlineLevel="1" x14ac:dyDescent="0.2">
      <c r="A490" s="50"/>
      <c r="B490" s="137"/>
      <c r="C490" s="70" t="s">
        <v>40</v>
      </c>
      <c r="D490" s="99">
        <v>0</v>
      </c>
      <c r="E490" s="298"/>
      <c r="F490" s="73">
        <v>0</v>
      </c>
      <c r="G490" s="73">
        <v>0</v>
      </c>
      <c r="H490" s="74" t="e">
        <f t="shared" si="72"/>
        <v>#DIV/0!</v>
      </c>
      <c r="I490" s="75" t="e">
        <f t="shared" si="73"/>
        <v>#DIV/0!</v>
      </c>
      <c r="J490" s="76" t="e">
        <f t="shared" si="74"/>
        <v>#DIV/0!</v>
      </c>
      <c r="K490" s="99">
        <v>0</v>
      </c>
      <c r="L490" s="73">
        <v>0</v>
      </c>
      <c r="M490" s="73">
        <v>0</v>
      </c>
      <c r="N490" s="100">
        <v>0</v>
      </c>
      <c r="O490" s="79" t="e">
        <f t="shared" si="140"/>
        <v>#DIV/0!</v>
      </c>
      <c r="P490" s="80" t="e">
        <f t="shared" si="76"/>
        <v>#DIV/0!</v>
      </c>
      <c r="Q490" s="79" t="e">
        <f t="shared" si="77"/>
        <v>#DIV/0!</v>
      </c>
      <c r="R490" s="81" t="e">
        <f t="shared" si="78"/>
        <v>#DIV/0!</v>
      </c>
      <c r="S490" s="101">
        <f t="shared" si="139"/>
        <v>0</v>
      </c>
      <c r="T490" s="83" t="e">
        <f t="shared" si="79"/>
        <v>#DIV/0!</v>
      </c>
      <c r="U490" s="135"/>
      <c r="V490" s="135"/>
      <c r="W490" s="135"/>
      <c r="X490" s="135"/>
      <c r="Y490" s="136"/>
      <c r="Z490" s="50"/>
      <c r="AA490" s="50"/>
    </row>
    <row r="491" spans="1:27" ht="12.75" hidden="1" outlineLevel="1" x14ac:dyDescent="0.2">
      <c r="A491" s="50"/>
      <c r="B491" s="137"/>
      <c r="C491" s="70" t="s">
        <v>41</v>
      </c>
      <c r="D491" s="102">
        <v>146.72</v>
      </c>
      <c r="E491" s="298"/>
      <c r="F491" s="73">
        <v>-1</v>
      </c>
      <c r="G491" s="73">
        <v>3</v>
      </c>
      <c r="H491" s="74">
        <f t="shared" si="72"/>
        <v>-0.33333333333333331</v>
      </c>
      <c r="I491" s="75">
        <f t="shared" si="73"/>
        <v>-146.72</v>
      </c>
      <c r="J491" s="76">
        <f t="shared" si="74"/>
        <v>440.16</v>
      </c>
      <c r="K491" s="102">
        <v>63.44</v>
      </c>
      <c r="L491" s="73">
        <v>6572</v>
      </c>
      <c r="M491" s="73">
        <v>0</v>
      </c>
      <c r="N491" s="103">
        <v>0</v>
      </c>
      <c r="O491" s="79" t="e">
        <f t="shared" si="140"/>
        <v>#DIV/0!</v>
      </c>
      <c r="P491" s="80">
        <f t="shared" si="76"/>
        <v>0</v>
      </c>
      <c r="Q491" s="79">
        <f t="shared" si="77"/>
        <v>0.43238822246455832</v>
      </c>
      <c r="R491" s="81">
        <f t="shared" si="78"/>
        <v>0</v>
      </c>
      <c r="S491" s="104">
        <f t="shared" si="139"/>
        <v>146.72</v>
      </c>
      <c r="T491" s="83" t="e">
        <f t="shared" si="79"/>
        <v>#DIV/0!</v>
      </c>
      <c r="U491" s="135"/>
      <c r="V491" s="135"/>
      <c r="W491" s="135"/>
      <c r="X491" s="135"/>
      <c r="Y491" s="136"/>
      <c r="Z491" s="50"/>
      <c r="AA491" s="50"/>
    </row>
    <row r="492" spans="1:27" ht="12.75" hidden="1" outlineLevel="1" x14ac:dyDescent="0.2">
      <c r="A492" s="50"/>
      <c r="B492" s="137"/>
      <c r="C492" s="70" t="s">
        <v>42</v>
      </c>
      <c r="D492" s="90">
        <v>59.97</v>
      </c>
      <c r="E492" s="298"/>
      <c r="F492" s="73">
        <v>3</v>
      </c>
      <c r="G492" s="73">
        <v>3</v>
      </c>
      <c r="H492" s="74">
        <f t="shared" si="72"/>
        <v>1</v>
      </c>
      <c r="I492" s="75">
        <f t="shared" si="73"/>
        <v>19.989999999999998</v>
      </c>
      <c r="J492" s="76">
        <f t="shared" si="74"/>
        <v>19.989999999999998</v>
      </c>
      <c r="K492" s="90">
        <v>5.19</v>
      </c>
      <c r="L492" s="73">
        <v>13441</v>
      </c>
      <c r="M492" s="73">
        <v>16</v>
      </c>
      <c r="N492" s="91">
        <v>319.83999999999997</v>
      </c>
      <c r="O492" s="79">
        <f t="shared" si="140"/>
        <v>1.6226863431715862E-2</v>
      </c>
      <c r="P492" s="80">
        <f t="shared" si="76"/>
        <v>61.626204238920991</v>
      </c>
      <c r="Q492" s="79">
        <f t="shared" si="77"/>
        <v>8.6543271635817917E-2</v>
      </c>
      <c r="R492" s="81">
        <f t="shared" si="78"/>
        <v>5.333333333333333</v>
      </c>
      <c r="S492" s="92">
        <f t="shared" si="139"/>
        <v>-259.87</v>
      </c>
      <c r="T492" s="83">
        <f t="shared" si="79"/>
        <v>0.32437500000000002</v>
      </c>
      <c r="U492" s="135"/>
      <c r="V492" s="135"/>
      <c r="W492" s="135"/>
      <c r="X492" s="135"/>
      <c r="Y492" s="136"/>
      <c r="Z492" s="50"/>
      <c r="AA492" s="50"/>
    </row>
    <row r="493" spans="1:27" ht="12.75" hidden="1" outlineLevel="1" x14ac:dyDescent="0.2">
      <c r="A493" s="50"/>
      <c r="B493" s="137"/>
      <c r="C493" s="70" t="s">
        <v>43</v>
      </c>
      <c r="D493" s="105">
        <v>375.9</v>
      </c>
      <c r="E493" s="298"/>
      <c r="F493" s="73">
        <v>2</v>
      </c>
      <c r="G493" s="73">
        <v>2</v>
      </c>
      <c r="H493" s="74">
        <f t="shared" si="72"/>
        <v>1</v>
      </c>
      <c r="I493" s="75">
        <f t="shared" si="73"/>
        <v>187.95</v>
      </c>
      <c r="J493" s="76">
        <f t="shared" si="74"/>
        <v>187.95</v>
      </c>
      <c r="K493" s="105">
        <v>6.58</v>
      </c>
      <c r="L493" s="73">
        <v>19780</v>
      </c>
      <c r="M493" s="73">
        <v>0</v>
      </c>
      <c r="N493" s="106">
        <v>0</v>
      </c>
      <c r="O493" s="79" t="e">
        <f t="shared" si="140"/>
        <v>#DIV/0!</v>
      </c>
      <c r="P493" s="80">
        <f t="shared" si="76"/>
        <v>0</v>
      </c>
      <c r="Q493" s="79">
        <f t="shared" si="77"/>
        <v>1.7504655493482311E-2</v>
      </c>
      <c r="R493" s="81">
        <f t="shared" si="78"/>
        <v>0</v>
      </c>
      <c r="S493" s="107">
        <f t="shared" si="139"/>
        <v>375.9</v>
      </c>
      <c r="T493" s="83" t="e">
        <f t="shared" si="79"/>
        <v>#DIV/0!</v>
      </c>
      <c r="U493" s="135"/>
      <c r="V493" s="135"/>
      <c r="W493" s="135"/>
      <c r="X493" s="135"/>
      <c r="Y493" s="136"/>
      <c r="Z493" s="50"/>
      <c r="AA493" s="50"/>
    </row>
    <row r="494" spans="1:27" ht="12.75" hidden="1" outlineLevel="1" x14ac:dyDescent="0.2">
      <c r="A494" s="50"/>
      <c r="B494" s="137"/>
      <c r="C494" s="70" t="s">
        <v>44</v>
      </c>
      <c r="D494" s="108">
        <v>89.9</v>
      </c>
      <c r="E494" s="298"/>
      <c r="F494" s="73">
        <v>2</v>
      </c>
      <c r="G494" s="73">
        <v>2</v>
      </c>
      <c r="H494" s="74">
        <f t="shared" si="72"/>
        <v>1</v>
      </c>
      <c r="I494" s="75">
        <f t="shared" si="73"/>
        <v>44.95</v>
      </c>
      <c r="J494" s="76">
        <f t="shared" si="74"/>
        <v>44.95</v>
      </c>
      <c r="K494" s="108">
        <v>15.92</v>
      </c>
      <c r="L494" s="73">
        <v>8541</v>
      </c>
      <c r="M494" s="73">
        <v>0</v>
      </c>
      <c r="N494" s="109">
        <v>0</v>
      </c>
      <c r="O494" s="79" t="e">
        <f t="shared" si="140"/>
        <v>#DIV/0!</v>
      </c>
      <c r="P494" s="80">
        <f t="shared" si="76"/>
        <v>0</v>
      </c>
      <c r="Q494" s="79">
        <f t="shared" si="77"/>
        <v>0.17708565072302557</v>
      </c>
      <c r="R494" s="81">
        <f t="shared" si="78"/>
        <v>0</v>
      </c>
      <c r="S494" s="110">
        <f t="shared" si="139"/>
        <v>89.9</v>
      </c>
      <c r="T494" s="83" t="e">
        <f t="shared" si="79"/>
        <v>#DIV/0!</v>
      </c>
      <c r="U494" s="135"/>
      <c r="V494" s="135"/>
      <c r="W494" s="135"/>
      <c r="X494" s="135"/>
      <c r="Y494" s="136"/>
      <c r="Z494" s="50"/>
      <c r="AA494" s="50"/>
    </row>
    <row r="495" spans="1:27" ht="12.75" hidden="1" outlineLevel="1" x14ac:dyDescent="0.2">
      <c r="A495" s="139"/>
      <c r="B495" s="137"/>
      <c r="C495" s="112" t="s">
        <v>45</v>
      </c>
      <c r="D495" s="71">
        <v>39.9</v>
      </c>
      <c r="E495" s="298"/>
      <c r="F495" s="73">
        <v>2</v>
      </c>
      <c r="G495" s="73">
        <v>1</v>
      </c>
      <c r="H495" s="74">
        <f t="shared" si="72"/>
        <v>2</v>
      </c>
      <c r="I495" s="75">
        <f t="shared" si="73"/>
        <v>19.95</v>
      </c>
      <c r="J495" s="76">
        <f t="shared" si="74"/>
        <v>9.9749999999999996</v>
      </c>
      <c r="K495" s="71">
        <v>0</v>
      </c>
      <c r="L495" s="73">
        <v>0</v>
      </c>
      <c r="M495" s="73">
        <v>0</v>
      </c>
      <c r="N495" s="78">
        <v>0</v>
      </c>
      <c r="O495" s="79" t="e">
        <f t="shared" si="140"/>
        <v>#DIV/0!</v>
      </c>
      <c r="P495" s="80" t="e">
        <f t="shared" si="76"/>
        <v>#DIV/0!</v>
      </c>
      <c r="Q495" s="79">
        <f t="shared" si="77"/>
        <v>0</v>
      </c>
      <c r="R495" s="81">
        <f t="shared" si="78"/>
        <v>0</v>
      </c>
      <c r="S495" s="82">
        <f t="shared" si="139"/>
        <v>39.9</v>
      </c>
      <c r="T495" s="83" t="e">
        <f t="shared" si="79"/>
        <v>#DIV/0!</v>
      </c>
      <c r="U495" s="140"/>
      <c r="V495" s="140"/>
      <c r="W495" s="140"/>
      <c r="X495" s="141"/>
      <c r="Y495" s="142"/>
      <c r="Z495" s="50"/>
      <c r="AA495" s="50"/>
    </row>
    <row r="496" spans="1:27" ht="12.75" hidden="1" outlineLevel="1" x14ac:dyDescent="0.2">
      <c r="A496" s="50"/>
      <c r="B496" s="137"/>
      <c r="C496" s="70" t="s">
        <v>46</v>
      </c>
      <c r="D496" s="116">
        <v>709.2</v>
      </c>
      <c r="E496" s="298"/>
      <c r="F496" s="73">
        <v>16</v>
      </c>
      <c r="G496" s="73">
        <v>15</v>
      </c>
      <c r="H496" s="74">
        <f t="shared" si="72"/>
        <v>1.0666666666666667</v>
      </c>
      <c r="I496" s="75">
        <f t="shared" si="73"/>
        <v>44.325000000000003</v>
      </c>
      <c r="J496" s="76">
        <f t="shared" si="74"/>
        <v>41.5546875</v>
      </c>
      <c r="K496" s="116">
        <v>78.27</v>
      </c>
      <c r="L496" s="73">
        <v>26726</v>
      </c>
      <c r="M496" s="73">
        <v>7</v>
      </c>
      <c r="N496" s="117">
        <v>130.85</v>
      </c>
      <c r="O496" s="79">
        <f t="shared" si="140"/>
        <v>0.59816583874665652</v>
      </c>
      <c r="P496" s="80">
        <f t="shared" si="76"/>
        <v>1.6717771815510414</v>
      </c>
      <c r="Q496" s="79">
        <f t="shared" si="77"/>
        <v>0.1103637901861252</v>
      </c>
      <c r="R496" s="81">
        <f t="shared" si="78"/>
        <v>0.18450366610265084</v>
      </c>
      <c r="S496" s="82">
        <f t="shared" si="139"/>
        <v>578.35</v>
      </c>
      <c r="T496" s="83">
        <f t="shared" si="79"/>
        <v>11.181428571428571</v>
      </c>
      <c r="U496" s="135"/>
      <c r="V496" s="135"/>
      <c r="W496" s="135"/>
      <c r="X496" s="135"/>
      <c r="Y496" s="136"/>
      <c r="Z496" s="50"/>
      <c r="AA496" s="50"/>
    </row>
    <row r="497" spans="1:27" ht="12.75" hidden="1" outlineLevel="1" x14ac:dyDescent="0.2">
      <c r="A497" s="118" t="str">
        <f t="shared" ref="A497:A498" si="141">IFERROR(IF(B497&gt;0,MONTH(B497)&amp;"-"&amp;YEAR(B497),B497),)</f>
        <v>6-2025</v>
      </c>
      <c r="B497" s="69">
        <v>45829</v>
      </c>
      <c r="C497" s="70" t="s">
        <v>49</v>
      </c>
      <c r="D497" s="116">
        <v>0</v>
      </c>
      <c r="E497" s="298"/>
      <c r="F497" s="73">
        <v>0</v>
      </c>
      <c r="G497" s="73">
        <v>0</v>
      </c>
      <c r="H497" s="74" t="e">
        <f t="shared" si="72"/>
        <v>#DIV/0!</v>
      </c>
      <c r="I497" s="75" t="e">
        <f t="shared" si="73"/>
        <v>#DIV/0!</v>
      </c>
      <c r="J497" s="76" t="e">
        <f t="shared" si="74"/>
        <v>#DIV/0!</v>
      </c>
      <c r="K497" s="116">
        <v>9.0500000000000007</v>
      </c>
      <c r="L497" s="73">
        <v>8860</v>
      </c>
      <c r="M497" s="73">
        <v>0</v>
      </c>
      <c r="N497" s="117">
        <v>0</v>
      </c>
      <c r="O497" s="79" t="e">
        <f t="shared" si="140"/>
        <v>#DIV/0!</v>
      </c>
      <c r="P497" s="80">
        <f t="shared" si="76"/>
        <v>0</v>
      </c>
      <c r="Q497" s="79" t="e">
        <f t="shared" si="77"/>
        <v>#DIV/0!</v>
      </c>
      <c r="R497" s="81" t="e">
        <f t="shared" si="78"/>
        <v>#DIV/0!</v>
      </c>
      <c r="S497" s="82">
        <f t="shared" si="139"/>
        <v>0</v>
      </c>
      <c r="T497" s="83" t="e">
        <f t="shared" si="79"/>
        <v>#DIV/0!</v>
      </c>
      <c r="U497" s="135"/>
      <c r="V497" s="135"/>
      <c r="W497" s="135"/>
      <c r="X497" s="135"/>
      <c r="Y497" s="136"/>
      <c r="Z497" s="50"/>
      <c r="AA497" s="50"/>
    </row>
    <row r="498" spans="1:27" ht="12.75" collapsed="1" x14ac:dyDescent="0.2">
      <c r="A498" s="50">
        <f t="shared" si="141"/>
        <v>0</v>
      </c>
      <c r="B498" s="52" t="s">
        <v>83</v>
      </c>
      <c r="C498" s="145"/>
      <c r="D498" s="121">
        <f>SUM(D481:D497)</f>
        <v>7547.9899999999989</v>
      </c>
      <c r="E498" s="297"/>
      <c r="F498" s="123">
        <f t="shared" ref="F498:G498" si="142">SUM(F481:F497)</f>
        <v>90</v>
      </c>
      <c r="G498" s="123">
        <f t="shared" si="142"/>
        <v>95</v>
      </c>
      <c r="H498" s="124">
        <f t="shared" si="72"/>
        <v>0.94736842105263153</v>
      </c>
      <c r="I498" s="125">
        <f t="shared" si="73"/>
        <v>83.86655555555555</v>
      </c>
      <c r="J498" s="126">
        <f t="shared" si="74"/>
        <v>88.525808641975303</v>
      </c>
      <c r="K498" s="121">
        <f t="shared" ref="K498:N498" si="143">SUM(K481:K497)</f>
        <v>1019.02</v>
      </c>
      <c r="L498" s="123">
        <f t="shared" si="143"/>
        <v>314088</v>
      </c>
      <c r="M498" s="123">
        <f t="shared" si="143"/>
        <v>41</v>
      </c>
      <c r="N498" s="127">
        <f t="shared" si="143"/>
        <v>1834.2399999999998</v>
      </c>
      <c r="O498" s="128">
        <f t="shared" si="140"/>
        <v>0.55555434403349624</v>
      </c>
      <c r="P498" s="129">
        <f t="shared" si="76"/>
        <v>1.8000039253400324</v>
      </c>
      <c r="Q498" s="128">
        <f t="shared" si="77"/>
        <v>0.13500547827964798</v>
      </c>
      <c r="R498" s="130">
        <f t="shared" si="78"/>
        <v>0.24301039084577483</v>
      </c>
      <c r="S498" s="131">
        <f>SUM(S481:S497)</f>
        <v>5713.7499999999991</v>
      </c>
      <c r="T498" s="132">
        <f t="shared" si="79"/>
        <v>24.854146341463416</v>
      </c>
      <c r="U498" s="273">
        <f>IFERROR((D498-D246)/D498,)</f>
        <v>-4.4157451188990742E-3</v>
      </c>
      <c r="V498" s="273">
        <f>IFERROR((F498-F246)/F498,)</f>
        <v>-4.4444444444444446E-2</v>
      </c>
      <c r="W498" s="271">
        <f>IFERROR((D498-[1]monthly_reporting_2021!E289)/D498, )</f>
        <v>0</v>
      </c>
      <c r="X498" s="271">
        <f>IFERROR((F498-[1]monthly_reporting_2021!F289)/F498, )</f>
        <v>0</v>
      </c>
      <c r="Y498" s="50"/>
      <c r="Z498" s="50"/>
      <c r="AA498" s="50"/>
    </row>
    <row r="499" spans="1:27" ht="12.75" hidden="1" outlineLevel="1" x14ac:dyDescent="0.2">
      <c r="A499" s="50"/>
      <c r="B499" s="69">
        <v>45830</v>
      </c>
      <c r="C499" s="70" t="s">
        <v>32</v>
      </c>
      <c r="D499" s="71">
        <v>1682.9</v>
      </c>
      <c r="E499" s="298"/>
      <c r="F499" s="73">
        <v>6</v>
      </c>
      <c r="G499" s="73">
        <v>8</v>
      </c>
      <c r="H499" s="74">
        <f t="shared" si="72"/>
        <v>0.75</v>
      </c>
      <c r="I499" s="75">
        <f t="shared" si="73"/>
        <v>280.48333333333335</v>
      </c>
      <c r="J499" s="76">
        <f t="shared" si="74"/>
        <v>373.97777777777782</v>
      </c>
      <c r="K499" s="77">
        <v>431.44</v>
      </c>
      <c r="L499" s="73">
        <v>127727</v>
      </c>
      <c r="M499" s="73">
        <v>3</v>
      </c>
      <c r="N499" s="78">
        <v>458.95</v>
      </c>
      <c r="O499" s="79">
        <f t="shared" si="140"/>
        <v>0.9400588299379018</v>
      </c>
      <c r="P499" s="80">
        <f t="shared" si="76"/>
        <v>1.0637632115705544</v>
      </c>
      <c r="Q499" s="79">
        <f t="shared" si="77"/>
        <v>0.25636698556063936</v>
      </c>
      <c r="R499" s="81">
        <f t="shared" si="78"/>
        <v>0.27271376790064766</v>
      </c>
      <c r="S499" s="82">
        <f t="shared" ref="S499:S515" si="144">D499-N499</f>
        <v>1223.95</v>
      </c>
      <c r="T499" s="83">
        <f t="shared" si="79"/>
        <v>143.81333333333333</v>
      </c>
      <c r="U499" s="135"/>
      <c r="V499" s="135"/>
      <c r="W499" s="135"/>
      <c r="X499" s="135"/>
      <c r="Y499" s="136"/>
      <c r="Z499" s="50"/>
      <c r="AA499" s="50"/>
    </row>
    <row r="500" spans="1:27" ht="12.75" hidden="1" outlineLevel="1" x14ac:dyDescent="0.2">
      <c r="A500" s="50"/>
      <c r="B500" s="137"/>
      <c r="C500" s="70" t="s">
        <v>33</v>
      </c>
      <c r="D500" s="87">
        <v>4852.2</v>
      </c>
      <c r="E500" s="298"/>
      <c r="F500" s="73">
        <v>56</v>
      </c>
      <c r="G500" s="73">
        <v>62</v>
      </c>
      <c r="H500" s="74">
        <f t="shared" si="72"/>
        <v>0.90322580645161288</v>
      </c>
      <c r="I500" s="75">
        <f t="shared" si="73"/>
        <v>86.646428571428572</v>
      </c>
      <c r="J500" s="76">
        <f t="shared" si="74"/>
        <v>95.929974489795924</v>
      </c>
      <c r="K500" s="87">
        <v>250.68</v>
      </c>
      <c r="L500" s="73">
        <v>92073</v>
      </c>
      <c r="M500" s="73">
        <v>7</v>
      </c>
      <c r="N500" s="88">
        <v>554.85</v>
      </c>
      <c r="O500" s="79">
        <f t="shared" si="140"/>
        <v>0.45179778318464447</v>
      </c>
      <c r="P500" s="80">
        <f t="shared" si="76"/>
        <v>2.2133796074676879</v>
      </c>
      <c r="Q500" s="79">
        <f t="shared" si="77"/>
        <v>5.1663163101273654E-2</v>
      </c>
      <c r="R500" s="81">
        <f t="shared" si="78"/>
        <v>0.11435019166563622</v>
      </c>
      <c r="S500" s="89">
        <f t="shared" si="144"/>
        <v>4297.3499999999995</v>
      </c>
      <c r="T500" s="83">
        <f t="shared" si="79"/>
        <v>35.811428571428571</v>
      </c>
      <c r="U500" s="135"/>
      <c r="V500" s="135"/>
      <c r="W500" s="135"/>
      <c r="X500" s="135"/>
      <c r="Y500" s="136"/>
      <c r="Z500" s="50"/>
      <c r="AA500" s="50"/>
    </row>
    <row r="501" spans="1:27" ht="12.75" hidden="1" outlineLevel="1" x14ac:dyDescent="0.2">
      <c r="A501" s="50"/>
      <c r="B501" s="137"/>
      <c r="C501" s="70" t="s">
        <v>34</v>
      </c>
      <c r="D501" s="90">
        <v>0</v>
      </c>
      <c r="E501" s="298"/>
      <c r="F501" s="73">
        <v>0</v>
      </c>
      <c r="G501" s="73">
        <v>0</v>
      </c>
      <c r="H501" s="74" t="e">
        <f t="shared" si="72"/>
        <v>#DIV/0!</v>
      </c>
      <c r="I501" s="75" t="e">
        <f t="shared" si="73"/>
        <v>#DIV/0!</v>
      </c>
      <c r="J501" s="76" t="e">
        <f t="shared" si="74"/>
        <v>#DIV/0!</v>
      </c>
      <c r="K501" s="90">
        <v>1.21</v>
      </c>
      <c r="L501" s="73">
        <v>157</v>
      </c>
      <c r="M501" s="73">
        <v>0</v>
      </c>
      <c r="N501" s="91">
        <v>0</v>
      </c>
      <c r="O501" s="79" t="e">
        <f>(K501/N501)</f>
        <v>#DIV/0!</v>
      </c>
      <c r="P501" s="80">
        <f t="shared" si="76"/>
        <v>0</v>
      </c>
      <c r="Q501" s="79" t="e">
        <f t="shared" si="77"/>
        <v>#DIV/0!</v>
      </c>
      <c r="R501" s="81" t="e">
        <f t="shared" si="78"/>
        <v>#DIV/0!</v>
      </c>
      <c r="S501" s="92">
        <f t="shared" si="144"/>
        <v>0</v>
      </c>
      <c r="T501" s="83" t="e">
        <f t="shared" si="79"/>
        <v>#DIV/0!</v>
      </c>
      <c r="U501" s="135"/>
      <c r="V501" s="135"/>
      <c r="W501" s="135"/>
      <c r="X501" s="135"/>
      <c r="Y501" s="136"/>
      <c r="Z501" s="50"/>
      <c r="AA501" s="50"/>
    </row>
    <row r="502" spans="1:27" ht="12.75" hidden="1" outlineLevel="1" x14ac:dyDescent="0.2">
      <c r="A502" s="50"/>
      <c r="B502" s="137"/>
      <c r="C502" s="70" t="s">
        <v>35</v>
      </c>
      <c r="D502" s="90">
        <v>239.8</v>
      </c>
      <c r="E502" s="298"/>
      <c r="F502" s="73">
        <v>4</v>
      </c>
      <c r="G502" s="73">
        <v>4</v>
      </c>
      <c r="H502" s="74">
        <f t="shared" si="72"/>
        <v>1</v>
      </c>
      <c r="I502" s="75">
        <f t="shared" si="73"/>
        <v>59.95</v>
      </c>
      <c r="J502" s="76">
        <f t="shared" si="74"/>
        <v>59.95</v>
      </c>
      <c r="K502" s="90">
        <v>0</v>
      </c>
      <c r="L502" s="73">
        <v>0</v>
      </c>
      <c r="M502" s="73">
        <v>0</v>
      </c>
      <c r="N502" s="91">
        <v>0</v>
      </c>
      <c r="O502" s="79" t="e">
        <f t="shared" ref="O502:O518" si="145">K502/N502</f>
        <v>#DIV/0!</v>
      </c>
      <c r="P502" s="80" t="e">
        <f t="shared" si="76"/>
        <v>#DIV/0!</v>
      </c>
      <c r="Q502" s="79">
        <f t="shared" si="77"/>
        <v>0</v>
      </c>
      <c r="R502" s="81">
        <f t="shared" si="78"/>
        <v>0</v>
      </c>
      <c r="S502" s="92">
        <f t="shared" si="144"/>
        <v>239.8</v>
      </c>
      <c r="T502" s="83" t="e">
        <f t="shared" si="79"/>
        <v>#DIV/0!</v>
      </c>
      <c r="U502" s="135"/>
      <c r="V502" s="135"/>
      <c r="W502" s="135"/>
      <c r="X502" s="135"/>
      <c r="Y502" s="136"/>
      <c r="Z502" s="50"/>
      <c r="AA502" s="50"/>
    </row>
    <row r="503" spans="1:27" ht="12.75" hidden="1" outlineLevel="1" x14ac:dyDescent="0.2">
      <c r="A503" s="50"/>
      <c r="B503" s="137"/>
      <c r="C503" s="70" t="s">
        <v>62</v>
      </c>
      <c r="D503" s="200">
        <v>0</v>
      </c>
      <c r="E503" s="298"/>
      <c r="F503" s="73">
        <v>0</v>
      </c>
      <c r="G503" s="73">
        <v>0</v>
      </c>
      <c r="H503" s="74" t="e">
        <f t="shared" si="72"/>
        <v>#DIV/0!</v>
      </c>
      <c r="I503" s="75" t="e">
        <f t="shared" si="73"/>
        <v>#DIV/0!</v>
      </c>
      <c r="J503" s="76" t="e">
        <f t="shared" si="74"/>
        <v>#DIV/0!</v>
      </c>
      <c r="K503" s="200">
        <v>0</v>
      </c>
      <c r="L503" s="73">
        <v>0</v>
      </c>
      <c r="M503" s="73">
        <v>0</v>
      </c>
      <c r="N503" s="200">
        <v>0</v>
      </c>
      <c r="O503" s="79" t="e">
        <f t="shared" si="145"/>
        <v>#DIV/0!</v>
      </c>
      <c r="P503" s="80" t="e">
        <f t="shared" si="76"/>
        <v>#DIV/0!</v>
      </c>
      <c r="Q503" s="79" t="e">
        <f t="shared" si="77"/>
        <v>#DIV/0!</v>
      </c>
      <c r="R503" s="81" t="e">
        <f t="shared" si="78"/>
        <v>#DIV/0!</v>
      </c>
      <c r="S503" s="92">
        <f t="shared" si="144"/>
        <v>0</v>
      </c>
      <c r="T503" s="83" t="e">
        <f t="shared" si="79"/>
        <v>#DIV/0!</v>
      </c>
      <c r="U503" s="135"/>
      <c r="V503" s="135"/>
      <c r="W503" s="135"/>
      <c r="X503" s="135"/>
      <c r="Y503" s="136"/>
      <c r="Z503" s="50"/>
      <c r="AA503" s="50"/>
    </row>
    <row r="504" spans="1:27" ht="12.75" hidden="1" outlineLevel="1" x14ac:dyDescent="0.2">
      <c r="A504" s="50"/>
      <c r="B504" s="137"/>
      <c r="C504" s="70" t="s">
        <v>66</v>
      </c>
      <c r="D504" s="201">
        <v>0</v>
      </c>
      <c r="E504" s="298"/>
      <c r="F504" s="73">
        <v>0</v>
      </c>
      <c r="G504" s="73">
        <v>0</v>
      </c>
      <c r="H504" s="74" t="e">
        <f t="shared" si="72"/>
        <v>#DIV/0!</v>
      </c>
      <c r="I504" s="75" t="e">
        <f t="shared" si="73"/>
        <v>#DIV/0!</v>
      </c>
      <c r="J504" s="76" t="e">
        <f t="shared" si="74"/>
        <v>#DIV/0!</v>
      </c>
      <c r="K504" s="201">
        <v>0</v>
      </c>
      <c r="L504" s="73">
        <v>0</v>
      </c>
      <c r="M504" s="73">
        <v>0</v>
      </c>
      <c r="N504" s="202">
        <v>0</v>
      </c>
      <c r="O504" s="79" t="e">
        <f t="shared" si="145"/>
        <v>#DIV/0!</v>
      </c>
      <c r="P504" s="80" t="e">
        <f t="shared" si="76"/>
        <v>#DIV/0!</v>
      </c>
      <c r="Q504" s="79" t="e">
        <f t="shared" si="77"/>
        <v>#DIV/0!</v>
      </c>
      <c r="R504" s="81" t="e">
        <f t="shared" si="78"/>
        <v>#DIV/0!</v>
      </c>
      <c r="S504" s="203">
        <f t="shared" si="144"/>
        <v>0</v>
      </c>
      <c r="T504" s="83" t="e">
        <f t="shared" si="79"/>
        <v>#DIV/0!</v>
      </c>
      <c r="U504" s="135"/>
      <c r="V504" s="135"/>
      <c r="W504" s="135"/>
      <c r="X504" s="135"/>
      <c r="Y504" s="136"/>
      <c r="Z504" s="50"/>
      <c r="AA504" s="50"/>
    </row>
    <row r="505" spans="1:27" ht="12.75" hidden="1" outlineLevel="1" x14ac:dyDescent="0.2">
      <c r="A505" s="50"/>
      <c r="B505" s="137"/>
      <c r="C505" s="70" t="s">
        <v>36</v>
      </c>
      <c r="D505" s="90">
        <v>296.58</v>
      </c>
      <c r="E505" s="298"/>
      <c r="F505" s="73">
        <v>5</v>
      </c>
      <c r="G505" s="73">
        <v>4</v>
      </c>
      <c r="H505" s="74">
        <f t="shared" si="72"/>
        <v>1.25</v>
      </c>
      <c r="I505" s="75">
        <f t="shared" si="73"/>
        <v>59.315999999999995</v>
      </c>
      <c r="J505" s="76">
        <f t="shared" si="74"/>
        <v>47.452799999999996</v>
      </c>
      <c r="K505" s="90">
        <v>59.16</v>
      </c>
      <c r="L505" s="73">
        <v>12239</v>
      </c>
      <c r="M505" s="73">
        <v>2</v>
      </c>
      <c r="N505" s="91">
        <v>119.9</v>
      </c>
      <c r="O505" s="79">
        <f t="shared" si="145"/>
        <v>0.49341117597998324</v>
      </c>
      <c r="P505" s="80">
        <f t="shared" si="76"/>
        <v>2.0267072346179855</v>
      </c>
      <c r="Q505" s="79">
        <f t="shared" si="77"/>
        <v>0.19947400364151324</v>
      </c>
      <c r="R505" s="81">
        <f t="shared" si="78"/>
        <v>0.40427540629846925</v>
      </c>
      <c r="S505" s="92">
        <f t="shared" si="144"/>
        <v>176.67999999999998</v>
      </c>
      <c r="T505" s="83">
        <f t="shared" si="79"/>
        <v>29.58</v>
      </c>
      <c r="U505" s="135"/>
      <c r="V505" s="135"/>
      <c r="W505" s="135"/>
      <c r="X505" s="135"/>
      <c r="Y505" s="136"/>
      <c r="Z505" s="50"/>
      <c r="AA505" s="50"/>
    </row>
    <row r="506" spans="1:27" ht="12.75" hidden="1" outlineLevel="1" x14ac:dyDescent="0.2">
      <c r="A506" s="50"/>
      <c r="B506" s="69" t="s">
        <v>37</v>
      </c>
      <c r="C506" s="70" t="s">
        <v>38</v>
      </c>
      <c r="D506" s="93">
        <v>169.9</v>
      </c>
      <c r="E506" s="298"/>
      <c r="F506" s="73">
        <v>2</v>
      </c>
      <c r="G506" s="73">
        <v>2</v>
      </c>
      <c r="H506" s="74">
        <f t="shared" si="72"/>
        <v>1</v>
      </c>
      <c r="I506" s="75">
        <f t="shared" si="73"/>
        <v>84.95</v>
      </c>
      <c r="J506" s="76">
        <f t="shared" si="74"/>
        <v>84.95</v>
      </c>
      <c r="K506" s="93">
        <v>28.86</v>
      </c>
      <c r="L506" s="73">
        <v>11088</v>
      </c>
      <c r="M506" s="73">
        <v>1</v>
      </c>
      <c r="N506" s="94">
        <v>29.95</v>
      </c>
      <c r="O506" s="79">
        <f t="shared" si="145"/>
        <v>0.96360601001669455</v>
      </c>
      <c r="P506" s="80">
        <f t="shared" si="76"/>
        <v>1.0377685377685377</v>
      </c>
      <c r="Q506" s="79">
        <f t="shared" si="77"/>
        <v>0.16986462625073573</v>
      </c>
      <c r="R506" s="81">
        <f t="shared" si="78"/>
        <v>0.17628016480282518</v>
      </c>
      <c r="S506" s="95">
        <f t="shared" si="144"/>
        <v>139.95000000000002</v>
      </c>
      <c r="T506" s="83">
        <f t="shared" si="79"/>
        <v>28.86</v>
      </c>
      <c r="U506" s="135"/>
      <c r="V506" s="135"/>
      <c r="W506" s="135"/>
      <c r="X506" s="135"/>
      <c r="Y506" s="136"/>
      <c r="Z506" s="50"/>
      <c r="AA506" s="50"/>
    </row>
    <row r="507" spans="1:27" ht="12.75" hidden="1" outlineLevel="1" x14ac:dyDescent="0.2">
      <c r="A507" s="50"/>
      <c r="B507" s="137"/>
      <c r="C507" s="70" t="s">
        <v>39</v>
      </c>
      <c r="D507" s="96">
        <v>0</v>
      </c>
      <c r="E507" s="298"/>
      <c r="F507" s="73">
        <v>0</v>
      </c>
      <c r="G507" s="73">
        <v>0</v>
      </c>
      <c r="H507" s="74" t="e">
        <f t="shared" si="72"/>
        <v>#DIV/0!</v>
      </c>
      <c r="I507" s="75" t="e">
        <f t="shared" si="73"/>
        <v>#DIV/0!</v>
      </c>
      <c r="J507" s="76" t="e">
        <f t="shared" si="74"/>
        <v>#DIV/0!</v>
      </c>
      <c r="K507" s="96">
        <v>0</v>
      </c>
      <c r="L507" s="73">
        <v>0</v>
      </c>
      <c r="M507" s="73">
        <v>0</v>
      </c>
      <c r="N507" s="97">
        <v>0</v>
      </c>
      <c r="O507" s="79" t="e">
        <f t="shared" si="145"/>
        <v>#DIV/0!</v>
      </c>
      <c r="P507" s="80" t="e">
        <f t="shared" si="76"/>
        <v>#DIV/0!</v>
      </c>
      <c r="Q507" s="79" t="e">
        <f t="shared" si="77"/>
        <v>#DIV/0!</v>
      </c>
      <c r="R507" s="81" t="e">
        <f t="shared" si="78"/>
        <v>#DIV/0!</v>
      </c>
      <c r="S507" s="98">
        <f t="shared" si="144"/>
        <v>0</v>
      </c>
      <c r="T507" s="83" t="e">
        <f t="shared" si="79"/>
        <v>#DIV/0!</v>
      </c>
      <c r="U507" s="135"/>
      <c r="V507" s="135"/>
      <c r="W507" s="135"/>
      <c r="X507" s="135"/>
      <c r="Y507" s="136"/>
      <c r="Z507" s="50"/>
      <c r="AA507" s="50"/>
    </row>
    <row r="508" spans="1:27" ht="12.75" hidden="1" outlineLevel="1" x14ac:dyDescent="0.2">
      <c r="A508" s="50"/>
      <c r="B508" s="137"/>
      <c r="C508" s="70" t="s">
        <v>40</v>
      </c>
      <c r="D508" s="99">
        <v>0</v>
      </c>
      <c r="E508" s="298"/>
      <c r="F508" s="73">
        <v>0</v>
      </c>
      <c r="G508" s="73">
        <v>0</v>
      </c>
      <c r="H508" s="74" t="e">
        <f t="shared" si="72"/>
        <v>#DIV/0!</v>
      </c>
      <c r="I508" s="75" t="e">
        <f t="shared" si="73"/>
        <v>#DIV/0!</v>
      </c>
      <c r="J508" s="76" t="e">
        <f t="shared" si="74"/>
        <v>#DIV/0!</v>
      </c>
      <c r="K508" s="99">
        <v>0</v>
      </c>
      <c r="L508" s="73">
        <v>0</v>
      </c>
      <c r="M508" s="73">
        <v>0</v>
      </c>
      <c r="N508" s="100">
        <v>0</v>
      </c>
      <c r="O508" s="79" t="e">
        <f t="shared" si="145"/>
        <v>#DIV/0!</v>
      </c>
      <c r="P508" s="80" t="e">
        <f t="shared" si="76"/>
        <v>#DIV/0!</v>
      </c>
      <c r="Q508" s="79" t="e">
        <f t="shared" si="77"/>
        <v>#DIV/0!</v>
      </c>
      <c r="R508" s="81" t="e">
        <f t="shared" si="78"/>
        <v>#DIV/0!</v>
      </c>
      <c r="S508" s="101">
        <f t="shared" si="144"/>
        <v>0</v>
      </c>
      <c r="T508" s="83" t="e">
        <f t="shared" si="79"/>
        <v>#DIV/0!</v>
      </c>
      <c r="U508" s="135"/>
      <c r="V508" s="135"/>
      <c r="W508" s="135"/>
      <c r="X508" s="135"/>
      <c r="Y508" s="136"/>
      <c r="Z508" s="50"/>
      <c r="AA508" s="50"/>
    </row>
    <row r="509" spans="1:27" ht="12.75" hidden="1" outlineLevel="1" x14ac:dyDescent="0.2">
      <c r="A509" s="50"/>
      <c r="B509" s="137"/>
      <c r="C509" s="70" t="s">
        <v>41</v>
      </c>
      <c r="D509" s="102">
        <v>109.98</v>
      </c>
      <c r="E509" s="298"/>
      <c r="F509" s="73">
        <v>2</v>
      </c>
      <c r="G509" s="73">
        <v>2</v>
      </c>
      <c r="H509" s="74">
        <f t="shared" si="72"/>
        <v>1</v>
      </c>
      <c r="I509" s="75">
        <f t="shared" si="73"/>
        <v>54.99</v>
      </c>
      <c r="J509" s="76">
        <f t="shared" si="74"/>
        <v>54.99</v>
      </c>
      <c r="K509" s="102">
        <v>27.14</v>
      </c>
      <c r="L509" s="73">
        <v>5083</v>
      </c>
      <c r="M509" s="73">
        <v>0</v>
      </c>
      <c r="N509" s="103">
        <v>0</v>
      </c>
      <c r="O509" s="79" t="e">
        <f t="shared" si="145"/>
        <v>#DIV/0!</v>
      </c>
      <c r="P509" s="80">
        <f t="shared" si="76"/>
        <v>0</v>
      </c>
      <c r="Q509" s="79">
        <f t="shared" si="77"/>
        <v>0.24677214038916165</v>
      </c>
      <c r="R509" s="81">
        <f t="shared" si="78"/>
        <v>0</v>
      </c>
      <c r="S509" s="104">
        <f t="shared" si="144"/>
        <v>109.98</v>
      </c>
      <c r="T509" s="83" t="e">
        <f t="shared" si="79"/>
        <v>#DIV/0!</v>
      </c>
      <c r="U509" s="135"/>
      <c r="V509" s="135"/>
      <c r="W509" s="135"/>
      <c r="X509" s="135"/>
      <c r="Y509" s="136"/>
      <c r="Z509" s="50"/>
      <c r="AA509" s="50"/>
    </row>
    <row r="510" spans="1:27" ht="12.75" hidden="1" outlineLevel="1" x14ac:dyDescent="0.2">
      <c r="A510" s="50"/>
      <c r="B510" s="137"/>
      <c r="C510" s="70" t="s">
        <v>42</v>
      </c>
      <c r="D510" s="90">
        <v>19.989999999999998</v>
      </c>
      <c r="E510" s="298"/>
      <c r="F510" s="73">
        <v>1</v>
      </c>
      <c r="G510" s="73">
        <v>1</v>
      </c>
      <c r="H510" s="74">
        <f t="shared" si="72"/>
        <v>1</v>
      </c>
      <c r="I510" s="75">
        <f t="shared" si="73"/>
        <v>19.989999999999998</v>
      </c>
      <c r="J510" s="76">
        <f t="shared" si="74"/>
        <v>19.989999999999998</v>
      </c>
      <c r="K510" s="90">
        <v>2.25</v>
      </c>
      <c r="L510" s="73">
        <v>11057</v>
      </c>
      <c r="M510" s="73">
        <v>0</v>
      </c>
      <c r="N510" s="91">
        <v>0</v>
      </c>
      <c r="O510" s="79" t="e">
        <f t="shared" si="145"/>
        <v>#DIV/0!</v>
      </c>
      <c r="P510" s="80">
        <f t="shared" si="76"/>
        <v>0</v>
      </c>
      <c r="Q510" s="79">
        <f t="shared" si="77"/>
        <v>0.11255627813906954</v>
      </c>
      <c r="R510" s="81">
        <f t="shared" si="78"/>
        <v>0</v>
      </c>
      <c r="S510" s="92">
        <f t="shared" si="144"/>
        <v>19.989999999999998</v>
      </c>
      <c r="T510" s="83" t="e">
        <f t="shared" si="79"/>
        <v>#DIV/0!</v>
      </c>
      <c r="U510" s="135"/>
      <c r="V510" s="135"/>
      <c r="W510" s="135"/>
      <c r="X510" s="135"/>
      <c r="Y510" s="136"/>
      <c r="Z510" s="50"/>
      <c r="AA510" s="50"/>
    </row>
    <row r="511" spans="1:27" ht="12.75" hidden="1" outlineLevel="1" x14ac:dyDescent="0.2">
      <c r="A511" s="50"/>
      <c r="B511" s="137"/>
      <c r="C511" s="70" t="s">
        <v>43</v>
      </c>
      <c r="D511" s="105">
        <v>385.9</v>
      </c>
      <c r="E511" s="298"/>
      <c r="F511" s="73">
        <v>2</v>
      </c>
      <c r="G511" s="73">
        <v>2</v>
      </c>
      <c r="H511" s="74">
        <f t="shared" si="72"/>
        <v>1</v>
      </c>
      <c r="I511" s="75">
        <f t="shared" si="73"/>
        <v>192.95</v>
      </c>
      <c r="J511" s="76">
        <f t="shared" si="74"/>
        <v>192.95</v>
      </c>
      <c r="K511" s="105">
        <v>5.8</v>
      </c>
      <c r="L511" s="73">
        <v>15404</v>
      </c>
      <c r="M511" s="73">
        <v>1</v>
      </c>
      <c r="N511" s="106">
        <v>215.95</v>
      </c>
      <c r="O511" s="79">
        <f t="shared" si="145"/>
        <v>2.6858068997453115E-2</v>
      </c>
      <c r="P511" s="80">
        <f t="shared" si="76"/>
        <v>37.232758620689651</v>
      </c>
      <c r="Q511" s="79">
        <f t="shared" si="77"/>
        <v>1.5029800466442084E-2</v>
      </c>
      <c r="R511" s="81">
        <f t="shared" si="78"/>
        <v>0.5596009328841669</v>
      </c>
      <c r="S511" s="107">
        <f t="shared" si="144"/>
        <v>169.95</v>
      </c>
      <c r="T511" s="83">
        <f t="shared" si="79"/>
        <v>5.8</v>
      </c>
      <c r="U511" s="135"/>
      <c r="V511" s="135"/>
      <c r="W511" s="135"/>
      <c r="X511" s="135"/>
      <c r="Y511" s="136"/>
      <c r="Z511" s="50"/>
      <c r="AA511" s="50"/>
    </row>
    <row r="512" spans="1:27" ht="12.75" hidden="1" outlineLevel="1" x14ac:dyDescent="0.2">
      <c r="A512" s="50"/>
      <c r="B512" s="137"/>
      <c r="C512" s="70" t="s">
        <v>44</v>
      </c>
      <c r="D512" s="108">
        <v>90.67</v>
      </c>
      <c r="E512" s="298"/>
      <c r="F512" s="73">
        <v>2</v>
      </c>
      <c r="G512" s="73">
        <v>2</v>
      </c>
      <c r="H512" s="74">
        <f t="shared" si="72"/>
        <v>1</v>
      </c>
      <c r="I512" s="75">
        <f t="shared" si="73"/>
        <v>45.335000000000001</v>
      </c>
      <c r="J512" s="76">
        <f t="shared" si="74"/>
        <v>45.335000000000001</v>
      </c>
      <c r="K512" s="108">
        <v>24.47</v>
      </c>
      <c r="L512" s="73">
        <v>12401</v>
      </c>
      <c r="M512" s="73">
        <v>0</v>
      </c>
      <c r="N512" s="109">
        <v>0</v>
      </c>
      <c r="O512" s="79" t="e">
        <f t="shared" si="145"/>
        <v>#DIV/0!</v>
      </c>
      <c r="P512" s="80">
        <f t="shared" si="76"/>
        <v>0</v>
      </c>
      <c r="Q512" s="79">
        <f t="shared" si="77"/>
        <v>0.26987978383147676</v>
      </c>
      <c r="R512" s="81">
        <f t="shared" si="78"/>
        <v>0</v>
      </c>
      <c r="S512" s="110">
        <f t="shared" si="144"/>
        <v>90.67</v>
      </c>
      <c r="T512" s="83" t="e">
        <f t="shared" si="79"/>
        <v>#DIV/0!</v>
      </c>
      <c r="U512" s="135"/>
      <c r="V512" s="135"/>
      <c r="W512" s="135"/>
      <c r="X512" s="135"/>
      <c r="Y512" s="136"/>
      <c r="Z512" s="50"/>
      <c r="AA512" s="50"/>
    </row>
    <row r="513" spans="1:27" ht="12.75" hidden="1" outlineLevel="1" x14ac:dyDescent="0.2">
      <c r="A513" s="139"/>
      <c r="B513" s="137"/>
      <c r="C513" s="112" t="s">
        <v>45</v>
      </c>
      <c r="D513" s="71">
        <v>79.8</v>
      </c>
      <c r="E513" s="298"/>
      <c r="F513" s="73">
        <v>4</v>
      </c>
      <c r="G513" s="73">
        <v>2</v>
      </c>
      <c r="H513" s="74">
        <f t="shared" si="72"/>
        <v>2</v>
      </c>
      <c r="I513" s="75">
        <f t="shared" si="73"/>
        <v>19.95</v>
      </c>
      <c r="J513" s="76">
        <f t="shared" si="74"/>
        <v>9.9749999999999996</v>
      </c>
      <c r="K513" s="71">
        <v>0</v>
      </c>
      <c r="L513" s="73">
        <v>0</v>
      </c>
      <c r="M513" s="73">
        <v>0</v>
      </c>
      <c r="N513" s="78">
        <v>0</v>
      </c>
      <c r="O513" s="79" t="e">
        <f t="shared" si="145"/>
        <v>#DIV/0!</v>
      </c>
      <c r="P513" s="80" t="e">
        <f t="shared" si="76"/>
        <v>#DIV/0!</v>
      </c>
      <c r="Q513" s="79">
        <f t="shared" si="77"/>
        <v>0</v>
      </c>
      <c r="R513" s="81">
        <f t="shared" si="78"/>
        <v>0</v>
      </c>
      <c r="S513" s="82">
        <f t="shared" si="144"/>
        <v>79.8</v>
      </c>
      <c r="T513" s="83" t="e">
        <f t="shared" si="79"/>
        <v>#DIV/0!</v>
      </c>
      <c r="U513" s="140"/>
      <c r="V513" s="140"/>
      <c r="W513" s="140"/>
      <c r="X513" s="141"/>
      <c r="Y513" s="142"/>
      <c r="Z513" s="50"/>
      <c r="AA513" s="50"/>
    </row>
    <row r="514" spans="1:27" ht="12.75" hidden="1" outlineLevel="1" x14ac:dyDescent="0.2">
      <c r="A514" s="50"/>
      <c r="B514" s="137"/>
      <c r="C514" s="70" t="s">
        <v>46</v>
      </c>
      <c r="D514" s="116">
        <v>402.16</v>
      </c>
      <c r="E514" s="298"/>
      <c r="F514" s="73">
        <v>9</v>
      </c>
      <c r="G514" s="73">
        <v>10</v>
      </c>
      <c r="H514" s="74">
        <f t="shared" si="72"/>
        <v>0.9</v>
      </c>
      <c r="I514" s="75">
        <f t="shared" si="73"/>
        <v>44.684444444444445</v>
      </c>
      <c r="J514" s="76">
        <f t="shared" si="74"/>
        <v>49.649382716049381</v>
      </c>
      <c r="K514" s="116">
        <v>64.12</v>
      </c>
      <c r="L514" s="73">
        <v>29585</v>
      </c>
      <c r="M514" s="73">
        <v>3</v>
      </c>
      <c r="N514" s="117">
        <v>44.95</v>
      </c>
      <c r="O514" s="79">
        <f t="shared" si="145"/>
        <v>1.4264738598442714</v>
      </c>
      <c r="P514" s="80">
        <f t="shared" si="76"/>
        <v>0.70102932002495322</v>
      </c>
      <c r="Q514" s="79">
        <f t="shared" si="77"/>
        <v>0.15943902924209269</v>
      </c>
      <c r="R514" s="81">
        <f t="shared" si="78"/>
        <v>0.11177143425502288</v>
      </c>
      <c r="S514" s="82">
        <f t="shared" si="144"/>
        <v>357.21000000000004</v>
      </c>
      <c r="T514" s="83">
        <f t="shared" si="79"/>
        <v>21.373333333333335</v>
      </c>
      <c r="U514" s="135"/>
      <c r="V514" s="135"/>
      <c r="W514" s="135"/>
      <c r="X514" s="135"/>
      <c r="Y514" s="136"/>
      <c r="Z514" s="50"/>
      <c r="AA514" s="50"/>
    </row>
    <row r="515" spans="1:27" ht="12.75" hidden="1" outlineLevel="1" x14ac:dyDescent="0.2">
      <c r="A515" s="118" t="str">
        <f t="shared" ref="A515:A516" si="146">IFERROR(IF(B515&gt;0,MONTH(B515)&amp;"-"&amp;YEAR(B515),B515),)</f>
        <v>6-2025</v>
      </c>
      <c r="B515" s="69">
        <v>45836</v>
      </c>
      <c r="C515" s="70" t="s">
        <v>49</v>
      </c>
      <c r="D515" s="116">
        <v>0</v>
      </c>
      <c r="E515" s="298"/>
      <c r="F515" s="73">
        <v>0</v>
      </c>
      <c r="G515" s="73">
        <v>0</v>
      </c>
      <c r="H515" s="74" t="e">
        <f t="shared" si="72"/>
        <v>#DIV/0!</v>
      </c>
      <c r="I515" s="75" t="e">
        <f t="shared" si="73"/>
        <v>#DIV/0!</v>
      </c>
      <c r="J515" s="76" t="e">
        <f t="shared" si="74"/>
        <v>#DIV/0!</v>
      </c>
      <c r="K515" s="116">
        <v>9.6300000000000008</v>
      </c>
      <c r="L515" s="73">
        <v>8469</v>
      </c>
      <c r="M515" s="73">
        <v>0</v>
      </c>
      <c r="N515" s="117">
        <v>0</v>
      </c>
      <c r="O515" s="79" t="e">
        <f t="shared" si="145"/>
        <v>#DIV/0!</v>
      </c>
      <c r="P515" s="80">
        <f t="shared" si="76"/>
        <v>0</v>
      </c>
      <c r="Q515" s="79" t="e">
        <f t="shared" si="77"/>
        <v>#DIV/0!</v>
      </c>
      <c r="R515" s="81" t="e">
        <f t="shared" si="78"/>
        <v>#DIV/0!</v>
      </c>
      <c r="S515" s="82">
        <f t="shared" si="144"/>
        <v>0</v>
      </c>
      <c r="T515" s="83" t="e">
        <f t="shared" si="79"/>
        <v>#DIV/0!</v>
      </c>
      <c r="U515" s="135"/>
      <c r="V515" s="135"/>
      <c r="W515" s="135"/>
      <c r="X515" s="135"/>
      <c r="Y515" s="136"/>
      <c r="Z515" s="50"/>
      <c r="AA515" s="50"/>
    </row>
    <row r="516" spans="1:27" ht="12.75" collapsed="1" x14ac:dyDescent="0.2">
      <c r="A516" s="50">
        <f t="shared" si="146"/>
        <v>0</v>
      </c>
      <c r="B516" s="52" t="s">
        <v>84</v>
      </c>
      <c r="C516" s="145"/>
      <c r="D516" s="121">
        <f>SUM(D499:D515)</f>
        <v>8329.8799999999992</v>
      </c>
      <c r="E516" s="297"/>
      <c r="F516" s="123">
        <f t="shared" ref="F516:G516" si="147">SUM(F499:F515)</f>
        <v>93</v>
      </c>
      <c r="G516" s="123">
        <f t="shared" si="147"/>
        <v>99</v>
      </c>
      <c r="H516" s="124">
        <f t="shared" si="72"/>
        <v>0.93939393939393945</v>
      </c>
      <c r="I516" s="125">
        <f t="shared" si="73"/>
        <v>89.568602150537629</v>
      </c>
      <c r="J516" s="126">
        <f t="shared" si="74"/>
        <v>95.347221644120694</v>
      </c>
      <c r="K516" s="121">
        <f t="shared" ref="K516:N516" si="148">SUM(K499:K515)</f>
        <v>904.76</v>
      </c>
      <c r="L516" s="123">
        <f t="shared" si="148"/>
        <v>325283</v>
      </c>
      <c r="M516" s="123">
        <f t="shared" si="148"/>
        <v>17</v>
      </c>
      <c r="N516" s="127">
        <f t="shared" si="148"/>
        <v>1424.5500000000002</v>
      </c>
      <c r="O516" s="128">
        <f t="shared" si="145"/>
        <v>0.63511986241269169</v>
      </c>
      <c r="P516" s="129">
        <f t="shared" si="76"/>
        <v>1.5745059463283082</v>
      </c>
      <c r="Q516" s="128">
        <f t="shared" si="77"/>
        <v>0.10861621055765511</v>
      </c>
      <c r="R516" s="130">
        <f t="shared" si="78"/>
        <v>0.17101686939067554</v>
      </c>
      <c r="S516" s="131">
        <f>SUM(S499:S515)</f>
        <v>6905.329999999999</v>
      </c>
      <c r="T516" s="132">
        <f t="shared" si="79"/>
        <v>53.221176470588233</v>
      </c>
      <c r="U516" s="133">
        <f>IFERROR((D516-D246)/D516,)</f>
        <v>8.9864439823863176E-2</v>
      </c>
      <c r="V516" s="273">
        <f>IFERROR((F516-F246)/F516,)</f>
        <v>-1.0752688172043012E-2</v>
      </c>
      <c r="W516" s="271">
        <f>IFERROR((D516-[1]monthly_reporting_2021!E307)/D516, )</f>
        <v>0</v>
      </c>
      <c r="X516" s="271">
        <f>IFERROR((F516-[1]monthly_reporting_2021!F307)/F516, )</f>
        <v>0</v>
      </c>
      <c r="Y516" s="50"/>
      <c r="Z516" s="50"/>
      <c r="AA516" s="50"/>
    </row>
    <row r="517" spans="1:27" ht="12.75" hidden="1" outlineLevel="1" x14ac:dyDescent="0.2">
      <c r="A517" s="50"/>
      <c r="B517" s="69">
        <v>45837</v>
      </c>
      <c r="C517" s="70" t="s">
        <v>32</v>
      </c>
      <c r="D517" s="71">
        <v>415.85</v>
      </c>
      <c r="E517" s="298"/>
      <c r="F517" s="73">
        <v>4</v>
      </c>
      <c r="G517" s="73">
        <v>4</v>
      </c>
      <c r="H517" s="74">
        <f t="shared" si="72"/>
        <v>1</v>
      </c>
      <c r="I517" s="75">
        <f t="shared" si="73"/>
        <v>103.96250000000001</v>
      </c>
      <c r="J517" s="76">
        <f t="shared" si="74"/>
        <v>103.96250000000001</v>
      </c>
      <c r="K517" s="77">
        <v>655.98</v>
      </c>
      <c r="L517" s="73">
        <v>118224</v>
      </c>
      <c r="M517" s="73">
        <v>2</v>
      </c>
      <c r="N517" s="78">
        <v>69.95</v>
      </c>
      <c r="O517" s="79">
        <f t="shared" si="145"/>
        <v>9.3778413152251598</v>
      </c>
      <c r="P517" s="80">
        <f t="shared" si="76"/>
        <v>0.10663434860818928</v>
      </c>
      <c r="Q517" s="79">
        <f t="shared" si="77"/>
        <v>1.5774437898280629</v>
      </c>
      <c r="R517" s="81">
        <f t="shared" si="78"/>
        <v>0.16820969099434893</v>
      </c>
      <c r="S517" s="82">
        <f t="shared" ref="S517:S533" si="149">D517-N517</f>
        <v>345.90000000000003</v>
      </c>
      <c r="T517" s="83">
        <f t="shared" si="79"/>
        <v>327.99</v>
      </c>
      <c r="U517" s="135"/>
      <c r="V517" s="135"/>
      <c r="W517" s="135"/>
      <c r="X517" s="135"/>
      <c r="Y517" s="136"/>
      <c r="Z517" s="50"/>
      <c r="AA517" s="50"/>
    </row>
    <row r="518" spans="1:27" ht="12.75" hidden="1" outlineLevel="1" x14ac:dyDescent="0.2">
      <c r="A518" s="50"/>
      <c r="B518" s="137"/>
      <c r="C518" s="70" t="s">
        <v>33</v>
      </c>
      <c r="D518" s="87">
        <v>920.3</v>
      </c>
      <c r="E518" s="298"/>
      <c r="F518" s="73">
        <v>3</v>
      </c>
      <c r="G518" s="73">
        <v>26</v>
      </c>
      <c r="H518" s="74">
        <f t="shared" si="72"/>
        <v>0.11538461538461539</v>
      </c>
      <c r="I518" s="75">
        <f t="shared" si="73"/>
        <v>306.76666666666665</v>
      </c>
      <c r="J518" s="76">
        <f t="shared" si="74"/>
        <v>2658.6444444444442</v>
      </c>
      <c r="K518" s="87">
        <v>319.27</v>
      </c>
      <c r="L518" s="73">
        <v>79429</v>
      </c>
      <c r="M518" s="73">
        <v>9</v>
      </c>
      <c r="N518" s="88">
        <v>281.7</v>
      </c>
      <c r="O518" s="79">
        <f t="shared" si="145"/>
        <v>1.1333688320908768</v>
      </c>
      <c r="P518" s="80">
        <f t="shared" si="76"/>
        <v>0.88232530460112135</v>
      </c>
      <c r="Q518" s="79">
        <f t="shared" si="77"/>
        <v>0.34691948277735518</v>
      </c>
      <c r="R518" s="81">
        <f t="shared" si="78"/>
        <v>0.30609583831359338</v>
      </c>
      <c r="S518" s="89">
        <f t="shared" si="149"/>
        <v>638.59999999999991</v>
      </c>
      <c r="T518" s="83">
        <f t="shared" si="79"/>
        <v>35.474444444444444</v>
      </c>
      <c r="U518" s="135"/>
      <c r="V518" s="135"/>
      <c r="W518" s="135"/>
      <c r="X518" s="135"/>
      <c r="Y518" s="136"/>
      <c r="Z518" s="50"/>
      <c r="AA518" s="50"/>
    </row>
    <row r="519" spans="1:27" ht="12.75" hidden="1" outlineLevel="1" x14ac:dyDescent="0.2">
      <c r="A519" s="50"/>
      <c r="B519" s="137"/>
      <c r="C519" s="70" t="s">
        <v>34</v>
      </c>
      <c r="D519" s="90">
        <v>279.8</v>
      </c>
      <c r="E519" s="298"/>
      <c r="F519" s="73">
        <v>4</v>
      </c>
      <c r="G519" s="73">
        <v>1</v>
      </c>
      <c r="H519" s="74">
        <f t="shared" si="72"/>
        <v>4</v>
      </c>
      <c r="I519" s="75">
        <f t="shared" si="73"/>
        <v>69.95</v>
      </c>
      <c r="J519" s="76">
        <f t="shared" si="74"/>
        <v>17.487500000000001</v>
      </c>
      <c r="K519" s="90">
        <v>0</v>
      </c>
      <c r="L519" s="73">
        <v>0</v>
      </c>
      <c r="M519" s="73">
        <v>0</v>
      </c>
      <c r="N519" s="91">
        <v>0</v>
      </c>
      <c r="O519" s="79" t="e">
        <f>(K519/N519)</f>
        <v>#DIV/0!</v>
      </c>
      <c r="P519" s="80" t="e">
        <f t="shared" si="76"/>
        <v>#DIV/0!</v>
      </c>
      <c r="Q519" s="79">
        <f t="shared" si="77"/>
        <v>0</v>
      </c>
      <c r="R519" s="81">
        <f t="shared" si="78"/>
        <v>0</v>
      </c>
      <c r="S519" s="92">
        <f t="shared" si="149"/>
        <v>279.8</v>
      </c>
      <c r="T519" s="83" t="e">
        <f t="shared" si="79"/>
        <v>#DIV/0!</v>
      </c>
      <c r="U519" s="135"/>
      <c r="V519" s="135"/>
      <c r="W519" s="135"/>
      <c r="X519" s="135"/>
      <c r="Y519" s="136"/>
      <c r="Z519" s="50"/>
      <c r="AA519" s="50"/>
    </row>
    <row r="520" spans="1:27" ht="12.75" hidden="1" outlineLevel="1" x14ac:dyDescent="0.2">
      <c r="A520" s="50"/>
      <c r="B520" s="137"/>
      <c r="C520" s="70" t="s">
        <v>35</v>
      </c>
      <c r="D520" s="90">
        <v>299.75</v>
      </c>
      <c r="E520" s="298"/>
      <c r="F520" s="73">
        <v>5</v>
      </c>
      <c r="G520" s="73">
        <v>4</v>
      </c>
      <c r="H520" s="74">
        <f t="shared" si="72"/>
        <v>1.25</v>
      </c>
      <c r="I520" s="75">
        <f t="shared" si="73"/>
        <v>59.95</v>
      </c>
      <c r="J520" s="76">
        <f t="shared" si="74"/>
        <v>47.96</v>
      </c>
      <c r="K520" s="90">
        <v>0</v>
      </c>
      <c r="L520" s="73">
        <v>0</v>
      </c>
      <c r="M520" s="73">
        <v>0</v>
      </c>
      <c r="N520" s="91">
        <v>0</v>
      </c>
      <c r="O520" s="79" t="e">
        <f t="shared" ref="O520:O536" si="150">K520/N520</f>
        <v>#DIV/0!</v>
      </c>
      <c r="P520" s="80" t="e">
        <f t="shared" si="76"/>
        <v>#DIV/0!</v>
      </c>
      <c r="Q520" s="79">
        <f t="shared" si="77"/>
        <v>0</v>
      </c>
      <c r="R520" s="81">
        <f t="shared" si="78"/>
        <v>0</v>
      </c>
      <c r="S520" s="92">
        <f t="shared" si="149"/>
        <v>299.75</v>
      </c>
      <c r="T520" s="83" t="e">
        <f t="shared" si="79"/>
        <v>#DIV/0!</v>
      </c>
      <c r="U520" s="135"/>
      <c r="V520" s="135"/>
      <c r="W520" s="135"/>
      <c r="X520" s="135"/>
      <c r="Y520" s="136"/>
      <c r="Z520" s="50"/>
      <c r="AA520" s="50"/>
    </row>
    <row r="521" spans="1:27" ht="12.75" hidden="1" outlineLevel="1" x14ac:dyDescent="0.2">
      <c r="A521" s="50"/>
      <c r="B521" s="137"/>
      <c r="C521" s="70" t="s">
        <v>62</v>
      </c>
      <c r="D521" s="200">
        <v>0</v>
      </c>
      <c r="E521" s="298"/>
      <c r="F521" s="73">
        <v>0</v>
      </c>
      <c r="G521" s="73">
        <v>0</v>
      </c>
      <c r="H521" s="74" t="e">
        <f t="shared" si="72"/>
        <v>#DIV/0!</v>
      </c>
      <c r="I521" s="75" t="e">
        <f t="shared" si="73"/>
        <v>#DIV/0!</v>
      </c>
      <c r="J521" s="76" t="e">
        <f t="shared" si="74"/>
        <v>#DIV/0!</v>
      </c>
      <c r="K521" s="200">
        <v>0</v>
      </c>
      <c r="L521" s="73">
        <v>0</v>
      </c>
      <c r="M521" s="73">
        <v>0</v>
      </c>
      <c r="N521" s="200">
        <v>0</v>
      </c>
      <c r="O521" s="79" t="e">
        <f t="shared" si="150"/>
        <v>#DIV/0!</v>
      </c>
      <c r="P521" s="80" t="e">
        <f t="shared" si="76"/>
        <v>#DIV/0!</v>
      </c>
      <c r="Q521" s="79" t="e">
        <f t="shared" si="77"/>
        <v>#DIV/0!</v>
      </c>
      <c r="R521" s="81" t="e">
        <f t="shared" si="78"/>
        <v>#DIV/0!</v>
      </c>
      <c r="S521" s="92">
        <f t="shared" si="149"/>
        <v>0</v>
      </c>
      <c r="T521" s="83" t="e">
        <f t="shared" si="79"/>
        <v>#DIV/0!</v>
      </c>
      <c r="U521" s="135"/>
      <c r="V521" s="135"/>
      <c r="W521" s="135"/>
      <c r="X521" s="135"/>
      <c r="Y521" s="136"/>
      <c r="Z521" s="50"/>
      <c r="AA521" s="50"/>
    </row>
    <row r="522" spans="1:27" ht="12.75" hidden="1" outlineLevel="1" x14ac:dyDescent="0.2">
      <c r="A522" s="50"/>
      <c r="B522" s="137"/>
      <c r="C522" s="70" t="s">
        <v>66</v>
      </c>
      <c r="D522" s="201">
        <v>0</v>
      </c>
      <c r="E522" s="298"/>
      <c r="F522" s="73">
        <v>0</v>
      </c>
      <c r="G522" s="73">
        <v>0</v>
      </c>
      <c r="H522" s="74" t="e">
        <f t="shared" si="72"/>
        <v>#DIV/0!</v>
      </c>
      <c r="I522" s="75" t="e">
        <f t="shared" si="73"/>
        <v>#DIV/0!</v>
      </c>
      <c r="J522" s="76" t="e">
        <f t="shared" si="74"/>
        <v>#DIV/0!</v>
      </c>
      <c r="K522" s="201">
        <v>30.54</v>
      </c>
      <c r="L522" s="73">
        <v>4344</v>
      </c>
      <c r="M522" s="73">
        <v>0</v>
      </c>
      <c r="N522" s="202">
        <v>0</v>
      </c>
      <c r="O522" s="79" t="e">
        <f t="shared" si="150"/>
        <v>#DIV/0!</v>
      </c>
      <c r="P522" s="80">
        <f t="shared" si="76"/>
        <v>0</v>
      </c>
      <c r="Q522" s="79" t="e">
        <f t="shared" si="77"/>
        <v>#DIV/0!</v>
      </c>
      <c r="R522" s="81" t="e">
        <f t="shared" si="78"/>
        <v>#DIV/0!</v>
      </c>
      <c r="S522" s="203">
        <f t="shared" si="149"/>
        <v>0</v>
      </c>
      <c r="T522" s="83" t="e">
        <f t="shared" si="79"/>
        <v>#DIV/0!</v>
      </c>
      <c r="U522" s="135"/>
      <c r="V522" s="135"/>
      <c r="W522" s="135"/>
      <c r="X522" s="135"/>
      <c r="Y522" s="136"/>
      <c r="Z522" s="50"/>
      <c r="AA522" s="50"/>
    </row>
    <row r="523" spans="1:27" ht="12.75" hidden="1" outlineLevel="1" x14ac:dyDescent="0.2">
      <c r="A523" s="50"/>
      <c r="B523" s="137"/>
      <c r="C523" s="70" t="s">
        <v>36</v>
      </c>
      <c r="D523" s="90">
        <v>179.85</v>
      </c>
      <c r="E523" s="298"/>
      <c r="F523" s="73">
        <v>3</v>
      </c>
      <c r="G523" s="73">
        <v>3</v>
      </c>
      <c r="H523" s="74">
        <f t="shared" ref="H523:H777" si="151">F523/G523</f>
        <v>1</v>
      </c>
      <c r="I523" s="75">
        <f t="shared" ref="I523:I777" si="152">D523/F523</f>
        <v>59.949999999999996</v>
      </c>
      <c r="J523" s="76">
        <f t="shared" ref="J523:J777" si="153">I523/H523</f>
        <v>59.949999999999996</v>
      </c>
      <c r="K523" s="90">
        <v>1.92</v>
      </c>
      <c r="L523" s="73">
        <v>1023</v>
      </c>
      <c r="M523" s="73">
        <v>1</v>
      </c>
      <c r="N523" s="91">
        <v>59.95</v>
      </c>
      <c r="O523" s="79">
        <f t="shared" si="150"/>
        <v>3.202668890742285E-2</v>
      </c>
      <c r="P523" s="80">
        <f t="shared" ref="P523:P777" si="154">N523/K523</f>
        <v>31.223958333333336</v>
      </c>
      <c r="Q523" s="79">
        <f t="shared" ref="Q523:Q777" si="155">K523/D523</f>
        <v>1.0675562969140951E-2</v>
      </c>
      <c r="R523" s="81">
        <f t="shared" ref="R523:R777" si="156">N523/D523</f>
        <v>0.33333333333333337</v>
      </c>
      <c r="S523" s="92">
        <f t="shared" si="149"/>
        <v>119.89999999999999</v>
      </c>
      <c r="T523" s="83">
        <f t="shared" ref="T523:T777" si="157">K523/M523</f>
        <v>1.92</v>
      </c>
      <c r="U523" s="135"/>
      <c r="V523" s="135"/>
      <c r="W523" s="135"/>
      <c r="X523" s="135"/>
      <c r="Y523" s="136"/>
      <c r="Z523" s="50"/>
      <c r="AA523" s="50"/>
    </row>
    <row r="524" spans="1:27" ht="12.75" hidden="1" outlineLevel="1" x14ac:dyDescent="0.2">
      <c r="A524" s="50"/>
      <c r="B524" s="69" t="s">
        <v>37</v>
      </c>
      <c r="C524" s="70" t="s">
        <v>38</v>
      </c>
      <c r="D524" s="93">
        <v>29.95</v>
      </c>
      <c r="E524" s="298"/>
      <c r="F524" s="73">
        <v>1</v>
      </c>
      <c r="G524" s="73">
        <v>1</v>
      </c>
      <c r="H524" s="74">
        <f t="shared" si="151"/>
        <v>1</v>
      </c>
      <c r="I524" s="75">
        <f t="shared" si="152"/>
        <v>29.95</v>
      </c>
      <c r="J524" s="76">
        <f t="shared" si="153"/>
        <v>29.95</v>
      </c>
      <c r="K524" s="93">
        <v>34.799999999999997</v>
      </c>
      <c r="L524" s="73">
        <v>10710</v>
      </c>
      <c r="M524" s="73">
        <v>1</v>
      </c>
      <c r="N524" s="94">
        <v>29.95</v>
      </c>
      <c r="O524" s="79">
        <f t="shared" si="150"/>
        <v>1.1619365609348915</v>
      </c>
      <c r="P524" s="80">
        <f t="shared" si="154"/>
        <v>0.86063218390804608</v>
      </c>
      <c r="Q524" s="79">
        <f t="shared" si="155"/>
        <v>1.1619365609348915</v>
      </c>
      <c r="R524" s="81">
        <f t="shared" si="156"/>
        <v>1</v>
      </c>
      <c r="S524" s="95">
        <f t="shared" si="149"/>
        <v>0</v>
      </c>
      <c r="T524" s="83">
        <f t="shared" si="157"/>
        <v>34.799999999999997</v>
      </c>
      <c r="U524" s="135"/>
      <c r="V524" s="135"/>
      <c r="W524" s="135"/>
      <c r="X524" s="135"/>
      <c r="Y524" s="136"/>
      <c r="Z524" s="50"/>
      <c r="AA524" s="50"/>
    </row>
    <row r="525" spans="1:27" ht="12.75" hidden="1" outlineLevel="1" x14ac:dyDescent="0.2">
      <c r="A525" s="50"/>
      <c r="B525" s="137"/>
      <c r="C525" s="70" t="s">
        <v>39</v>
      </c>
      <c r="D525" s="96">
        <v>319.98</v>
      </c>
      <c r="E525" s="298"/>
      <c r="F525" s="73">
        <v>2</v>
      </c>
      <c r="G525" s="73">
        <v>2</v>
      </c>
      <c r="H525" s="74">
        <f t="shared" si="151"/>
        <v>1</v>
      </c>
      <c r="I525" s="75">
        <f t="shared" si="152"/>
        <v>159.99</v>
      </c>
      <c r="J525" s="76">
        <f t="shared" si="153"/>
        <v>159.99</v>
      </c>
      <c r="K525" s="96">
        <v>0</v>
      </c>
      <c r="L525" s="73">
        <v>0</v>
      </c>
      <c r="M525" s="73">
        <v>0</v>
      </c>
      <c r="N525" s="97">
        <v>0</v>
      </c>
      <c r="O525" s="79" t="e">
        <f t="shared" si="150"/>
        <v>#DIV/0!</v>
      </c>
      <c r="P525" s="80" t="e">
        <f t="shared" si="154"/>
        <v>#DIV/0!</v>
      </c>
      <c r="Q525" s="79">
        <f t="shared" si="155"/>
        <v>0</v>
      </c>
      <c r="R525" s="81">
        <f t="shared" si="156"/>
        <v>0</v>
      </c>
      <c r="S525" s="98">
        <f t="shared" si="149"/>
        <v>319.98</v>
      </c>
      <c r="T525" s="83" t="e">
        <f t="shared" si="157"/>
        <v>#DIV/0!</v>
      </c>
      <c r="U525" s="135"/>
      <c r="V525" s="135"/>
      <c r="W525" s="135"/>
      <c r="X525" s="135"/>
      <c r="Y525" s="136"/>
      <c r="Z525" s="50"/>
      <c r="AA525" s="50"/>
    </row>
    <row r="526" spans="1:27" ht="12.75" hidden="1" outlineLevel="1" x14ac:dyDescent="0.2">
      <c r="A526" s="50"/>
      <c r="B526" s="137"/>
      <c r="C526" s="70" t="s">
        <v>40</v>
      </c>
      <c r="D526" s="99">
        <v>0</v>
      </c>
      <c r="E526" s="298"/>
      <c r="F526" s="73">
        <v>0</v>
      </c>
      <c r="G526" s="73">
        <v>0</v>
      </c>
      <c r="H526" s="74" t="e">
        <f t="shared" si="151"/>
        <v>#DIV/0!</v>
      </c>
      <c r="I526" s="75" t="e">
        <f t="shared" si="152"/>
        <v>#DIV/0!</v>
      </c>
      <c r="J526" s="76" t="e">
        <f t="shared" si="153"/>
        <v>#DIV/0!</v>
      </c>
      <c r="K526" s="99">
        <v>0</v>
      </c>
      <c r="L526" s="73">
        <v>0</v>
      </c>
      <c r="M526" s="73">
        <v>0</v>
      </c>
      <c r="N526" s="100">
        <v>0</v>
      </c>
      <c r="O526" s="79" t="e">
        <f t="shared" si="150"/>
        <v>#DIV/0!</v>
      </c>
      <c r="P526" s="80" t="e">
        <f t="shared" si="154"/>
        <v>#DIV/0!</v>
      </c>
      <c r="Q526" s="79" t="e">
        <f t="shared" si="155"/>
        <v>#DIV/0!</v>
      </c>
      <c r="R526" s="81" t="e">
        <f t="shared" si="156"/>
        <v>#DIV/0!</v>
      </c>
      <c r="S526" s="101">
        <f t="shared" si="149"/>
        <v>0</v>
      </c>
      <c r="T526" s="83" t="e">
        <f t="shared" si="157"/>
        <v>#DIV/0!</v>
      </c>
      <c r="U526" s="135"/>
      <c r="V526" s="135"/>
      <c r="W526" s="135"/>
      <c r="X526" s="135"/>
      <c r="Y526" s="136"/>
      <c r="Z526" s="50"/>
      <c r="AA526" s="50"/>
    </row>
    <row r="527" spans="1:27" ht="12.75" hidden="1" outlineLevel="1" x14ac:dyDescent="0.2">
      <c r="A527" s="50"/>
      <c r="B527" s="137"/>
      <c r="C527" s="70" t="s">
        <v>41</v>
      </c>
      <c r="D527" s="102">
        <v>0</v>
      </c>
      <c r="E527" s="298"/>
      <c r="F527" s="73">
        <v>0</v>
      </c>
      <c r="G527" s="73">
        <v>0</v>
      </c>
      <c r="H527" s="74" t="e">
        <f t="shared" si="151"/>
        <v>#DIV/0!</v>
      </c>
      <c r="I527" s="75" t="e">
        <f t="shared" si="152"/>
        <v>#DIV/0!</v>
      </c>
      <c r="J527" s="76" t="e">
        <f t="shared" si="153"/>
        <v>#DIV/0!</v>
      </c>
      <c r="K527" s="102">
        <v>2.6</v>
      </c>
      <c r="L527" s="73">
        <v>906</v>
      </c>
      <c r="M527" s="73">
        <v>0</v>
      </c>
      <c r="N527" s="103">
        <v>0</v>
      </c>
      <c r="O527" s="79" t="e">
        <f t="shared" si="150"/>
        <v>#DIV/0!</v>
      </c>
      <c r="P527" s="80">
        <f t="shared" si="154"/>
        <v>0</v>
      </c>
      <c r="Q527" s="79" t="e">
        <f t="shared" si="155"/>
        <v>#DIV/0!</v>
      </c>
      <c r="R527" s="81" t="e">
        <f t="shared" si="156"/>
        <v>#DIV/0!</v>
      </c>
      <c r="S527" s="104">
        <f t="shared" si="149"/>
        <v>0</v>
      </c>
      <c r="T527" s="83" t="e">
        <f t="shared" si="157"/>
        <v>#DIV/0!</v>
      </c>
      <c r="U527" s="135"/>
      <c r="V527" s="135"/>
      <c r="W527" s="135"/>
      <c r="X527" s="135"/>
      <c r="Y527" s="136"/>
      <c r="Z527" s="50"/>
      <c r="AA527" s="50"/>
    </row>
    <row r="528" spans="1:27" ht="12.75" hidden="1" outlineLevel="1" x14ac:dyDescent="0.2">
      <c r="A528" s="50"/>
      <c r="B528" s="137"/>
      <c r="C528" s="70" t="s">
        <v>42</v>
      </c>
      <c r="D528" s="90">
        <v>19.989999999999998</v>
      </c>
      <c r="E528" s="298"/>
      <c r="F528" s="73">
        <v>1</v>
      </c>
      <c r="G528" s="73">
        <v>1</v>
      </c>
      <c r="H528" s="74">
        <f t="shared" si="151"/>
        <v>1</v>
      </c>
      <c r="I528" s="75">
        <f t="shared" si="152"/>
        <v>19.989999999999998</v>
      </c>
      <c r="J528" s="76">
        <f t="shared" si="153"/>
        <v>19.989999999999998</v>
      </c>
      <c r="K528" s="90">
        <v>17.28</v>
      </c>
      <c r="L528" s="73">
        <v>18989</v>
      </c>
      <c r="M528" s="73">
        <v>2</v>
      </c>
      <c r="N528" s="91">
        <v>39.979999999999997</v>
      </c>
      <c r="O528" s="79">
        <f t="shared" si="150"/>
        <v>0.43221610805402705</v>
      </c>
      <c r="P528" s="80">
        <f t="shared" si="154"/>
        <v>2.313657407407407</v>
      </c>
      <c r="Q528" s="79">
        <f t="shared" si="155"/>
        <v>0.8644322161080541</v>
      </c>
      <c r="R528" s="81">
        <f t="shared" si="156"/>
        <v>2</v>
      </c>
      <c r="S528" s="92">
        <f t="shared" si="149"/>
        <v>-19.989999999999998</v>
      </c>
      <c r="T528" s="83">
        <f t="shared" si="157"/>
        <v>8.64</v>
      </c>
      <c r="U528" s="135"/>
      <c r="V528" s="135"/>
      <c r="W528" s="135"/>
      <c r="X528" s="135"/>
      <c r="Y528" s="136"/>
      <c r="Z528" s="50"/>
      <c r="AA528" s="50"/>
    </row>
    <row r="529" spans="1:27" ht="12.75" hidden="1" outlineLevel="1" x14ac:dyDescent="0.2">
      <c r="A529" s="50"/>
      <c r="B529" s="137"/>
      <c r="C529" s="70" t="s">
        <v>43</v>
      </c>
      <c r="D529" s="105">
        <v>79.900000000000006</v>
      </c>
      <c r="E529" s="298"/>
      <c r="F529" s="73">
        <v>2</v>
      </c>
      <c r="G529" s="73">
        <v>2</v>
      </c>
      <c r="H529" s="74">
        <f t="shared" si="151"/>
        <v>1</v>
      </c>
      <c r="I529" s="75">
        <f t="shared" si="152"/>
        <v>39.950000000000003</v>
      </c>
      <c r="J529" s="76">
        <f t="shared" si="153"/>
        <v>39.950000000000003</v>
      </c>
      <c r="K529" s="105">
        <v>37.700000000000003</v>
      </c>
      <c r="L529" s="73">
        <v>15360</v>
      </c>
      <c r="M529" s="73">
        <v>0</v>
      </c>
      <c r="N529" s="106">
        <v>0</v>
      </c>
      <c r="O529" s="79" t="e">
        <f t="shared" si="150"/>
        <v>#DIV/0!</v>
      </c>
      <c r="P529" s="80">
        <f t="shared" si="154"/>
        <v>0</v>
      </c>
      <c r="Q529" s="79">
        <f t="shared" si="155"/>
        <v>0.47183979974968709</v>
      </c>
      <c r="R529" s="81">
        <f t="shared" si="156"/>
        <v>0</v>
      </c>
      <c r="S529" s="107">
        <f t="shared" si="149"/>
        <v>79.900000000000006</v>
      </c>
      <c r="T529" s="83" t="e">
        <f t="shared" si="157"/>
        <v>#DIV/0!</v>
      </c>
      <c r="U529" s="135"/>
      <c r="V529" s="135"/>
      <c r="W529" s="135"/>
      <c r="X529" s="135"/>
      <c r="Y529" s="136"/>
      <c r="Z529" s="50"/>
      <c r="AA529" s="50"/>
    </row>
    <row r="530" spans="1:27" ht="12.75" hidden="1" outlineLevel="1" x14ac:dyDescent="0.2">
      <c r="A530" s="50"/>
      <c r="B530" s="137"/>
      <c r="C530" s="70" t="s">
        <v>44</v>
      </c>
      <c r="D530" s="108">
        <v>89.9</v>
      </c>
      <c r="E530" s="298"/>
      <c r="F530" s="73">
        <v>2</v>
      </c>
      <c r="G530" s="73">
        <v>2</v>
      </c>
      <c r="H530" s="74">
        <f t="shared" si="151"/>
        <v>1</v>
      </c>
      <c r="I530" s="75">
        <f t="shared" si="152"/>
        <v>44.95</v>
      </c>
      <c r="J530" s="76">
        <f t="shared" si="153"/>
        <v>44.95</v>
      </c>
      <c r="K530" s="108">
        <v>42.59</v>
      </c>
      <c r="L530" s="73">
        <v>10870</v>
      </c>
      <c r="M530" s="73">
        <v>0</v>
      </c>
      <c r="N530" s="109">
        <v>0</v>
      </c>
      <c r="O530" s="79" t="e">
        <f t="shared" si="150"/>
        <v>#DIV/0!</v>
      </c>
      <c r="P530" s="80">
        <f t="shared" si="154"/>
        <v>0</v>
      </c>
      <c r="Q530" s="79">
        <f t="shared" si="155"/>
        <v>0.47374860956618464</v>
      </c>
      <c r="R530" s="81">
        <f t="shared" si="156"/>
        <v>0</v>
      </c>
      <c r="S530" s="110">
        <f t="shared" si="149"/>
        <v>89.9</v>
      </c>
      <c r="T530" s="83" t="e">
        <f t="shared" si="157"/>
        <v>#DIV/0!</v>
      </c>
      <c r="U530" s="135"/>
      <c r="V530" s="135"/>
      <c r="W530" s="135"/>
      <c r="X530" s="135"/>
      <c r="Y530" s="136"/>
      <c r="Z530" s="50"/>
      <c r="AA530" s="50"/>
    </row>
    <row r="531" spans="1:27" ht="12.75" hidden="1" outlineLevel="1" x14ac:dyDescent="0.2">
      <c r="A531" s="139"/>
      <c r="B531" s="137"/>
      <c r="C531" s="112" t="s">
        <v>45</v>
      </c>
      <c r="D531" s="71">
        <v>59.85</v>
      </c>
      <c r="E531" s="298"/>
      <c r="F531" s="73">
        <v>3</v>
      </c>
      <c r="G531" s="73">
        <v>2</v>
      </c>
      <c r="H531" s="74">
        <f t="shared" si="151"/>
        <v>1.5</v>
      </c>
      <c r="I531" s="75">
        <f t="shared" si="152"/>
        <v>19.95</v>
      </c>
      <c r="J531" s="76">
        <f t="shared" si="153"/>
        <v>13.299999999999999</v>
      </c>
      <c r="K531" s="71">
        <v>0</v>
      </c>
      <c r="L531" s="73">
        <v>0</v>
      </c>
      <c r="M531" s="73">
        <v>0</v>
      </c>
      <c r="N531" s="78">
        <v>0</v>
      </c>
      <c r="O531" s="79" t="e">
        <f t="shared" si="150"/>
        <v>#DIV/0!</v>
      </c>
      <c r="P531" s="80" t="e">
        <f t="shared" si="154"/>
        <v>#DIV/0!</v>
      </c>
      <c r="Q531" s="79">
        <f t="shared" si="155"/>
        <v>0</v>
      </c>
      <c r="R531" s="81">
        <f t="shared" si="156"/>
        <v>0</v>
      </c>
      <c r="S531" s="82">
        <f t="shared" si="149"/>
        <v>59.85</v>
      </c>
      <c r="T531" s="83" t="e">
        <f t="shared" si="157"/>
        <v>#DIV/0!</v>
      </c>
      <c r="U531" s="140"/>
      <c r="V531" s="140"/>
      <c r="W531" s="140"/>
      <c r="X531" s="141"/>
      <c r="Y531" s="142"/>
      <c r="Z531" s="50"/>
      <c r="AA531" s="50"/>
    </row>
    <row r="532" spans="1:27" ht="12.75" hidden="1" outlineLevel="1" x14ac:dyDescent="0.2">
      <c r="A532" s="50"/>
      <c r="B532" s="137"/>
      <c r="C532" s="70" t="s">
        <v>46</v>
      </c>
      <c r="D532" s="116">
        <v>220.75</v>
      </c>
      <c r="E532" s="298"/>
      <c r="F532" s="73">
        <v>5</v>
      </c>
      <c r="G532" s="73">
        <v>7</v>
      </c>
      <c r="H532" s="74">
        <f t="shared" si="151"/>
        <v>0.7142857142857143</v>
      </c>
      <c r="I532" s="75">
        <f t="shared" si="152"/>
        <v>44.15</v>
      </c>
      <c r="J532" s="76">
        <f t="shared" si="153"/>
        <v>61.809999999999995</v>
      </c>
      <c r="K532" s="116">
        <v>84.18</v>
      </c>
      <c r="L532" s="73">
        <v>28314</v>
      </c>
      <c r="M532" s="73">
        <v>4</v>
      </c>
      <c r="N532" s="117">
        <v>175.8</v>
      </c>
      <c r="O532" s="79">
        <f t="shared" si="150"/>
        <v>0.47883959044368601</v>
      </c>
      <c r="P532" s="80">
        <f t="shared" si="154"/>
        <v>2.0883820384889522</v>
      </c>
      <c r="Q532" s="79">
        <f t="shared" si="155"/>
        <v>0.38133635334088339</v>
      </c>
      <c r="R532" s="81">
        <f t="shared" si="156"/>
        <v>0.79637599093997735</v>
      </c>
      <c r="S532" s="82">
        <f t="shared" si="149"/>
        <v>44.949999999999989</v>
      </c>
      <c r="T532" s="83">
        <f t="shared" si="157"/>
        <v>21.045000000000002</v>
      </c>
      <c r="U532" s="135"/>
      <c r="V532" s="135"/>
      <c r="W532" s="135"/>
      <c r="X532" s="135"/>
      <c r="Y532" s="136"/>
      <c r="Z532" s="50"/>
      <c r="AA532" s="50"/>
    </row>
    <row r="533" spans="1:27" ht="12.75" hidden="1" outlineLevel="1" x14ac:dyDescent="0.2">
      <c r="A533" s="118" t="str">
        <f t="shared" ref="A533:A534" si="158">IFERROR(IF(B533&gt;0,MONTH(B533)&amp;"-"&amp;YEAR(B533),B533),)</f>
        <v>7-2025</v>
      </c>
      <c r="B533" s="69">
        <v>45843</v>
      </c>
      <c r="C533" s="70" t="s">
        <v>49</v>
      </c>
      <c r="D533" s="116">
        <v>0</v>
      </c>
      <c r="E533" s="298"/>
      <c r="F533" s="73">
        <v>0</v>
      </c>
      <c r="G533" s="73">
        <v>0</v>
      </c>
      <c r="H533" s="74" t="e">
        <f t="shared" si="151"/>
        <v>#DIV/0!</v>
      </c>
      <c r="I533" s="75" t="e">
        <f t="shared" si="152"/>
        <v>#DIV/0!</v>
      </c>
      <c r="J533" s="76" t="e">
        <f t="shared" si="153"/>
        <v>#DIV/0!</v>
      </c>
      <c r="K533" s="116">
        <v>3.11</v>
      </c>
      <c r="L533" s="73">
        <v>4394</v>
      </c>
      <c r="M533" s="73">
        <v>0</v>
      </c>
      <c r="N533" s="117">
        <v>0</v>
      </c>
      <c r="O533" s="79" t="e">
        <f t="shared" si="150"/>
        <v>#DIV/0!</v>
      </c>
      <c r="P533" s="80">
        <f t="shared" si="154"/>
        <v>0</v>
      </c>
      <c r="Q533" s="79" t="e">
        <f t="shared" si="155"/>
        <v>#DIV/0!</v>
      </c>
      <c r="R533" s="81" t="e">
        <f t="shared" si="156"/>
        <v>#DIV/0!</v>
      </c>
      <c r="S533" s="82">
        <f t="shared" si="149"/>
        <v>0</v>
      </c>
      <c r="T533" s="83" t="e">
        <f t="shared" si="157"/>
        <v>#DIV/0!</v>
      </c>
      <c r="U533" s="135"/>
      <c r="V533" s="135"/>
      <c r="W533" s="135"/>
      <c r="X533" s="135"/>
      <c r="Y533" s="136"/>
      <c r="Z533" s="50"/>
      <c r="AA533" s="50"/>
    </row>
    <row r="534" spans="1:27" ht="12.75" collapsed="1" x14ac:dyDescent="0.2">
      <c r="A534" s="50">
        <f t="shared" si="158"/>
        <v>0</v>
      </c>
      <c r="B534" s="52" t="s">
        <v>85</v>
      </c>
      <c r="C534" s="145"/>
      <c r="D534" s="121">
        <f>SUM(D517:D533)</f>
        <v>2915.87</v>
      </c>
      <c r="E534" s="297"/>
      <c r="F534" s="123">
        <f t="shared" ref="F534:G534" si="159">SUM(F517:F533)</f>
        <v>35</v>
      </c>
      <c r="G534" s="123">
        <f t="shared" si="159"/>
        <v>55</v>
      </c>
      <c r="H534" s="124">
        <f t="shared" si="151"/>
        <v>0.63636363636363635</v>
      </c>
      <c r="I534" s="125">
        <f t="shared" si="152"/>
        <v>83.310571428571421</v>
      </c>
      <c r="J534" s="126">
        <f t="shared" si="153"/>
        <v>130.91661224489795</v>
      </c>
      <c r="K534" s="121">
        <f t="shared" ref="K534:N534" si="160">SUM(K517:K533)</f>
        <v>1229.9699999999998</v>
      </c>
      <c r="L534" s="123">
        <f t="shared" si="160"/>
        <v>292563</v>
      </c>
      <c r="M534" s="123">
        <f t="shared" si="160"/>
        <v>19</v>
      </c>
      <c r="N534" s="127">
        <f t="shared" si="160"/>
        <v>657.32999999999993</v>
      </c>
      <c r="O534" s="128">
        <f t="shared" si="150"/>
        <v>1.8711606042626989</v>
      </c>
      <c r="P534" s="129">
        <f t="shared" si="154"/>
        <v>0.5344276689675358</v>
      </c>
      <c r="Q534" s="128">
        <f t="shared" si="155"/>
        <v>0.42181921690610347</v>
      </c>
      <c r="R534" s="130">
        <f t="shared" si="156"/>
        <v>0.22543186081684025</v>
      </c>
      <c r="S534" s="131">
        <f>SUM(S517:S533)</f>
        <v>2258.54</v>
      </c>
      <c r="T534" s="132">
        <f t="shared" si="157"/>
        <v>64.735263157894721</v>
      </c>
      <c r="U534" s="273">
        <f>IFERROR((D534-D246)/D534,)</f>
        <v>-1.6000198911474099</v>
      </c>
      <c r="V534" s="273">
        <f>IFERROR((F534-F246)/F534,)</f>
        <v>-1.6857142857142857</v>
      </c>
      <c r="W534" s="271">
        <f>IFERROR((D534-[1]monthly_reporting_2021!E325)/D534, )</f>
        <v>0</v>
      </c>
      <c r="X534" s="271">
        <f>IFERROR((F534-[1]monthly_reporting_2021!F325)/F534, )</f>
        <v>0</v>
      </c>
      <c r="Y534" s="50"/>
      <c r="Z534" s="50"/>
      <c r="AA534" s="50"/>
    </row>
    <row r="535" spans="1:27" ht="12.75" hidden="1" outlineLevel="1" x14ac:dyDescent="0.2">
      <c r="A535" s="50"/>
      <c r="B535" s="69">
        <v>45844</v>
      </c>
      <c r="C535" s="70" t="s">
        <v>32</v>
      </c>
      <c r="D535" s="71">
        <v>9831.92</v>
      </c>
      <c r="E535" s="298"/>
      <c r="F535" s="73">
        <v>38</v>
      </c>
      <c r="G535" s="73">
        <v>31</v>
      </c>
      <c r="H535" s="74">
        <f t="shared" si="151"/>
        <v>1.2258064516129032</v>
      </c>
      <c r="I535" s="75">
        <f t="shared" si="152"/>
        <v>258.73473684210529</v>
      </c>
      <c r="J535" s="76">
        <f t="shared" si="153"/>
        <v>211.0730747922438</v>
      </c>
      <c r="K535" s="77">
        <v>1142.43</v>
      </c>
      <c r="L535" s="73">
        <v>169243</v>
      </c>
      <c r="M535" s="73">
        <v>14</v>
      </c>
      <c r="N535" s="78">
        <v>2788.32</v>
      </c>
      <c r="O535" s="79">
        <f t="shared" si="150"/>
        <v>0.40971983129626444</v>
      </c>
      <c r="P535" s="80">
        <f t="shared" si="154"/>
        <v>2.4406922087130063</v>
      </c>
      <c r="Q535" s="79">
        <f t="shared" si="155"/>
        <v>0.11619602275038854</v>
      </c>
      <c r="R535" s="81">
        <f t="shared" si="156"/>
        <v>0.28359872741031256</v>
      </c>
      <c r="S535" s="82">
        <f t="shared" ref="S535:S551" si="161">D535-N535</f>
        <v>7043.6</v>
      </c>
      <c r="T535" s="83">
        <f t="shared" si="157"/>
        <v>81.602142857142866</v>
      </c>
      <c r="U535" s="135"/>
      <c r="V535" s="135"/>
      <c r="W535" s="135"/>
      <c r="X535" s="135"/>
      <c r="Y535" s="136"/>
      <c r="Z535" s="50"/>
      <c r="AA535" s="50"/>
    </row>
    <row r="536" spans="1:27" ht="12.75" hidden="1" outlineLevel="1" x14ac:dyDescent="0.2">
      <c r="A536" s="50"/>
      <c r="B536" s="137"/>
      <c r="C536" s="70" t="s">
        <v>33</v>
      </c>
      <c r="D536" s="87">
        <v>25321.66</v>
      </c>
      <c r="E536" s="298"/>
      <c r="F536" s="73">
        <v>89</v>
      </c>
      <c r="G536" s="73">
        <v>108</v>
      </c>
      <c r="H536" s="74">
        <f t="shared" si="151"/>
        <v>0.82407407407407407</v>
      </c>
      <c r="I536" s="75">
        <f t="shared" si="152"/>
        <v>284.51303370786519</v>
      </c>
      <c r="J536" s="76">
        <f t="shared" si="153"/>
        <v>345.25177124100497</v>
      </c>
      <c r="K536" s="87">
        <v>492.35</v>
      </c>
      <c r="L536" s="73">
        <v>115863</v>
      </c>
      <c r="M536" s="73">
        <v>25</v>
      </c>
      <c r="N536" s="88">
        <v>4232.8999999999996</v>
      </c>
      <c r="O536" s="79">
        <f t="shared" si="150"/>
        <v>0.11631505587186092</v>
      </c>
      <c r="P536" s="80">
        <f t="shared" si="154"/>
        <v>8.5973392911546647</v>
      </c>
      <c r="Q536" s="79">
        <f t="shared" si="155"/>
        <v>1.9443827932291959E-2</v>
      </c>
      <c r="R536" s="81">
        <f t="shared" si="156"/>
        <v>0.16716518585274423</v>
      </c>
      <c r="S536" s="89">
        <f t="shared" si="161"/>
        <v>21088.760000000002</v>
      </c>
      <c r="T536" s="83">
        <f t="shared" si="157"/>
        <v>19.694000000000003</v>
      </c>
      <c r="U536" s="135"/>
      <c r="V536" s="135"/>
      <c r="W536" s="135"/>
      <c r="X536" s="135"/>
      <c r="Y536" s="136"/>
      <c r="Z536" s="50"/>
      <c r="AA536" s="50"/>
    </row>
    <row r="537" spans="1:27" ht="12.75" hidden="1" outlineLevel="1" x14ac:dyDescent="0.2">
      <c r="A537" s="50"/>
      <c r="B537" s="137"/>
      <c r="C537" s="70" t="s">
        <v>34</v>
      </c>
      <c r="D537" s="90">
        <v>0</v>
      </c>
      <c r="E537" s="298"/>
      <c r="F537" s="73">
        <v>0</v>
      </c>
      <c r="G537" s="73">
        <v>0</v>
      </c>
      <c r="H537" s="74" t="e">
        <f t="shared" si="151"/>
        <v>#DIV/0!</v>
      </c>
      <c r="I537" s="75" t="e">
        <f t="shared" si="152"/>
        <v>#DIV/0!</v>
      </c>
      <c r="J537" s="76" t="e">
        <f t="shared" si="153"/>
        <v>#DIV/0!</v>
      </c>
      <c r="K537" s="90">
        <v>0</v>
      </c>
      <c r="L537" s="73">
        <v>0</v>
      </c>
      <c r="M537" s="73">
        <v>0</v>
      </c>
      <c r="N537" s="91">
        <v>0</v>
      </c>
      <c r="O537" s="79" t="e">
        <f>(K537/N537)</f>
        <v>#DIV/0!</v>
      </c>
      <c r="P537" s="80" t="e">
        <f t="shared" si="154"/>
        <v>#DIV/0!</v>
      </c>
      <c r="Q537" s="79" t="e">
        <f t="shared" si="155"/>
        <v>#DIV/0!</v>
      </c>
      <c r="R537" s="81" t="e">
        <f t="shared" si="156"/>
        <v>#DIV/0!</v>
      </c>
      <c r="S537" s="92">
        <f t="shared" si="161"/>
        <v>0</v>
      </c>
      <c r="T537" s="83" t="e">
        <f t="shared" si="157"/>
        <v>#DIV/0!</v>
      </c>
      <c r="U537" s="135"/>
      <c r="V537" s="135"/>
      <c r="W537" s="135"/>
      <c r="X537" s="135"/>
      <c r="Y537" s="136"/>
      <c r="Z537" s="50"/>
      <c r="AA537" s="50"/>
    </row>
    <row r="538" spans="1:27" ht="12.75" hidden="1" outlineLevel="1" x14ac:dyDescent="0.2">
      <c r="A538" s="50"/>
      <c r="B538" s="137"/>
      <c r="C538" s="70" t="s">
        <v>35</v>
      </c>
      <c r="D538" s="90">
        <v>0</v>
      </c>
      <c r="E538" s="298"/>
      <c r="F538" s="73">
        <v>0</v>
      </c>
      <c r="G538" s="73">
        <v>0</v>
      </c>
      <c r="H538" s="74" t="e">
        <f t="shared" si="151"/>
        <v>#DIV/0!</v>
      </c>
      <c r="I538" s="75" t="e">
        <f t="shared" si="152"/>
        <v>#DIV/0!</v>
      </c>
      <c r="J538" s="76" t="e">
        <f t="shared" si="153"/>
        <v>#DIV/0!</v>
      </c>
      <c r="K538" s="90">
        <v>32.5</v>
      </c>
      <c r="L538" s="73">
        <v>2713</v>
      </c>
      <c r="M538" s="73">
        <v>0</v>
      </c>
      <c r="N538" s="91">
        <v>0</v>
      </c>
      <c r="O538" s="79" t="e">
        <f t="shared" ref="O538:O554" si="162">K538/N538</f>
        <v>#DIV/0!</v>
      </c>
      <c r="P538" s="80">
        <f t="shared" si="154"/>
        <v>0</v>
      </c>
      <c r="Q538" s="79" t="e">
        <f t="shared" si="155"/>
        <v>#DIV/0!</v>
      </c>
      <c r="R538" s="81" t="e">
        <f t="shared" si="156"/>
        <v>#DIV/0!</v>
      </c>
      <c r="S538" s="92">
        <f t="shared" si="161"/>
        <v>0</v>
      </c>
      <c r="T538" s="83" t="e">
        <f t="shared" si="157"/>
        <v>#DIV/0!</v>
      </c>
      <c r="U538" s="135"/>
      <c r="V538" s="135"/>
      <c r="W538" s="135"/>
      <c r="X538" s="135"/>
      <c r="Y538" s="136"/>
      <c r="Z538" s="50"/>
      <c r="AA538" s="50"/>
    </row>
    <row r="539" spans="1:27" ht="12.75" hidden="1" outlineLevel="1" x14ac:dyDescent="0.2">
      <c r="A539" s="50"/>
      <c r="B539" s="137"/>
      <c r="C539" s="70" t="s">
        <v>62</v>
      </c>
      <c r="D539" s="200">
        <v>0</v>
      </c>
      <c r="E539" s="298"/>
      <c r="F539" s="73">
        <v>0</v>
      </c>
      <c r="G539" s="73">
        <v>0</v>
      </c>
      <c r="H539" s="74" t="e">
        <f t="shared" si="151"/>
        <v>#DIV/0!</v>
      </c>
      <c r="I539" s="75" t="e">
        <f t="shared" si="152"/>
        <v>#DIV/0!</v>
      </c>
      <c r="J539" s="76" t="e">
        <f t="shared" si="153"/>
        <v>#DIV/0!</v>
      </c>
      <c r="K539" s="200">
        <v>0</v>
      </c>
      <c r="L539" s="73">
        <v>0</v>
      </c>
      <c r="M539" s="73">
        <v>0</v>
      </c>
      <c r="N539" s="200">
        <v>0</v>
      </c>
      <c r="O539" s="79" t="e">
        <f t="shared" si="162"/>
        <v>#DIV/0!</v>
      </c>
      <c r="P539" s="80" t="e">
        <f t="shared" si="154"/>
        <v>#DIV/0!</v>
      </c>
      <c r="Q539" s="79" t="e">
        <f t="shared" si="155"/>
        <v>#DIV/0!</v>
      </c>
      <c r="R539" s="81" t="e">
        <f t="shared" si="156"/>
        <v>#DIV/0!</v>
      </c>
      <c r="S539" s="92">
        <f t="shared" si="161"/>
        <v>0</v>
      </c>
      <c r="T539" s="83" t="e">
        <f t="shared" si="157"/>
        <v>#DIV/0!</v>
      </c>
      <c r="U539" s="135"/>
      <c r="V539" s="135"/>
      <c r="W539" s="135"/>
      <c r="X539" s="135"/>
      <c r="Y539" s="136"/>
      <c r="Z539" s="50"/>
      <c r="AA539" s="50"/>
    </row>
    <row r="540" spans="1:27" ht="12.75" hidden="1" outlineLevel="1" x14ac:dyDescent="0.2">
      <c r="A540" s="50"/>
      <c r="B540" s="137"/>
      <c r="C540" s="70" t="s">
        <v>66</v>
      </c>
      <c r="D540" s="201">
        <v>0</v>
      </c>
      <c r="E540" s="298"/>
      <c r="F540" s="73">
        <v>0</v>
      </c>
      <c r="G540" s="73">
        <v>0</v>
      </c>
      <c r="H540" s="74" t="e">
        <f t="shared" si="151"/>
        <v>#DIV/0!</v>
      </c>
      <c r="I540" s="75" t="e">
        <f t="shared" si="152"/>
        <v>#DIV/0!</v>
      </c>
      <c r="J540" s="76" t="e">
        <f t="shared" si="153"/>
        <v>#DIV/0!</v>
      </c>
      <c r="K540" s="201">
        <v>60.26</v>
      </c>
      <c r="L540" s="73">
        <v>13829</v>
      </c>
      <c r="M540" s="73">
        <v>1</v>
      </c>
      <c r="N540" s="202">
        <v>59.95</v>
      </c>
      <c r="O540" s="79">
        <f t="shared" si="162"/>
        <v>1.0051709758131775</v>
      </c>
      <c r="P540" s="80">
        <f t="shared" si="154"/>
        <v>0.99485562562230345</v>
      </c>
      <c r="Q540" s="79" t="e">
        <f t="shared" si="155"/>
        <v>#DIV/0!</v>
      </c>
      <c r="R540" s="81" t="e">
        <f t="shared" si="156"/>
        <v>#DIV/0!</v>
      </c>
      <c r="S540" s="203">
        <f t="shared" si="161"/>
        <v>-59.95</v>
      </c>
      <c r="T540" s="83">
        <f t="shared" si="157"/>
        <v>60.26</v>
      </c>
      <c r="U540" s="135"/>
      <c r="V540" s="135"/>
      <c r="W540" s="135"/>
      <c r="X540" s="135"/>
      <c r="Y540" s="136"/>
      <c r="Z540" s="50"/>
      <c r="AA540" s="50"/>
    </row>
    <row r="541" spans="1:27" ht="12.75" hidden="1" outlineLevel="1" x14ac:dyDescent="0.2">
      <c r="A541" s="50"/>
      <c r="B541" s="137"/>
      <c r="C541" s="70" t="s">
        <v>36</v>
      </c>
      <c r="D541" s="90">
        <v>359.7</v>
      </c>
      <c r="E541" s="298"/>
      <c r="F541" s="73">
        <v>6</v>
      </c>
      <c r="G541" s="73">
        <v>6</v>
      </c>
      <c r="H541" s="74">
        <f t="shared" si="151"/>
        <v>1</v>
      </c>
      <c r="I541" s="75">
        <f t="shared" si="152"/>
        <v>59.949999999999996</v>
      </c>
      <c r="J541" s="76">
        <f t="shared" si="153"/>
        <v>59.949999999999996</v>
      </c>
      <c r="K541" s="90">
        <v>21.25</v>
      </c>
      <c r="L541" s="73">
        <v>1922</v>
      </c>
      <c r="M541" s="73">
        <v>2</v>
      </c>
      <c r="N541" s="91">
        <v>119.9</v>
      </c>
      <c r="O541" s="79">
        <f t="shared" si="162"/>
        <v>0.17723102585487907</v>
      </c>
      <c r="P541" s="80">
        <f t="shared" si="154"/>
        <v>5.6423529411764708</v>
      </c>
      <c r="Q541" s="79">
        <f t="shared" si="155"/>
        <v>5.9077008618293021E-2</v>
      </c>
      <c r="R541" s="81">
        <f t="shared" si="156"/>
        <v>0.33333333333333337</v>
      </c>
      <c r="S541" s="92">
        <f t="shared" si="161"/>
        <v>239.79999999999998</v>
      </c>
      <c r="T541" s="83">
        <f t="shared" si="157"/>
        <v>10.625</v>
      </c>
      <c r="U541" s="135"/>
      <c r="V541" s="135"/>
      <c r="W541" s="135"/>
      <c r="X541" s="135"/>
      <c r="Y541" s="136"/>
      <c r="Z541" s="50"/>
      <c r="AA541" s="50"/>
    </row>
    <row r="542" spans="1:27" ht="12.75" hidden="1" outlineLevel="1" x14ac:dyDescent="0.2">
      <c r="A542" s="50"/>
      <c r="B542" s="69" t="s">
        <v>37</v>
      </c>
      <c r="C542" s="70" t="s">
        <v>38</v>
      </c>
      <c r="D542" s="93">
        <v>111.84</v>
      </c>
      <c r="E542" s="298"/>
      <c r="F542" s="73">
        <v>4</v>
      </c>
      <c r="G542" s="73">
        <v>3</v>
      </c>
      <c r="H542" s="74">
        <f t="shared" si="151"/>
        <v>1.3333333333333333</v>
      </c>
      <c r="I542" s="75">
        <f t="shared" si="152"/>
        <v>27.96</v>
      </c>
      <c r="J542" s="76">
        <f t="shared" si="153"/>
        <v>20.970000000000002</v>
      </c>
      <c r="K542" s="93">
        <v>65.09</v>
      </c>
      <c r="L542" s="73">
        <v>16921</v>
      </c>
      <c r="M542" s="73">
        <v>1</v>
      </c>
      <c r="N542" s="94">
        <v>27.96</v>
      </c>
      <c r="O542" s="79">
        <f t="shared" si="162"/>
        <v>2.3279685264663805</v>
      </c>
      <c r="P542" s="80">
        <f t="shared" si="154"/>
        <v>0.42955907205407895</v>
      </c>
      <c r="Q542" s="79">
        <f t="shared" si="155"/>
        <v>0.58199213161659513</v>
      </c>
      <c r="R542" s="81">
        <f t="shared" si="156"/>
        <v>0.25</v>
      </c>
      <c r="S542" s="95">
        <f t="shared" si="161"/>
        <v>83.88</v>
      </c>
      <c r="T542" s="83">
        <f t="shared" si="157"/>
        <v>65.09</v>
      </c>
      <c r="U542" s="135"/>
      <c r="V542" s="135"/>
      <c r="W542" s="135"/>
      <c r="X542" s="135"/>
      <c r="Y542" s="136"/>
      <c r="Z542" s="50"/>
      <c r="AA542" s="50"/>
    </row>
    <row r="543" spans="1:27" ht="12.75" hidden="1" outlineLevel="1" x14ac:dyDescent="0.2">
      <c r="A543" s="50"/>
      <c r="B543" s="137"/>
      <c r="C543" s="70" t="s">
        <v>39</v>
      </c>
      <c r="D543" s="96">
        <v>-319.98</v>
      </c>
      <c r="E543" s="298"/>
      <c r="F543" s="73">
        <v>-2</v>
      </c>
      <c r="G543" s="73">
        <v>0</v>
      </c>
      <c r="H543" s="74" t="e">
        <f t="shared" si="151"/>
        <v>#DIV/0!</v>
      </c>
      <c r="I543" s="75">
        <f t="shared" si="152"/>
        <v>159.99</v>
      </c>
      <c r="J543" s="76" t="e">
        <f t="shared" si="153"/>
        <v>#DIV/0!</v>
      </c>
      <c r="K543" s="96">
        <v>0</v>
      </c>
      <c r="L543" s="73">
        <v>0</v>
      </c>
      <c r="M543" s="73">
        <v>0</v>
      </c>
      <c r="N543" s="97">
        <v>0</v>
      </c>
      <c r="O543" s="79" t="e">
        <f t="shared" si="162"/>
        <v>#DIV/0!</v>
      </c>
      <c r="P543" s="80" t="e">
        <f t="shared" si="154"/>
        <v>#DIV/0!</v>
      </c>
      <c r="Q543" s="79">
        <f t="shared" si="155"/>
        <v>0</v>
      </c>
      <c r="R543" s="81">
        <f t="shared" si="156"/>
        <v>0</v>
      </c>
      <c r="S543" s="98">
        <f t="shared" si="161"/>
        <v>-319.98</v>
      </c>
      <c r="T543" s="83" t="e">
        <f t="shared" si="157"/>
        <v>#DIV/0!</v>
      </c>
      <c r="U543" s="135"/>
      <c r="V543" s="135"/>
      <c r="W543" s="135"/>
      <c r="X543" s="135"/>
      <c r="Y543" s="136"/>
      <c r="Z543" s="50"/>
      <c r="AA543" s="50"/>
    </row>
    <row r="544" spans="1:27" ht="12.75" hidden="1" outlineLevel="1" x14ac:dyDescent="0.2">
      <c r="A544" s="50"/>
      <c r="B544" s="137"/>
      <c r="C544" s="70" t="s">
        <v>40</v>
      </c>
      <c r="D544" s="99">
        <v>604.45000000000005</v>
      </c>
      <c r="E544" s="298"/>
      <c r="F544" s="73">
        <v>11</v>
      </c>
      <c r="G544" s="73">
        <v>4</v>
      </c>
      <c r="H544" s="74">
        <f t="shared" si="151"/>
        <v>2.75</v>
      </c>
      <c r="I544" s="75">
        <f t="shared" si="152"/>
        <v>54.95</v>
      </c>
      <c r="J544" s="76">
        <f t="shared" si="153"/>
        <v>19.981818181818184</v>
      </c>
      <c r="K544" s="99">
        <v>0</v>
      </c>
      <c r="L544" s="73">
        <v>0</v>
      </c>
      <c r="M544" s="73">
        <v>0</v>
      </c>
      <c r="N544" s="100">
        <v>0</v>
      </c>
      <c r="O544" s="79" t="e">
        <f t="shared" si="162"/>
        <v>#DIV/0!</v>
      </c>
      <c r="P544" s="80" t="e">
        <f t="shared" si="154"/>
        <v>#DIV/0!</v>
      </c>
      <c r="Q544" s="79">
        <f t="shared" si="155"/>
        <v>0</v>
      </c>
      <c r="R544" s="81">
        <f t="shared" si="156"/>
        <v>0</v>
      </c>
      <c r="S544" s="101">
        <f t="shared" si="161"/>
        <v>604.45000000000005</v>
      </c>
      <c r="T544" s="83" t="e">
        <f t="shared" si="157"/>
        <v>#DIV/0!</v>
      </c>
      <c r="U544" s="135"/>
      <c r="V544" s="135"/>
      <c r="W544" s="135"/>
      <c r="X544" s="135"/>
      <c r="Y544" s="136"/>
      <c r="Z544" s="50"/>
      <c r="AA544" s="50"/>
    </row>
    <row r="545" spans="1:27" ht="12.75" hidden="1" outlineLevel="1" x14ac:dyDescent="0.2">
      <c r="A545" s="50"/>
      <c r="B545" s="137"/>
      <c r="C545" s="70" t="s">
        <v>41</v>
      </c>
      <c r="D545" s="102">
        <v>-52.71</v>
      </c>
      <c r="E545" s="298"/>
      <c r="F545" s="73">
        <v>1</v>
      </c>
      <c r="G545" s="73">
        <v>3</v>
      </c>
      <c r="H545" s="74">
        <f t="shared" si="151"/>
        <v>0.33333333333333331</v>
      </c>
      <c r="I545" s="75">
        <f t="shared" si="152"/>
        <v>-52.71</v>
      </c>
      <c r="J545" s="76">
        <f t="shared" si="153"/>
        <v>-158.13000000000002</v>
      </c>
      <c r="K545" s="102">
        <v>38.06</v>
      </c>
      <c r="L545" s="73">
        <v>8821</v>
      </c>
      <c r="M545" s="73">
        <v>1</v>
      </c>
      <c r="N545" s="103">
        <v>149</v>
      </c>
      <c r="O545" s="79">
        <f t="shared" si="162"/>
        <v>0.25543624161073825</v>
      </c>
      <c r="P545" s="80">
        <f t="shared" si="154"/>
        <v>3.9148712559117183</v>
      </c>
      <c r="Q545" s="79">
        <f t="shared" si="155"/>
        <v>-0.72206412445456269</v>
      </c>
      <c r="R545" s="81">
        <f t="shared" si="156"/>
        <v>-2.826788085752229</v>
      </c>
      <c r="S545" s="104">
        <f t="shared" si="161"/>
        <v>-201.71</v>
      </c>
      <c r="T545" s="83">
        <f t="shared" si="157"/>
        <v>38.06</v>
      </c>
      <c r="U545" s="135"/>
      <c r="V545" s="135"/>
      <c r="W545" s="135"/>
      <c r="X545" s="135"/>
      <c r="Y545" s="136"/>
      <c r="Z545" s="50"/>
      <c r="AA545" s="50"/>
    </row>
    <row r="546" spans="1:27" ht="12.75" hidden="1" outlineLevel="1" x14ac:dyDescent="0.2">
      <c r="A546" s="50"/>
      <c r="B546" s="137"/>
      <c r="C546" s="70" t="s">
        <v>42</v>
      </c>
      <c r="D546" s="90">
        <v>19.989999999999998</v>
      </c>
      <c r="E546" s="298"/>
      <c r="F546" s="73">
        <v>1</v>
      </c>
      <c r="G546" s="73">
        <v>1</v>
      </c>
      <c r="H546" s="74">
        <f t="shared" si="151"/>
        <v>1</v>
      </c>
      <c r="I546" s="75">
        <f t="shared" si="152"/>
        <v>19.989999999999998</v>
      </c>
      <c r="J546" s="76">
        <f t="shared" si="153"/>
        <v>19.989999999999998</v>
      </c>
      <c r="K546" s="90">
        <v>10.88</v>
      </c>
      <c r="L546" s="73">
        <v>21244</v>
      </c>
      <c r="M546" s="73">
        <v>0</v>
      </c>
      <c r="N546" s="91">
        <v>0</v>
      </c>
      <c r="O546" s="79" t="e">
        <f t="shared" si="162"/>
        <v>#DIV/0!</v>
      </c>
      <c r="P546" s="80">
        <f t="shared" si="154"/>
        <v>0</v>
      </c>
      <c r="Q546" s="79">
        <f t="shared" si="155"/>
        <v>0.54427213606803415</v>
      </c>
      <c r="R546" s="81">
        <f t="shared" si="156"/>
        <v>0</v>
      </c>
      <c r="S546" s="92">
        <f t="shared" si="161"/>
        <v>19.989999999999998</v>
      </c>
      <c r="T546" s="83" t="e">
        <f t="shared" si="157"/>
        <v>#DIV/0!</v>
      </c>
      <c r="U546" s="135"/>
      <c r="V546" s="135"/>
      <c r="W546" s="135"/>
      <c r="X546" s="135"/>
      <c r="Y546" s="136"/>
      <c r="Z546" s="50"/>
      <c r="AA546" s="50"/>
    </row>
    <row r="547" spans="1:27" ht="12.75" hidden="1" outlineLevel="1" x14ac:dyDescent="0.2">
      <c r="A547" s="50"/>
      <c r="B547" s="137"/>
      <c r="C547" s="70" t="s">
        <v>43</v>
      </c>
      <c r="D547" s="105">
        <v>439.39</v>
      </c>
      <c r="E547" s="298"/>
      <c r="F547" s="73">
        <v>5</v>
      </c>
      <c r="G547" s="73">
        <v>5</v>
      </c>
      <c r="H547" s="74">
        <f t="shared" si="151"/>
        <v>1</v>
      </c>
      <c r="I547" s="75">
        <f t="shared" si="152"/>
        <v>87.878</v>
      </c>
      <c r="J547" s="76">
        <f t="shared" si="153"/>
        <v>87.878</v>
      </c>
      <c r="K547" s="105">
        <v>80.58</v>
      </c>
      <c r="L547" s="73">
        <v>23771</v>
      </c>
      <c r="M547" s="73">
        <v>2</v>
      </c>
      <c r="N547" s="106">
        <v>172.76</v>
      </c>
      <c r="O547" s="79">
        <f t="shared" si="162"/>
        <v>0.46642741375318364</v>
      </c>
      <c r="P547" s="80">
        <f t="shared" si="154"/>
        <v>2.1439563167038966</v>
      </c>
      <c r="Q547" s="79">
        <f t="shared" si="155"/>
        <v>0.18339060970891463</v>
      </c>
      <c r="R547" s="81">
        <f t="shared" si="156"/>
        <v>0.39318145610960648</v>
      </c>
      <c r="S547" s="107">
        <f t="shared" si="161"/>
        <v>266.63</v>
      </c>
      <c r="T547" s="83">
        <f t="shared" si="157"/>
        <v>40.29</v>
      </c>
      <c r="U547" s="135"/>
      <c r="V547" s="135"/>
      <c r="W547" s="135"/>
      <c r="X547" s="135"/>
      <c r="Y547" s="136"/>
      <c r="Z547" s="50"/>
      <c r="AA547" s="50"/>
    </row>
    <row r="548" spans="1:27" ht="12.75" hidden="1" outlineLevel="1" x14ac:dyDescent="0.2">
      <c r="A548" s="50"/>
      <c r="B548" s="137"/>
      <c r="C548" s="70" t="s">
        <v>44</v>
      </c>
      <c r="D548" s="108">
        <v>44.95</v>
      </c>
      <c r="E548" s="298"/>
      <c r="F548" s="73">
        <v>1</v>
      </c>
      <c r="G548" s="73">
        <v>1</v>
      </c>
      <c r="H548" s="74">
        <f t="shared" si="151"/>
        <v>1</v>
      </c>
      <c r="I548" s="75">
        <f t="shared" si="152"/>
        <v>44.95</v>
      </c>
      <c r="J548" s="76">
        <f t="shared" si="153"/>
        <v>44.95</v>
      </c>
      <c r="K548" s="108">
        <v>27.45</v>
      </c>
      <c r="L548" s="73">
        <v>13588</v>
      </c>
      <c r="M548" s="73">
        <v>0</v>
      </c>
      <c r="N548" s="109">
        <v>0</v>
      </c>
      <c r="O548" s="79" t="e">
        <f t="shared" si="162"/>
        <v>#DIV/0!</v>
      </c>
      <c r="P548" s="80">
        <f t="shared" si="154"/>
        <v>0</v>
      </c>
      <c r="Q548" s="79">
        <f t="shared" si="155"/>
        <v>0.6106785317018909</v>
      </c>
      <c r="R548" s="81">
        <f t="shared" si="156"/>
        <v>0</v>
      </c>
      <c r="S548" s="110">
        <f t="shared" si="161"/>
        <v>44.95</v>
      </c>
      <c r="T548" s="83" t="e">
        <f t="shared" si="157"/>
        <v>#DIV/0!</v>
      </c>
      <c r="U548" s="135"/>
      <c r="V548" s="135"/>
      <c r="W548" s="135"/>
      <c r="X548" s="135"/>
      <c r="Y548" s="136"/>
      <c r="Z548" s="50"/>
      <c r="AA548" s="50"/>
    </row>
    <row r="549" spans="1:27" ht="12.75" hidden="1" outlineLevel="1" x14ac:dyDescent="0.2">
      <c r="A549" s="139"/>
      <c r="B549" s="137"/>
      <c r="C549" s="112" t="s">
        <v>45</v>
      </c>
      <c r="D549" s="71">
        <v>39.9</v>
      </c>
      <c r="E549" s="298"/>
      <c r="F549" s="73">
        <v>2</v>
      </c>
      <c r="G549" s="73">
        <v>1</v>
      </c>
      <c r="H549" s="74">
        <f t="shared" si="151"/>
        <v>2</v>
      </c>
      <c r="I549" s="75">
        <f t="shared" si="152"/>
        <v>19.95</v>
      </c>
      <c r="J549" s="76">
        <f t="shared" si="153"/>
        <v>9.9749999999999996</v>
      </c>
      <c r="K549" s="71">
        <v>0</v>
      </c>
      <c r="L549" s="73">
        <v>0</v>
      </c>
      <c r="M549" s="73">
        <v>0</v>
      </c>
      <c r="N549" s="78">
        <v>0</v>
      </c>
      <c r="O549" s="79" t="e">
        <f t="shared" si="162"/>
        <v>#DIV/0!</v>
      </c>
      <c r="P549" s="80" t="e">
        <f t="shared" si="154"/>
        <v>#DIV/0!</v>
      </c>
      <c r="Q549" s="79">
        <f t="shared" si="155"/>
        <v>0</v>
      </c>
      <c r="R549" s="81">
        <f t="shared" si="156"/>
        <v>0</v>
      </c>
      <c r="S549" s="82">
        <f t="shared" si="161"/>
        <v>39.9</v>
      </c>
      <c r="T549" s="83" t="e">
        <f t="shared" si="157"/>
        <v>#DIV/0!</v>
      </c>
      <c r="U549" s="140"/>
      <c r="V549" s="140"/>
      <c r="W549" s="140"/>
      <c r="X549" s="141"/>
      <c r="Y549" s="142"/>
      <c r="Z549" s="50"/>
      <c r="AA549" s="50"/>
    </row>
    <row r="550" spans="1:27" ht="12.75" hidden="1" outlineLevel="1" x14ac:dyDescent="0.2">
      <c r="A550" s="50"/>
      <c r="B550" s="137"/>
      <c r="C550" s="70" t="s">
        <v>46</v>
      </c>
      <c r="D550" s="116">
        <v>812.09</v>
      </c>
      <c r="E550" s="298"/>
      <c r="F550" s="73">
        <v>21</v>
      </c>
      <c r="G550" s="73">
        <v>22</v>
      </c>
      <c r="H550" s="74">
        <f t="shared" si="151"/>
        <v>0.95454545454545459</v>
      </c>
      <c r="I550" s="75">
        <f t="shared" si="152"/>
        <v>38.670952380952386</v>
      </c>
      <c r="J550" s="76">
        <f t="shared" si="153"/>
        <v>40.51242630385488</v>
      </c>
      <c r="K550" s="116">
        <v>132.96</v>
      </c>
      <c r="L550" s="73">
        <v>28360</v>
      </c>
      <c r="M550" s="73">
        <v>12</v>
      </c>
      <c r="N550" s="117">
        <v>305.66000000000003</v>
      </c>
      <c r="O550" s="79">
        <f t="shared" si="162"/>
        <v>0.43499312962114767</v>
      </c>
      <c r="P550" s="80">
        <f t="shared" si="154"/>
        <v>2.2988868832731648</v>
      </c>
      <c r="Q550" s="79">
        <f t="shared" si="155"/>
        <v>0.16372569542784668</v>
      </c>
      <c r="R550" s="81">
        <f t="shared" si="156"/>
        <v>0.37638685367385388</v>
      </c>
      <c r="S550" s="82">
        <f t="shared" si="161"/>
        <v>506.43</v>
      </c>
      <c r="T550" s="83">
        <f t="shared" si="157"/>
        <v>11.08</v>
      </c>
      <c r="U550" s="135"/>
      <c r="V550" s="135"/>
      <c r="W550" s="135"/>
      <c r="X550" s="135"/>
      <c r="Y550" s="136"/>
      <c r="Z550" s="50"/>
      <c r="AA550" s="50"/>
    </row>
    <row r="551" spans="1:27" ht="12.75" hidden="1" outlineLevel="1" x14ac:dyDescent="0.2">
      <c r="A551" s="118" t="str">
        <f t="shared" ref="A551:A552" si="163">IFERROR(IF(B551&gt;0,MONTH(B551)&amp;"-"&amp;YEAR(B551),B551),)</f>
        <v>7-2025</v>
      </c>
      <c r="B551" s="69">
        <v>45850</v>
      </c>
      <c r="C551" s="70" t="s">
        <v>49</v>
      </c>
      <c r="D551" s="116">
        <v>0</v>
      </c>
      <c r="E551" s="298"/>
      <c r="F551" s="73">
        <v>0</v>
      </c>
      <c r="G551" s="73">
        <v>0</v>
      </c>
      <c r="H551" s="74" t="e">
        <f t="shared" si="151"/>
        <v>#DIV/0!</v>
      </c>
      <c r="I551" s="75" t="e">
        <f t="shared" si="152"/>
        <v>#DIV/0!</v>
      </c>
      <c r="J551" s="76" t="e">
        <f t="shared" si="153"/>
        <v>#DIV/0!</v>
      </c>
      <c r="K551" s="116">
        <v>1.79</v>
      </c>
      <c r="L551" s="73">
        <v>5729</v>
      </c>
      <c r="M551" s="73">
        <v>0</v>
      </c>
      <c r="N551" s="117">
        <v>0</v>
      </c>
      <c r="O551" s="79" t="e">
        <f t="shared" si="162"/>
        <v>#DIV/0!</v>
      </c>
      <c r="P551" s="80">
        <f t="shared" si="154"/>
        <v>0</v>
      </c>
      <c r="Q551" s="79" t="e">
        <f t="shared" si="155"/>
        <v>#DIV/0!</v>
      </c>
      <c r="R551" s="81" t="e">
        <f t="shared" si="156"/>
        <v>#DIV/0!</v>
      </c>
      <c r="S551" s="82">
        <f t="shared" si="161"/>
        <v>0</v>
      </c>
      <c r="T551" s="83" t="e">
        <f t="shared" si="157"/>
        <v>#DIV/0!</v>
      </c>
      <c r="U551" s="135"/>
      <c r="V551" s="135"/>
      <c r="W551" s="135"/>
      <c r="X551" s="135"/>
      <c r="Y551" s="136"/>
      <c r="Z551" s="50"/>
      <c r="AA551" s="50"/>
    </row>
    <row r="552" spans="1:27" ht="12.75" collapsed="1" x14ac:dyDescent="0.2">
      <c r="A552" s="50">
        <f t="shared" si="163"/>
        <v>0</v>
      </c>
      <c r="B552" s="52" t="s">
        <v>86</v>
      </c>
      <c r="C552" s="145"/>
      <c r="D552" s="121">
        <f>SUM(D535:D551)</f>
        <v>37213.199999999983</v>
      </c>
      <c r="E552" s="297"/>
      <c r="F552" s="123">
        <f t="shared" ref="F552:G552" si="164">SUM(F535:F551)</f>
        <v>177</v>
      </c>
      <c r="G552" s="123">
        <f t="shared" si="164"/>
        <v>185</v>
      </c>
      <c r="H552" s="124">
        <f t="shared" si="151"/>
        <v>0.95675675675675675</v>
      </c>
      <c r="I552" s="125">
        <f t="shared" si="152"/>
        <v>210.24406779661007</v>
      </c>
      <c r="J552" s="126">
        <f t="shared" si="153"/>
        <v>219.74662453318001</v>
      </c>
      <c r="K552" s="121">
        <f t="shared" ref="K552:N552" si="165">SUM(K535:K551)</f>
        <v>2105.6</v>
      </c>
      <c r="L552" s="123">
        <f t="shared" si="165"/>
        <v>422004</v>
      </c>
      <c r="M552" s="123">
        <f t="shared" si="165"/>
        <v>58</v>
      </c>
      <c r="N552" s="127">
        <f t="shared" si="165"/>
        <v>7856.4499999999989</v>
      </c>
      <c r="O552" s="128">
        <f t="shared" si="162"/>
        <v>0.26800908807413021</v>
      </c>
      <c r="P552" s="129">
        <f t="shared" si="154"/>
        <v>3.7312167553191484</v>
      </c>
      <c r="Q552" s="128">
        <f t="shared" si="155"/>
        <v>5.6582073027850358E-2</v>
      </c>
      <c r="R552" s="130">
        <f t="shared" si="156"/>
        <v>0.21111997893220691</v>
      </c>
      <c r="S552" s="131">
        <f>SUM(S535:S551)</f>
        <v>29356.750000000007</v>
      </c>
      <c r="T552" s="132">
        <f t="shared" si="157"/>
        <v>36.303448275862067</v>
      </c>
      <c r="U552" s="133">
        <f>IFERROR((D552-D246)/D552,)</f>
        <v>0.79627336536497795</v>
      </c>
      <c r="V552" s="133">
        <f>IFERROR((F552-F246)/F552,)</f>
        <v>0.46892655367231639</v>
      </c>
      <c r="W552" s="271">
        <f>IFERROR((D552-[1]monthly_reporting_2021!E343)/D552, )</f>
        <v>0</v>
      </c>
      <c r="X552" s="271">
        <f>IFERROR((F552-[1]monthly_reporting_2021!F343)/F552, )</f>
        <v>0</v>
      </c>
      <c r="Y552" s="50"/>
      <c r="Z552" s="50"/>
      <c r="AA552" s="50"/>
    </row>
    <row r="553" spans="1:27" ht="12.75" hidden="1" outlineLevel="1" x14ac:dyDescent="0.2">
      <c r="A553" s="50"/>
      <c r="B553" s="69">
        <v>45851</v>
      </c>
      <c r="C553" s="70" t="s">
        <v>32</v>
      </c>
      <c r="D553" s="71">
        <v>4845.8599999999997</v>
      </c>
      <c r="E553" s="298"/>
      <c r="F553" s="73">
        <v>25</v>
      </c>
      <c r="G553" s="73">
        <v>26</v>
      </c>
      <c r="H553" s="74">
        <f t="shared" si="151"/>
        <v>0.96153846153846156</v>
      </c>
      <c r="I553" s="75">
        <f t="shared" si="152"/>
        <v>193.83439999999999</v>
      </c>
      <c r="J553" s="76">
        <f t="shared" si="153"/>
        <v>201.58777599999999</v>
      </c>
      <c r="K553" s="77">
        <v>841.16</v>
      </c>
      <c r="L553" s="73">
        <v>125708</v>
      </c>
      <c r="M553" s="73">
        <v>11</v>
      </c>
      <c r="N553" s="78">
        <v>3131.8</v>
      </c>
      <c r="O553" s="79">
        <f t="shared" si="162"/>
        <v>0.26858675522063985</v>
      </c>
      <c r="P553" s="80">
        <f t="shared" si="154"/>
        <v>3.7231917827761665</v>
      </c>
      <c r="Q553" s="79">
        <f t="shared" si="155"/>
        <v>0.17358322361768602</v>
      </c>
      <c r="R553" s="81">
        <f t="shared" si="156"/>
        <v>0.64628363180116644</v>
      </c>
      <c r="S553" s="82">
        <f t="shared" ref="S553:S569" si="166">D553-N553</f>
        <v>1714.0599999999995</v>
      </c>
      <c r="T553" s="83">
        <f t="shared" si="157"/>
        <v>76.469090909090909</v>
      </c>
      <c r="U553" s="135"/>
      <c r="V553" s="135"/>
      <c r="W553" s="135"/>
      <c r="X553" s="135"/>
      <c r="Y553" s="136"/>
      <c r="Z553" s="50"/>
      <c r="AA553" s="50"/>
    </row>
    <row r="554" spans="1:27" ht="12.75" hidden="1" outlineLevel="1" x14ac:dyDescent="0.2">
      <c r="A554" s="50"/>
      <c r="B554" s="137"/>
      <c r="C554" s="70" t="s">
        <v>33</v>
      </c>
      <c r="D554" s="87">
        <v>8948.2999999999993</v>
      </c>
      <c r="E554" s="298"/>
      <c r="F554" s="73">
        <v>74</v>
      </c>
      <c r="G554" s="73">
        <v>73</v>
      </c>
      <c r="H554" s="74">
        <f t="shared" si="151"/>
        <v>1.0136986301369864</v>
      </c>
      <c r="I554" s="75">
        <f t="shared" si="152"/>
        <v>120.92297297297296</v>
      </c>
      <c r="J554" s="76">
        <f t="shared" si="153"/>
        <v>119.28887874360845</v>
      </c>
      <c r="K554" s="87">
        <v>380.4</v>
      </c>
      <c r="L554" s="73">
        <v>182221</v>
      </c>
      <c r="M554" s="73">
        <v>16</v>
      </c>
      <c r="N554" s="88">
        <v>2186.5500000000002</v>
      </c>
      <c r="O554" s="79">
        <f t="shared" si="162"/>
        <v>0.17397269671400148</v>
      </c>
      <c r="P554" s="80">
        <f t="shared" si="154"/>
        <v>5.7480283911671934</v>
      </c>
      <c r="Q554" s="79">
        <f t="shared" si="155"/>
        <v>4.2510867986097919E-2</v>
      </c>
      <c r="R554" s="81">
        <f t="shared" si="156"/>
        <v>0.24435367611725137</v>
      </c>
      <c r="S554" s="89">
        <f t="shared" si="166"/>
        <v>6761.7499999999991</v>
      </c>
      <c r="T554" s="83">
        <f t="shared" si="157"/>
        <v>23.774999999999999</v>
      </c>
      <c r="U554" s="135"/>
      <c r="V554" s="135"/>
      <c r="W554" s="135"/>
      <c r="X554" s="135"/>
      <c r="Y554" s="136"/>
      <c r="Z554" s="50"/>
      <c r="AA554" s="50"/>
    </row>
    <row r="555" spans="1:27" ht="12.75" hidden="1" outlineLevel="1" x14ac:dyDescent="0.2">
      <c r="A555" s="50"/>
      <c r="B555" s="137"/>
      <c r="C555" s="70" t="s">
        <v>34</v>
      </c>
      <c r="D555" s="90">
        <v>139.9</v>
      </c>
      <c r="E555" s="298"/>
      <c r="F555" s="73">
        <v>2</v>
      </c>
      <c r="G555" s="73">
        <v>2</v>
      </c>
      <c r="H555" s="74">
        <f t="shared" si="151"/>
        <v>1</v>
      </c>
      <c r="I555" s="75">
        <f t="shared" si="152"/>
        <v>69.95</v>
      </c>
      <c r="J555" s="76">
        <f t="shared" si="153"/>
        <v>69.95</v>
      </c>
      <c r="K555" s="90">
        <v>0</v>
      </c>
      <c r="L555" s="73">
        <v>0</v>
      </c>
      <c r="M555" s="73">
        <v>0</v>
      </c>
      <c r="N555" s="91">
        <v>0</v>
      </c>
      <c r="O555" s="79" t="e">
        <f>(K555/N555)</f>
        <v>#DIV/0!</v>
      </c>
      <c r="P555" s="80" t="e">
        <f t="shared" si="154"/>
        <v>#DIV/0!</v>
      </c>
      <c r="Q555" s="79">
        <f t="shared" si="155"/>
        <v>0</v>
      </c>
      <c r="R555" s="81">
        <f t="shared" si="156"/>
        <v>0</v>
      </c>
      <c r="S555" s="92">
        <f t="shared" si="166"/>
        <v>139.9</v>
      </c>
      <c r="T555" s="83" t="e">
        <f t="shared" si="157"/>
        <v>#DIV/0!</v>
      </c>
      <c r="U555" s="135"/>
      <c r="V555" s="135"/>
      <c r="W555" s="135"/>
      <c r="X555" s="135"/>
      <c r="Y555" s="136"/>
      <c r="Z555" s="50"/>
      <c r="AA555" s="50"/>
    </row>
    <row r="556" spans="1:27" ht="12.75" hidden="1" outlineLevel="1" x14ac:dyDescent="0.2">
      <c r="A556" s="50"/>
      <c r="B556" s="137"/>
      <c r="C556" s="70" t="s">
        <v>35</v>
      </c>
      <c r="D556" s="90">
        <v>239.8</v>
      </c>
      <c r="E556" s="298"/>
      <c r="F556" s="73">
        <v>4</v>
      </c>
      <c r="G556" s="73">
        <v>4</v>
      </c>
      <c r="H556" s="74">
        <f t="shared" si="151"/>
        <v>1</v>
      </c>
      <c r="I556" s="75">
        <f t="shared" si="152"/>
        <v>59.95</v>
      </c>
      <c r="J556" s="76">
        <f t="shared" si="153"/>
        <v>59.95</v>
      </c>
      <c r="K556" s="90">
        <v>74.16</v>
      </c>
      <c r="L556" s="73">
        <v>7744</v>
      </c>
      <c r="M556" s="73">
        <v>2</v>
      </c>
      <c r="N556" s="91">
        <v>119.9</v>
      </c>
      <c r="O556" s="79">
        <f t="shared" ref="O556:O572" si="167">K556/N556</f>
        <v>0.61851542952460381</v>
      </c>
      <c r="P556" s="80">
        <f t="shared" si="154"/>
        <v>1.6167745415318233</v>
      </c>
      <c r="Q556" s="79">
        <f t="shared" si="155"/>
        <v>0.30925771476230191</v>
      </c>
      <c r="R556" s="81">
        <f t="shared" si="156"/>
        <v>0.5</v>
      </c>
      <c r="S556" s="92">
        <f t="shared" si="166"/>
        <v>119.9</v>
      </c>
      <c r="T556" s="83">
        <f t="shared" si="157"/>
        <v>37.08</v>
      </c>
      <c r="U556" s="135"/>
      <c r="V556" s="135"/>
      <c r="W556" s="135"/>
      <c r="X556" s="135"/>
      <c r="Y556" s="136"/>
      <c r="Z556" s="50"/>
      <c r="AA556" s="50"/>
    </row>
    <row r="557" spans="1:27" ht="12.75" hidden="1" outlineLevel="1" x14ac:dyDescent="0.2">
      <c r="A557" s="50"/>
      <c r="B557" s="137"/>
      <c r="C557" s="70" t="s">
        <v>62</v>
      </c>
      <c r="D557" s="200">
        <v>0</v>
      </c>
      <c r="E557" s="298"/>
      <c r="F557" s="73">
        <v>0</v>
      </c>
      <c r="G557" s="73">
        <v>0</v>
      </c>
      <c r="H557" s="74" t="e">
        <f t="shared" si="151"/>
        <v>#DIV/0!</v>
      </c>
      <c r="I557" s="75" t="e">
        <f t="shared" si="152"/>
        <v>#DIV/0!</v>
      </c>
      <c r="J557" s="76" t="e">
        <f t="shared" si="153"/>
        <v>#DIV/0!</v>
      </c>
      <c r="K557" s="200">
        <v>0</v>
      </c>
      <c r="L557" s="73">
        <v>0</v>
      </c>
      <c r="M557" s="73">
        <v>0</v>
      </c>
      <c r="N557" s="200">
        <v>0</v>
      </c>
      <c r="O557" s="79" t="e">
        <f t="shared" si="167"/>
        <v>#DIV/0!</v>
      </c>
      <c r="P557" s="80" t="e">
        <f t="shared" si="154"/>
        <v>#DIV/0!</v>
      </c>
      <c r="Q557" s="79" t="e">
        <f t="shared" si="155"/>
        <v>#DIV/0!</v>
      </c>
      <c r="R557" s="81" t="e">
        <f t="shared" si="156"/>
        <v>#DIV/0!</v>
      </c>
      <c r="S557" s="92">
        <f t="shared" si="166"/>
        <v>0</v>
      </c>
      <c r="T557" s="83" t="e">
        <f t="shared" si="157"/>
        <v>#DIV/0!</v>
      </c>
      <c r="U557" s="135"/>
      <c r="V557" s="135"/>
      <c r="W557" s="135"/>
      <c r="X557" s="135"/>
      <c r="Y557" s="136"/>
      <c r="Z557" s="50"/>
      <c r="AA557" s="50"/>
    </row>
    <row r="558" spans="1:27" ht="12.75" hidden="1" outlineLevel="1" x14ac:dyDescent="0.2">
      <c r="A558" s="50"/>
      <c r="B558" s="137"/>
      <c r="C558" s="70" t="s">
        <v>66</v>
      </c>
      <c r="D558" s="201">
        <v>0</v>
      </c>
      <c r="E558" s="298"/>
      <c r="F558" s="73">
        <v>0</v>
      </c>
      <c r="G558" s="73">
        <v>0</v>
      </c>
      <c r="H558" s="74" t="e">
        <f t="shared" si="151"/>
        <v>#DIV/0!</v>
      </c>
      <c r="I558" s="75" t="e">
        <f t="shared" si="152"/>
        <v>#DIV/0!</v>
      </c>
      <c r="J558" s="76" t="e">
        <f t="shared" si="153"/>
        <v>#DIV/0!</v>
      </c>
      <c r="K558" s="201">
        <v>67.209999999999994</v>
      </c>
      <c r="L558" s="73">
        <v>7724</v>
      </c>
      <c r="M558" s="73">
        <v>1</v>
      </c>
      <c r="N558" s="202">
        <v>59.95</v>
      </c>
      <c r="O558" s="79">
        <f t="shared" si="167"/>
        <v>1.1211009174311926</v>
      </c>
      <c r="P558" s="80">
        <f t="shared" si="154"/>
        <v>0.89198036006546655</v>
      </c>
      <c r="Q558" s="79" t="e">
        <f t="shared" si="155"/>
        <v>#DIV/0!</v>
      </c>
      <c r="R558" s="81" t="e">
        <f t="shared" si="156"/>
        <v>#DIV/0!</v>
      </c>
      <c r="S558" s="203">
        <f t="shared" si="166"/>
        <v>-59.95</v>
      </c>
      <c r="T558" s="83">
        <f t="shared" si="157"/>
        <v>67.209999999999994</v>
      </c>
      <c r="U558" s="135"/>
      <c r="V558" s="135"/>
      <c r="W558" s="135"/>
      <c r="X558" s="135"/>
      <c r="Y558" s="136"/>
      <c r="Z558" s="50"/>
      <c r="AA558" s="50"/>
    </row>
    <row r="559" spans="1:27" ht="12.75" hidden="1" outlineLevel="1" x14ac:dyDescent="0.2">
      <c r="A559" s="50"/>
      <c r="B559" s="137"/>
      <c r="C559" s="70" t="s">
        <v>36</v>
      </c>
      <c r="D559" s="90">
        <v>239.8</v>
      </c>
      <c r="E559" s="298"/>
      <c r="F559" s="73">
        <v>4</v>
      </c>
      <c r="G559" s="73">
        <v>4</v>
      </c>
      <c r="H559" s="74">
        <f t="shared" si="151"/>
        <v>1</v>
      </c>
      <c r="I559" s="75">
        <f t="shared" si="152"/>
        <v>59.95</v>
      </c>
      <c r="J559" s="76">
        <f t="shared" si="153"/>
        <v>59.95</v>
      </c>
      <c r="K559" s="90">
        <v>9.2799999999999994</v>
      </c>
      <c r="L559" s="73">
        <v>2048</v>
      </c>
      <c r="M559" s="73">
        <v>0</v>
      </c>
      <c r="N559" s="91">
        <v>0</v>
      </c>
      <c r="O559" s="79" t="e">
        <f t="shared" si="167"/>
        <v>#DIV/0!</v>
      </c>
      <c r="P559" s="80">
        <f t="shared" si="154"/>
        <v>0</v>
      </c>
      <c r="Q559" s="79">
        <f t="shared" si="155"/>
        <v>3.8698915763135944E-2</v>
      </c>
      <c r="R559" s="81">
        <f t="shared" si="156"/>
        <v>0</v>
      </c>
      <c r="S559" s="92">
        <f t="shared" si="166"/>
        <v>239.8</v>
      </c>
      <c r="T559" s="83" t="e">
        <f t="shared" si="157"/>
        <v>#DIV/0!</v>
      </c>
      <c r="U559" s="135"/>
      <c r="V559" s="135"/>
      <c r="W559" s="135"/>
      <c r="X559" s="135"/>
      <c r="Y559" s="136"/>
      <c r="Z559" s="50"/>
      <c r="AA559" s="50"/>
    </row>
    <row r="560" spans="1:27" ht="12.75" hidden="1" outlineLevel="1" x14ac:dyDescent="0.2">
      <c r="A560" s="50"/>
      <c r="B560" s="69" t="s">
        <v>37</v>
      </c>
      <c r="C560" s="70" t="s">
        <v>38</v>
      </c>
      <c r="D560" s="93">
        <v>65.900000000000006</v>
      </c>
      <c r="E560" s="298"/>
      <c r="F560" s="73">
        <v>3</v>
      </c>
      <c r="G560" s="73">
        <v>4</v>
      </c>
      <c r="H560" s="74">
        <f t="shared" si="151"/>
        <v>0.75</v>
      </c>
      <c r="I560" s="75">
        <f t="shared" si="152"/>
        <v>21.966666666666669</v>
      </c>
      <c r="J560" s="76">
        <f t="shared" si="153"/>
        <v>29.288888888888891</v>
      </c>
      <c r="K560" s="93">
        <v>37.81</v>
      </c>
      <c r="L560" s="73">
        <v>8987</v>
      </c>
      <c r="M560" s="73">
        <v>2</v>
      </c>
      <c r="N560" s="94">
        <v>51.92</v>
      </c>
      <c r="O560" s="79">
        <f t="shared" si="167"/>
        <v>0.7282357473035439</v>
      </c>
      <c r="P560" s="80">
        <f t="shared" si="154"/>
        <v>1.3731816979635016</v>
      </c>
      <c r="Q560" s="79">
        <f t="shared" si="155"/>
        <v>0.57374810318664637</v>
      </c>
      <c r="R560" s="81">
        <f t="shared" si="156"/>
        <v>0.78786039453717749</v>
      </c>
      <c r="S560" s="95">
        <f t="shared" si="166"/>
        <v>13.980000000000004</v>
      </c>
      <c r="T560" s="83">
        <f t="shared" si="157"/>
        <v>18.905000000000001</v>
      </c>
      <c r="U560" s="135"/>
      <c r="V560" s="135"/>
      <c r="W560" s="135"/>
      <c r="X560" s="135"/>
      <c r="Y560" s="136"/>
      <c r="Z560" s="50"/>
      <c r="AA560" s="50"/>
    </row>
    <row r="561" spans="1:27" ht="12.75" hidden="1" outlineLevel="1" x14ac:dyDescent="0.2">
      <c r="A561" s="50"/>
      <c r="B561" s="137"/>
      <c r="C561" s="70" t="s">
        <v>39</v>
      </c>
      <c r="D561" s="96">
        <v>0</v>
      </c>
      <c r="E561" s="298"/>
      <c r="F561" s="73">
        <v>0</v>
      </c>
      <c r="G561" s="73">
        <v>0</v>
      </c>
      <c r="H561" s="74" t="e">
        <f t="shared" si="151"/>
        <v>#DIV/0!</v>
      </c>
      <c r="I561" s="75" t="e">
        <f t="shared" si="152"/>
        <v>#DIV/0!</v>
      </c>
      <c r="J561" s="76" t="e">
        <f t="shared" si="153"/>
        <v>#DIV/0!</v>
      </c>
      <c r="K561" s="96">
        <v>0</v>
      </c>
      <c r="L561" s="73">
        <v>0</v>
      </c>
      <c r="M561" s="73">
        <v>0</v>
      </c>
      <c r="N561" s="97">
        <v>0</v>
      </c>
      <c r="O561" s="79" t="e">
        <f t="shared" si="167"/>
        <v>#DIV/0!</v>
      </c>
      <c r="P561" s="80" t="e">
        <f t="shared" si="154"/>
        <v>#DIV/0!</v>
      </c>
      <c r="Q561" s="79" t="e">
        <f t="shared" si="155"/>
        <v>#DIV/0!</v>
      </c>
      <c r="R561" s="81" t="e">
        <f t="shared" si="156"/>
        <v>#DIV/0!</v>
      </c>
      <c r="S561" s="98">
        <f t="shared" si="166"/>
        <v>0</v>
      </c>
      <c r="T561" s="83" t="e">
        <f t="shared" si="157"/>
        <v>#DIV/0!</v>
      </c>
      <c r="U561" s="135"/>
      <c r="V561" s="135"/>
      <c r="W561" s="135"/>
      <c r="X561" s="135"/>
      <c r="Y561" s="136"/>
      <c r="Z561" s="50"/>
      <c r="AA561" s="50"/>
    </row>
    <row r="562" spans="1:27" ht="12.75" hidden="1" outlineLevel="1" x14ac:dyDescent="0.2">
      <c r="A562" s="50"/>
      <c r="B562" s="137"/>
      <c r="C562" s="70" t="s">
        <v>40</v>
      </c>
      <c r="D562" s="99">
        <v>879.2</v>
      </c>
      <c r="E562" s="298"/>
      <c r="F562" s="73">
        <v>16</v>
      </c>
      <c r="G562" s="73">
        <v>9</v>
      </c>
      <c r="H562" s="74">
        <f t="shared" si="151"/>
        <v>1.7777777777777777</v>
      </c>
      <c r="I562" s="75">
        <f t="shared" si="152"/>
        <v>54.95</v>
      </c>
      <c r="J562" s="76">
        <f t="shared" si="153"/>
        <v>30.909375000000004</v>
      </c>
      <c r="K562" s="99">
        <v>0</v>
      </c>
      <c r="L562" s="73">
        <v>0</v>
      </c>
      <c r="M562" s="73">
        <v>0</v>
      </c>
      <c r="N562" s="100">
        <v>0</v>
      </c>
      <c r="O562" s="79" t="e">
        <f t="shared" si="167"/>
        <v>#DIV/0!</v>
      </c>
      <c r="P562" s="80" t="e">
        <f t="shared" si="154"/>
        <v>#DIV/0!</v>
      </c>
      <c r="Q562" s="79">
        <f t="shared" si="155"/>
        <v>0</v>
      </c>
      <c r="R562" s="81">
        <f t="shared" si="156"/>
        <v>0</v>
      </c>
      <c r="S562" s="101">
        <f t="shared" si="166"/>
        <v>879.2</v>
      </c>
      <c r="T562" s="83" t="e">
        <f t="shared" si="157"/>
        <v>#DIV/0!</v>
      </c>
      <c r="U562" s="135"/>
      <c r="V562" s="135"/>
      <c r="W562" s="135"/>
      <c r="X562" s="135"/>
      <c r="Y562" s="136"/>
      <c r="Z562" s="50"/>
      <c r="AA562" s="50"/>
    </row>
    <row r="563" spans="1:27" ht="12.75" hidden="1" outlineLevel="1" x14ac:dyDescent="0.2">
      <c r="A563" s="50"/>
      <c r="B563" s="137"/>
      <c r="C563" s="70" t="s">
        <v>41</v>
      </c>
      <c r="D563" s="102">
        <v>1054.6199999999999</v>
      </c>
      <c r="E563" s="298"/>
      <c r="F563" s="73">
        <v>11</v>
      </c>
      <c r="G563" s="73">
        <v>11</v>
      </c>
      <c r="H563" s="74">
        <f t="shared" si="151"/>
        <v>1</v>
      </c>
      <c r="I563" s="75">
        <f t="shared" si="152"/>
        <v>95.874545454545441</v>
      </c>
      <c r="J563" s="76">
        <f t="shared" si="153"/>
        <v>95.874545454545441</v>
      </c>
      <c r="K563" s="102">
        <v>128.59</v>
      </c>
      <c r="L563" s="73">
        <v>21330</v>
      </c>
      <c r="M563" s="73">
        <v>5</v>
      </c>
      <c r="N563" s="103">
        <v>512.66</v>
      </c>
      <c r="O563" s="79">
        <f t="shared" si="167"/>
        <v>0.25082900947996722</v>
      </c>
      <c r="P563" s="80">
        <f t="shared" si="154"/>
        <v>3.9867796873784895</v>
      </c>
      <c r="Q563" s="79">
        <f t="shared" si="155"/>
        <v>0.12193017390150009</v>
      </c>
      <c r="R563" s="81">
        <f t="shared" si="156"/>
        <v>0.48610874058902737</v>
      </c>
      <c r="S563" s="104">
        <f t="shared" si="166"/>
        <v>541.95999999999992</v>
      </c>
      <c r="T563" s="83">
        <f t="shared" si="157"/>
        <v>25.718</v>
      </c>
      <c r="U563" s="135"/>
      <c r="V563" s="135"/>
      <c r="W563" s="135"/>
      <c r="X563" s="135"/>
      <c r="Y563" s="136"/>
      <c r="Z563" s="50"/>
      <c r="AA563" s="50"/>
    </row>
    <row r="564" spans="1:27" ht="12.75" hidden="1" outlineLevel="1" x14ac:dyDescent="0.2">
      <c r="A564" s="50"/>
      <c r="B564" s="137"/>
      <c r="C564" s="70" t="s">
        <v>42</v>
      </c>
      <c r="D564" s="90">
        <v>0</v>
      </c>
      <c r="E564" s="298"/>
      <c r="F564" s="73">
        <v>0</v>
      </c>
      <c r="G564" s="73">
        <v>1</v>
      </c>
      <c r="H564" s="74">
        <f t="shared" si="151"/>
        <v>0</v>
      </c>
      <c r="I564" s="75" t="e">
        <f t="shared" si="152"/>
        <v>#DIV/0!</v>
      </c>
      <c r="J564" s="76" t="e">
        <f t="shared" si="153"/>
        <v>#DIV/0!</v>
      </c>
      <c r="K564" s="90">
        <v>5.17</v>
      </c>
      <c r="L564" s="73">
        <v>17908</v>
      </c>
      <c r="M564" s="73">
        <v>1</v>
      </c>
      <c r="N564" s="91">
        <v>19.989999999999998</v>
      </c>
      <c r="O564" s="79">
        <f t="shared" si="167"/>
        <v>0.25862931465732869</v>
      </c>
      <c r="P564" s="80">
        <f t="shared" si="154"/>
        <v>3.8665377176015472</v>
      </c>
      <c r="Q564" s="79" t="e">
        <f t="shared" si="155"/>
        <v>#DIV/0!</v>
      </c>
      <c r="R564" s="81" t="e">
        <f t="shared" si="156"/>
        <v>#DIV/0!</v>
      </c>
      <c r="S564" s="92">
        <f t="shared" si="166"/>
        <v>-19.989999999999998</v>
      </c>
      <c r="T564" s="83">
        <f t="shared" si="157"/>
        <v>5.17</v>
      </c>
      <c r="U564" s="135"/>
      <c r="V564" s="135"/>
      <c r="W564" s="135"/>
      <c r="X564" s="135"/>
      <c r="Y564" s="136"/>
      <c r="Z564" s="50"/>
      <c r="AA564" s="50"/>
    </row>
    <row r="565" spans="1:27" ht="12.75" hidden="1" outlineLevel="1" x14ac:dyDescent="0.2">
      <c r="A565" s="50"/>
      <c r="B565" s="137"/>
      <c r="C565" s="70" t="s">
        <v>43</v>
      </c>
      <c r="D565" s="105">
        <v>135.96</v>
      </c>
      <c r="E565" s="298"/>
      <c r="F565" s="73">
        <v>1</v>
      </c>
      <c r="G565" s="73">
        <v>1</v>
      </c>
      <c r="H565" s="74">
        <f t="shared" si="151"/>
        <v>1</v>
      </c>
      <c r="I565" s="75">
        <f t="shared" si="152"/>
        <v>135.96</v>
      </c>
      <c r="J565" s="76">
        <f t="shared" si="153"/>
        <v>135.96</v>
      </c>
      <c r="K565" s="105">
        <v>40.85</v>
      </c>
      <c r="L565" s="73">
        <v>13445</v>
      </c>
      <c r="M565" s="73">
        <v>0</v>
      </c>
      <c r="N565" s="106">
        <v>0</v>
      </c>
      <c r="O565" s="79" t="e">
        <f t="shared" si="167"/>
        <v>#DIV/0!</v>
      </c>
      <c r="P565" s="80">
        <f t="shared" si="154"/>
        <v>0</v>
      </c>
      <c r="Q565" s="79">
        <f t="shared" si="155"/>
        <v>0.30045601647543396</v>
      </c>
      <c r="R565" s="81">
        <f t="shared" si="156"/>
        <v>0</v>
      </c>
      <c r="S565" s="107">
        <f t="shared" si="166"/>
        <v>135.96</v>
      </c>
      <c r="T565" s="83" t="e">
        <f t="shared" si="157"/>
        <v>#DIV/0!</v>
      </c>
      <c r="U565" s="135"/>
      <c r="V565" s="135"/>
      <c r="W565" s="135"/>
      <c r="X565" s="135"/>
      <c r="Y565" s="136"/>
      <c r="Z565" s="50"/>
      <c r="AA565" s="50"/>
    </row>
    <row r="566" spans="1:27" ht="12.75" hidden="1" outlineLevel="1" x14ac:dyDescent="0.2">
      <c r="A566" s="50"/>
      <c r="B566" s="137"/>
      <c r="C566" s="70" t="s">
        <v>44</v>
      </c>
      <c r="D566" s="108">
        <v>134.85</v>
      </c>
      <c r="E566" s="298"/>
      <c r="F566" s="73">
        <v>3</v>
      </c>
      <c r="G566" s="73">
        <v>3</v>
      </c>
      <c r="H566" s="74">
        <f t="shared" si="151"/>
        <v>1</v>
      </c>
      <c r="I566" s="75">
        <f t="shared" si="152"/>
        <v>44.949999999999996</v>
      </c>
      <c r="J566" s="76">
        <f t="shared" si="153"/>
        <v>44.949999999999996</v>
      </c>
      <c r="K566" s="108">
        <v>57.75</v>
      </c>
      <c r="L566" s="73">
        <v>34709</v>
      </c>
      <c r="M566" s="73">
        <v>2</v>
      </c>
      <c r="N566" s="109">
        <v>89.9</v>
      </c>
      <c r="O566" s="79">
        <f t="shared" si="167"/>
        <v>0.64238042269187978</v>
      </c>
      <c r="P566" s="80">
        <f t="shared" si="154"/>
        <v>1.5567099567099567</v>
      </c>
      <c r="Q566" s="79">
        <f t="shared" si="155"/>
        <v>0.42825361512791993</v>
      </c>
      <c r="R566" s="81">
        <f t="shared" si="156"/>
        <v>0.66666666666666674</v>
      </c>
      <c r="S566" s="110">
        <f t="shared" si="166"/>
        <v>44.949999999999989</v>
      </c>
      <c r="T566" s="83">
        <f t="shared" si="157"/>
        <v>28.875</v>
      </c>
      <c r="U566" s="135"/>
      <c r="V566" s="135"/>
      <c r="W566" s="135"/>
      <c r="X566" s="135"/>
      <c r="Y566" s="136"/>
      <c r="Z566" s="50"/>
      <c r="AA566" s="50"/>
    </row>
    <row r="567" spans="1:27" ht="12.75" hidden="1" outlineLevel="1" x14ac:dyDescent="0.2">
      <c r="A567" s="139"/>
      <c r="B567" s="137"/>
      <c r="C567" s="112" t="s">
        <v>45</v>
      </c>
      <c r="D567" s="71">
        <v>59.85</v>
      </c>
      <c r="E567" s="298"/>
      <c r="F567" s="73">
        <v>3</v>
      </c>
      <c r="G567" s="73">
        <v>1</v>
      </c>
      <c r="H567" s="74">
        <f t="shared" si="151"/>
        <v>3</v>
      </c>
      <c r="I567" s="75">
        <f t="shared" si="152"/>
        <v>19.95</v>
      </c>
      <c r="J567" s="76">
        <f t="shared" si="153"/>
        <v>6.6499999999999995</v>
      </c>
      <c r="K567" s="71">
        <v>0</v>
      </c>
      <c r="L567" s="73">
        <v>0</v>
      </c>
      <c r="M567" s="73">
        <v>0</v>
      </c>
      <c r="N567" s="78">
        <v>0</v>
      </c>
      <c r="O567" s="79" t="e">
        <f t="shared" si="167"/>
        <v>#DIV/0!</v>
      </c>
      <c r="P567" s="80" t="e">
        <f t="shared" si="154"/>
        <v>#DIV/0!</v>
      </c>
      <c r="Q567" s="79">
        <f t="shared" si="155"/>
        <v>0</v>
      </c>
      <c r="R567" s="81">
        <f t="shared" si="156"/>
        <v>0</v>
      </c>
      <c r="S567" s="82">
        <f t="shared" si="166"/>
        <v>59.85</v>
      </c>
      <c r="T567" s="83" t="e">
        <f t="shared" si="157"/>
        <v>#DIV/0!</v>
      </c>
      <c r="U567" s="140"/>
      <c r="V567" s="140"/>
      <c r="W567" s="140"/>
      <c r="X567" s="141"/>
      <c r="Y567" s="142"/>
      <c r="Z567" s="50"/>
      <c r="AA567" s="50"/>
    </row>
    <row r="568" spans="1:27" ht="12.75" hidden="1" outlineLevel="1" x14ac:dyDescent="0.2">
      <c r="A568" s="50"/>
      <c r="B568" s="137"/>
      <c r="C568" s="70" t="s">
        <v>46</v>
      </c>
      <c r="D568" s="116">
        <v>623.29999999999995</v>
      </c>
      <c r="E568" s="298"/>
      <c r="F568" s="73">
        <v>14</v>
      </c>
      <c r="G568" s="73">
        <v>15</v>
      </c>
      <c r="H568" s="74">
        <f t="shared" si="151"/>
        <v>0.93333333333333335</v>
      </c>
      <c r="I568" s="75">
        <f t="shared" si="152"/>
        <v>44.521428571428565</v>
      </c>
      <c r="J568" s="76">
        <f t="shared" si="153"/>
        <v>47.701530612244888</v>
      </c>
      <c r="K568" s="116">
        <v>106.58</v>
      </c>
      <c r="L568" s="73">
        <v>20334</v>
      </c>
      <c r="M568" s="73">
        <v>5</v>
      </c>
      <c r="N568" s="117">
        <v>175.8</v>
      </c>
      <c r="O568" s="79">
        <f t="shared" si="167"/>
        <v>0.60625711035267349</v>
      </c>
      <c r="P568" s="80">
        <f t="shared" si="154"/>
        <v>1.6494651904672548</v>
      </c>
      <c r="Q568" s="79">
        <f t="shared" si="155"/>
        <v>0.17099310123536018</v>
      </c>
      <c r="R568" s="81">
        <f t="shared" si="156"/>
        <v>0.28204716829776999</v>
      </c>
      <c r="S568" s="82">
        <f t="shared" si="166"/>
        <v>447.49999999999994</v>
      </c>
      <c r="T568" s="83">
        <f t="shared" si="157"/>
        <v>21.315999999999999</v>
      </c>
      <c r="U568" s="135"/>
      <c r="V568" s="135"/>
      <c r="W568" s="135"/>
      <c r="X568" s="135"/>
      <c r="Y568" s="136"/>
      <c r="Z568" s="50"/>
      <c r="AA568" s="50"/>
    </row>
    <row r="569" spans="1:27" ht="12.75" hidden="1" outlineLevel="1" x14ac:dyDescent="0.2">
      <c r="A569" s="118" t="str">
        <f t="shared" ref="A569:A570" si="168">IFERROR(IF(B569&gt;0,MONTH(B569)&amp;"-"&amp;YEAR(B569),B569),)</f>
        <v>7-2025</v>
      </c>
      <c r="B569" s="69">
        <v>45857</v>
      </c>
      <c r="C569" s="70" t="s">
        <v>49</v>
      </c>
      <c r="D569" s="116">
        <v>439.5</v>
      </c>
      <c r="E569" s="298"/>
      <c r="F569" s="73">
        <v>9</v>
      </c>
      <c r="G569" s="73">
        <v>9</v>
      </c>
      <c r="H569" s="74">
        <f t="shared" si="151"/>
        <v>1</v>
      </c>
      <c r="I569" s="75">
        <f t="shared" si="152"/>
        <v>48.833333333333336</v>
      </c>
      <c r="J569" s="76">
        <f t="shared" si="153"/>
        <v>48.833333333333336</v>
      </c>
      <c r="K569" s="116">
        <v>1.1399999999999999</v>
      </c>
      <c r="L569" s="73">
        <v>4859</v>
      </c>
      <c r="M569" s="73">
        <v>0</v>
      </c>
      <c r="N569" s="117">
        <v>0</v>
      </c>
      <c r="O569" s="79" t="e">
        <f t="shared" si="167"/>
        <v>#DIV/0!</v>
      </c>
      <c r="P569" s="80">
        <f t="shared" si="154"/>
        <v>0</v>
      </c>
      <c r="Q569" s="79">
        <f t="shared" si="155"/>
        <v>2.593856655290102E-3</v>
      </c>
      <c r="R569" s="81">
        <f t="shared" si="156"/>
        <v>0</v>
      </c>
      <c r="S569" s="82">
        <f t="shared" si="166"/>
        <v>439.5</v>
      </c>
      <c r="T569" s="83" t="e">
        <f t="shared" si="157"/>
        <v>#DIV/0!</v>
      </c>
      <c r="U569" s="135"/>
      <c r="V569" s="135"/>
      <c r="W569" s="135"/>
      <c r="X569" s="135"/>
      <c r="Y569" s="136"/>
      <c r="Z569" s="50"/>
      <c r="AA569" s="50"/>
    </row>
    <row r="570" spans="1:27" ht="12.75" collapsed="1" x14ac:dyDescent="0.2">
      <c r="A570" s="50">
        <f t="shared" si="168"/>
        <v>0</v>
      </c>
      <c r="B570" s="52" t="s">
        <v>87</v>
      </c>
      <c r="C570" s="145"/>
      <c r="D570" s="121">
        <f>SUM(D553:D569)</f>
        <v>17806.839999999993</v>
      </c>
      <c r="E570" s="297"/>
      <c r="F570" s="123">
        <f t="shared" ref="F570:G570" si="169">SUM(F553:F569)</f>
        <v>169</v>
      </c>
      <c r="G570" s="123">
        <f t="shared" si="169"/>
        <v>163</v>
      </c>
      <c r="H570" s="124">
        <f t="shared" si="151"/>
        <v>1.0368098159509203</v>
      </c>
      <c r="I570" s="125">
        <f t="shared" si="152"/>
        <v>105.36591715976327</v>
      </c>
      <c r="J570" s="126">
        <f t="shared" si="153"/>
        <v>101.62511536710895</v>
      </c>
      <c r="K570" s="121">
        <f t="shared" ref="K570:N570" si="170">SUM(K553:K569)</f>
        <v>1750.1</v>
      </c>
      <c r="L570" s="123">
        <f t="shared" si="170"/>
        <v>447017</v>
      </c>
      <c r="M570" s="123">
        <f t="shared" si="170"/>
        <v>45</v>
      </c>
      <c r="N570" s="127">
        <f t="shared" si="170"/>
        <v>6348.4699999999993</v>
      </c>
      <c r="O570" s="128">
        <f t="shared" si="167"/>
        <v>0.27567272114383468</v>
      </c>
      <c r="P570" s="129">
        <f t="shared" si="154"/>
        <v>3.6274898577224155</v>
      </c>
      <c r="Q570" s="128">
        <f t="shared" si="155"/>
        <v>9.8282457752189648E-2</v>
      </c>
      <c r="R570" s="130">
        <f t="shared" si="156"/>
        <v>0.35651861868809975</v>
      </c>
      <c r="S570" s="131">
        <f>SUM(S553:S569)</f>
        <v>11458.369999999995</v>
      </c>
      <c r="T570" s="132">
        <f t="shared" si="157"/>
        <v>38.891111111111108</v>
      </c>
      <c r="U570" s="133">
        <f>IFERROR((D570-D246)/D570,)</f>
        <v>0.57424675012523274</v>
      </c>
      <c r="V570" s="133">
        <f>IFERROR((F570-F246)/F570,)</f>
        <v>0.4437869822485207</v>
      </c>
      <c r="W570" s="271">
        <f>IFERROR((D570-[1]monthly_reporting_2021!E361)/D570, )</f>
        <v>0</v>
      </c>
      <c r="X570" s="271">
        <f>IFERROR((F570-[1]monthly_reporting_2021!F361)/F570, )</f>
        <v>0</v>
      </c>
      <c r="Y570" s="50"/>
      <c r="Z570" s="50"/>
      <c r="AA570" s="50"/>
    </row>
    <row r="571" spans="1:27" ht="12.75" hidden="1" outlineLevel="1" x14ac:dyDescent="0.2">
      <c r="A571" s="50"/>
      <c r="B571" s="69">
        <v>45858</v>
      </c>
      <c r="C571" s="70" t="s">
        <v>32</v>
      </c>
      <c r="D571" s="71">
        <v>530.64</v>
      </c>
      <c r="E571" s="298"/>
      <c r="F571" s="73">
        <v>8</v>
      </c>
      <c r="G571" s="73">
        <v>7</v>
      </c>
      <c r="H571" s="74">
        <f t="shared" si="151"/>
        <v>1.1428571428571428</v>
      </c>
      <c r="I571" s="75">
        <f t="shared" si="152"/>
        <v>66.33</v>
      </c>
      <c r="J571" s="76">
        <f t="shared" si="153"/>
        <v>58.03875</v>
      </c>
      <c r="K571" s="77">
        <v>652.89</v>
      </c>
      <c r="L571" s="73">
        <v>94474</v>
      </c>
      <c r="M571" s="73">
        <v>4</v>
      </c>
      <c r="N571" s="78">
        <v>59.95</v>
      </c>
      <c r="O571" s="79">
        <f t="shared" si="167"/>
        <v>10.890575479566305</v>
      </c>
      <c r="P571" s="80">
        <f t="shared" si="154"/>
        <v>9.1822512214921354E-2</v>
      </c>
      <c r="Q571" s="79">
        <f t="shared" si="155"/>
        <v>1.2303821800090458</v>
      </c>
      <c r="R571" s="81">
        <f t="shared" si="156"/>
        <v>0.11297678275290217</v>
      </c>
      <c r="S571" s="82">
        <f t="shared" ref="S571:S587" si="171">D571-N571</f>
        <v>470.69</v>
      </c>
      <c r="T571" s="83">
        <f t="shared" si="157"/>
        <v>163.2225</v>
      </c>
      <c r="U571" s="135"/>
      <c r="V571" s="135"/>
      <c r="W571" s="135"/>
      <c r="X571" s="135"/>
      <c r="Y571" s="136"/>
      <c r="Z571" s="50"/>
      <c r="AA571" s="50"/>
    </row>
    <row r="572" spans="1:27" ht="12.75" hidden="1" outlineLevel="1" x14ac:dyDescent="0.2">
      <c r="A572" s="50"/>
      <c r="B572" s="137"/>
      <c r="C572" s="70" t="s">
        <v>33</v>
      </c>
      <c r="D572" s="87">
        <v>752.25</v>
      </c>
      <c r="E572" s="298"/>
      <c r="F572" s="73">
        <v>33</v>
      </c>
      <c r="G572" s="73">
        <v>35</v>
      </c>
      <c r="H572" s="74">
        <f t="shared" si="151"/>
        <v>0.94285714285714284</v>
      </c>
      <c r="I572" s="75">
        <f t="shared" si="152"/>
        <v>22.795454545454547</v>
      </c>
      <c r="J572" s="76">
        <f t="shared" si="153"/>
        <v>24.176997245179066</v>
      </c>
      <c r="K572" s="87">
        <v>322.83</v>
      </c>
      <c r="L572" s="73">
        <v>135682</v>
      </c>
      <c r="M572" s="73">
        <v>8</v>
      </c>
      <c r="N572" s="88">
        <v>1029.75</v>
      </c>
      <c r="O572" s="79">
        <f t="shared" si="167"/>
        <v>0.31350327749453749</v>
      </c>
      <c r="P572" s="80">
        <f t="shared" si="154"/>
        <v>3.1897593160486943</v>
      </c>
      <c r="Q572" s="79">
        <f t="shared" si="155"/>
        <v>0.42915254237288131</v>
      </c>
      <c r="R572" s="81">
        <f t="shared" si="156"/>
        <v>1.3688933200398803</v>
      </c>
      <c r="S572" s="89">
        <f t="shared" si="171"/>
        <v>-277.5</v>
      </c>
      <c r="T572" s="83">
        <f t="shared" si="157"/>
        <v>40.353749999999998</v>
      </c>
      <c r="U572" s="135"/>
      <c r="V572" s="135"/>
      <c r="W572" s="135"/>
      <c r="X572" s="135"/>
      <c r="Y572" s="136"/>
      <c r="Z572" s="50"/>
      <c r="AA572" s="50"/>
    </row>
    <row r="573" spans="1:27" ht="12.75" hidden="1" outlineLevel="1" x14ac:dyDescent="0.2">
      <c r="A573" s="50"/>
      <c r="B573" s="137"/>
      <c r="C573" s="70" t="s">
        <v>34</v>
      </c>
      <c r="D573" s="90">
        <v>0</v>
      </c>
      <c r="E573" s="298"/>
      <c r="F573" s="73">
        <v>0</v>
      </c>
      <c r="G573" s="73">
        <v>0</v>
      </c>
      <c r="H573" s="74" t="e">
        <f t="shared" si="151"/>
        <v>#DIV/0!</v>
      </c>
      <c r="I573" s="75" t="e">
        <f t="shared" si="152"/>
        <v>#DIV/0!</v>
      </c>
      <c r="J573" s="76" t="e">
        <f t="shared" si="153"/>
        <v>#DIV/0!</v>
      </c>
      <c r="K573" s="90">
        <v>1.01</v>
      </c>
      <c r="L573" s="73">
        <v>4</v>
      </c>
      <c r="M573" s="73">
        <v>0</v>
      </c>
      <c r="N573" s="91">
        <v>0</v>
      </c>
      <c r="O573" s="79" t="e">
        <f>(K573/N573)</f>
        <v>#DIV/0!</v>
      </c>
      <c r="P573" s="80">
        <f t="shared" si="154"/>
        <v>0</v>
      </c>
      <c r="Q573" s="79" t="e">
        <f t="shared" si="155"/>
        <v>#DIV/0!</v>
      </c>
      <c r="R573" s="81" t="e">
        <f t="shared" si="156"/>
        <v>#DIV/0!</v>
      </c>
      <c r="S573" s="92">
        <f t="shared" si="171"/>
        <v>0</v>
      </c>
      <c r="T573" s="83" t="e">
        <f t="shared" si="157"/>
        <v>#DIV/0!</v>
      </c>
      <c r="U573" s="135"/>
      <c r="V573" s="135"/>
      <c r="W573" s="135"/>
      <c r="X573" s="135"/>
      <c r="Y573" s="136"/>
      <c r="Z573" s="50"/>
      <c r="AA573" s="50"/>
    </row>
    <row r="574" spans="1:27" ht="12.75" hidden="1" outlineLevel="1" x14ac:dyDescent="0.2">
      <c r="A574" s="50"/>
      <c r="B574" s="137"/>
      <c r="C574" s="70" t="s">
        <v>35</v>
      </c>
      <c r="D574" s="90">
        <v>239.8</v>
      </c>
      <c r="E574" s="298"/>
      <c r="F574" s="73">
        <v>4</v>
      </c>
      <c r="G574" s="73">
        <v>4</v>
      </c>
      <c r="H574" s="74">
        <f t="shared" si="151"/>
        <v>1</v>
      </c>
      <c r="I574" s="75">
        <f t="shared" si="152"/>
        <v>59.95</v>
      </c>
      <c r="J574" s="76">
        <f t="shared" si="153"/>
        <v>59.95</v>
      </c>
      <c r="K574" s="90">
        <v>12.25</v>
      </c>
      <c r="L574" s="73">
        <v>5249</v>
      </c>
      <c r="M574" s="73">
        <v>0</v>
      </c>
      <c r="N574" s="91">
        <v>0</v>
      </c>
      <c r="O574" s="79" t="e">
        <f t="shared" ref="O574:O590" si="172">K574/N574</f>
        <v>#DIV/0!</v>
      </c>
      <c r="P574" s="80">
        <f t="shared" si="154"/>
        <v>0</v>
      </c>
      <c r="Q574" s="79">
        <f t="shared" si="155"/>
        <v>5.1084236864053376E-2</v>
      </c>
      <c r="R574" s="81">
        <f t="shared" si="156"/>
        <v>0</v>
      </c>
      <c r="S574" s="92">
        <f t="shared" si="171"/>
        <v>239.8</v>
      </c>
      <c r="T574" s="83" t="e">
        <f t="shared" si="157"/>
        <v>#DIV/0!</v>
      </c>
      <c r="U574" s="135"/>
      <c r="V574" s="135"/>
      <c r="W574" s="135"/>
      <c r="X574" s="135"/>
      <c r="Y574" s="136"/>
      <c r="Z574" s="50"/>
      <c r="AA574" s="50"/>
    </row>
    <row r="575" spans="1:27" ht="12.75" hidden="1" outlineLevel="1" x14ac:dyDescent="0.2">
      <c r="A575" s="50"/>
      <c r="B575" s="137"/>
      <c r="C575" s="70" t="s">
        <v>62</v>
      </c>
      <c r="D575" s="200">
        <v>0</v>
      </c>
      <c r="E575" s="298"/>
      <c r="F575" s="73">
        <v>0</v>
      </c>
      <c r="G575" s="73">
        <v>0</v>
      </c>
      <c r="H575" s="74" t="e">
        <f t="shared" si="151"/>
        <v>#DIV/0!</v>
      </c>
      <c r="I575" s="75" t="e">
        <f t="shared" si="152"/>
        <v>#DIV/0!</v>
      </c>
      <c r="J575" s="76" t="e">
        <f t="shared" si="153"/>
        <v>#DIV/0!</v>
      </c>
      <c r="K575" s="200">
        <v>0</v>
      </c>
      <c r="L575" s="73">
        <v>0</v>
      </c>
      <c r="M575" s="73">
        <v>0</v>
      </c>
      <c r="N575" s="200">
        <v>0</v>
      </c>
      <c r="O575" s="79" t="e">
        <f t="shared" si="172"/>
        <v>#DIV/0!</v>
      </c>
      <c r="P575" s="80" t="e">
        <f t="shared" si="154"/>
        <v>#DIV/0!</v>
      </c>
      <c r="Q575" s="79" t="e">
        <f t="shared" si="155"/>
        <v>#DIV/0!</v>
      </c>
      <c r="R575" s="81" t="e">
        <f t="shared" si="156"/>
        <v>#DIV/0!</v>
      </c>
      <c r="S575" s="92">
        <f t="shared" si="171"/>
        <v>0</v>
      </c>
      <c r="T575" s="83" t="e">
        <f t="shared" si="157"/>
        <v>#DIV/0!</v>
      </c>
      <c r="U575" s="135"/>
      <c r="V575" s="135"/>
      <c r="W575" s="135"/>
      <c r="X575" s="135"/>
      <c r="Y575" s="136"/>
      <c r="Z575" s="50"/>
      <c r="AA575" s="50"/>
    </row>
    <row r="576" spans="1:27" ht="12.75" hidden="1" outlineLevel="1" x14ac:dyDescent="0.2">
      <c r="A576" s="50"/>
      <c r="B576" s="137"/>
      <c r="C576" s="70" t="s">
        <v>66</v>
      </c>
      <c r="D576" s="201">
        <v>0</v>
      </c>
      <c r="E576" s="298"/>
      <c r="F576" s="73">
        <v>0</v>
      </c>
      <c r="G576" s="73">
        <v>0</v>
      </c>
      <c r="H576" s="74" t="e">
        <f t="shared" si="151"/>
        <v>#DIV/0!</v>
      </c>
      <c r="I576" s="75" t="e">
        <f t="shared" si="152"/>
        <v>#DIV/0!</v>
      </c>
      <c r="J576" s="76" t="e">
        <f t="shared" si="153"/>
        <v>#DIV/0!</v>
      </c>
      <c r="K576" s="201">
        <v>0</v>
      </c>
      <c r="L576" s="73">
        <v>0</v>
      </c>
      <c r="M576" s="73">
        <v>0</v>
      </c>
      <c r="N576" s="202">
        <v>0</v>
      </c>
      <c r="O576" s="79" t="e">
        <f t="shared" si="172"/>
        <v>#DIV/0!</v>
      </c>
      <c r="P576" s="80" t="e">
        <f t="shared" si="154"/>
        <v>#DIV/0!</v>
      </c>
      <c r="Q576" s="79" t="e">
        <f t="shared" si="155"/>
        <v>#DIV/0!</v>
      </c>
      <c r="R576" s="81" t="e">
        <f t="shared" si="156"/>
        <v>#DIV/0!</v>
      </c>
      <c r="S576" s="203">
        <f t="shared" si="171"/>
        <v>0</v>
      </c>
      <c r="T576" s="83" t="e">
        <f t="shared" si="157"/>
        <v>#DIV/0!</v>
      </c>
      <c r="U576" s="135"/>
      <c r="V576" s="135"/>
      <c r="W576" s="135"/>
      <c r="X576" s="135"/>
      <c r="Y576" s="136"/>
      <c r="Z576" s="50"/>
      <c r="AA576" s="50"/>
    </row>
    <row r="577" spans="1:27" ht="12.75" hidden="1" outlineLevel="1" x14ac:dyDescent="0.2">
      <c r="A577" s="50"/>
      <c r="B577" s="137"/>
      <c r="C577" s="70" t="s">
        <v>36</v>
      </c>
      <c r="D577" s="90">
        <v>119.9</v>
      </c>
      <c r="E577" s="298"/>
      <c r="F577" s="73">
        <v>2</v>
      </c>
      <c r="G577" s="73">
        <v>2</v>
      </c>
      <c r="H577" s="74">
        <f t="shared" si="151"/>
        <v>1</v>
      </c>
      <c r="I577" s="75">
        <f t="shared" si="152"/>
        <v>59.95</v>
      </c>
      <c r="J577" s="76">
        <f t="shared" si="153"/>
        <v>59.95</v>
      </c>
      <c r="K577" s="90">
        <v>48.93</v>
      </c>
      <c r="L577" s="73">
        <v>9472</v>
      </c>
      <c r="M577" s="73">
        <v>2</v>
      </c>
      <c r="N577" s="91">
        <v>59.95</v>
      </c>
      <c r="O577" s="79">
        <f t="shared" si="172"/>
        <v>0.81618015012510425</v>
      </c>
      <c r="P577" s="80">
        <f t="shared" si="154"/>
        <v>1.2252197016145514</v>
      </c>
      <c r="Q577" s="79">
        <f t="shared" si="155"/>
        <v>0.40809007506255213</v>
      </c>
      <c r="R577" s="81">
        <f t="shared" si="156"/>
        <v>0.5</v>
      </c>
      <c r="S577" s="92">
        <f t="shared" si="171"/>
        <v>59.95</v>
      </c>
      <c r="T577" s="83">
        <f t="shared" si="157"/>
        <v>24.465</v>
      </c>
      <c r="U577" s="135"/>
      <c r="V577" s="135"/>
      <c r="W577" s="135"/>
      <c r="X577" s="135"/>
      <c r="Y577" s="136"/>
      <c r="Z577" s="50"/>
      <c r="AA577" s="50"/>
    </row>
    <row r="578" spans="1:27" ht="12.75" hidden="1" outlineLevel="1" x14ac:dyDescent="0.2">
      <c r="A578" s="50"/>
      <c r="B578" s="69" t="s">
        <v>37</v>
      </c>
      <c r="C578" s="70" t="s">
        <v>38</v>
      </c>
      <c r="D578" s="93">
        <v>36.94</v>
      </c>
      <c r="E578" s="298"/>
      <c r="F578" s="73">
        <v>1</v>
      </c>
      <c r="G578" s="73">
        <v>2</v>
      </c>
      <c r="H578" s="74">
        <f t="shared" si="151"/>
        <v>0.5</v>
      </c>
      <c r="I578" s="75">
        <f t="shared" si="152"/>
        <v>36.94</v>
      </c>
      <c r="J578" s="76">
        <f t="shared" si="153"/>
        <v>73.88</v>
      </c>
      <c r="K578" s="93">
        <v>24.06</v>
      </c>
      <c r="L578" s="73">
        <v>8815</v>
      </c>
      <c r="M578" s="73">
        <v>1</v>
      </c>
      <c r="N578" s="94">
        <v>29.95</v>
      </c>
      <c r="O578" s="79">
        <f t="shared" si="172"/>
        <v>0.80333889816360604</v>
      </c>
      <c r="P578" s="80">
        <f t="shared" si="154"/>
        <v>1.2448046550290939</v>
      </c>
      <c r="Q578" s="79">
        <f t="shared" si="155"/>
        <v>0.65132647536545751</v>
      </c>
      <c r="R578" s="81">
        <f t="shared" si="156"/>
        <v>0.81077422847861402</v>
      </c>
      <c r="S578" s="95">
        <f t="shared" si="171"/>
        <v>6.9899999999999984</v>
      </c>
      <c r="T578" s="83">
        <f t="shared" si="157"/>
        <v>24.06</v>
      </c>
      <c r="U578" s="135"/>
      <c r="V578" s="135"/>
      <c r="W578" s="135"/>
      <c r="X578" s="135"/>
      <c r="Y578" s="136"/>
      <c r="Z578" s="50"/>
      <c r="AA578" s="50"/>
    </row>
    <row r="579" spans="1:27" ht="12.75" hidden="1" outlineLevel="1" x14ac:dyDescent="0.2">
      <c r="A579" s="50"/>
      <c r="B579" s="137"/>
      <c r="C579" s="70" t="s">
        <v>39</v>
      </c>
      <c r="D579" s="96">
        <v>0</v>
      </c>
      <c r="E579" s="298"/>
      <c r="F579" s="73">
        <v>0</v>
      </c>
      <c r="G579" s="73">
        <v>0</v>
      </c>
      <c r="H579" s="74" t="e">
        <f t="shared" si="151"/>
        <v>#DIV/0!</v>
      </c>
      <c r="I579" s="75" t="e">
        <f t="shared" si="152"/>
        <v>#DIV/0!</v>
      </c>
      <c r="J579" s="76" t="e">
        <f t="shared" si="153"/>
        <v>#DIV/0!</v>
      </c>
      <c r="K579" s="96">
        <v>0</v>
      </c>
      <c r="L579" s="73">
        <v>0</v>
      </c>
      <c r="M579" s="73">
        <v>0</v>
      </c>
      <c r="N579" s="97">
        <v>0</v>
      </c>
      <c r="O579" s="79" t="e">
        <f t="shared" si="172"/>
        <v>#DIV/0!</v>
      </c>
      <c r="P579" s="80" t="e">
        <f t="shared" si="154"/>
        <v>#DIV/0!</v>
      </c>
      <c r="Q579" s="79" t="e">
        <f t="shared" si="155"/>
        <v>#DIV/0!</v>
      </c>
      <c r="R579" s="81" t="e">
        <f t="shared" si="156"/>
        <v>#DIV/0!</v>
      </c>
      <c r="S579" s="98">
        <f t="shared" si="171"/>
        <v>0</v>
      </c>
      <c r="T579" s="83" t="e">
        <f t="shared" si="157"/>
        <v>#DIV/0!</v>
      </c>
      <c r="U579" s="135"/>
      <c r="V579" s="135"/>
      <c r="W579" s="135"/>
      <c r="X579" s="135"/>
      <c r="Y579" s="136"/>
      <c r="Z579" s="50"/>
      <c r="AA579" s="50"/>
    </row>
    <row r="580" spans="1:27" ht="12.75" hidden="1" outlineLevel="1" x14ac:dyDescent="0.2">
      <c r="A580" s="50"/>
      <c r="B580" s="137"/>
      <c r="C580" s="70" t="s">
        <v>40</v>
      </c>
      <c r="D580" s="99">
        <v>54.95</v>
      </c>
      <c r="E580" s="298"/>
      <c r="F580" s="73">
        <v>1</v>
      </c>
      <c r="G580" s="73">
        <v>1</v>
      </c>
      <c r="H580" s="74">
        <f t="shared" si="151"/>
        <v>1</v>
      </c>
      <c r="I580" s="75">
        <f t="shared" si="152"/>
        <v>54.95</v>
      </c>
      <c r="J580" s="76">
        <f t="shared" si="153"/>
        <v>54.95</v>
      </c>
      <c r="K580" s="99">
        <v>0</v>
      </c>
      <c r="L580" s="73">
        <v>0</v>
      </c>
      <c r="M580" s="73">
        <v>0</v>
      </c>
      <c r="N580" s="100">
        <v>0</v>
      </c>
      <c r="O580" s="79" t="e">
        <f t="shared" si="172"/>
        <v>#DIV/0!</v>
      </c>
      <c r="P580" s="80" t="e">
        <f t="shared" si="154"/>
        <v>#DIV/0!</v>
      </c>
      <c r="Q580" s="79">
        <f t="shared" si="155"/>
        <v>0</v>
      </c>
      <c r="R580" s="81">
        <f t="shared" si="156"/>
        <v>0</v>
      </c>
      <c r="S580" s="101">
        <f t="shared" si="171"/>
        <v>54.95</v>
      </c>
      <c r="T580" s="83" t="e">
        <f t="shared" si="157"/>
        <v>#DIV/0!</v>
      </c>
      <c r="U580" s="135"/>
      <c r="V580" s="135"/>
      <c r="W580" s="135"/>
      <c r="X580" s="135"/>
      <c r="Y580" s="136"/>
      <c r="Z580" s="50"/>
      <c r="AA580" s="50"/>
    </row>
    <row r="581" spans="1:27" ht="12.75" hidden="1" outlineLevel="1" x14ac:dyDescent="0.2">
      <c r="A581" s="50"/>
      <c r="B581" s="137"/>
      <c r="C581" s="70" t="s">
        <v>41</v>
      </c>
      <c r="D581" s="102">
        <v>191.99</v>
      </c>
      <c r="E581" s="298"/>
      <c r="F581" s="73">
        <v>2</v>
      </c>
      <c r="G581" s="73">
        <v>4</v>
      </c>
      <c r="H581" s="74">
        <f t="shared" si="151"/>
        <v>0.5</v>
      </c>
      <c r="I581" s="75">
        <f t="shared" si="152"/>
        <v>95.995000000000005</v>
      </c>
      <c r="J581" s="76">
        <f t="shared" si="153"/>
        <v>191.99</v>
      </c>
      <c r="K581" s="102">
        <v>83.15</v>
      </c>
      <c r="L581" s="73">
        <v>17275</v>
      </c>
      <c r="M581" s="73">
        <v>2</v>
      </c>
      <c r="N581" s="103">
        <v>215.99</v>
      </c>
      <c r="O581" s="79">
        <f t="shared" si="172"/>
        <v>0.38497152645955834</v>
      </c>
      <c r="P581" s="80">
        <f t="shared" si="154"/>
        <v>2.5975947083583883</v>
      </c>
      <c r="Q581" s="79">
        <f t="shared" si="155"/>
        <v>0.43309547372258972</v>
      </c>
      <c r="R581" s="81">
        <f t="shared" si="156"/>
        <v>1.1250065107557685</v>
      </c>
      <c r="S581" s="104">
        <f t="shared" si="171"/>
        <v>-24</v>
      </c>
      <c r="T581" s="83">
        <f t="shared" si="157"/>
        <v>41.575000000000003</v>
      </c>
      <c r="U581" s="135"/>
      <c r="V581" s="135"/>
      <c r="W581" s="135"/>
      <c r="X581" s="135"/>
      <c r="Y581" s="136"/>
      <c r="Z581" s="50"/>
      <c r="AA581" s="50"/>
    </row>
    <row r="582" spans="1:27" ht="12.75" hidden="1" outlineLevel="1" x14ac:dyDescent="0.2">
      <c r="A582" s="50"/>
      <c r="B582" s="137"/>
      <c r="C582" s="70" t="s">
        <v>42</v>
      </c>
      <c r="D582" s="90">
        <v>59.97</v>
      </c>
      <c r="E582" s="298"/>
      <c r="F582" s="73">
        <v>3</v>
      </c>
      <c r="G582" s="73">
        <v>2</v>
      </c>
      <c r="H582" s="74">
        <f t="shared" si="151"/>
        <v>1.5</v>
      </c>
      <c r="I582" s="75">
        <f t="shared" si="152"/>
        <v>19.989999999999998</v>
      </c>
      <c r="J582" s="76">
        <f t="shared" si="153"/>
        <v>13.326666666666666</v>
      </c>
      <c r="K582" s="90">
        <v>8.67</v>
      </c>
      <c r="L582" s="73">
        <v>10640</v>
      </c>
      <c r="M582" s="73">
        <v>3</v>
      </c>
      <c r="N582" s="91">
        <v>59.97</v>
      </c>
      <c r="O582" s="79">
        <f t="shared" si="172"/>
        <v>0.14457228614307155</v>
      </c>
      <c r="P582" s="80">
        <f t="shared" si="154"/>
        <v>6.9169550173010377</v>
      </c>
      <c r="Q582" s="79">
        <f t="shared" si="155"/>
        <v>0.14457228614307155</v>
      </c>
      <c r="R582" s="81">
        <f t="shared" si="156"/>
        <v>1</v>
      </c>
      <c r="S582" s="92">
        <f t="shared" si="171"/>
        <v>0</v>
      </c>
      <c r="T582" s="83">
        <f t="shared" si="157"/>
        <v>2.89</v>
      </c>
      <c r="U582" s="135"/>
      <c r="V582" s="135"/>
      <c r="W582" s="135"/>
      <c r="X582" s="135"/>
      <c r="Y582" s="136"/>
      <c r="Z582" s="50"/>
      <c r="AA582" s="50"/>
    </row>
    <row r="583" spans="1:27" ht="12.75" hidden="1" outlineLevel="1" x14ac:dyDescent="0.2">
      <c r="A583" s="50"/>
      <c r="B583" s="137"/>
      <c r="C583" s="70" t="s">
        <v>43</v>
      </c>
      <c r="D583" s="105">
        <v>0</v>
      </c>
      <c r="E583" s="298"/>
      <c r="F583" s="73">
        <v>0</v>
      </c>
      <c r="G583" s="73">
        <v>0</v>
      </c>
      <c r="H583" s="74" t="e">
        <f t="shared" si="151"/>
        <v>#DIV/0!</v>
      </c>
      <c r="I583" s="75" t="e">
        <f t="shared" si="152"/>
        <v>#DIV/0!</v>
      </c>
      <c r="J583" s="76" t="e">
        <f t="shared" si="153"/>
        <v>#DIV/0!</v>
      </c>
      <c r="K583" s="105">
        <v>24.1</v>
      </c>
      <c r="L583" s="73">
        <v>12454</v>
      </c>
      <c r="M583" s="73">
        <v>0</v>
      </c>
      <c r="N583" s="106">
        <v>0</v>
      </c>
      <c r="O583" s="79" t="e">
        <f t="shared" si="172"/>
        <v>#DIV/0!</v>
      </c>
      <c r="P583" s="80">
        <f t="shared" si="154"/>
        <v>0</v>
      </c>
      <c r="Q583" s="79" t="e">
        <f t="shared" si="155"/>
        <v>#DIV/0!</v>
      </c>
      <c r="R583" s="81" t="e">
        <f t="shared" si="156"/>
        <v>#DIV/0!</v>
      </c>
      <c r="S583" s="107">
        <f t="shared" si="171"/>
        <v>0</v>
      </c>
      <c r="T583" s="83" t="e">
        <f t="shared" si="157"/>
        <v>#DIV/0!</v>
      </c>
      <c r="U583" s="135"/>
      <c r="V583" s="135"/>
      <c r="W583" s="135"/>
      <c r="X583" s="135"/>
      <c r="Y583" s="136"/>
      <c r="Z583" s="50"/>
      <c r="AA583" s="50"/>
    </row>
    <row r="584" spans="1:27" ht="12.75" hidden="1" outlineLevel="1" x14ac:dyDescent="0.2">
      <c r="A584" s="50"/>
      <c r="B584" s="137"/>
      <c r="C584" s="70" t="s">
        <v>44</v>
      </c>
      <c r="D584" s="108">
        <v>135.55000000000001</v>
      </c>
      <c r="E584" s="298"/>
      <c r="F584" s="73">
        <v>3</v>
      </c>
      <c r="G584" s="73">
        <v>3</v>
      </c>
      <c r="H584" s="74">
        <f t="shared" si="151"/>
        <v>1</v>
      </c>
      <c r="I584" s="75">
        <f t="shared" si="152"/>
        <v>45.183333333333337</v>
      </c>
      <c r="J584" s="76">
        <f t="shared" si="153"/>
        <v>45.183333333333337</v>
      </c>
      <c r="K584" s="108">
        <v>67.569999999999993</v>
      </c>
      <c r="L584" s="73">
        <v>43022</v>
      </c>
      <c r="M584" s="73">
        <v>0</v>
      </c>
      <c r="N584" s="109">
        <v>0</v>
      </c>
      <c r="O584" s="79" t="e">
        <f t="shared" si="172"/>
        <v>#DIV/0!</v>
      </c>
      <c r="P584" s="80">
        <f t="shared" si="154"/>
        <v>0</v>
      </c>
      <c r="Q584" s="79">
        <f t="shared" si="155"/>
        <v>0.4984876429361858</v>
      </c>
      <c r="R584" s="81">
        <f t="shared" si="156"/>
        <v>0</v>
      </c>
      <c r="S584" s="110">
        <f t="shared" si="171"/>
        <v>135.55000000000001</v>
      </c>
      <c r="T584" s="83" t="e">
        <f t="shared" si="157"/>
        <v>#DIV/0!</v>
      </c>
      <c r="U584" s="135"/>
      <c r="V584" s="135"/>
      <c r="W584" s="135"/>
      <c r="X584" s="135"/>
      <c r="Y584" s="136"/>
      <c r="Z584" s="50"/>
      <c r="AA584" s="50"/>
    </row>
    <row r="585" spans="1:27" ht="12.75" hidden="1" outlineLevel="1" x14ac:dyDescent="0.2">
      <c r="A585" s="139"/>
      <c r="B585" s="137"/>
      <c r="C585" s="112" t="s">
        <v>45</v>
      </c>
      <c r="D585" s="71">
        <v>0</v>
      </c>
      <c r="E585" s="298"/>
      <c r="F585" s="73">
        <v>0</v>
      </c>
      <c r="G585" s="73">
        <v>0</v>
      </c>
      <c r="H585" s="74" t="e">
        <f t="shared" si="151"/>
        <v>#DIV/0!</v>
      </c>
      <c r="I585" s="75" t="e">
        <f t="shared" si="152"/>
        <v>#DIV/0!</v>
      </c>
      <c r="J585" s="76" t="e">
        <f t="shared" si="153"/>
        <v>#DIV/0!</v>
      </c>
      <c r="K585" s="71">
        <v>0</v>
      </c>
      <c r="L585" s="73">
        <v>0</v>
      </c>
      <c r="M585" s="73">
        <v>0</v>
      </c>
      <c r="N585" s="78">
        <v>0</v>
      </c>
      <c r="O585" s="79" t="e">
        <f t="shared" si="172"/>
        <v>#DIV/0!</v>
      </c>
      <c r="P585" s="80" t="e">
        <f t="shared" si="154"/>
        <v>#DIV/0!</v>
      </c>
      <c r="Q585" s="79" t="e">
        <f t="shared" si="155"/>
        <v>#DIV/0!</v>
      </c>
      <c r="R585" s="81" t="e">
        <f t="shared" si="156"/>
        <v>#DIV/0!</v>
      </c>
      <c r="S585" s="82">
        <f t="shared" si="171"/>
        <v>0</v>
      </c>
      <c r="T585" s="83" t="e">
        <f t="shared" si="157"/>
        <v>#DIV/0!</v>
      </c>
      <c r="U585" s="140"/>
      <c r="V585" s="140"/>
      <c r="W585" s="140"/>
      <c r="X585" s="141"/>
      <c r="Y585" s="142"/>
      <c r="Z585" s="50"/>
      <c r="AA585" s="50"/>
    </row>
    <row r="586" spans="1:27" ht="12.75" hidden="1" outlineLevel="1" x14ac:dyDescent="0.2">
      <c r="A586" s="50"/>
      <c r="B586" s="137"/>
      <c r="C586" s="70" t="s">
        <v>46</v>
      </c>
      <c r="D586" s="116">
        <v>424.53</v>
      </c>
      <c r="E586" s="298"/>
      <c r="F586" s="73">
        <v>9</v>
      </c>
      <c r="G586" s="73">
        <v>10</v>
      </c>
      <c r="H586" s="74">
        <f t="shared" si="151"/>
        <v>0.9</v>
      </c>
      <c r="I586" s="75">
        <f t="shared" si="152"/>
        <v>47.169999999999995</v>
      </c>
      <c r="J586" s="76">
        <f t="shared" si="153"/>
        <v>52.411111111111104</v>
      </c>
      <c r="K586" s="116">
        <v>101.69</v>
      </c>
      <c r="L586" s="73">
        <v>16550</v>
      </c>
      <c r="M586" s="73">
        <v>7</v>
      </c>
      <c r="N586" s="117">
        <v>269.7</v>
      </c>
      <c r="O586" s="79">
        <f t="shared" si="172"/>
        <v>0.3770485724879496</v>
      </c>
      <c r="P586" s="80">
        <f t="shared" si="154"/>
        <v>2.6521781886124494</v>
      </c>
      <c r="Q586" s="79">
        <f t="shared" si="155"/>
        <v>0.23953548630249924</v>
      </c>
      <c r="R586" s="81">
        <f t="shared" si="156"/>
        <v>0.63529079217016471</v>
      </c>
      <c r="S586" s="82">
        <f t="shared" si="171"/>
        <v>154.82999999999998</v>
      </c>
      <c r="T586" s="83">
        <f t="shared" si="157"/>
        <v>14.527142857142858</v>
      </c>
      <c r="U586" s="135"/>
      <c r="V586" s="135"/>
      <c r="W586" s="135"/>
      <c r="X586" s="135"/>
      <c r="Y586" s="136"/>
      <c r="Z586" s="50"/>
      <c r="AA586" s="50"/>
    </row>
    <row r="587" spans="1:27" ht="12.75" hidden="1" outlineLevel="1" x14ac:dyDescent="0.2">
      <c r="A587" s="118" t="str">
        <f t="shared" ref="A587:A588" si="173">IFERROR(IF(B587&gt;0,MONTH(B587)&amp;"-"&amp;YEAR(B587),B587),)</f>
        <v>7-2025</v>
      </c>
      <c r="B587" s="69">
        <v>45864</v>
      </c>
      <c r="C587" s="70" t="s">
        <v>49</v>
      </c>
      <c r="D587" s="116">
        <v>0</v>
      </c>
      <c r="E587" s="298"/>
      <c r="F587" s="73">
        <v>0</v>
      </c>
      <c r="G587" s="73">
        <v>0</v>
      </c>
      <c r="H587" s="74" t="e">
        <f t="shared" si="151"/>
        <v>#DIV/0!</v>
      </c>
      <c r="I587" s="75" t="e">
        <f t="shared" si="152"/>
        <v>#DIV/0!</v>
      </c>
      <c r="J587" s="76" t="e">
        <f t="shared" si="153"/>
        <v>#DIV/0!</v>
      </c>
      <c r="K587" s="116">
        <v>3.48</v>
      </c>
      <c r="L587" s="73">
        <v>3633</v>
      </c>
      <c r="M587" s="73">
        <v>0</v>
      </c>
      <c r="N587" s="117">
        <v>0</v>
      </c>
      <c r="O587" s="79" t="e">
        <f t="shared" si="172"/>
        <v>#DIV/0!</v>
      </c>
      <c r="P587" s="80">
        <f t="shared" si="154"/>
        <v>0</v>
      </c>
      <c r="Q587" s="79" t="e">
        <f t="shared" si="155"/>
        <v>#DIV/0!</v>
      </c>
      <c r="R587" s="81" t="e">
        <f t="shared" si="156"/>
        <v>#DIV/0!</v>
      </c>
      <c r="S587" s="82">
        <f t="shared" si="171"/>
        <v>0</v>
      </c>
      <c r="T587" s="83" t="e">
        <f t="shared" si="157"/>
        <v>#DIV/0!</v>
      </c>
      <c r="U587" s="135"/>
      <c r="V587" s="135"/>
      <c r="W587" s="135"/>
      <c r="X587" s="135"/>
      <c r="Y587" s="136"/>
      <c r="Z587" s="50"/>
      <c r="AA587" s="50"/>
    </row>
    <row r="588" spans="1:27" ht="12.75" collapsed="1" x14ac:dyDescent="0.2">
      <c r="A588" s="50">
        <f t="shared" si="173"/>
        <v>0</v>
      </c>
      <c r="B588" s="52" t="s">
        <v>88</v>
      </c>
      <c r="C588" s="145"/>
      <c r="D588" s="121">
        <f>SUM(D571:D587)</f>
        <v>2546.5200000000004</v>
      </c>
      <c r="E588" s="297"/>
      <c r="F588" s="123">
        <f t="shared" ref="F588:G588" si="174">SUM(F571:F587)</f>
        <v>66</v>
      </c>
      <c r="G588" s="123">
        <f t="shared" si="174"/>
        <v>70</v>
      </c>
      <c r="H588" s="124">
        <f t="shared" si="151"/>
        <v>0.94285714285714284</v>
      </c>
      <c r="I588" s="125">
        <f t="shared" si="152"/>
        <v>38.583636363636373</v>
      </c>
      <c r="J588" s="126">
        <f t="shared" si="153"/>
        <v>40.922038567493125</v>
      </c>
      <c r="K588" s="121">
        <f t="shared" ref="K588:N588" si="175">SUM(K571:K587)</f>
        <v>1350.63</v>
      </c>
      <c r="L588" s="123">
        <f t="shared" si="175"/>
        <v>357270</v>
      </c>
      <c r="M588" s="123">
        <f t="shared" si="175"/>
        <v>27</v>
      </c>
      <c r="N588" s="127">
        <f t="shared" si="175"/>
        <v>1725.2600000000002</v>
      </c>
      <c r="O588" s="128">
        <f t="shared" si="172"/>
        <v>0.7828559173689762</v>
      </c>
      <c r="P588" s="129">
        <f t="shared" si="154"/>
        <v>1.2773742623812592</v>
      </c>
      <c r="Q588" s="128">
        <f t="shared" si="155"/>
        <v>0.53038263983789635</v>
      </c>
      <c r="R588" s="130">
        <f t="shared" si="156"/>
        <v>0.67749713334275796</v>
      </c>
      <c r="S588" s="131">
        <f>SUM(S571:S587)</f>
        <v>821.26</v>
      </c>
      <c r="T588" s="132">
        <f t="shared" si="157"/>
        <v>50.023333333333341</v>
      </c>
      <c r="U588" s="273">
        <f>IFERROR((D588-D246)/D588,)</f>
        <v>-1.9771295729073388</v>
      </c>
      <c r="V588" s="273">
        <f>IFERROR((F588-F246)/F588,)</f>
        <v>-0.42424242424242425</v>
      </c>
      <c r="W588" s="271">
        <f>IFERROR((D588-[1]monthly_reporting_2021!E379)/D588, )</f>
        <v>0</v>
      </c>
      <c r="X588" s="271">
        <f>IFERROR((F588-[1]monthly_reporting_2021!F379)/F588, )</f>
        <v>0</v>
      </c>
      <c r="Y588" s="50"/>
      <c r="Z588" s="50"/>
      <c r="AA588" s="50"/>
    </row>
    <row r="589" spans="1:27" ht="12.75" hidden="1" outlineLevel="1" x14ac:dyDescent="0.2">
      <c r="A589" s="50"/>
      <c r="B589" s="69">
        <v>45865</v>
      </c>
      <c r="C589" s="70" t="s">
        <v>32</v>
      </c>
      <c r="D589" s="71">
        <v>3049.64</v>
      </c>
      <c r="E589" s="298"/>
      <c r="F589" s="73">
        <v>12</v>
      </c>
      <c r="G589" s="73">
        <v>13</v>
      </c>
      <c r="H589" s="74">
        <f t="shared" si="151"/>
        <v>0.92307692307692313</v>
      </c>
      <c r="I589" s="75">
        <f t="shared" si="152"/>
        <v>254.13666666666666</v>
      </c>
      <c r="J589" s="76">
        <f t="shared" si="153"/>
        <v>275.3147222222222</v>
      </c>
      <c r="K589" s="77">
        <v>840.83</v>
      </c>
      <c r="L589" s="73">
        <v>142970</v>
      </c>
      <c r="M589" s="73">
        <v>4</v>
      </c>
      <c r="N589" s="78">
        <v>1151.9000000000001</v>
      </c>
      <c r="O589" s="79">
        <f t="shared" si="172"/>
        <v>0.72995051653789389</v>
      </c>
      <c r="P589" s="80">
        <f t="shared" si="154"/>
        <v>1.3699558769311275</v>
      </c>
      <c r="Q589" s="79">
        <f t="shared" si="155"/>
        <v>0.27571451056518148</v>
      </c>
      <c r="R589" s="81">
        <f t="shared" si="156"/>
        <v>0.37771671410395985</v>
      </c>
      <c r="S589" s="82">
        <f t="shared" ref="S589:S603" si="176">D589-N589</f>
        <v>1897.7399999999998</v>
      </c>
      <c r="T589" s="83">
        <f t="shared" si="157"/>
        <v>210.20750000000001</v>
      </c>
      <c r="U589" s="135"/>
      <c r="V589" s="135"/>
      <c r="W589" s="135"/>
      <c r="X589" s="135"/>
      <c r="Y589" s="136"/>
      <c r="Z589" s="50"/>
      <c r="AA589" s="50"/>
    </row>
    <row r="590" spans="1:27" ht="12.75" hidden="1" outlineLevel="1" x14ac:dyDescent="0.2">
      <c r="A590" s="50"/>
      <c r="B590" s="137"/>
      <c r="C590" s="70" t="s">
        <v>33</v>
      </c>
      <c r="D590" s="87">
        <v>3335.45</v>
      </c>
      <c r="E590" s="298"/>
      <c r="F590" s="73">
        <v>44</v>
      </c>
      <c r="G590" s="73">
        <v>49</v>
      </c>
      <c r="H590" s="74">
        <f t="shared" si="151"/>
        <v>0.89795918367346939</v>
      </c>
      <c r="I590" s="75">
        <f t="shared" si="152"/>
        <v>75.80568181818181</v>
      </c>
      <c r="J590" s="76">
        <f t="shared" si="153"/>
        <v>84.419963842975193</v>
      </c>
      <c r="K590" s="87">
        <v>515.25</v>
      </c>
      <c r="L590" s="73">
        <v>200118</v>
      </c>
      <c r="M590" s="73">
        <v>8</v>
      </c>
      <c r="N590" s="88">
        <v>634.95000000000005</v>
      </c>
      <c r="O590" s="79">
        <f t="shared" si="172"/>
        <v>0.81148121899362147</v>
      </c>
      <c r="P590" s="80">
        <f t="shared" si="154"/>
        <v>1.2323144104803494</v>
      </c>
      <c r="Q590" s="79">
        <f t="shared" si="155"/>
        <v>0.15447690716395091</v>
      </c>
      <c r="R590" s="81">
        <f t="shared" si="156"/>
        <v>0.19036411878457182</v>
      </c>
      <c r="S590" s="89">
        <f t="shared" si="176"/>
        <v>2700.5</v>
      </c>
      <c r="T590" s="83">
        <f t="shared" si="157"/>
        <v>64.40625</v>
      </c>
      <c r="U590" s="135"/>
      <c r="V590" s="135"/>
      <c r="W590" s="135"/>
      <c r="X590" s="135"/>
      <c r="Y590" s="136"/>
      <c r="Z590" s="50"/>
      <c r="AA590" s="50"/>
    </row>
    <row r="591" spans="1:27" ht="12.75" hidden="1" outlineLevel="1" x14ac:dyDescent="0.2">
      <c r="A591" s="50"/>
      <c r="B591" s="137"/>
      <c r="C591" s="70" t="s">
        <v>34</v>
      </c>
      <c r="D591" s="90">
        <v>0</v>
      </c>
      <c r="E591" s="298"/>
      <c r="F591" s="73">
        <v>0</v>
      </c>
      <c r="G591" s="73">
        <v>0</v>
      </c>
      <c r="H591" s="74" t="e">
        <f t="shared" si="151"/>
        <v>#DIV/0!</v>
      </c>
      <c r="I591" s="75" t="e">
        <f t="shared" si="152"/>
        <v>#DIV/0!</v>
      </c>
      <c r="J591" s="76" t="e">
        <f t="shared" si="153"/>
        <v>#DIV/0!</v>
      </c>
      <c r="K591" s="90">
        <v>16.8</v>
      </c>
      <c r="L591" s="73">
        <v>275</v>
      </c>
      <c r="M591" s="73">
        <v>0</v>
      </c>
      <c r="N591" s="91">
        <v>0</v>
      </c>
      <c r="O591" s="79" t="e">
        <f>(K591/N591)</f>
        <v>#DIV/0!</v>
      </c>
      <c r="P591" s="80">
        <f t="shared" si="154"/>
        <v>0</v>
      </c>
      <c r="Q591" s="79" t="e">
        <f t="shared" si="155"/>
        <v>#DIV/0!</v>
      </c>
      <c r="R591" s="81" t="e">
        <f t="shared" si="156"/>
        <v>#DIV/0!</v>
      </c>
      <c r="S591" s="92">
        <f t="shared" si="176"/>
        <v>0</v>
      </c>
      <c r="T591" s="83" t="e">
        <f t="shared" si="157"/>
        <v>#DIV/0!</v>
      </c>
      <c r="U591" s="135"/>
      <c r="V591" s="135"/>
      <c r="W591" s="135"/>
      <c r="X591" s="135"/>
      <c r="Y591" s="136"/>
      <c r="Z591" s="50"/>
      <c r="AA591" s="50"/>
    </row>
    <row r="592" spans="1:27" ht="12.75" hidden="1" outlineLevel="1" x14ac:dyDescent="0.2">
      <c r="A592" s="50"/>
      <c r="B592" s="137"/>
      <c r="C592" s="70" t="s">
        <v>35</v>
      </c>
      <c r="D592" s="90">
        <v>0</v>
      </c>
      <c r="E592" s="298"/>
      <c r="F592" s="73">
        <v>0</v>
      </c>
      <c r="G592" s="73">
        <v>0</v>
      </c>
      <c r="H592" s="74" t="e">
        <f t="shared" si="151"/>
        <v>#DIV/0!</v>
      </c>
      <c r="I592" s="75" t="e">
        <f t="shared" si="152"/>
        <v>#DIV/0!</v>
      </c>
      <c r="J592" s="76" t="e">
        <f t="shared" si="153"/>
        <v>#DIV/0!</v>
      </c>
      <c r="K592" s="90">
        <v>269.67</v>
      </c>
      <c r="L592" s="73">
        <v>23746</v>
      </c>
      <c r="M592" s="73">
        <v>3</v>
      </c>
      <c r="N592" s="91">
        <v>179.85</v>
      </c>
      <c r="O592" s="79">
        <f t="shared" ref="O592:O606" si="177">K592/N592</f>
        <v>1.4994161801501253</v>
      </c>
      <c r="P592" s="80">
        <f t="shared" si="154"/>
        <v>0.66692624318611626</v>
      </c>
      <c r="Q592" s="79" t="e">
        <f t="shared" si="155"/>
        <v>#DIV/0!</v>
      </c>
      <c r="R592" s="81" t="e">
        <f t="shared" si="156"/>
        <v>#DIV/0!</v>
      </c>
      <c r="S592" s="92">
        <f t="shared" si="176"/>
        <v>-179.85</v>
      </c>
      <c r="T592" s="83">
        <f t="shared" si="157"/>
        <v>89.89</v>
      </c>
      <c r="U592" s="135"/>
      <c r="V592" s="135"/>
      <c r="W592" s="135"/>
      <c r="X592" s="135"/>
      <c r="Y592" s="136"/>
      <c r="Z592" s="50"/>
      <c r="AA592" s="50"/>
    </row>
    <row r="593" spans="1:27" ht="12.75" hidden="1" outlineLevel="1" x14ac:dyDescent="0.2">
      <c r="A593" s="50"/>
      <c r="B593" s="137"/>
      <c r="C593" s="70" t="s">
        <v>36</v>
      </c>
      <c r="D593" s="90">
        <v>0</v>
      </c>
      <c r="E593" s="298"/>
      <c r="F593" s="73">
        <v>0</v>
      </c>
      <c r="G593" s="73">
        <v>0</v>
      </c>
      <c r="H593" s="74" t="e">
        <f t="shared" si="151"/>
        <v>#DIV/0!</v>
      </c>
      <c r="I593" s="75" t="e">
        <f t="shared" si="152"/>
        <v>#DIV/0!</v>
      </c>
      <c r="J593" s="76" t="e">
        <f t="shared" si="153"/>
        <v>#DIV/0!</v>
      </c>
      <c r="K593" s="90">
        <v>103.2</v>
      </c>
      <c r="L593" s="73">
        <v>17113</v>
      </c>
      <c r="M593" s="73">
        <v>3</v>
      </c>
      <c r="N593" s="91">
        <v>179.85</v>
      </c>
      <c r="O593" s="79">
        <f t="shared" si="177"/>
        <v>0.5738115095913261</v>
      </c>
      <c r="P593" s="80">
        <f t="shared" si="154"/>
        <v>1.7427325581395348</v>
      </c>
      <c r="Q593" s="79" t="e">
        <f t="shared" si="155"/>
        <v>#DIV/0!</v>
      </c>
      <c r="R593" s="81" t="e">
        <f t="shared" si="156"/>
        <v>#DIV/0!</v>
      </c>
      <c r="S593" s="92">
        <f t="shared" si="176"/>
        <v>-179.85</v>
      </c>
      <c r="T593" s="83">
        <f t="shared" si="157"/>
        <v>34.4</v>
      </c>
      <c r="U593" s="135"/>
      <c r="V593" s="135"/>
      <c r="W593" s="135"/>
      <c r="X593" s="135"/>
      <c r="Y593" s="136"/>
      <c r="Z593" s="50"/>
      <c r="AA593" s="50"/>
    </row>
    <row r="594" spans="1:27" ht="12.75" hidden="1" outlineLevel="1" x14ac:dyDescent="0.2">
      <c r="A594" s="50"/>
      <c r="B594" s="69" t="s">
        <v>37</v>
      </c>
      <c r="C594" s="70" t="s">
        <v>38</v>
      </c>
      <c r="D594" s="93">
        <v>35.99</v>
      </c>
      <c r="E594" s="298"/>
      <c r="F594" s="73">
        <v>1</v>
      </c>
      <c r="G594" s="73">
        <v>1</v>
      </c>
      <c r="H594" s="74">
        <f t="shared" si="151"/>
        <v>1</v>
      </c>
      <c r="I594" s="75">
        <f t="shared" si="152"/>
        <v>35.99</v>
      </c>
      <c r="J594" s="76">
        <f t="shared" si="153"/>
        <v>35.99</v>
      </c>
      <c r="K594" s="93">
        <v>47.14</v>
      </c>
      <c r="L594" s="73">
        <v>12800</v>
      </c>
      <c r="M594" s="73">
        <v>1</v>
      </c>
      <c r="N594" s="94">
        <v>35.99</v>
      </c>
      <c r="O594" s="79">
        <f t="shared" si="177"/>
        <v>1.3098082800777993</v>
      </c>
      <c r="P594" s="80">
        <f t="shared" si="154"/>
        <v>0.76347051336444638</v>
      </c>
      <c r="Q594" s="79">
        <f t="shared" si="155"/>
        <v>1.3098082800777993</v>
      </c>
      <c r="R594" s="81">
        <f t="shared" si="156"/>
        <v>1</v>
      </c>
      <c r="S594" s="95">
        <f t="shared" si="176"/>
        <v>0</v>
      </c>
      <c r="T594" s="83">
        <f t="shared" si="157"/>
        <v>47.14</v>
      </c>
      <c r="U594" s="135"/>
      <c r="V594" s="135"/>
      <c r="W594" s="135"/>
      <c r="X594" s="135"/>
      <c r="Y594" s="136"/>
      <c r="Z594" s="50"/>
      <c r="AA594" s="50"/>
    </row>
    <row r="595" spans="1:27" ht="12.75" hidden="1" outlineLevel="1" x14ac:dyDescent="0.2">
      <c r="A595" s="50"/>
      <c r="B595" s="137"/>
      <c r="C595" s="70" t="s">
        <v>39</v>
      </c>
      <c r="D595" s="96">
        <v>24.95</v>
      </c>
      <c r="E595" s="298"/>
      <c r="F595" s="73">
        <v>1</v>
      </c>
      <c r="G595" s="73">
        <v>1</v>
      </c>
      <c r="H595" s="74">
        <f t="shared" si="151"/>
        <v>1</v>
      </c>
      <c r="I595" s="75">
        <f t="shared" si="152"/>
        <v>24.95</v>
      </c>
      <c r="J595" s="76">
        <f t="shared" si="153"/>
        <v>24.95</v>
      </c>
      <c r="K595" s="96">
        <v>0</v>
      </c>
      <c r="L595" s="73">
        <v>0</v>
      </c>
      <c r="M595" s="73">
        <v>0</v>
      </c>
      <c r="N595" s="97">
        <v>0</v>
      </c>
      <c r="O595" s="79" t="e">
        <f t="shared" si="177"/>
        <v>#DIV/0!</v>
      </c>
      <c r="P595" s="80" t="e">
        <f t="shared" si="154"/>
        <v>#DIV/0!</v>
      </c>
      <c r="Q595" s="79">
        <f t="shared" si="155"/>
        <v>0</v>
      </c>
      <c r="R595" s="81">
        <f t="shared" si="156"/>
        <v>0</v>
      </c>
      <c r="S595" s="98">
        <f t="shared" si="176"/>
        <v>24.95</v>
      </c>
      <c r="T595" s="83" t="e">
        <f t="shared" si="157"/>
        <v>#DIV/0!</v>
      </c>
      <c r="U595" s="135"/>
      <c r="V595" s="135"/>
      <c r="W595" s="135"/>
      <c r="X595" s="135"/>
      <c r="Y595" s="136"/>
      <c r="Z595" s="50"/>
      <c r="AA595" s="50"/>
    </row>
    <row r="596" spans="1:27" ht="12.75" hidden="1" outlineLevel="1" x14ac:dyDescent="0.2">
      <c r="A596" s="50"/>
      <c r="B596" s="137"/>
      <c r="C596" s="70" t="s">
        <v>40</v>
      </c>
      <c r="D596" s="99">
        <v>219.8</v>
      </c>
      <c r="E596" s="298"/>
      <c r="F596" s="73">
        <v>4</v>
      </c>
      <c r="G596" s="73">
        <v>3</v>
      </c>
      <c r="H596" s="74">
        <f t="shared" si="151"/>
        <v>1.3333333333333333</v>
      </c>
      <c r="I596" s="75">
        <f t="shared" si="152"/>
        <v>54.95</v>
      </c>
      <c r="J596" s="76">
        <f t="shared" si="153"/>
        <v>41.212500000000006</v>
      </c>
      <c r="K596" s="99">
        <v>0</v>
      </c>
      <c r="L596" s="73">
        <v>0</v>
      </c>
      <c r="M596" s="73">
        <v>0</v>
      </c>
      <c r="N596" s="100">
        <v>0</v>
      </c>
      <c r="O596" s="79" t="e">
        <f t="shared" si="177"/>
        <v>#DIV/0!</v>
      </c>
      <c r="P596" s="80" t="e">
        <f t="shared" si="154"/>
        <v>#DIV/0!</v>
      </c>
      <c r="Q596" s="79">
        <f t="shared" si="155"/>
        <v>0</v>
      </c>
      <c r="R596" s="81">
        <f t="shared" si="156"/>
        <v>0</v>
      </c>
      <c r="S596" s="101">
        <f t="shared" si="176"/>
        <v>219.8</v>
      </c>
      <c r="T596" s="83" t="e">
        <f t="shared" si="157"/>
        <v>#DIV/0!</v>
      </c>
      <c r="U596" s="135"/>
      <c r="V596" s="135"/>
      <c r="W596" s="135"/>
      <c r="X596" s="135"/>
      <c r="Y596" s="136"/>
      <c r="Z596" s="50"/>
      <c r="AA596" s="50"/>
    </row>
    <row r="597" spans="1:27" ht="12.75" hidden="1" outlineLevel="1" x14ac:dyDescent="0.2">
      <c r="A597" s="50"/>
      <c r="B597" s="137"/>
      <c r="C597" s="70" t="s">
        <v>41</v>
      </c>
      <c r="D597" s="102">
        <v>498.97</v>
      </c>
      <c r="E597" s="298"/>
      <c r="F597" s="73">
        <v>5</v>
      </c>
      <c r="G597" s="73">
        <v>5</v>
      </c>
      <c r="H597" s="74">
        <f t="shared" si="151"/>
        <v>1</v>
      </c>
      <c r="I597" s="75">
        <f t="shared" si="152"/>
        <v>99.794000000000011</v>
      </c>
      <c r="J597" s="76">
        <f t="shared" si="153"/>
        <v>99.794000000000011</v>
      </c>
      <c r="K597" s="102">
        <v>299.11</v>
      </c>
      <c r="L597" s="73">
        <v>29821</v>
      </c>
      <c r="M597" s="73">
        <v>3</v>
      </c>
      <c r="N597" s="103">
        <v>258.98</v>
      </c>
      <c r="O597" s="79">
        <f t="shared" si="177"/>
        <v>1.1549540505058304</v>
      </c>
      <c r="P597" s="80">
        <f t="shared" si="154"/>
        <v>0.86583531142389092</v>
      </c>
      <c r="Q597" s="79">
        <f t="shared" si="155"/>
        <v>0.59945487704671618</v>
      </c>
      <c r="R597" s="81">
        <f t="shared" si="156"/>
        <v>0.5190292001523138</v>
      </c>
      <c r="S597" s="104">
        <f t="shared" si="176"/>
        <v>239.99</v>
      </c>
      <c r="T597" s="83">
        <f t="shared" si="157"/>
        <v>99.703333333333333</v>
      </c>
      <c r="U597" s="135"/>
      <c r="V597" s="135"/>
      <c r="W597" s="135"/>
      <c r="X597" s="135"/>
      <c r="Y597" s="136"/>
      <c r="Z597" s="50"/>
      <c r="AA597" s="50"/>
    </row>
    <row r="598" spans="1:27" ht="12.75" hidden="1" outlineLevel="1" x14ac:dyDescent="0.2">
      <c r="A598" s="50"/>
      <c r="B598" s="137"/>
      <c r="C598" s="70" t="s">
        <v>42</v>
      </c>
      <c r="D598" s="90">
        <v>0</v>
      </c>
      <c r="E598" s="298"/>
      <c r="F598" s="73">
        <v>0</v>
      </c>
      <c r="G598" s="73">
        <v>0</v>
      </c>
      <c r="H598" s="74" t="e">
        <f t="shared" si="151"/>
        <v>#DIV/0!</v>
      </c>
      <c r="I598" s="75" t="e">
        <f t="shared" si="152"/>
        <v>#DIV/0!</v>
      </c>
      <c r="J598" s="76" t="e">
        <f t="shared" si="153"/>
        <v>#DIV/0!</v>
      </c>
      <c r="K598" s="90">
        <v>0</v>
      </c>
      <c r="L598" s="73">
        <v>0</v>
      </c>
      <c r="M598" s="73">
        <v>0</v>
      </c>
      <c r="N598" s="91">
        <v>0</v>
      </c>
      <c r="O598" s="79" t="e">
        <f t="shared" si="177"/>
        <v>#DIV/0!</v>
      </c>
      <c r="P598" s="80" t="e">
        <f t="shared" si="154"/>
        <v>#DIV/0!</v>
      </c>
      <c r="Q598" s="79" t="e">
        <f t="shared" si="155"/>
        <v>#DIV/0!</v>
      </c>
      <c r="R598" s="81" t="e">
        <f t="shared" si="156"/>
        <v>#DIV/0!</v>
      </c>
      <c r="S598" s="92">
        <f t="shared" si="176"/>
        <v>0</v>
      </c>
      <c r="T598" s="83" t="e">
        <f t="shared" si="157"/>
        <v>#DIV/0!</v>
      </c>
      <c r="U598" s="135"/>
      <c r="V598" s="135"/>
      <c r="W598" s="135"/>
      <c r="X598" s="135"/>
      <c r="Y598" s="136"/>
      <c r="Z598" s="50"/>
      <c r="AA598" s="50"/>
    </row>
    <row r="599" spans="1:27" ht="12.75" hidden="1" outlineLevel="1" x14ac:dyDescent="0.2">
      <c r="A599" s="50"/>
      <c r="B599" s="137"/>
      <c r="C599" s="70" t="s">
        <v>43</v>
      </c>
      <c r="D599" s="105">
        <v>215.95</v>
      </c>
      <c r="E599" s="298"/>
      <c r="F599" s="73">
        <v>1</v>
      </c>
      <c r="G599" s="73">
        <v>1</v>
      </c>
      <c r="H599" s="74">
        <f t="shared" si="151"/>
        <v>1</v>
      </c>
      <c r="I599" s="75">
        <f t="shared" si="152"/>
        <v>215.95</v>
      </c>
      <c r="J599" s="76">
        <f t="shared" si="153"/>
        <v>215.95</v>
      </c>
      <c r="K599" s="105">
        <v>64.16</v>
      </c>
      <c r="L599" s="73">
        <v>15185</v>
      </c>
      <c r="M599" s="73">
        <v>0</v>
      </c>
      <c r="N599" s="106">
        <v>0</v>
      </c>
      <c r="O599" s="79" t="e">
        <f t="shared" si="177"/>
        <v>#DIV/0!</v>
      </c>
      <c r="P599" s="80">
        <f t="shared" si="154"/>
        <v>0</v>
      </c>
      <c r="Q599" s="79">
        <f t="shared" si="155"/>
        <v>0.29710581153044685</v>
      </c>
      <c r="R599" s="81">
        <f t="shared" si="156"/>
        <v>0</v>
      </c>
      <c r="S599" s="107">
        <f t="shared" si="176"/>
        <v>215.95</v>
      </c>
      <c r="T599" s="83" t="e">
        <f t="shared" si="157"/>
        <v>#DIV/0!</v>
      </c>
      <c r="U599" s="135"/>
      <c r="V599" s="135"/>
      <c r="W599" s="135"/>
      <c r="X599" s="135"/>
      <c r="Y599" s="136"/>
      <c r="Z599" s="50"/>
      <c r="AA599" s="50"/>
    </row>
    <row r="600" spans="1:27" ht="12.75" hidden="1" outlineLevel="1" x14ac:dyDescent="0.2">
      <c r="A600" s="50"/>
      <c r="B600" s="137"/>
      <c r="C600" s="70" t="s">
        <v>44</v>
      </c>
      <c r="D600" s="108">
        <v>179.8</v>
      </c>
      <c r="E600" s="298"/>
      <c r="F600" s="73">
        <v>4</v>
      </c>
      <c r="G600" s="73">
        <v>5</v>
      </c>
      <c r="H600" s="74">
        <f t="shared" si="151"/>
        <v>0.8</v>
      </c>
      <c r="I600" s="75">
        <f t="shared" si="152"/>
        <v>44.95</v>
      </c>
      <c r="J600" s="76">
        <f t="shared" si="153"/>
        <v>56.1875</v>
      </c>
      <c r="K600" s="108">
        <v>128.86000000000001</v>
      </c>
      <c r="L600" s="73">
        <v>54053</v>
      </c>
      <c r="M600" s="73">
        <v>4</v>
      </c>
      <c r="N600" s="109">
        <v>179.8</v>
      </c>
      <c r="O600" s="79">
        <f t="shared" si="177"/>
        <v>0.71668520578420469</v>
      </c>
      <c r="P600" s="80">
        <f t="shared" si="154"/>
        <v>1.3953127425112524</v>
      </c>
      <c r="Q600" s="79">
        <f t="shared" si="155"/>
        <v>0.71668520578420469</v>
      </c>
      <c r="R600" s="81">
        <f t="shared" si="156"/>
        <v>1</v>
      </c>
      <c r="S600" s="110">
        <f t="shared" si="176"/>
        <v>0</v>
      </c>
      <c r="T600" s="83">
        <f t="shared" si="157"/>
        <v>32.215000000000003</v>
      </c>
      <c r="U600" s="135"/>
      <c r="V600" s="135"/>
      <c r="W600" s="135"/>
      <c r="X600" s="135"/>
      <c r="Y600" s="136"/>
      <c r="Z600" s="50"/>
      <c r="AA600" s="50"/>
    </row>
    <row r="601" spans="1:27" ht="12.75" hidden="1" outlineLevel="1" x14ac:dyDescent="0.2">
      <c r="A601" s="139"/>
      <c r="B601" s="137"/>
      <c r="C601" s="112" t="s">
        <v>45</v>
      </c>
      <c r="D601" s="71">
        <v>729.51</v>
      </c>
      <c r="E601" s="298"/>
      <c r="F601" s="73">
        <v>13</v>
      </c>
      <c r="G601" s="73">
        <v>13</v>
      </c>
      <c r="H601" s="74">
        <f t="shared" si="151"/>
        <v>1</v>
      </c>
      <c r="I601" s="75">
        <f t="shared" si="152"/>
        <v>56.116153846153843</v>
      </c>
      <c r="J601" s="76">
        <f t="shared" si="153"/>
        <v>56.116153846153843</v>
      </c>
      <c r="K601" s="71">
        <v>0</v>
      </c>
      <c r="L601" s="73">
        <v>0</v>
      </c>
      <c r="M601" s="73">
        <v>0</v>
      </c>
      <c r="N601" s="78">
        <v>0</v>
      </c>
      <c r="O601" s="79" t="e">
        <f t="shared" si="177"/>
        <v>#DIV/0!</v>
      </c>
      <c r="P601" s="80" t="e">
        <f t="shared" si="154"/>
        <v>#DIV/0!</v>
      </c>
      <c r="Q601" s="79">
        <f t="shared" si="155"/>
        <v>0</v>
      </c>
      <c r="R601" s="81">
        <f t="shared" si="156"/>
        <v>0</v>
      </c>
      <c r="S601" s="82">
        <f t="shared" si="176"/>
        <v>729.51</v>
      </c>
      <c r="T601" s="83" t="e">
        <f t="shared" si="157"/>
        <v>#DIV/0!</v>
      </c>
      <c r="U601" s="140"/>
      <c r="V601" s="140"/>
      <c r="W601" s="140"/>
      <c r="X601" s="141"/>
      <c r="Y601" s="142"/>
      <c r="Z601" s="50"/>
      <c r="AA601" s="50"/>
    </row>
    <row r="602" spans="1:27" ht="12.75" hidden="1" outlineLevel="1" x14ac:dyDescent="0.2">
      <c r="A602" s="50"/>
      <c r="B602" s="137"/>
      <c r="C602" s="70" t="s">
        <v>46</v>
      </c>
      <c r="D602" s="116">
        <v>807.1</v>
      </c>
      <c r="E602" s="298"/>
      <c r="F602" s="73">
        <v>18</v>
      </c>
      <c r="G602" s="73">
        <v>17</v>
      </c>
      <c r="H602" s="74">
        <f t="shared" si="151"/>
        <v>1.0588235294117647</v>
      </c>
      <c r="I602" s="75">
        <f t="shared" si="152"/>
        <v>44.838888888888889</v>
      </c>
      <c r="J602" s="76">
        <f t="shared" si="153"/>
        <v>42.347839506172839</v>
      </c>
      <c r="K602" s="116">
        <v>111.83</v>
      </c>
      <c r="L602" s="73">
        <v>24815</v>
      </c>
      <c r="M602" s="73">
        <v>7</v>
      </c>
      <c r="N602" s="117">
        <v>309.64999999999998</v>
      </c>
      <c r="O602" s="79">
        <f t="shared" si="177"/>
        <v>0.36114968512837076</v>
      </c>
      <c r="P602" s="80">
        <f t="shared" si="154"/>
        <v>2.7689349906107483</v>
      </c>
      <c r="Q602" s="79">
        <f t="shared" si="155"/>
        <v>0.13855779952917854</v>
      </c>
      <c r="R602" s="81">
        <f t="shared" si="156"/>
        <v>0.38365753933837193</v>
      </c>
      <c r="S602" s="82">
        <f t="shared" si="176"/>
        <v>497.45000000000005</v>
      </c>
      <c r="T602" s="83">
        <f t="shared" si="157"/>
        <v>15.975714285714286</v>
      </c>
      <c r="U602" s="135"/>
      <c r="V602" s="135"/>
      <c r="W602" s="135"/>
      <c r="X602" s="135"/>
      <c r="Y602" s="136"/>
      <c r="Z602" s="50"/>
      <c r="AA602" s="50"/>
    </row>
    <row r="603" spans="1:27" ht="12.75" hidden="1" outlineLevel="1" x14ac:dyDescent="0.2">
      <c r="A603" s="118" t="str">
        <f t="shared" ref="A603:A604" si="178">IFERROR(IF(B603&gt;0,MONTH(B603)&amp;"-"&amp;YEAR(B603),B603),)</f>
        <v>8-2025</v>
      </c>
      <c r="B603" s="69">
        <v>45871</v>
      </c>
      <c r="C603" s="70" t="s">
        <v>49</v>
      </c>
      <c r="D603" s="116">
        <v>0</v>
      </c>
      <c r="E603" s="298"/>
      <c r="F603" s="73">
        <v>0</v>
      </c>
      <c r="G603" s="73">
        <v>0</v>
      </c>
      <c r="H603" s="74" t="e">
        <f t="shared" si="151"/>
        <v>#DIV/0!</v>
      </c>
      <c r="I603" s="75" t="e">
        <f t="shared" si="152"/>
        <v>#DIV/0!</v>
      </c>
      <c r="J603" s="76" t="e">
        <f t="shared" si="153"/>
        <v>#DIV/0!</v>
      </c>
      <c r="K603" s="116">
        <v>8.3800000000000008</v>
      </c>
      <c r="L603" s="73">
        <v>11690</v>
      </c>
      <c r="M603" s="73">
        <v>0</v>
      </c>
      <c r="N603" s="117">
        <v>0</v>
      </c>
      <c r="O603" s="79" t="e">
        <f t="shared" si="177"/>
        <v>#DIV/0!</v>
      </c>
      <c r="P603" s="80">
        <f t="shared" si="154"/>
        <v>0</v>
      </c>
      <c r="Q603" s="79" t="e">
        <f t="shared" si="155"/>
        <v>#DIV/0!</v>
      </c>
      <c r="R603" s="81" t="e">
        <f t="shared" si="156"/>
        <v>#DIV/0!</v>
      </c>
      <c r="S603" s="82">
        <f t="shared" si="176"/>
        <v>0</v>
      </c>
      <c r="T603" s="83" t="e">
        <f t="shared" si="157"/>
        <v>#DIV/0!</v>
      </c>
      <c r="U603" s="135"/>
      <c r="V603" s="135"/>
      <c r="W603" s="135"/>
      <c r="X603" s="135"/>
      <c r="Y603" s="136"/>
      <c r="Z603" s="50"/>
      <c r="AA603" s="50"/>
    </row>
    <row r="604" spans="1:27" ht="12.75" collapsed="1" x14ac:dyDescent="0.2">
      <c r="A604" s="50">
        <f t="shared" si="178"/>
        <v>0</v>
      </c>
      <c r="B604" s="52" t="s">
        <v>89</v>
      </c>
      <c r="C604" s="145"/>
      <c r="D604" s="121">
        <f>SUM(D589:D603)</f>
        <v>9097.16</v>
      </c>
      <c r="E604" s="297"/>
      <c r="F604" s="123">
        <f t="shared" ref="F604:G604" si="179">SUM(F589:F603)</f>
        <v>103</v>
      </c>
      <c r="G604" s="123">
        <f t="shared" si="179"/>
        <v>108</v>
      </c>
      <c r="H604" s="124">
        <f t="shared" si="151"/>
        <v>0.95370370370370372</v>
      </c>
      <c r="I604" s="125">
        <f t="shared" si="152"/>
        <v>88.321941747572808</v>
      </c>
      <c r="J604" s="126">
        <f t="shared" si="153"/>
        <v>92.609414647940412</v>
      </c>
      <c r="K604" s="121">
        <f t="shared" ref="K604:N604" si="180">SUM(K589:K603)</f>
        <v>2405.23</v>
      </c>
      <c r="L604" s="123">
        <f t="shared" si="180"/>
        <v>532586</v>
      </c>
      <c r="M604" s="123">
        <f t="shared" si="180"/>
        <v>33</v>
      </c>
      <c r="N604" s="127">
        <f t="shared" si="180"/>
        <v>2930.9700000000003</v>
      </c>
      <c r="O604" s="128">
        <f t="shared" si="177"/>
        <v>0.82062593612353585</v>
      </c>
      <c r="P604" s="129">
        <f t="shared" si="154"/>
        <v>1.218582006710377</v>
      </c>
      <c r="Q604" s="128">
        <f t="shared" si="155"/>
        <v>0.2643935030273184</v>
      </c>
      <c r="R604" s="130">
        <f t="shared" si="156"/>
        <v>0.32218516548021586</v>
      </c>
      <c r="S604" s="131">
        <f>SUM(S589:S603)</f>
        <v>6166.1899999999987</v>
      </c>
      <c r="T604" s="132">
        <f t="shared" si="157"/>
        <v>72.88575757575758</v>
      </c>
      <c r="U604" s="133">
        <f>IFERROR((D604-D246)/D604,)</f>
        <v>0.16662782670635692</v>
      </c>
      <c r="V604" s="133">
        <f>IFERROR((F604-F246)/F604,)</f>
        <v>8.7378640776699032E-2</v>
      </c>
      <c r="W604" s="271">
        <f>IFERROR((D604-[1]monthly_reporting_2021!E395)/D604, )</f>
        <v>0</v>
      </c>
      <c r="X604" s="271">
        <f>IFERROR((F604-[1]monthly_reporting_2021!F395)/F604, )</f>
        <v>0</v>
      </c>
      <c r="Y604" s="50"/>
      <c r="Z604" s="50"/>
      <c r="AA604" s="50"/>
    </row>
    <row r="605" spans="1:27" ht="12.75" hidden="1" outlineLevel="1" x14ac:dyDescent="0.2">
      <c r="A605" s="50"/>
      <c r="B605" s="69">
        <v>45872</v>
      </c>
      <c r="C605" s="70" t="s">
        <v>32</v>
      </c>
      <c r="D605" s="71">
        <v>2641.7</v>
      </c>
      <c r="E605" s="298"/>
      <c r="F605" s="73">
        <v>14</v>
      </c>
      <c r="G605" s="73">
        <v>15</v>
      </c>
      <c r="H605" s="74">
        <f t="shared" si="151"/>
        <v>0.93333333333333335</v>
      </c>
      <c r="I605" s="75">
        <f t="shared" si="152"/>
        <v>188.69285714285712</v>
      </c>
      <c r="J605" s="76">
        <f t="shared" si="153"/>
        <v>202.1709183673469</v>
      </c>
      <c r="K605" s="77">
        <v>914.85</v>
      </c>
      <c r="L605" s="73">
        <v>156774</v>
      </c>
      <c r="M605" s="73">
        <v>7</v>
      </c>
      <c r="N605" s="78">
        <v>1524.9</v>
      </c>
      <c r="O605" s="79">
        <f t="shared" si="177"/>
        <v>0.59994097973637617</v>
      </c>
      <c r="P605" s="80">
        <f t="shared" si="154"/>
        <v>1.6668306279717988</v>
      </c>
      <c r="Q605" s="79">
        <f t="shared" si="155"/>
        <v>0.34631108755725482</v>
      </c>
      <c r="R605" s="81">
        <f t="shared" si="156"/>
        <v>0.5772419275466556</v>
      </c>
      <c r="S605" s="82">
        <f t="shared" ref="S605:S619" si="181">D605-N605</f>
        <v>1116.7999999999997</v>
      </c>
      <c r="T605" s="83">
        <f t="shared" si="157"/>
        <v>130.69285714285715</v>
      </c>
      <c r="U605" s="135"/>
      <c r="V605" s="135"/>
      <c r="W605" s="135"/>
      <c r="X605" s="135"/>
      <c r="Y605" s="136"/>
      <c r="Z605" s="50"/>
      <c r="AA605" s="50"/>
    </row>
    <row r="606" spans="1:27" ht="12.75" hidden="1" outlineLevel="1" x14ac:dyDescent="0.2">
      <c r="A606" s="50"/>
      <c r="B606" s="137"/>
      <c r="C606" s="70" t="s">
        <v>33</v>
      </c>
      <c r="D606" s="87">
        <v>4894.68</v>
      </c>
      <c r="E606" s="298"/>
      <c r="F606" s="73">
        <v>51</v>
      </c>
      <c r="G606" s="73">
        <v>53</v>
      </c>
      <c r="H606" s="74">
        <f t="shared" si="151"/>
        <v>0.96226415094339623</v>
      </c>
      <c r="I606" s="75">
        <f t="shared" si="152"/>
        <v>95.974117647058833</v>
      </c>
      <c r="J606" s="76">
        <f t="shared" si="153"/>
        <v>99.737808535178786</v>
      </c>
      <c r="K606" s="87">
        <v>454.16</v>
      </c>
      <c r="L606" s="73">
        <v>182523</v>
      </c>
      <c r="M606" s="73">
        <v>9</v>
      </c>
      <c r="N606" s="88">
        <v>1633.8</v>
      </c>
      <c r="O606" s="79">
        <f t="shared" si="177"/>
        <v>0.27797772065124254</v>
      </c>
      <c r="P606" s="80">
        <f t="shared" si="154"/>
        <v>3.5974106041923548</v>
      </c>
      <c r="Q606" s="79">
        <f t="shared" si="155"/>
        <v>9.2786453864195415E-2</v>
      </c>
      <c r="R606" s="81">
        <f t="shared" si="156"/>
        <v>0.33379097305646127</v>
      </c>
      <c r="S606" s="89">
        <f t="shared" si="181"/>
        <v>3260.88</v>
      </c>
      <c r="T606" s="83">
        <f t="shared" si="157"/>
        <v>50.462222222222223</v>
      </c>
      <c r="U606" s="135"/>
      <c r="V606" s="135"/>
      <c r="W606" s="135"/>
      <c r="X606" s="135"/>
      <c r="Y606" s="136"/>
      <c r="Z606" s="50"/>
      <c r="AA606" s="50"/>
    </row>
    <row r="607" spans="1:27" ht="12.75" hidden="1" outlineLevel="1" x14ac:dyDescent="0.2">
      <c r="A607" s="50"/>
      <c r="B607" s="137"/>
      <c r="C607" s="70" t="s">
        <v>34</v>
      </c>
      <c r="D607" s="90">
        <v>209.85</v>
      </c>
      <c r="E607" s="298"/>
      <c r="F607" s="73">
        <v>3</v>
      </c>
      <c r="G607" s="73">
        <v>2</v>
      </c>
      <c r="H607" s="74">
        <f t="shared" si="151"/>
        <v>1.5</v>
      </c>
      <c r="I607" s="75">
        <f t="shared" si="152"/>
        <v>69.95</v>
      </c>
      <c r="J607" s="76">
        <f t="shared" si="153"/>
        <v>46.633333333333333</v>
      </c>
      <c r="K607" s="90">
        <v>8.4</v>
      </c>
      <c r="L607" s="73">
        <v>231</v>
      </c>
      <c r="M607" s="73">
        <v>0</v>
      </c>
      <c r="N607" s="91">
        <v>0</v>
      </c>
      <c r="O607" s="79" t="e">
        <f>(K607/N607)</f>
        <v>#DIV/0!</v>
      </c>
      <c r="P607" s="80">
        <f t="shared" si="154"/>
        <v>0</v>
      </c>
      <c r="Q607" s="79">
        <f t="shared" si="155"/>
        <v>4.0028591851322376E-2</v>
      </c>
      <c r="R607" s="81">
        <f t="shared" si="156"/>
        <v>0</v>
      </c>
      <c r="S607" s="92">
        <f t="shared" si="181"/>
        <v>209.85</v>
      </c>
      <c r="T607" s="83" t="e">
        <f t="shared" si="157"/>
        <v>#DIV/0!</v>
      </c>
      <c r="U607" s="135"/>
      <c r="V607" s="135"/>
      <c r="W607" s="135"/>
      <c r="X607" s="135"/>
      <c r="Y607" s="136"/>
      <c r="Z607" s="50"/>
      <c r="AA607" s="50"/>
    </row>
    <row r="608" spans="1:27" ht="12.75" hidden="1" outlineLevel="1" x14ac:dyDescent="0.2">
      <c r="A608" s="50"/>
      <c r="B608" s="137"/>
      <c r="C608" s="70" t="s">
        <v>35</v>
      </c>
      <c r="D608" s="90">
        <v>779.35</v>
      </c>
      <c r="E608" s="298"/>
      <c r="F608" s="73">
        <v>13</v>
      </c>
      <c r="G608" s="73">
        <v>10</v>
      </c>
      <c r="H608" s="74">
        <f t="shared" si="151"/>
        <v>1.3</v>
      </c>
      <c r="I608" s="75">
        <f t="shared" si="152"/>
        <v>59.95</v>
      </c>
      <c r="J608" s="76">
        <f t="shared" si="153"/>
        <v>46.115384615384613</v>
      </c>
      <c r="K608" s="90">
        <v>283.74</v>
      </c>
      <c r="L608" s="73">
        <v>23159</v>
      </c>
      <c r="M608" s="73">
        <v>8</v>
      </c>
      <c r="N608" s="91">
        <v>479.6</v>
      </c>
      <c r="O608" s="79">
        <f t="shared" ref="O608:O622" si="182">K608/N608</f>
        <v>0.59161801501251043</v>
      </c>
      <c r="P608" s="80">
        <f t="shared" si="154"/>
        <v>1.6902798336505251</v>
      </c>
      <c r="Q608" s="79">
        <f t="shared" si="155"/>
        <v>0.36407262462308332</v>
      </c>
      <c r="R608" s="81">
        <f t="shared" si="156"/>
        <v>0.61538461538461542</v>
      </c>
      <c r="S608" s="92">
        <f t="shared" si="181"/>
        <v>299.75</v>
      </c>
      <c r="T608" s="83">
        <f t="shared" si="157"/>
        <v>35.467500000000001</v>
      </c>
      <c r="U608" s="135"/>
      <c r="V608" s="135"/>
      <c r="W608" s="135"/>
      <c r="X608" s="135"/>
      <c r="Y608" s="136"/>
      <c r="Z608" s="50"/>
      <c r="AA608" s="50"/>
    </row>
    <row r="609" spans="1:27" ht="12.75" hidden="1" outlineLevel="1" x14ac:dyDescent="0.2">
      <c r="A609" s="50"/>
      <c r="B609" s="137"/>
      <c r="C609" s="70" t="s">
        <v>36</v>
      </c>
      <c r="D609" s="90">
        <v>179.85</v>
      </c>
      <c r="E609" s="298"/>
      <c r="F609" s="73">
        <v>3</v>
      </c>
      <c r="G609" s="73">
        <v>4</v>
      </c>
      <c r="H609" s="74">
        <f t="shared" si="151"/>
        <v>0.75</v>
      </c>
      <c r="I609" s="75">
        <f t="shared" si="152"/>
        <v>59.949999999999996</v>
      </c>
      <c r="J609" s="76">
        <f t="shared" si="153"/>
        <v>79.933333333333323</v>
      </c>
      <c r="K609" s="90">
        <v>88.23</v>
      </c>
      <c r="L609" s="73">
        <v>19717</v>
      </c>
      <c r="M609" s="73">
        <v>2</v>
      </c>
      <c r="N609" s="91">
        <v>119.9</v>
      </c>
      <c r="O609" s="79">
        <f t="shared" si="182"/>
        <v>0.73586321934945786</v>
      </c>
      <c r="P609" s="80">
        <f t="shared" si="154"/>
        <v>1.3589482035588802</v>
      </c>
      <c r="Q609" s="79">
        <f t="shared" si="155"/>
        <v>0.49057547956630532</v>
      </c>
      <c r="R609" s="81">
        <f t="shared" si="156"/>
        <v>0.66666666666666674</v>
      </c>
      <c r="S609" s="92">
        <f t="shared" si="181"/>
        <v>59.949999999999989</v>
      </c>
      <c r="T609" s="83">
        <f t="shared" si="157"/>
        <v>44.115000000000002</v>
      </c>
      <c r="U609" s="135"/>
      <c r="V609" s="135"/>
      <c r="W609" s="135"/>
      <c r="X609" s="135"/>
      <c r="Y609" s="136"/>
      <c r="Z609" s="50"/>
      <c r="AA609" s="50"/>
    </row>
    <row r="610" spans="1:27" ht="12.75" hidden="1" outlineLevel="1" x14ac:dyDescent="0.2">
      <c r="A610" s="50"/>
      <c r="B610" s="69" t="s">
        <v>37</v>
      </c>
      <c r="C610" s="70" t="s">
        <v>38</v>
      </c>
      <c r="D610" s="93">
        <v>29.95</v>
      </c>
      <c r="E610" s="298"/>
      <c r="F610" s="73">
        <v>1</v>
      </c>
      <c r="G610" s="73">
        <v>1</v>
      </c>
      <c r="H610" s="74">
        <f t="shared" si="151"/>
        <v>1</v>
      </c>
      <c r="I610" s="75">
        <f t="shared" si="152"/>
        <v>29.95</v>
      </c>
      <c r="J610" s="76">
        <f t="shared" si="153"/>
        <v>29.95</v>
      </c>
      <c r="K610" s="93">
        <v>59.13</v>
      </c>
      <c r="L610" s="73">
        <v>13495</v>
      </c>
      <c r="M610" s="73">
        <v>0</v>
      </c>
      <c r="N610" s="94">
        <v>0</v>
      </c>
      <c r="O610" s="79" t="e">
        <f t="shared" si="182"/>
        <v>#DIV/0!</v>
      </c>
      <c r="P610" s="80">
        <f t="shared" si="154"/>
        <v>0</v>
      </c>
      <c r="Q610" s="79">
        <f t="shared" si="155"/>
        <v>1.9742904841402338</v>
      </c>
      <c r="R610" s="81">
        <f t="shared" si="156"/>
        <v>0</v>
      </c>
      <c r="S610" s="95">
        <f t="shared" si="181"/>
        <v>29.95</v>
      </c>
      <c r="T610" s="83" t="e">
        <f t="shared" si="157"/>
        <v>#DIV/0!</v>
      </c>
      <c r="U610" s="135"/>
      <c r="V610" s="135"/>
      <c r="W610" s="135"/>
      <c r="X610" s="135"/>
      <c r="Y610" s="136"/>
      <c r="Z610" s="50"/>
      <c r="AA610" s="50"/>
    </row>
    <row r="611" spans="1:27" ht="12.75" hidden="1" outlineLevel="1" x14ac:dyDescent="0.2">
      <c r="A611" s="50"/>
      <c r="B611" s="137"/>
      <c r="C611" s="70" t="s">
        <v>39</v>
      </c>
      <c r="D611" s="96">
        <v>0</v>
      </c>
      <c r="E611" s="298"/>
      <c r="F611" s="73">
        <v>0</v>
      </c>
      <c r="G611" s="73">
        <v>0</v>
      </c>
      <c r="H611" s="74" t="e">
        <f t="shared" si="151"/>
        <v>#DIV/0!</v>
      </c>
      <c r="I611" s="75" t="e">
        <f t="shared" si="152"/>
        <v>#DIV/0!</v>
      </c>
      <c r="J611" s="76" t="e">
        <f t="shared" si="153"/>
        <v>#DIV/0!</v>
      </c>
      <c r="K611" s="96">
        <v>0</v>
      </c>
      <c r="L611" s="73">
        <v>0</v>
      </c>
      <c r="M611" s="73">
        <v>0</v>
      </c>
      <c r="N611" s="97">
        <v>0</v>
      </c>
      <c r="O611" s="79" t="e">
        <f t="shared" si="182"/>
        <v>#DIV/0!</v>
      </c>
      <c r="P611" s="80" t="e">
        <f t="shared" si="154"/>
        <v>#DIV/0!</v>
      </c>
      <c r="Q611" s="79" t="e">
        <f t="shared" si="155"/>
        <v>#DIV/0!</v>
      </c>
      <c r="R611" s="81" t="e">
        <f t="shared" si="156"/>
        <v>#DIV/0!</v>
      </c>
      <c r="S611" s="98">
        <f t="shared" si="181"/>
        <v>0</v>
      </c>
      <c r="T611" s="83" t="e">
        <f t="shared" si="157"/>
        <v>#DIV/0!</v>
      </c>
      <c r="U611" s="135"/>
      <c r="V611" s="135"/>
      <c r="W611" s="135"/>
      <c r="X611" s="135"/>
      <c r="Y611" s="136"/>
      <c r="Z611" s="50"/>
      <c r="AA611" s="50"/>
    </row>
    <row r="612" spans="1:27" ht="12.75" hidden="1" outlineLevel="1" x14ac:dyDescent="0.2">
      <c r="A612" s="50"/>
      <c r="B612" s="137"/>
      <c r="C612" s="70" t="s">
        <v>40</v>
      </c>
      <c r="D612" s="99">
        <v>879.2</v>
      </c>
      <c r="E612" s="298"/>
      <c r="F612" s="73">
        <v>16</v>
      </c>
      <c r="G612" s="73">
        <v>5</v>
      </c>
      <c r="H612" s="74">
        <f t="shared" si="151"/>
        <v>3.2</v>
      </c>
      <c r="I612" s="75">
        <f t="shared" si="152"/>
        <v>54.95</v>
      </c>
      <c r="J612" s="76">
        <f t="shared" si="153"/>
        <v>17.171875</v>
      </c>
      <c r="K612" s="99">
        <v>0</v>
      </c>
      <c r="L612" s="73">
        <v>0</v>
      </c>
      <c r="M612" s="73">
        <v>0</v>
      </c>
      <c r="N612" s="100">
        <v>0</v>
      </c>
      <c r="O612" s="79" t="e">
        <f t="shared" si="182"/>
        <v>#DIV/0!</v>
      </c>
      <c r="P612" s="80" t="e">
        <f t="shared" si="154"/>
        <v>#DIV/0!</v>
      </c>
      <c r="Q612" s="79">
        <f t="shared" si="155"/>
        <v>0</v>
      </c>
      <c r="R612" s="81">
        <f t="shared" si="156"/>
        <v>0</v>
      </c>
      <c r="S612" s="101">
        <f t="shared" si="181"/>
        <v>879.2</v>
      </c>
      <c r="T612" s="83" t="e">
        <f t="shared" si="157"/>
        <v>#DIV/0!</v>
      </c>
      <c r="U612" s="135"/>
      <c r="V612" s="135"/>
      <c r="W612" s="135"/>
      <c r="X612" s="135"/>
      <c r="Y612" s="136"/>
      <c r="Z612" s="50"/>
      <c r="AA612" s="50"/>
    </row>
    <row r="613" spans="1:27" ht="12.75" hidden="1" outlineLevel="1" x14ac:dyDescent="0.2">
      <c r="A613" s="50"/>
      <c r="B613" s="137"/>
      <c r="C613" s="70" t="s">
        <v>41</v>
      </c>
      <c r="D613" s="102">
        <v>746.9</v>
      </c>
      <c r="E613" s="298"/>
      <c r="F613" s="73">
        <v>11</v>
      </c>
      <c r="G613" s="73">
        <v>11</v>
      </c>
      <c r="H613" s="74">
        <f t="shared" si="151"/>
        <v>1</v>
      </c>
      <c r="I613" s="75">
        <f t="shared" si="152"/>
        <v>67.899999999999991</v>
      </c>
      <c r="J613" s="76">
        <f t="shared" si="153"/>
        <v>67.899999999999991</v>
      </c>
      <c r="K613" s="102">
        <v>598.57000000000005</v>
      </c>
      <c r="L613" s="73">
        <v>32914</v>
      </c>
      <c r="M613" s="73">
        <v>6</v>
      </c>
      <c r="N613" s="103">
        <v>447.95</v>
      </c>
      <c r="O613" s="79">
        <f t="shared" si="182"/>
        <v>1.3362428842504745</v>
      </c>
      <c r="P613" s="80">
        <f t="shared" si="154"/>
        <v>0.74836694120988345</v>
      </c>
      <c r="Q613" s="79">
        <f t="shared" si="155"/>
        <v>0.80140581068416128</v>
      </c>
      <c r="R613" s="81">
        <f t="shared" si="156"/>
        <v>0.59974561520953273</v>
      </c>
      <c r="S613" s="104">
        <f t="shared" si="181"/>
        <v>298.95</v>
      </c>
      <c r="T613" s="83">
        <f t="shared" si="157"/>
        <v>99.76166666666667</v>
      </c>
      <c r="U613" s="135"/>
      <c r="V613" s="135"/>
      <c r="W613" s="135"/>
      <c r="X613" s="135"/>
      <c r="Y613" s="136"/>
      <c r="Z613" s="50"/>
      <c r="AA613" s="50"/>
    </row>
    <row r="614" spans="1:27" ht="12.75" hidden="1" outlineLevel="1" x14ac:dyDescent="0.2">
      <c r="A614" s="50"/>
      <c r="B614" s="137"/>
      <c r="C614" s="70" t="s">
        <v>42</v>
      </c>
      <c r="D614" s="90">
        <v>0</v>
      </c>
      <c r="E614" s="298"/>
      <c r="F614" s="73">
        <v>0</v>
      </c>
      <c r="G614" s="73">
        <v>0</v>
      </c>
      <c r="H614" s="74" t="e">
        <f t="shared" si="151"/>
        <v>#DIV/0!</v>
      </c>
      <c r="I614" s="75" t="e">
        <f t="shared" si="152"/>
        <v>#DIV/0!</v>
      </c>
      <c r="J614" s="76" t="e">
        <f t="shared" si="153"/>
        <v>#DIV/0!</v>
      </c>
      <c r="K614" s="90">
        <v>0</v>
      </c>
      <c r="L614" s="73">
        <v>0</v>
      </c>
      <c r="M614" s="73">
        <v>0</v>
      </c>
      <c r="N614" s="91">
        <v>0</v>
      </c>
      <c r="O614" s="79" t="e">
        <f t="shared" si="182"/>
        <v>#DIV/0!</v>
      </c>
      <c r="P614" s="80" t="e">
        <f t="shared" si="154"/>
        <v>#DIV/0!</v>
      </c>
      <c r="Q614" s="79" t="e">
        <f t="shared" si="155"/>
        <v>#DIV/0!</v>
      </c>
      <c r="R614" s="81" t="e">
        <f t="shared" si="156"/>
        <v>#DIV/0!</v>
      </c>
      <c r="S614" s="92">
        <f t="shared" si="181"/>
        <v>0</v>
      </c>
      <c r="T614" s="83" t="e">
        <f t="shared" si="157"/>
        <v>#DIV/0!</v>
      </c>
      <c r="U614" s="135"/>
      <c r="V614" s="135"/>
      <c r="W614" s="135"/>
      <c r="X614" s="135"/>
      <c r="Y614" s="136"/>
      <c r="Z614" s="50"/>
      <c r="AA614" s="50"/>
    </row>
    <row r="615" spans="1:27" ht="12.75" hidden="1" outlineLevel="1" x14ac:dyDescent="0.2">
      <c r="A615" s="50"/>
      <c r="B615" s="137"/>
      <c r="C615" s="70" t="s">
        <v>43</v>
      </c>
      <c r="D615" s="105">
        <v>0</v>
      </c>
      <c r="E615" s="298"/>
      <c r="F615" s="73">
        <v>0</v>
      </c>
      <c r="G615" s="73">
        <v>0</v>
      </c>
      <c r="H615" s="74" t="e">
        <f t="shared" si="151"/>
        <v>#DIV/0!</v>
      </c>
      <c r="I615" s="75" t="e">
        <f t="shared" si="152"/>
        <v>#DIV/0!</v>
      </c>
      <c r="J615" s="76" t="e">
        <f t="shared" si="153"/>
        <v>#DIV/0!</v>
      </c>
      <c r="K615" s="105">
        <v>40.35</v>
      </c>
      <c r="L615" s="73">
        <v>15859</v>
      </c>
      <c r="M615" s="73">
        <v>0</v>
      </c>
      <c r="N615" s="106">
        <v>0</v>
      </c>
      <c r="O615" s="79" t="e">
        <f t="shared" si="182"/>
        <v>#DIV/0!</v>
      </c>
      <c r="P615" s="80">
        <f t="shared" si="154"/>
        <v>0</v>
      </c>
      <c r="Q615" s="79" t="e">
        <f t="shared" si="155"/>
        <v>#DIV/0!</v>
      </c>
      <c r="R615" s="81" t="e">
        <f t="shared" si="156"/>
        <v>#DIV/0!</v>
      </c>
      <c r="S615" s="107">
        <f t="shared" si="181"/>
        <v>0</v>
      </c>
      <c r="T615" s="83" t="e">
        <f t="shared" si="157"/>
        <v>#DIV/0!</v>
      </c>
      <c r="U615" s="135"/>
      <c r="V615" s="135"/>
      <c r="W615" s="135"/>
      <c r="X615" s="135"/>
      <c r="Y615" s="136"/>
      <c r="Z615" s="50"/>
      <c r="AA615" s="50"/>
    </row>
    <row r="616" spans="1:27" ht="12.75" hidden="1" outlineLevel="1" x14ac:dyDescent="0.2">
      <c r="A616" s="50"/>
      <c r="B616" s="137"/>
      <c r="C616" s="70" t="s">
        <v>44</v>
      </c>
      <c r="D616" s="108">
        <v>494.45</v>
      </c>
      <c r="E616" s="298"/>
      <c r="F616" s="73">
        <v>11</v>
      </c>
      <c r="G616" s="73">
        <v>11</v>
      </c>
      <c r="H616" s="74">
        <f t="shared" si="151"/>
        <v>1</v>
      </c>
      <c r="I616" s="75">
        <f t="shared" si="152"/>
        <v>44.949999999999996</v>
      </c>
      <c r="J616" s="76">
        <f t="shared" si="153"/>
        <v>44.949999999999996</v>
      </c>
      <c r="K616" s="108">
        <v>169.87</v>
      </c>
      <c r="L616" s="73">
        <v>69626</v>
      </c>
      <c r="M616" s="73">
        <v>4</v>
      </c>
      <c r="N616" s="109">
        <v>179.8</v>
      </c>
      <c r="O616" s="79">
        <f t="shared" si="182"/>
        <v>0.9447719688542825</v>
      </c>
      <c r="P616" s="80">
        <f t="shared" si="154"/>
        <v>1.0584564667098371</v>
      </c>
      <c r="Q616" s="79">
        <f t="shared" si="155"/>
        <v>0.34355344321973913</v>
      </c>
      <c r="R616" s="81">
        <f t="shared" si="156"/>
        <v>0.36363636363636365</v>
      </c>
      <c r="S616" s="110">
        <f t="shared" si="181"/>
        <v>314.64999999999998</v>
      </c>
      <c r="T616" s="83">
        <f t="shared" si="157"/>
        <v>42.467500000000001</v>
      </c>
      <c r="U616" s="135"/>
      <c r="V616" s="135"/>
      <c r="W616" s="135"/>
      <c r="X616" s="135"/>
      <c r="Y616" s="136"/>
      <c r="Z616" s="50"/>
      <c r="AA616" s="50"/>
    </row>
    <row r="617" spans="1:27" ht="12.75" hidden="1" outlineLevel="1" x14ac:dyDescent="0.2">
      <c r="A617" s="139"/>
      <c r="B617" s="137"/>
      <c r="C617" s="112" t="s">
        <v>45</v>
      </c>
      <c r="D617" s="71">
        <v>0</v>
      </c>
      <c r="E617" s="298"/>
      <c r="F617" s="73">
        <v>0</v>
      </c>
      <c r="G617" s="73">
        <v>0</v>
      </c>
      <c r="H617" s="74" t="e">
        <f t="shared" si="151"/>
        <v>#DIV/0!</v>
      </c>
      <c r="I617" s="75" t="e">
        <f t="shared" si="152"/>
        <v>#DIV/0!</v>
      </c>
      <c r="J617" s="76" t="e">
        <f t="shared" si="153"/>
        <v>#DIV/0!</v>
      </c>
      <c r="K617" s="71">
        <v>0</v>
      </c>
      <c r="L617" s="73">
        <v>0</v>
      </c>
      <c r="M617" s="73">
        <v>0</v>
      </c>
      <c r="N617" s="78">
        <v>0</v>
      </c>
      <c r="O617" s="79" t="e">
        <f t="shared" si="182"/>
        <v>#DIV/0!</v>
      </c>
      <c r="P617" s="80" t="e">
        <f t="shared" si="154"/>
        <v>#DIV/0!</v>
      </c>
      <c r="Q617" s="79" t="e">
        <f t="shared" si="155"/>
        <v>#DIV/0!</v>
      </c>
      <c r="R617" s="81" t="e">
        <f t="shared" si="156"/>
        <v>#DIV/0!</v>
      </c>
      <c r="S617" s="82">
        <f t="shared" si="181"/>
        <v>0</v>
      </c>
      <c r="T617" s="83" t="e">
        <f t="shared" si="157"/>
        <v>#DIV/0!</v>
      </c>
      <c r="U617" s="140"/>
      <c r="V617" s="140"/>
      <c r="W617" s="140"/>
      <c r="X617" s="141"/>
      <c r="Y617" s="142"/>
      <c r="Z617" s="50"/>
      <c r="AA617" s="50"/>
    </row>
    <row r="618" spans="1:27" ht="12.75" hidden="1" outlineLevel="1" x14ac:dyDescent="0.2">
      <c r="A618" s="50"/>
      <c r="B618" s="137"/>
      <c r="C618" s="70" t="s">
        <v>46</v>
      </c>
      <c r="D618" s="116">
        <v>447.5</v>
      </c>
      <c r="E618" s="298"/>
      <c r="F618" s="73">
        <v>10</v>
      </c>
      <c r="G618" s="73">
        <v>9</v>
      </c>
      <c r="H618" s="74">
        <f t="shared" si="151"/>
        <v>1.1111111111111112</v>
      </c>
      <c r="I618" s="75">
        <f t="shared" si="152"/>
        <v>44.75</v>
      </c>
      <c r="J618" s="76">
        <f t="shared" si="153"/>
        <v>40.274999999999999</v>
      </c>
      <c r="K618" s="116">
        <v>134.13999999999999</v>
      </c>
      <c r="L618" s="73">
        <v>33640</v>
      </c>
      <c r="M618" s="73">
        <v>3</v>
      </c>
      <c r="N618" s="117">
        <v>89.9</v>
      </c>
      <c r="O618" s="79">
        <f t="shared" si="182"/>
        <v>1.4921023359288095</v>
      </c>
      <c r="P618" s="80">
        <f t="shared" si="154"/>
        <v>0.67019531832413903</v>
      </c>
      <c r="Q618" s="79">
        <f t="shared" si="155"/>
        <v>0.29975418994413405</v>
      </c>
      <c r="R618" s="81">
        <f t="shared" si="156"/>
        <v>0.20089385474860336</v>
      </c>
      <c r="S618" s="82">
        <f t="shared" si="181"/>
        <v>357.6</v>
      </c>
      <c r="T618" s="83">
        <f t="shared" si="157"/>
        <v>44.713333333333331</v>
      </c>
      <c r="U618" s="135"/>
      <c r="V618" s="135"/>
      <c r="W618" s="135"/>
      <c r="X618" s="135"/>
      <c r="Y618" s="136"/>
      <c r="Z618" s="50"/>
      <c r="AA618" s="50"/>
    </row>
    <row r="619" spans="1:27" ht="12.75" hidden="1" outlineLevel="1" x14ac:dyDescent="0.2">
      <c r="A619" s="118" t="str">
        <f t="shared" ref="A619:A620" si="183">IFERROR(IF(B619&gt;0,MONTH(B619)&amp;"-"&amp;YEAR(B619),B619),)</f>
        <v>8-2025</v>
      </c>
      <c r="B619" s="69">
        <v>45878</v>
      </c>
      <c r="C619" s="70" t="s">
        <v>49</v>
      </c>
      <c r="D619" s="116">
        <v>-439.5</v>
      </c>
      <c r="E619" s="298"/>
      <c r="F619" s="73">
        <v>-9</v>
      </c>
      <c r="G619" s="73">
        <v>1</v>
      </c>
      <c r="H619" s="74">
        <f t="shared" si="151"/>
        <v>-9</v>
      </c>
      <c r="I619" s="75">
        <f t="shared" si="152"/>
        <v>48.833333333333336</v>
      </c>
      <c r="J619" s="76">
        <f t="shared" si="153"/>
        <v>-5.4259259259259265</v>
      </c>
      <c r="K619" s="116">
        <v>39.31</v>
      </c>
      <c r="L619" s="73">
        <v>18928</v>
      </c>
      <c r="M619" s="73">
        <v>1</v>
      </c>
      <c r="N619" s="117">
        <v>96</v>
      </c>
      <c r="O619" s="79">
        <f t="shared" si="182"/>
        <v>0.40947916666666667</v>
      </c>
      <c r="P619" s="80">
        <f t="shared" si="154"/>
        <v>2.4421266853218011</v>
      </c>
      <c r="Q619" s="79">
        <f t="shared" si="155"/>
        <v>-8.9442548350398179E-2</v>
      </c>
      <c r="R619" s="81">
        <f t="shared" si="156"/>
        <v>-0.21843003412969283</v>
      </c>
      <c r="S619" s="82">
        <f t="shared" si="181"/>
        <v>-535.5</v>
      </c>
      <c r="T619" s="83">
        <f t="shared" si="157"/>
        <v>39.31</v>
      </c>
      <c r="U619" s="135"/>
      <c r="V619" s="135"/>
      <c r="W619" s="135"/>
      <c r="X619" s="135"/>
      <c r="Y619" s="136"/>
      <c r="Z619" s="50"/>
      <c r="AA619" s="50"/>
    </row>
    <row r="620" spans="1:27" ht="12.75" collapsed="1" x14ac:dyDescent="0.2">
      <c r="A620" s="50">
        <f t="shared" si="183"/>
        <v>0</v>
      </c>
      <c r="B620" s="52" t="s">
        <v>90</v>
      </c>
      <c r="C620" s="145"/>
      <c r="D620" s="121">
        <f>SUM(D605:D619)</f>
        <v>10863.930000000002</v>
      </c>
      <c r="E620" s="297"/>
      <c r="F620" s="123">
        <f t="shared" ref="F620:G620" si="184">SUM(F605:F619)</f>
        <v>124</v>
      </c>
      <c r="G620" s="123">
        <f t="shared" si="184"/>
        <v>122</v>
      </c>
      <c r="H620" s="124">
        <f t="shared" si="151"/>
        <v>1.0163934426229508</v>
      </c>
      <c r="I620" s="125">
        <f t="shared" si="152"/>
        <v>87.612338709677431</v>
      </c>
      <c r="J620" s="126">
        <f t="shared" si="153"/>
        <v>86.199236472424573</v>
      </c>
      <c r="K620" s="121">
        <f t="shared" ref="K620:N620" si="185">SUM(K605:K619)</f>
        <v>2790.75</v>
      </c>
      <c r="L620" s="123">
        <f t="shared" si="185"/>
        <v>566866</v>
      </c>
      <c r="M620" s="123">
        <f t="shared" si="185"/>
        <v>40</v>
      </c>
      <c r="N620" s="127">
        <f t="shared" si="185"/>
        <v>4571.8499999999995</v>
      </c>
      <c r="O620" s="128">
        <f t="shared" si="182"/>
        <v>0.61042028937957293</v>
      </c>
      <c r="P620" s="129">
        <f t="shared" si="154"/>
        <v>1.6382155334587474</v>
      </c>
      <c r="Q620" s="128">
        <f t="shared" si="155"/>
        <v>0.25688217799636037</v>
      </c>
      <c r="R620" s="130">
        <f t="shared" si="156"/>
        <v>0.42082837426235242</v>
      </c>
      <c r="S620" s="131">
        <f>SUM(S605:S619)</f>
        <v>6292.08</v>
      </c>
      <c r="T620" s="132">
        <f t="shared" si="157"/>
        <v>69.768749999999997</v>
      </c>
      <c r="U620" s="133">
        <f>IFERROR((D620-D246)/D620,)</f>
        <v>0.30215677015591996</v>
      </c>
      <c r="V620" s="133">
        <f>IFERROR((F620-F246)/F620,)</f>
        <v>0.24193548387096775</v>
      </c>
      <c r="W620" s="271">
        <f>IFERROR((D620-[1]monthly_reporting_2021!E411)/D620, )</f>
        <v>0</v>
      </c>
      <c r="X620" s="271">
        <f>IFERROR((F620-[1]monthly_reporting_2021!F411)/F620, )</f>
        <v>0</v>
      </c>
      <c r="Y620" s="50"/>
      <c r="Z620" s="50"/>
      <c r="AA620" s="50"/>
    </row>
    <row r="621" spans="1:27" ht="12.75" hidden="1" outlineLevel="1" x14ac:dyDescent="0.2">
      <c r="A621" s="50"/>
      <c r="B621" s="69">
        <v>45879</v>
      </c>
      <c r="C621" s="70" t="s">
        <v>32</v>
      </c>
      <c r="D621" s="71">
        <v>3711.18</v>
      </c>
      <c r="E621" s="298"/>
      <c r="F621" s="73">
        <v>9</v>
      </c>
      <c r="G621" s="73">
        <v>9</v>
      </c>
      <c r="H621" s="74">
        <f t="shared" si="151"/>
        <v>1</v>
      </c>
      <c r="I621" s="75">
        <f t="shared" si="152"/>
        <v>412.3533333333333</v>
      </c>
      <c r="J621" s="76">
        <f t="shared" si="153"/>
        <v>412.3533333333333</v>
      </c>
      <c r="K621" s="77">
        <v>1396.61</v>
      </c>
      <c r="L621" s="73">
        <v>210756</v>
      </c>
      <c r="M621" s="73">
        <v>5</v>
      </c>
      <c r="N621" s="78">
        <v>2943.95</v>
      </c>
      <c r="O621" s="79">
        <f t="shared" si="182"/>
        <v>0.47440004076156184</v>
      </c>
      <c r="P621" s="80">
        <f t="shared" si="154"/>
        <v>2.1079256198938858</v>
      </c>
      <c r="Q621" s="79">
        <f t="shared" si="155"/>
        <v>0.37632505025355817</v>
      </c>
      <c r="R621" s="81">
        <f t="shared" si="156"/>
        <v>0.79326521483732937</v>
      </c>
      <c r="S621" s="82">
        <f t="shared" ref="S621:S635" si="186">D621-N621</f>
        <v>767.23</v>
      </c>
      <c r="T621" s="83">
        <f t="shared" si="157"/>
        <v>279.322</v>
      </c>
      <c r="U621" s="135"/>
      <c r="V621" s="135"/>
      <c r="W621" s="135"/>
      <c r="X621" s="135"/>
      <c r="Y621" s="136"/>
      <c r="Z621" s="50"/>
      <c r="AA621" s="50"/>
    </row>
    <row r="622" spans="1:27" ht="12.75" hidden="1" outlineLevel="1" x14ac:dyDescent="0.2">
      <c r="A622" s="50"/>
      <c r="B622" s="137"/>
      <c r="C622" s="70" t="s">
        <v>33</v>
      </c>
      <c r="D622" s="87">
        <v>4721.95</v>
      </c>
      <c r="E622" s="298"/>
      <c r="F622" s="73">
        <v>76</v>
      </c>
      <c r="G622" s="73">
        <v>65</v>
      </c>
      <c r="H622" s="74">
        <f t="shared" si="151"/>
        <v>1.1692307692307693</v>
      </c>
      <c r="I622" s="75">
        <f t="shared" si="152"/>
        <v>62.130921052631578</v>
      </c>
      <c r="J622" s="76">
        <f t="shared" si="153"/>
        <v>53.138287742382268</v>
      </c>
      <c r="K622" s="87">
        <v>576.22</v>
      </c>
      <c r="L622" s="73">
        <v>155896</v>
      </c>
      <c r="M622" s="73">
        <v>5</v>
      </c>
      <c r="N622" s="88">
        <v>980</v>
      </c>
      <c r="O622" s="79">
        <f t="shared" si="182"/>
        <v>0.58797959183673476</v>
      </c>
      <c r="P622" s="80">
        <f t="shared" si="154"/>
        <v>1.7007393009614382</v>
      </c>
      <c r="Q622" s="79">
        <f t="shared" si="155"/>
        <v>0.12203009349950764</v>
      </c>
      <c r="R622" s="81">
        <f t="shared" si="156"/>
        <v>0.20754137591461155</v>
      </c>
      <c r="S622" s="89">
        <f t="shared" si="186"/>
        <v>3741.95</v>
      </c>
      <c r="T622" s="83">
        <f t="shared" si="157"/>
        <v>115.244</v>
      </c>
      <c r="U622" s="135"/>
      <c r="V622" s="135"/>
      <c r="W622" s="135"/>
      <c r="X622" s="135"/>
      <c r="Y622" s="136"/>
      <c r="Z622" s="50"/>
      <c r="AA622" s="50"/>
    </row>
    <row r="623" spans="1:27" ht="12.75" hidden="1" outlineLevel="1" x14ac:dyDescent="0.2">
      <c r="A623" s="50"/>
      <c r="B623" s="137"/>
      <c r="C623" s="70" t="s">
        <v>34</v>
      </c>
      <c r="D623" s="90">
        <v>69.95</v>
      </c>
      <c r="E623" s="298"/>
      <c r="F623" s="73">
        <v>1</v>
      </c>
      <c r="G623" s="73">
        <v>1</v>
      </c>
      <c r="H623" s="74">
        <f t="shared" si="151"/>
        <v>1</v>
      </c>
      <c r="I623" s="75">
        <f t="shared" si="152"/>
        <v>69.95</v>
      </c>
      <c r="J623" s="76">
        <f t="shared" si="153"/>
        <v>69.95</v>
      </c>
      <c r="K623" s="90">
        <v>23.9</v>
      </c>
      <c r="L623" s="73">
        <v>235</v>
      </c>
      <c r="M623" s="73">
        <v>0</v>
      </c>
      <c r="N623" s="91">
        <v>0</v>
      </c>
      <c r="O623" s="79" t="e">
        <f>(K623/N623)</f>
        <v>#DIV/0!</v>
      </c>
      <c r="P623" s="80">
        <f t="shared" si="154"/>
        <v>0</v>
      </c>
      <c r="Q623" s="79">
        <f t="shared" si="155"/>
        <v>0.34167262330235881</v>
      </c>
      <c r="R623" s="81">
        <f t="shared" si="156"/>
        <v>0</v>
      </c>
      <c r="S623" s="92">
        <f t="shared" si="186"/>
        <v>69.95</v>
      </c>
      <c r="T623" s="83" t="e">
        <f t="shared" si="157"/>
        <v>#DIV/0!</v>
      </c>
      <c r="U623" s="135"/>
      <c r="V623" s="135"/>
      <c r="W623" s="135"/>
      <c r="X623" s="135"/>
      <c r="Y623" s="136"/>
      <c r="Z623" s="50"/>
      <c r="AA623" s="50"/>
    </row>
    <row r="624" spans="1:27" ht="12.75" hidden="1" outlineLevel="1" x14ac:dyDescent="0.2">
      <c r="A624" s="50"/>
      <c r="B624" s="137"/>
      <c r="C624" s="70" t="s">
        <v>35</v>
      </c>
      <c r="D624" s="90">
        <v>899.25</v>
      </c>
      <c r="E624" s="298"/>
      <c r="F624" s="73">
        <v>15</v>
      </c>
      <c r="G624" s="73">
        <v>12</v>
      </c>
      <c r="H624" s="74">
        <f t="shared" si="151"/>
        <v>1.25</v>
      </c>
      <c r="I624" s="75">
        <f t="shared" si="152"/>
        <v>59.95</v>
      </c>
      <c r="J624" s="76">
        <f t="shared" si="153"/>
        <v>47.96</v>
      </c>
      <c r="K624" s="90">
        <v>278.45</v>
      </c>
      <c r="L624" s="73">
        <v>22772</v>
      </c>
      <c r="M624" s="73">
        <v>3</v>
      </c>
      <c r="N624" s="91">
        <v>179.85</v>
      </c>
      <c r="O624" s="79">
        <f t="shared" ref="O624:O638" si="187">K624/N624</f>
        <v>1.5482346399777591</v>
      </c>
      <c r="P624" s="80">
        <f t="shared" si="154"/>
        <v>0.64589692943077748</v>
      </c>
      <c r="Q624" s="79">
        <f t="shared" si="155"/>
        <v>0.30964692799555182</v>
      </c>
      <c r="R624" s="81">
        <f t="shared" si="156"/>
        <v>0.19999999999999998</v>
      </c>
      <c r="S624" s="92">
        <f t="shared" si="186"/>
        <v>719.4</v>
      </c>
      <c r="T624" s="83">
        <f t="shared" si="157"/>
        <v>92.816666666666663</v>
      </c>
      <c r="U624" s="135"/>
      <c r="V624" s="135"/>
      <c r="W624" s="135"/>
      <c r="X624" s="135"/>
      <c r="Y624" s="136"/>
      <c r="Z624" s="50"/>
      <c r="AA624" s="50"/>
    </row>
    <row r="625" spans="1:27" ht="12.75" hidden="1" outlineLevel="1" x14ac:dyDescent="0.2">
      <c r="A625" s="50"/>
      <c r="B625" s="137"/>
      <c r="C625" s="70" t="s">
        <v>36</v>
      </c>
      <c r="D625" s="90">
        <v>59.95</v>
      </c>
      <c r="E625" s="298"/>
      <c r="F625" s="73">
        <v>1</v>
      </c>
      <c r="G625" s="73">
        <v>1</v>
      </c>
      <c r="H625" s="74">
        <f t="shared" si="151"/>
        <v>1</v>
      </c>
      <c r="I625" s="75">
        <f t="shared" si="152"/>
        <v>59.95</v>
      </c>
      <c r="J625" s="76">
        <f t="shared" si="153"/>
        <v>59.95</v>
      </c>
      <c r="K625" s="90">
        <v>120.39</v>
      </c>
      <c r="L625" s="73">
        <v>19826</v>
      </c>
      <c r="M625" s="73">
        <v>3</v>
      </c>
      <c r="N625" s="91">
        <v>119.9</v>
      </c>
      <c r="O625" s="79">
        <f t="shared" si="187"/>
        <v>1.0040867389491241</v>
      </c>
      <c r="P625" s="80">
        <f t="shared" si="154"/>
        <v>0.99592989450951075</v>
      </c>
      <c r="Q625" s="79">
        <f t="shared" si="155"/>
        <v>2.0081734778982483</v>
      </c>
      <c r="R625" s="81">
        <f t="shared" si="156"/>
        <v>2</v>
      </c>
      <c r="S625" s="92">
        <f t="shared" si="186"/>
        <v>-59.95</v>
      </c>
      <c r="T625" s="83">
        <f t="shared" si="157"/>
        <v>40.130000000000003</v>
      </c>
      <c r="U625" s="135"/>
      <c r="V625" s="135"/>
      <c r="W625" s="135"/>
      <c r="X625" s="135"/>
      <c r="Y625" s="136"/>
      <c r="Z625" s="50"/>
      <c r="AA625" s="50"/>
    </row>
    <row r="626" spans="1:27" ht="12.75" hidden="1" outlineLevel="1" x14ac:dyDescent="0.2">
      <c r="A626" s="50"/>
      <c r="B626" s="69" t="s">
        <v>37</v>
      </c>
      <c r="C626" s="70" t="s">
        <v>38</v>
      </c>
      <c r="D626" s="93">
        <v>64.900000000000006</v>
      </c>
      <c r="E626" s="298"/>
      <c r="F626" s="73">
        <v>2</v>
      </c>
      <c r="G626" s="73">
        <v>2</v>
      </c>
      <c r="H626" s="74">
        <f t="shared" si="151"/>
        <v>1</v>
      </c>
      <c r="I626" s="75">
        <f t="shared" si="152"/>
        <v>32.450000000000003</v>
      </c>
      <c r="J626" s="76">
        <f t="shared" si="153"/>
        <v>32.450000000000003</v>
      </c>
      <c r="K626" s="93">
        <v>53.57</v>
      </c>
      <c r="L626" s="73">
        <v>15457</v>
      </c>
      <c r="M626" s="73">
        <v>1</v>
      </c>
      <c r="N626" s="94">
        <v>29.95</v>
      </c>
      <c r="O626" s="79">
        <f t="shared" si="187"/>
        <v>1.7886477462437396</v>
      </c>
      <c r="P626" s="80">
        <f t="shared" si="154"/>
        <v>0.55908157550868021</v>
      </c>
      <c r="Q626" s="79">
        <f t="shared" si="155"/>
        <v>0.8254237288135593</v>
      </c>
      <c r="R626" s="81">
        <f t="shared" si="156"/>
        <v>0.46147919876733429</v>
      </c>
      <c r="S626" s="95">
        <f t="shared" si="186"/>
        <v>34.950000000000003</v>
      </c>
      <c r="T626" s="83">
        <f t="shared" si="157"/>
        <v>53.57</v>
      </c>
      <c r="U626" s="135"/>
      <c r="V626" s="135"/>
      <c r="W626" s="135"/>
      <c r="X626" s="135"/>
      <c r="Y626" s="136"/>
      <c r="Z626" s="50"/>
      <c r="AA626" s="50"/>
    </row>
    <row r="627" spans="1:27" ht="12.75" hidden="1" outlineLevel="1" x14ac:dyDescent="0.2">
      <c r="A627" s="50"/>
      <c r="B627" s="137"/>
      <c r="C627" s="70" t="s">
        <v>39</v>
      </c>
      <c r="D627" s="96">
        <v>24.95</v>
      </c>
      <c r="E627" s="298"/>
      <c r="F627" s="73">
        <v>1</v>
      </c>
      <c r="G627" s="73">
        <v>1</v>
      </c>
      <c r="H627" s="74">
        <f t="shared" si="151"/>
        <v>1</v>
      </c>
      <c r="I627" s="75">
        <f t="shared" si="152"/>
        <v>24.95</v>
      </c>
      <c r="J627" s="76">
        <f t="shared" si="153"/>
        <v>24.95</v>
      </c>
      <c r="K627" s="96">
        <v>0</v>
      </c>
      <c r="L627" s="73">
        <v>0</v>
      </c>
      <c r="M627" s="73">
        <v>0</v>
      </c>
      <c r="N627" s="97">
        <v>0</v>
      </c>
      <c r="O627" s="79" t="e">
        <f t="shared" si="187"/>
        <v>#DIV/0!</v>
      </c>
      <c r="P627" s="80" t="e">
        <f t="shared" si="154"/>
        <v>#DIV/0!</v>
      </c>
      <c r="Q627" s="79">
        <f t="shared" si="155"/>
        <v>0</v>
      </c>
      <c r="R627" s="81">
        <f t="shared" si="156"/>
        <v>0</v>
      </c>
      <c r="S627" s="98">
        <f t="shared" si="186"/>
        <v>24.95</v>
      </c>
      <c r="T627" s="83" t="e">
        <f t="shared" si="157"/>
        <v>#DIV/0!</v>
      </c>
      <c r="U627" s="135"/>
      <c r="V627" s="135"/>
      <c r="W627" s="135"/>
      <c r="X627" s="135"/>
      <c r="Y627" s="136"/>
      <c r="Z627" s="50"/>
      <c r="AA627" s="50"/>
    </row>
    <row r="628" spans="1:27" ht="12.75" hidden="1" outlineLevel="1" x14ac:dyDescent="0.2">
      <c r="A628" s="50"/>
      <c r="B628" s="137"/>
      <c r="C628" s="70" t="s">
        <v>40</v>
      </c>
      <c r="D628" s="99">
        <v>219.8</v>
      </c>
      <c r="E628" s="298"/>
      <c r="F628" s="73">
        <v>4</v>
      </c>
      <c r="G628" s="73">
        <v>3</v>
      </c>
      <c r="H628" s="74">
        <f t="shared" si="151"/>
        <v>1.3333333333333333</v>
      </c>
      <c r="I628" s="75">
        <f t="shared" si="152"/>
        <v>54.95</v>
      </c>
      <c r="J628" s="76">
        <f t="shared" si="153"/>
        <v>41.212500000000006</v>
      </c>
      <c r="K628" s="99">
        <v>0</v>
      </c>
      <c r="L628" s="73">
        <v>0</v>
      </c>
      <c r="M628" s="73">
        <v>0</v>
      </c>
      <c r="N628" s="100">
        <v>0</v>
      </c>
      <c r="O628" s="79" t="e">
        <f t="shared" si="187"/>
        <v>#DIV/0!</v>
      </c>
      <c r="P628" s="80" t="e">
        <f t="shared" si="154"/>
        <v>#DIV/0!</v>
      </c>
      <c r="Q628" s="79">
        <f t="shared" si="155"/>
        <v>0</v>
      </c>
      <c r="R628" s="81">
        <f t="shared" si="156"/>
        <v>0</v>
      </c>
      <c r="S628" s="101">
        <f t="shared" si="186"/>
        <v>219.8</v>
      </c>
      <c r="T628" s="83" t="e">
        <f t="shared" si="157"/>
        <v>#DIV/0!</v>
      </c>
      <c r="U628" s="135"/>
      <c r="V628" s="135"/>
      <c r="W628" s="135"/>
      <c r="X628" s="135"/>
      <c r="Y628" s="136"/>
      <c r="Z628" s="50"/>
      <c r="AA628" s="50"/>
    </row>
    <row r="629" spans="1:27" ht="12.75" hidden="1" outlineLevel="1" x14ac:dyDescent="0.2">
      <c r="A629" s="50"/>
      <c r="B629" s="137"/>
      <c r="C629" s="70" t="s">
        <v>41</v>
      </c>
      <c r="D629" s="102">
        <v>1340.03</v>
      </c>
      <c r="E629" s="298"/>
      <c r="F629" s="73">
        <v>11</v>
      </c>
      <c r="G629" s="73">
        <v>11</v>
      </c>
      <c r="H629" s="74">
        <f t="shared" si="151"/>
        <v>1</v>
      </c>
      <c r="I629" s="75">
        <f t="shared" si="152"/>
        <v>121.82090909090908</v>
      </c>
      <c r="J629" s="76">
        <f t="shared" si="153"/>
        <v>121.82090909090908</v>
      </c>
      <c r="K629" s="102">
        <v>365.85</v>
      </c>
      <c r="L629" s="73">
        <v>33599</v>
      </c>
      <c r="M629" s="73">
        <v>3</v>
      </c>
      <c r="N629" s="103">
        <v>378.68</v>
      </c>
      <c r="O629" s="79">
        <f t="shared" si="187"/>
        <v>0.96611915073412913</v>
      </c>
      <c r="P629" s="80">
        <f t="shared" si="154"/>
        <v>1.0350690173568402</v>
      </c>
      <c r="Q629" s="79">
        <f t="shared" si="155"/>
        <v>0.27301627575502041</v>
      </c>
      <c r="R629" s="81">
        <f t="shared" si="156"/>
        <v>0.28259068826817313</v>
      </c>
      <c r="S629" s="104">
        <f t="shared" si="186"/>
        <v>961.34999999999991</v>
      </c>
      <c r="T629" s="83">
        <f t="shared" si="157"/>
        <v>121.95</v>
      </c>
      <c r="U629" s="135"/>
      <c r="V629" s="135"/>
      <c r="W629" s="135"/>
      <c r="X629" s="135"/>
      <c r="Y629" s="136"/>
      <c r="Z629" s="50"/>
      <c r="AA629" s="50"/>
    </row>
    <row r="630" spans="1:27" ht="12.75" hidden="1" outlineLevel="1" x14ac:dyDescent="0.2">
      <c r="A630" s="50"/>
      <c r="B630" s="137"/>
      <c r="C630" s="70" t="s">
        <v>42</v>
      </c>
      <c r="D630" s="90">
        <v>-19.989999999999998</v>
      </c>
      <c r="E630" s="298"/>
      <c r="F630" s="73">
        <v>-1</v>
      </c>
      <c r="G630" s="73">
        <v>0</v>
      </c>
      <c r="H630" s="74" t="e">
        <f t="shared" si="151"/>
        <v>#DIV/0!</v>
      </c>
      <c r="I630" s="75">
        <f t="shared" si="152"/>
        <v>19.989999999999998</v>
      </c>
      <c r="J630" s="76" t="e">
        <f t="shared" si="153"/>
        <v>#DIV/0!</v>
      </c>
      <c r="K630" s="90">
        <v>0</v>
      </c>
      <c r="L630" s="73">
        <v>0</v>
      </c>
      <c r="M630" s="73">
        <v>0</v>
      </c>
      <c r="N630" s="91">
        <v>0</v>
      </c>
      <c r="O630" s="79" t="e">
        <f t="shared" si="187"/>
        <v>#DIV/0!</v>
      </c>
      <c r="P630" s="80" t="e">
        <f t="shared" si="154"/>
        <v>#DIV/0!</v>
      </c>
      <c r="Q630" s="79">
        <f t="shared" si="155"/>
        <v>0</v>
      </c>
      <c r="R630" s="81">
        <f t="shared" si="156"/>
        <v>0</v>
      </c>
      <c r="S630" s="92">
        <f t="shared" si="186"/>
        <v>-19.989999999999998</v>
      </c>
      <c r="T630" s="83" t="e">
        <f t="shared" si="157"/>
        <v>#DIV/0!</v>
      </c>
      <c r="U630" s="135"/>
      <c r="V630" s="135"/>
      <c r="W630" s="135"/>
      <c r="X630" s="135"/>
      <c r="Y630" s="136"/>
      <c r="Z630" s="50"/>
      <c r="AA630" s="50"/>
    </row>
    <row r="631" spans="1:27" ht="12.75" hidden="1" outlineLevel="1" x14ac:dyDescent="0.2">
      <c r="A631" s="50"/>
      <c r="B631" s="137"/>
      <c r="C631" s="70" t="s">
        <v>43</v>
      </c>
      <c r="D631" s="105">
        <v>0</v>
      </c>
      <c r="E631" s="298"/>
      <c r="F631" s="73">
        <v>0</v>
      </c>
      <c r="G631" s="73">
        <v>0</v>
      </c>
      <c r="H631" s="74" t="e">
        <f t="shared" si="151"/>
        <v>#DIV/0!</v>
      </c>
      <c r="I631" s="75" t="e">
        <f t="shared" si="152"/>
        <v>#DIV/0!</v>
      </c>
      <c r="J631" s="76" t="e">
        <f t="shared" si="153"/>
        <v>#DIV/0!</v>
      </c>
      <c r="K631" s="105">
        <v>46.47</v>
      </c>
      <c r="L631" s="73">
        <v>14231</v>
      </c>
      <c r="M631" s="73">
        <v>0</v>
      </c>
      <c r="N631" s="106">
        <v>0</v>
      </c>
      <c r="O631" s="79" t="e">
        <f t="shared" si="187"/>
        <v>#DIV/0!</v>
      </c>
      <c r="P631" s="80">
        <f t="shared" si="154"/>
        <v>0</v>
      </c>
      <c r="Q631" s="79" t="e">
        <f t="shared" si="155"/>
        <v>#DIV/0!</v>
      </c>
      <c r="R631" s="81" t="e">
        <f t="shared" si="156"/>
        <v>#DIV/0!</v>
      </c>
      <c r="S631" s="107">
        <f t="shared" si="186"/>
        <v>0</v>
      </c>
      <c r="T631" s="83" t="e">
        <f t="shared" si="157"/>
        <v>#DIV/0!</v>
      </c>
      <c r="U631" s="135"/>
      <c r="V631" s="135"/>
      <c r="W631" s="135"/>
      <c r="X631" s="135"/>
      <c r="Y631" s="136"/>
      <c r="Z631" s="50"/>
      <c r="AA631" s="50"/>
    </row>
    <row r="632" spans="1:27" ht="12.75" hidden="1" outlineLevel="1" x14ac:dyDescent="0.2">
      <c r="A632" s="50"/>
      <c r="B632" s="137"/>
      <c r="C632" s="70" t="s">
        <v>44</v>
      </c>
      <c r="D632" s="108">
        <v>134.85</v>
      </c>
      <c r="E632" s="298"/>
      <c r="F632" s="73">
        <v>3</v>
      </c>
      <c r="G632" s="73">
        <v>5</v>
      </c>
      <c r="H632" s="74">
        <f t="shared" si="151"/>
        <v>0.6</v>
      </c>
      <c r="I632" s="75">
        <f t="shared" si="152"/>
        <v>44.949999999999996</v>
      </c>
      <c r="J632" s="76">
        <f t="shared" si="153"/>
        <v>74.916666666666657</v>
      </c>
      <c r="K632" s="108">
        <v>151.04</v>
      </c>
      <c r="L632" s="73">
        <v>64325</v>
      </c>
      <c r="M632" s="73">
        <v>2</v>
      </c>
      <c r="N632" s="109">
        <v>89.9</v>
      </c>
      <c r="O632" s="79">
        <f t="shared" si="187"/>
        <v>1.6800889877641823</v>
      </c>
      <c r="P632" s="80">
        <f t="shared" si="154"/>
        <v>0.59520656779661019</v>
      </c>
      <c r="Q632" s="79">
        <f t="shared" si="155"/>
        <v>1.1200593251761215</v>
      </c>
      <c r="R632" s="81">
        <f t="shared" si="156"/>
        <v>0.66666666666666674</v>
      </c>
      <c r="S632" s="110">
        <f t="shared" si="186"/>
        <v>44.949999999999989</v>
      </c>
      <c r="T632" s="83">
        <f t="shared" si="157"/>
        <v>75.52</v>
      </c>
      <c r="U632" s="135"/>
      <c r="V632" s="135"/>
      <c r="W632" s="135"/>
      <c r="X632" s="135"/>
      <c r="Y632" s="136"/>
      <c r="Z632" s="50"/>
      <c r="AA632" s="50"/>
    </row>
    <row r="633" spans="1:27" ht="12.75" hidden="1" outlineLevel="1" x14ac:dyDescent="0.2">
      <c r="A633" s="139"/>
      <c r="B633" s="137"/>
      <c r="C633" s="112" t="s">
        <v>45</v>
      </c>
      <c r="D633" s="71">
        <v>0</v>
      </c>
      <c r="E633" s="298"/>
      <c r="F633" s="73">
        <v>0</v>
      </c>
      <c r="G633" s="73">
        <v>0</v>
      </c>
      <c r="H633" s="74" t="e">
        <f t="shared" si="151"/>
        <v>#DIV/0!</v>
      </c>
      <c r="I633" s="75" t="e">
        <f t="shared" si="152"/>
        <v>#DIV/0!</v>
      </c>
      <c r="J633" s="76" t="e">
        <f t="shared" si="153"/>
        <v>#DIV/0!</v>
      </c>
      <c r="K633" s="71">
        <v>0</v>
      </c>
      <c r="L633" s="73">
        <v>0</v>
      </c>
      <c r="M633" s="73">
        <v>0</v>
      </c>
      <c r="N633" s="78">
        <v>0</v>
      </c>
      <c r="O633" s="79" t="e">
        <f t="shared" si="187"/>
        <v>#DIV/0!</v>
      </c>
      <c r="P633" s="80" t="e">
        <f t="shared" si="154"/>
        <v>#DIV/0!</v>
      </c>
      <c r="Q633" s="79" t="e">
        <f t="shared" si="155"/>
        <v>#DIV/0!</v>
      </c>
      <c r="R633" s="81" t="e">
        <f t="shared" si="156"/>
        <v>#DIV/0!</v>
      </c>
      <c r="S633" s="82">
        <f t="shared" si="186"/>
        <v>0</v>
      </c>
      <c r="T633" s="83" t="e">
        <f t="shared" si="157"/>
        <v>#DIV/0!</v>
      </c>
      <c r="U633" s="140"/>
      <c r="V633" s="140"/>
      <c r="W633" s="140"/>
      <c r="X633" s="141"/>
      <c r="Y633" s="142"/>
      <c r="Z633" s="50"/>
      <c r="AA633" s="50"/>
    </row>
    <row r="634" spans="1:27" ht="12.75" hidden="1" outlineLevel="1" x14ac:dyDescent="0.2">
      <c r="A634" s="50"/>
      <c r="B634" s="137"/>
      <c r="C634" s="70" t="s">
        <v>46</v>
      </c>
      <c r="D634" s="116">
        <v>179.8</v>
      </c>
      <c r="E634" s="298"/>
      <c r="F634" s="73">
        <v>4</v>
      </c>
      <c r="G634" s="73">
        <v>4</v>
      </c>
      <c r="H634" s="74">
        <f t="shared" si="151"/>
        <v>1</v>
      </c>
      <c r="I634" s="75">
        <f t="shared" si="152"/>
        <v>44.95</v>
      </c>
      <c r="J634" s="76">
        <f t="shared" si="153"/>
        <v>44.95</v>
      </c>
      <c r="K634" s="116">
        <v>92.52</v>
      </c>
      <c r="L634" s="73">
        <v>27385</v>
      </c>
      <c r="M634" s="73">
        <v>3</v>
      </c>
      <c r="N634" s="117">
        <v>134.85</v>
      </c>
      <c r="O634" s="79">
        <f t="shared" si="187"/>
        <v>0.68609566184649606</v>
      </c>
      <c r="P634" s="80">
        <f t="shared" si="154"/>
        <v>1.4575226977950713</v>
      </c>
      <c r="Q634" s="79">
        <f t="shared" si="155"/>
        <v>0.51457174638487202</v>
      </c>
      <c r="R634" s="81">
        <f t="shared" si="156"/>
        <v>0.74999999999999989</v>
      </c>
      <c r="S634" s="82">
        <f t="shared" si="186"/>
        <v>44.950000000000017</v>
      </c>
      <c r="T634" s="83">
        <f t="shared" si="157"/>
        <v>30.84</v>
      </c>
      <c r="U634" s="135"/>
      <c r="V634" s="135"/>
      <c r="W634" s="135"/>
      <c r="X634" s="135"/>
      <c r="Y634" s="136"/>
      <c r="Z634" s="50"/>
      <c r="AA634" s="50"/>
    </row>
    <row r="635" spans="1:27" ht="12.75" hidden="1" outlineLevel="1" x14ac:dyDescent="0.2">
      <c r="A635" s="118" t="str">
        <f t="shared" ref="A635:A636" si="188">IFERROR(IF(B635&gt;0,MONTH(B635)&amp;"-"&amp;YEAR(B635),B635),)</f>
        <v>8-2025</v>
      </c>
      <c r="B635" s="69">
        <v>45885</v>
      </c>
      <c r="C635" s="70" t="s">
        <v>49</v>
      </c>
      <c r="D635" s="116">
        <v>0</v>
      </c>
      <c r="E635" s="298"/>
      <c r="F635" s="73">
        <v>0</v>
      </c>
      <c r="G635" s="73">
        <v>0</v>
      </c>
      <c r="H635" s="74" t="e">
        <f t="shared" si="151"/>
        <v>#DIV/0!</v>
      </c>
      <c r="I635" s="75" t="e">
        <f t="shared" si="152"/>
        <v>#DIV/0!</v>
      </c>
      <c r="J635" s="76" t="e">
        <f t="shared" si="153"/>
        <v>#DIV/0!</v>
      </c>
      <c r="K635" s="116">
        <v>24.33</v>
      </c>
      <c r="L635" s="73">
        <v>17119</v>
      </c>
      <c r="M635" s="73">
        <v>0</v>
      </c>
      <c r="N635" s="117">
        <v>0</v>
      </c>
      <c r="O635" s="79" t="e">
        <f t="shared" si="187"/>
        <v>#DIV/0!</v>
      </c>
      <c r="P635" s="80">
        <f t="shared" si="154"/>
        <v>0</v>
      </c>
      <c r="Q635" s="79" t="e">
        <f t="shared" si="155"/>
        <v>#DIV/0!</v>
      </c>
      <c r="R635" s="81" t="e">
        <f t="shared" si="156"/>
        <v>#DIV/0!</v>
      </c>
      <c r="S635" s="82">
        <f t="shared" si="186"/>
        <v>0</v>
      </c>
      <c r="T635" s="83" t="e">
        <f t="shared" si="157"/>
        <v>#DIV/0!</v>
      </c>
      <c r="U635" s="135"/>
      <c r="V635" s="135"/>
      <c r="W635" s="135"/>
      <c r="X635" s="135"/>
      <c r="Y635" s="136"/>
      <c r="Z635" s="50"/>
      <c r="AA635" s="50"/>
    </row>
    <row r="636" spans="1:27" ht="12.75" collapsed="1" x14ac:dyDescent="0.2">
      <c r="A636" s="50">
        <f t="shared" si="188"/>
        <v>0</v>
      </c>
      <c r="B636" s="52" t="s">
        <v>91</v>
      </c>
      <c r="C636" s="145"/>
      <c r="D636" s="121">
        <f>SUM(D621:D635)</f>
        <v>11406.62</v>
      </c>
      <c r="E636" s="297"/>
      <c r="F636" s="123">
        <f t="shared" ref="F636:G636" si="189">SUM(F621:F635)</f>
        <v>126</v>
      </c>
      <c r="G636" s="123">
        <f t="shared" si="189"/>
        <v>114</v>
      </c>
      <c r="H636" s="124">
        <f t="shared" si="151"/>
        <v>1.1052631578947369</v>
      </c>
      <c r="I636" s="125">
        <f t="shared" si="152"/>
        <v>90.52873015873017</v>
      </c>
      <c r="J636" s="126">
        <f t="shared" si="153"/>
        <v>81.906946334089199</v>
      </c>
      <c r="K636" s="121">
        <f t="shared" ref="K636:N636" si="190">SUM(K621:K635)</f>
        <v>3129.3499999999995</v>
      </c>
      <c r="L636" s="123">
        <f t="shared" si="190"/>
        <v>581601</v>
      </c>
      <c r="M636" s="123">
        <f t="shared" si="190"/>
        <v>25</v>
      </c>
      <c r="N636" s="127">
        <f t="shared" si="190"/>
        <v>4857.08</v>
      </c>
      <c r="O636" s="128">
        <f t="shared" si="187"/>
        <v>0.64428627899890456</v>
      </c>
      <c r="P636" s="129">
        <f t="shared" si="154"/>
        <v>1.5521050697429182</v>
      </c>
      <c r="Q636" s="128">
        <f t="shared" si="155"/>
        <v>0.27434507329954</v>
      </c>
      <c r="R636" s="130">
        <f t="shared" si="156"/>
        <v>0.42581237912720854</v>
      </c>
      <c r="S636" s="131">
        <f>SUM(S621:S635)</f>
        <v>6549.5399999999991</v>
      </c>
      <c r="T636" s="132">
        <f t="shared" si="157"/>
        <v>125.17399999999998</v>
      </c>
      <c r="U636" s="133">
        <f>IFERROR((D636-D246)/D636,)</f>
        <v>0.33535788866465288</v>
      </c>
      <c r="V636" s="133">
        <f>IFERROR((F636-F246)/F636,)</f>
        <v>0.25396825396825395</v>
      </c>
      <c r="W636" s="271">
        <f>IFERROR((D636-[1]monthly_reporting_2021!E427)/D636, )</f>
        <v>0</v>
      </c>
      <c r="X636" s="271">
        <f>IFERROR((F636-[1]monthly_reporting_2021!F427)/F636, )</f>
        <v>0</v>
      </c>
      <c r="Y636" s="50"/>
      <c r="Z636" s="50"/>
      <c r="AA636" s="50"/>
    </row>
    <row r="637" spans="1:27" ht="12.75" hidden="1" outlineLevel="1" x14ac:dyDescent="0.2">
      <c r="A637" s="50"/>
      <c r="B637" s="69">
        <v>45886</v>
      </c>
      <c r="C637" s="70" t="s">
        <v>32</v>
      </c>
      <c r="D637" s="71">
        <v>5642.85</v>
      </c>
      <c r="E637" s="298"/>
      <c r="F637" s="73">
        <v>18</v>
      </c>
      <c r="G637" s="73">
        <v>16</v>
      </c>
      <c r="H637" s="74">
        <f t="shared" si="151"/>
        <v>1.125</v>
      </c>
      <c r="I637" s="75">
        <f t="shared" si="152"/>
        <v>313.49166666666667</v>
      </c>
      <c r="J637" s="76">
        <f t="shared" si="153"/>
        <v>278.65925925925927</v>
      </c>
      <c r="K637" s="77">
        <v>1621.84</v>
      </c>
      <c r="L637" s="73">
        <v>221353</v>
      </c>
      <c r="M637" s="73">
        <v>8</v>
      </c>
      <c r="N637" s="78">
        <v>1816.35</v>
      </c>
      <c r="O637" s="79">
        <f t="shared" si="187"/>
        <v>0.89291160844550888</v>
      </c>
      <c r="P637" s="80">
        <f t="shared" si="154"/>
        <v>1.1199316825334189</v>
      </c>
      <c r="Q637" s="79">
        <f t="shared" si="155"/>
        <v>0.28741504736081941</v>
      </c>
      <c r="R637" s="81">
        <f t="shared" si="156"/>
        <v>0.32188521757622474</v>
      </c>
      <c r="S637" s="82">
        <f t="shared" ref="S637:S651" si="191">D637-N637</f>
        <v>3826.5000000000005</v>
      </c>
      <c r="T637" s="83">
        <f t="shared" si="157"/>
        <v>202.73</v>
      </c>
      <c r="U637" s="135"/>
      <c r="V637" s="135"/>
      <c r="W637" s="135"/>
      <c r="X637" s="135"/>
      <c r="Y637" s="136"/>
      <c r="Z637" s="50"/>
      <c r="AA637" s="50"/>
    </row>
    <row r="638" spans="1:27" ht="12.75" hidden="1" outlineLevel="1" x14ac:dyDescent="0.2">
      <c r="A638" s="50"/>
      <c r="B638" s="137"/>
      <c r="C638" s="70" t="s">
        <v>33</v>
      </c>
      <c r="D638" s="87">
        <v>6158.86</v>
      </c>
      <c r="E638" s="298"/>
      <c r="F638" s="73">
        <v>80</v>
      </c>
      <c r="G638" s="73">
        <v>72</v>
      </c>
      <c r="H638" s="74">
        <f t="shared" si="151"/>
        <v>1.1111111111111112</v>
      </c>
      <c r="I638" s="75">
        <f t="shared" si="152"/>
        <v>76.985749999999996</v>
      </c>
      <c r="J638" s="76">
        <f t="shared" si="153"/>
        <v>69.287174999999991</v>
      </c>
      <c r="K638" s="87">
        <v>539.69000000000005</v>
      </c>
      <c r="L638" s="73">
        <v>149671</v>
      </c>
      <c r="M638" s="73">
        <v>9</v>
      </c>
      <c r="N638" s="88">
        <v>788.95</v>
      </c>
      <c r="O638" s="79">
        <f t="shared" si="187"/>
        <v>0.68406109385892644</v>
      </c>
      <c r="P638" s="80">
        <f t="shared" si="154"/>
        <v>1.4618577331431006</v>
      </c>
      <c r="Q638" s="79">
        <f t="shared" si="155"/>
        <v>8.7628229899689242E-2</v>
      </c>
      <c r="R638" s="81">
        <f t="shared" si="156"/>
        <v>0.12810000552050219</v>
      </c>
      <c r="S638" s="89">
        <f t="shared" si="191"/>
        <v>5369.91</v>
      </c>
      <c r="T638" s="83">
        <f t="shared" si="157"/>
        <v>59.965555555555561</v>
      </c>
      <c r="U638" s="135"/>
      <c r="V638" s="135"/>
      <c r="W638" s="135"/>
      <c r="X638" s="135"/>
      <c r="Y638" s="136"/>
      <c r="Z638" s="50"/>
      <c r="AA638" s="50"/>
    </row>
    <row r="639" spans="1:27" ht="12.75" hidden="1" outlineLevel="1" x14ac:dyDescent="0.2">
      <c r="A639" s="50"/>
      <c r="B639" s="137"/>
      <c r="C639" s="70" t="s">
        <v>34</v>
      </c>
      <c r="D639" s="90">
        <v>69.95</v>
      </c>
      <c r="E639" s="298"/>
      <c r="F639" s="73">
        <v>1</v>
      </c>
      <c r="G639" s="73">
        <v>2</v>
      </c>
      <c r="H639" s="74">
        <f t="shared" si="151"/>
        <v>0.5</v>
      </c>
      <c r="I639" s="75">
        <f t="shared" si="152"/>
        <v>69.95</v>
      </c>
      <c r="J639" s="76">
        <f t="shared" si="153"/>
        <v>139.9</v>
      </c>
      <c r="K639" s="90">
        <v>0</v>
      </c>
      <c r="L639" s="73">
        <v>214</v>
      </c>
      <c r="M639" s="73">
        <v>0</v>
      </c>
      <c r="N639" s="91">
        <v>0</v>
      </c>
      <c r="O639" s="79" t="e">
        <f>(K639/N639)</f>
        <v>#DIV/0!</v>
      </c>
      <c r="P639" s="80" t="e">
        <f t="shared" si="154"/>
        <v>#DIV/0!</v>
      </c>
      <c r="Q639" s="79">
        <f t="shared" si="155"/>
        <v>0</v>
      </c>
      <c r="R639" s="81">
        <f t="shared" si="156"/>
        <v>0</v>
      </c>
      <c r="S639" s="92">
        <f t="shared" si="191"/>
        <v>69.95</v>
      </c>
      <c r="T639" s="83" t="e">
        <f t="shared" si="157"/>
        <v>#DIV/0!</v>
      </c>
      <c r="U639" s="135"/>
      <c r="V639" s="135"/>
      <c r="W639" s="135"/>
      <c r="X639" s="135"/>
      <c r="Y639" s="136"/>
      <c r="Z639" s="50"/>
      <c r="AA639" s="50"/>
    </row>
    <row r="640" spans="1:27" ht="12.75" hidden="1" outlineLevel="1" x14ac:dyDescent="0.2">
      <c r="A640" s="50"/>
      <c r="B640" s="137"/>
      <c r="C640" s="70" t="s">
        <v>35</v>
      </c>
      <c r="D640" s="90">
        <v>611.5</v>
      </c>
      <c r="E640" s="298"/>
      <c r="F640" s="73">
        <v>10</v>
      </c>
      <c r="G640" s="73">
        <v>8</v>
      </c>
      <c r="H640" s="74">
        <f t="shared" si="151"/>
        <v>1.25</v>
      </c>
      <c r="I640" s="75">
        <f t="shared" si="152"/>
        <v>61.15</v>
      </c>
      <c r="J640" s="76">
        <f t="shared" si="153"/>
        <v>48.92</v>
      </c>
      <c r="K640" s="90">
        <v>256.79000000000002</v>
      </c>
      <c r="L640" s="73">
        <v>21116</v>
      </c>
      <c r="M640" s="73">
        <v>3</v>
      </c>
      <c r="N640" s="91">
        <v>179.85</v>
      </c>
      <c r="O640" s="79">
        <f t="shared" ref="O640:O654" si="192">K640/N640</f>
        <v>1.4278009452321381</v>
      </c>
      <c r="P640" s="80">
        <f t="shared" si="154"/>
        <v>0.70037774056622137</v>
      </c>
      <c r="Q640" s="79">
        <f t="shared" si="155"/>
        <v>0.4199345870809485</v>
      </c>
      <c r="R640" s="81">
        <f t="shared" si="156"/>
        <v>0.29411283728536386</v>
      </c>
      <c r="S640" s="92">
        <f t="shared" si="191"/>
        <v>431.65</v>
      </c>
      <c r="T640" s="83">
        <f t="shared" si="157"/>
        <v>85.596666666666678</v>
      </c>
      <c r="U640" s="135"/>
      <c r="V640" s="135"/>
      <c r="W640" s="135"/>
      <c r="X640" s="135"/>
      <c r="Y640" s="136"/>
      <c r="Z640" s="50"/>
      <c r="AA640" s="50"/>
    </row>
    <row r="641" spans="1:27" ht="12.75" hidden="1" outlineLevel="1" x14ac:dyDescent="0.2">
      <c r="A641" s="50"/>
      <c r="B641" s="137"/>
      <c r="C641" s="70" t="s">
        <v>36</v>
      </c>
      <c r="D641" s="90">
        <v>309.75</v>
      </c>
      <c r="E641" s="298"/>
      <c r="F641" s="73">
        <v>5</v>
      </c>
      <c r="G641" s="73">
        <v>5</v>
      </c>
      <c r="H641" s="74">
        <f t="shared" si="151"/>
        <v>1</v>
      </c>
      <c r="I641" s="75">
        <f t="shared" si="152"/>
        <v>61.95</v>
      </c>
      <c r="J641" s="76">
        <f t="shared" si="153"/>
        <v>61.95</v>
      </c>
      <c r="K641" s="90">
        <v>89.76</v>
      </c>
      <c r="L641" s="73">
        <v>20605</v>
      </c>
      <c r="M641" s="73">
        <v>3</v>
      </c>
      <c r="N641" s="91">
        <v>189.85</v>
      </c>
      <c r="O641" s="79">
        <f t="shared" si="192"/>
        <v>0.4727943112983935</v>
      </c>
      <c r="P641" s="80">
        <f t="shared" si="154"/>
        <v>2.1150846702317287</v>
      </c>
      <c r="Q641" s="79">
        <f t="shared" si="155"/>
        <v>0.28978208232445524</v>
      </c>
      <c r="R641" s="81">
        <f t="shared" si="156"/>
        <v>0.6129136400322841</v>
      </c>
      <c r="S641" s="92">
        <f t="shared" si="191"/>
        <v>119.9</v>
      </c>
      <c r="T641" s="83">
        <f t="shared" si="157"/>
        <v>29.92</v>
      </c>
      <c r="U641" s="135"/>
      <c r="V641" s="135"/>
      <c r="W641" s="135"/>
      <c r="X641" s="135"/>
      <c r="Y641" s="136"/>
      <c r="Z641" s="50"/>
      <c r="AA641" s="50"/>
    </row>
    <row r="642" spans="1:27" ht="12.75" hidden="1" outlineLevel="1" x14ac:dyDescent="0.2">
      <c r="A642" s="50"/>
      <c r="B642" s="69" t="s">
        <v>37</v>
      </c>
      <c r="C642" s="70" t="s">
        <v>38</v>
      </c>
      <c r="D642" s="93">
        <v>59.9</v>
      </c>
      <c r="E642" s="298"/>
      <c r="F642" s="73">
        <v>2</v>
      </c>
      <c r="G642" s="73">
        <v>1</v>
      </c>
      <c r="H642" s="74">
        <f t="shared" si="151"/>
        <v>2</v>
      </c>
      <c r="I642" s="75">
        <f t="shared" si="152"/>
        <v>29.95</v>
      </c>
      <c r="J642" s="76">
        <f t="shared" si="153"/>
        <v>14.975</v>
      </c>
      <c r="K642" s="93">
        <v>44.23</v>
      </c>
      <c r="L642" s="73">
        <v>12174</v>
      </c>
      <c r="M642" s="73">
        <v>0</v>
      </c>
      <c r="N642" s="94">
        <v>0</v>
      </c>
      <c r="O642" s="79" t="e">
        <f t="shared" si="192"/>
        <v>#DIV/0!</v>
      </c>
      <c r="P642" s="80">
        <f t="shared" si="154"/>
        <v>0</v>
      </c>
      <c r="Q642" s="79">
        <f t="shared" si="155"/>
        <v>0.73839732888146903</v>
      </c>
      <c r="R642" s="81">
        <f t="shared" si="156"/>
        <v>0</v>
      </c>
      <c r="S642" s="95">
        <f t="shared" si="191"/>
        <v>59.9</v>
      </c>
      <c r="T642" s="83" t="e">
        <f t="shared" si="157"/>
        <v>#DIV/0!</v>
      </c>
      <c r="U642" s="135"/>
      <c r="V642" s="135"/>
      <c r="W642" s="135"/>
      <c r="X642" s="135"/>
      <c r="Y642" s="136"/>
      <c r="Z642" s="50"/>
      <c r="AA642" s="50"/>
    </row>
    <row r="643" spans="1:27" ht="12.75" hidden="1" outlineLevel="1" x14ac:dyDescent="0.2">
      <c r="A643" s="50"/>
      <c r="B643" s="137"/>
      <c r="C643" s="70" t="s">
        <v>39</v>
      </c>
      <c r="D643" s="96">
        <v>0</v>
      </c>
      <c r="E643" s="298"/>
      <c r="F643" s="73">
        <v>0</v>
      </c>
      <c r="G643" s="73">
        <v>0</v>
      </c>
      <c r="H643" s="74" t="e">
        <f t="shared" si="151"/>
        <v>#DIV/0!</v>
      </c>
      <c r="I643" s="75" t="e">
        <f t="shared" si="152"/>
        <v>#DIV/0!</v>
      </c>
      <c r="J643" s="76" t="e">
        <f t="shared" si="153"/>
        <v>#DIV/0!</v>
      </c>
      <c r="K643" s="96">
        <v>0</v>
      </c>
      <c r="L643" s="73">
        <v>0</v>
      </c>
      <c r="M643" s="73">
        <v>0</v>
      </c>
      <c r="N643" s="97">
        <v>0</v>
      </c>
      <c r="O643" s="79" t="e">
        <f t="shared" si="192"/>
        <v>#DIV/0!</v>
      </c>
      <c r="P643" s="80" t="e">
        <f t="shared" si="154"/>
        <v>#DIV/0!</v>
      </c>
      <c r="Q643" s="79" t="e">
        <f t="shared" si="155"/>
        <v>#DIV/0!</v>
      </c>
      <c r="R643" s="81" t="e">
        <f t="shared" si="156"/>
        <v>#DIV/0!</v>
      </c>
      <c r="S643" s="98">
        <f t="shared" si="191"/>
        <v>0</v>
      </c>
      <c r="T643" s="83" t="e">
        <f t="shared" si="157"/>
        <v>#DIV/0!</v>
      </c>
      <c r="U643" s="135"/>
      <c r="V643" s="135"/>
      <c r="W643" s="135"/>
      <c r="X643" s="135"/>
      <c r="Y643" s="136"/>
      <c r="Z643" s="50"/>
      <c r="AA643" s="50"/>
    </row>
    <row r="644" spans="1:27" ht="12.75" hidden="1" outlineLevel="1" x14ac:dyDescent="0.2">
      <c r="A644" s="50"/>
      <c r="B644" s="137"/>
      <c r="C644" s="70" t="s">
        <v>40</v>
      </c>
      <c r="D644" s="99">
        <v>219.8</v>
      </c>
      <c r="E644" s="298"/>
      <c r="F644" s="73">
        <v>4</v>
      </c>
      <c r="G644" s="73">
        <v>4</v>
      </c>
      <c r="H644" s="74">
        <f t="shared" si="151"/>
        <v>1</v>
      </c>
      <c r="I644" s="75">
        <f t="shared" si="152"/>
        <v>54.95</v>
      </c>
      <c r="J644" s="76">
        <f t="shared" si="153"/>
        <v>54.95</v>
      </c>
      <c r="K644" s="99">
        <v>0</v>
      </c>
      <c r="L644" s="73">
        <v>0</v>
      </c>
      <c r="M644" s="73">
        <v>0</v>
      </c>
      <c r="N644" s="100">
        <v>0</v>
      </c>
      <c r="O644" s="79" t="e">
        <f t="shared" si="192"/>
        <v>#DIV/0!</v>
      </c>
      <c r="P644" s="80" t="e">
        <f t="shared" si="154"/>
        <v>#DIV/0!</v>
      </c>
      <c r="Q644" s="79">
        <f t="shared" si="155"/>
        <v>0</v>
      </c>
      <c r="R644" s="81">
        <f t="shared" si="156"/>
        <v>0</v>
      </c>
      <c r="S644" s="101">
        <f t="shared" si="191"/>
        <v>219.8</v>
      </c>
      <c r="T644" s="83" t="e">
        <f t="shared" si="157"/>
        <v>#DIV/0!</v>
      </c>
      <c r="U644" s="135"/>
      <c r="V644" s="135"/>
      <c r="W644" s="135"/>
      <c r="X644" s="135"/>
      <c r="Y644" s="136"/>
      <c r="Z644" s="50"/>
      <c r="AA644" s="50"/>
    </row>
    <row r="645" spans="1:27" ht="12.75" hidden="1" outlineLevel="1" x14ac:dyDescent="0.2">
      <c r="A645" s="50"/>
      <c r="B645" s="137"/>
      <c r="C645" s="70" t="s">
        <v>41</v>
      </c>
      <c r="D645" s="102">
        <v>483.95</v>
      </c>
      <c r="E645" s="298"/>
      <c r="F645" s="73">
        <v>6</v>
      </c>
      <c r="G645" s="73">
        <v>6</v>
      </c>
      <c r="H645" s="74">
        <f t="shared" si="151"/>
        <v>1</v>
      </c>
      <c r="I645" s="75">
        <f t="shared" si="152"/>
        <v>80.658333333333331</v>
      </c>
      <c r="J645" s="76">
        <f t="shared" si="153"/>
        <v>80.658333333333331</v>
      </c>
      <c r="K645" s="102">
        <v>164.44</v>
      </c>
      <c r="L645" s="73">
        <v>27147</v>
      </c>
      <c r="M645" s="73">
        <v>2</v>
      </c>
      <c r="N645" s="103">
        <v>133.97999999999999</v>
      </c>
      <c r="O645" s="79">
        <f t="shared" si="192"/>
        <v>1.2273473652783999</v>
      </c>
      <c r="P645" s="80">
        <f t="shared" si="154"/>
        <v>0.81476526392605197</v>
      </c>
      <c r="Q645" s="79">
        <f t="shared" si="155"/>
        <v>0.33978716809587767</v>
      </c>
      <c r="R645" s="81">
        <f t="shared" si="156"/>
        <v>0.27684678169232357</v>
      </c>
      <c r="S645" s="104">
        <f t="shared" si="191"/>
        <v>349.97</v>
      </c>
      <c r="T645" s="83">
        <f t="shared" si="157"/>
        <v>82.22</v>
      </c>
      <c r="U645" s="135"/>
      <c r="V645" s="135"/>
      <c r="W645" s="135"/>
      <c r="X645" s="135"/>
      <c r="Y645" s="136"/>
      <c r="Z645" s="50"/>
      <c r="AA645" s="50"/>
    </row>
    <row r="646" spans="1:27" ht="12.75" hidden="1" outlineLevel="1" x14ac:dyDescent="0.2">
      <c r="A646" s="50"/>
      <c r="B646" s="137"/>
      <c r="C646" s="70" t="s">
        <v>42</v>
      </c>
      <c r="D646" s="90">
        <v>9.9499999999999993</v>
      </c>
      <c r="E646" s="298"/>
      <c r="F646" s="73">
        <v>1</v>
      </c>
      <c r="G646" s="73">
        <v>1</v>
      </c>
      <c r="H646" s="74">
        <f t="shared" si="151"/>
        <v>1</v>
      </c>
      <c r="I646" s="75">
        <f t="shared" si="152"/>
        <v>9.9499999999999993</v>
      </c>
      <c r="J646" s="76">
        <f t="shared" si="153"/>
        <v>9.9499999999999993</v>
      </c>
      <c r="K646" s="90">
        <v>0</v>
      </c>
      <c r="L646" s="73">
        <v>0</v>
      </c>
      <c r="M646" s="73">
        <v>0</v>
      </c>
      <c r="N646" s="91">
        <v>0</v>
      </c>
      <c r="O646" s="79" t="e">
        <f t="shared" si="192"/>
        <v>#DIV/0!</v>
      </c>
      <c r="P646" s="80" t="e">
        <f t="shared" si="154"/>
        <v>#DIV/0!</v>
      </c>
      <c r="Q646" s="79">
        <f t="shared" si="155"/>
        <v>0</v>
      </c>
      <c r="R646" s="81">
        <f t="shared" si="156"/>
        <v>0</v>
      </c>
      <c r="S646" s="92">
        <f t="shared" si="191"/>
        <v>9.9499999999999993</v>
      </c>
      <c r="T646" s="83" t="e">
        <f t="shared" si="157"/>
        <v>#DIV/0!</v>
      </c>
      <c r="U646" s="135"/>
      <c r="V646" s="135"/>
      <c r="W646" s="135"/>
      <c r="X646" s="135"/>
      <c r="Y646" s="136"/>
      <c r="Z646" s="50"/>
      <c r="AA646" s="50"/>
    </row>
    <row r="647" spans="1:27" ht="12.75" hidden="1" outlineLevel="1" x14ac:dyDescent="0.2">
      <c r="A647" s="50"/>
      <c r="B647" s="137"/>
      <c r="C647" s="70" t="s">
        <v>43</v>
      </c>
      <c r="D647" s="105">
        <v>169.95</v>
      </c>
      <c r="E647" s="298"/>
      <c r="F647" s="73">
        <v>1</v>
      </c>
      <c r="G647" s="73">
        <v>1</v>
      </c>
      <c r="H647" s="74">
        <f t="shared" si="151"/>
        <v>1</v>
      </c>
      <c r="I647" s="75">
        <f t="shared" si="152"/>
        <v>169.95</v>
      </c>
      <c r="J647" s="76">
        <f t="shared" si="153"/>
        <v>169.95</v>
      </c>
      <c r="K647" s="105">
        <v>44.76</v>
      </c>
      <c r="L647" s="73">
        <v>13817</v>
      </c>
      <c r="M647" s="73">
        <v>0</v>
      </c>
      <c r="N647" s="106">
        <v>0</v>
      </c>
      <c r="O647" s="79" t="e">
        <f t="shared" si="192"/>
        <v>#DIV/0!</v>
      </c>
      <c r="P647" s="80">
        <f t="shared" si="154"/>
        <v>0</v>
      </c>
      <c r="Q647" s="79">
        <f t="shared" si="155"/>
        <v>0.26337157987643423</v>
      </c>
      <c r="R647" s="81">
        <f t="shared" si="156"/>
        <v>0</v>
      </c>
      <c r="S647" s="107">
        <f t="shared" si="191"/>
        <v>169.95</v>
      </c>
      <c r="T647" s="83" t="e">
        <f t="shared" si="157"/>
        <v>#DIV/0!</v>
      </c>
      <c r="U647" s="135"/>
      <c r="V647" s="135"/>
      <c r="W647" s="135"/>
      <c r="X647" s="135"/>
      <c r="Y647" s="136"/>
      <c r="Z647" s="50"/>
      <c r="AA647" s="50"/>
    </row>
    <row r="648" spans="1:27" ht="12.75" hidden="1" outlineLevel="1" x14ac:dyDescent="0.2">
      <c r="A648" s="50"/>
      <c r="B648" s="137"/>
      <c r="C648" s="70" t="s">
        <v>44</v>
      </c>
      <c r="D648" s="108">
        <v>404.55</v>
      </c>
      <c r="E648" s="298"/>
      <c r="F648" s="73">
        <v>9</v>
      </c>
      <c r="G648" s="73">
        <v>9</v>
      </c>
      <c r="H648" s="74">
        <f t="shared" si="151"/>
        <v>1</v>
      </c>
      <c r="I648" s="75">
        <f t="shared" si="152"/>
        <v>44.95</v>
      </c>
      <c r="J648" s="76">
        <f t="shared" si="153"/>
        <v>44.95</v>
      </c>
      <c r="K648" s="108">
        <v>111.88</v>
      </c>
      <c r="L648" s="73">
        <v>67224</v>
      </c>
      <c r="M648" s="73">
        <v>6</v>
      </c>
      <c r="N648" s="109">
        <v>269.7</v>
      </c>
      <c r="O648" s="79">
        <f t="shared" si="192"/>
        <v>0.41483129403040414</v>
      </c>
      <c r="P648" s="80">
        <f t="shared" si="154"/>
        <v>2.4106185198426884</v>
      </c>
      <c r="Q648" s="79">
        <f t="shared" si="155"/>
        <v>0.27655419602026943</v>
      </c>
      <c r="R648" s="81">
        <f t="shared" si="156"/>
        <v>0.66666666666666663</v>
      </c>
      <c r="S648" s="110">
        <f t="shared" si="191"/>
        <v>134.85000000000002</v>
      </c>
      <c r="T648" s="83">
        <f t="shared" si="157"/>
        <v>18.646666666666665</v>
      </c>
      <c r="U648" s="135"/>
      <c r="V648" s="135"/>
      <c r="W648" s="135"/>
      <c r="X648" s="135"/>
      <c r="Y648" s="136"/>
      <c r="Z648" s="50"/>
      <c r="AA648" s="50"/>
    </row>
    <row r="649" spans="1:27" ht="12.75" hidden="1" outlineLevel="1" x14ac:dyDescent="0.2">
      <c r="A649" s="139"/>
      <c r="B649" s="137"/>
      <c r="C649" s="112" t="s">
        <v>45</v>
      </c>
      <c r="D649" s="71">
        <v>59.9</v>
      </c>
      <c r="E649" s="298"/>
      <c r="F649" s="73">
        <v>2</v>
      </c>
      <c r="G649" s="73">
        <v>1</v>
      </c>
      <c r="H649" s="74">
        <f t="shared" si="151"/>
        <v>2</v>
      </c>
      <c r="I649" s="75">
        <f t="shared" si="152"/>
        <v>29.95</v>
      </c>
      <c r="J649" s="76">
        <f t="shared" si="153"/>
        <v>14.975</v>
      </c>
      <c r="K649" s="71">
        <v>0</v>
      </c>
      <c r="L649" s="73">
        <v>0</v>
      </c>
      <c r="M649" s="73">
        <v>0</v>
      </c>
      <c r="N649" s="78">
        <v>0</v>
      </c>
      <c r="O649" s="79" t="e">
        <f t="shared" si="192"/>
        <v>#DIV/0!</v>
      </c>
      <c r="P649" s="80" t="e">
        <f t="shared" si="154"/>
        <v>#DIV/0!</v>
      </c>
      <c r="Q649" s="79">
        <f t="shared" si="155"/>
        <v>0</v>
      </c>
      <c r="R649" s="81">
        <f t="shared" si="156"/>
        <v>0</v>
      </c>
      <c r="S649" s="82">
        <f t="shared" si="191"/>
        <v>59.9</v>
      </c>
      <c r="T649" s="83" t="e">
        <f t="shared" si="157"/>
        <v>#DIV/0!</v>
      </c>
      <c r="U649" s="140"/>
      <c r="V649" s="140"/>
      <c r="W649" s="140"/>
      <c r="X649" s="141"/>
      <c r="Y649" s="142"/>
      <c r="Z649" s="50"/>
      <c r="AA649" s="50"/>
    </row>
    <row r="650" spans="1:27" ht="12.75" hidden="1" outlineLevel="1" x14ac:dyDescent="0.2">
      <c r="A650" s="50"/>
      <c r="B650" s="137"/>
      <c r="C650" s="70" t="s">
        <v>46</v>
      </c>
      <c r="D650" s="116">
        <v>351.6</v>
      </c>
      <c r="E650" s="298"/>
      <c r="F650" s="73">
        <v>8</v>
      </c>
      <c r="G650" s="73">
        <v>7</v>
      </c>
      <c r="H650" s="74">
        <f t="shared" si="151"/>
        <v>1.1428571428571428</v>
      </c>
      <c r="I650" s="75">
        <f t="shared" si="152"/>
        <v>43.95</v>
      </c>
      <c r="J650" s="76">
        <f t="shared" si="153"/>
        <v>38.456250000000004</v>
      </c>
      <c r="K650" s="116">
        <v>103.37</v>
      </c>
      <c r="L650" s="73">
        <v>27901</v>
      </c>
      <c r="M650" s="73">
        <v>4</v>
      </c>
      <c r="N650" s="117">
        <v>177.8</v>
      </c>
      <c r="O650" s="79">
        <f t="shared" si="192"/>
        <v>0.58138357705286836</v>
      </c>
      <c r="P650" s="80">
        <f t="shared" si="154"/>
        <v>1.7200348263519396</v>
      </c>
      <c r="Q650" s="79">
        <f t="shared" si="155"/>
        <v>0.29399886234357225</v>
      </c>
      <c r="R650" s="81">
        <f t="shared" si="156"/>
        <v>0.50568828213879413</v>
      </c>
      <c r="S650" s="82">
        <f t="shared" si="191"/>
        <v>173.8</v>
      </c>
      <c r="T650" s="83">
        <f t="shared" si="157"/>
        <v>25.842500000000001</v>
      </c>
      <c r="U650" s="135"/>
      <c r="V650" s="135"/>
      <c r="W650" s="135"/>
      <c r="X650" s="135"/>
      <c r="Y650" s="136"/>
      <c r="Z650" s="50"/>
      <c r="AA650" s="50"/>
    </row>
    <row r="651" spans="1:27" ht="12.75" hidden="1" outlineLevel="1" x14ac:dyDescent="0.2">
      <c r="A651" s="118" t="str">
        <f t="shared" ref="A651:A652" si="193">IFERROR(IF(B651&gt;0,MONTH(B651)&amp;"-"&amp;YEAR(B651),B651),)</f>
        <v>8-2025</v>
      </c>
      <c r="B651" s="69">
        <v>45892</v>
      </c>
      <c r="C651" s="70" t="s">
        <v>49</v>
      </c>
      <c r="D651" s="116">
        <v>0</v>
      </c>
      <c r="E651" s="298"/>
      <c r="F651" s="73">
        <v>0</v>
      </c>
      <c r="G651" s="73">
        <v>0</v>
      </c>
      <c r="H651" s="74" t="e">
        <f t="shared" si="151"/>
        <v>#DIV/0!</v>
      </c>
      <c r="I651" s="75" t="e">
        <f t="shared" si="152"/>
        <v>#DIV/0!</v>
      </c>
      <c r="J651" s="76" t="e">
        <f t="shared" si="153"/>
        <v>#DIV/0!</v>
      </c>
      <c r="K651" s="116">
        <v>7.49</v>
      </c>
      <c r="L651" s="73">
        <v>10124</v>
      </c>
      <c r="M651" s="73">
        <v>0</v>
      </c>
      <c r="N651" s="117">
        <v>0</v>
      </c>
      <c r="O651" s="79" t="e">
        <f t="shared" si="192"/>
        <v>#DIV/0!</v>
      </c>
      <c r="P651" s="80">
        <f t="shared" si="154"/>
        <v>0</v>
      </c>
      <c r="Q651" s="79" t="e">
        <f t="shared" si="155"/>
        <v>#DIV/0!</v>
      </c>
      <c r="R651" s="81" t="e">
        <f t="shared" si="156"/>
        <v>#DIV/0!</v>
      </c>
      <c r="S651" s="82">
        <f t="shared" si="191"/>
        <v>0</v>
      </c>
      <c r="T651" s="83" t="e">
        <f t="shared" si="157"/>
        <v>#DIV/0!</v>
      </c>
      <c r="U651" s="135"/>
      <c r="V651" s="135"/>
      <c r="W651" s="135"/>
      <c r="X651" s="135"/>
      <c r="Y651" s="136"/>
      <c r="Z651" s="50"/>
      <c r="AA651" s="50"/>
    </row>
    <row r="652" spans="1:27" ht="12.75" collapsed="1" x14ac:dyDescent="0.2">
      <c r="A652" s="50">
        <f t="shared" si="193"/>
        <v>0</v>
      </c>
      <c r="B652" s="52" t="s">
        <v>92</v>
      </c>
      <c r="C652" s="145"/>
      <c r="D652" s="121">
        <f>SUM(D637:D651)</f>
        <v>14552.51</v>
      </c>
      <c r="E652" s="297"/>
      <c r="F652" s="123">
        <f t="shared" ref="F652:G652" si="194">SUM(F637:F651)</f>
        <v>147</v>
      </c>
      <c r="G652" s="123">
        <f t="shared" si="194"/>
        <v>133</v>
      </c>
      <c r="H652" s="124">
        <f t="shared" si="151"/>
        <v>1.1052631578947369</v>
      </c>
      <c r="I652" s="125">
        <f t="shared" si="152"/>
        <v>98.99666666666667</v>
      </c>
      <c r="J652" s="126">
        <f t="shared" si="153"/>
        <v>89.568412698412686</v>
      </c>
      <c r="K652" s="121">
        <f t="shared" ref="K652:N652" si="195">SUM(K637:K651)</f>
        <v>2984.25</v>
      </c>
      <c r="L652" s="123">
        <f t="shared" si="195"/>
        <v>571346</v>
      </c>
      <c r="M652" s="123">
        <f t="shared" si="195"/>
        <v>35</v>
      </c>
      <c r="N652" s="127">
        <f t="shared" si="195"/>
        <v>3556.48</v>
      </c>
      <c r="O652" s="128">
        <f t="shared" si="192"/>
        <v>0.83910214594205501</v>
      </c>
      <c r="P652" s="129">
        <f t="shared" si="154"/>
        <v>1.1917500209432856</v>
      </c>
      <c r="Q652" s="128">
        <f t="shared" si="155"/>
        <v>0.20506771684059999</v>
      </c>
      <c r="R652" s="130">
        <f t="shared" si="156"/>
        <v>0.2443894558395768</v>
      </c>
      <c r="S652" s="131">
        <f>SUM(S637:S651)</f>
        <v>10996.029999999999</v>
      </c>
      <c r="T652" s="132">
        <f t="shared" si="157"/>
        <v>85.26428571428572</v>
      </c>
      <c r="U652" s="133">
        <f>IFERROR((D652-D246)/D652,)</f>
        <v>0.47903694963961557</v>
      </c>
      <c r="V652" s="133">
        <f>IFERROR((F652-F246)/F652,)</f>
        <v>0.36054421768707484</v>
      </c>
      <c r="W652" s="271">
        <f>IFERROR((D652-[1]monthly_reporting_2021!E443)/D652, )</f>
        <v>0</v>
      </c>
      <c r="X652" s="271">
        <f>IFERROR((F652-[1]monthly_reporting_2021!F443)/F652, )</f>
        <v>0</v>
      </c>
      <c r="Y652" s="50"/>
      <c r="Z652" s="50"/>
      <c r="AA652" s="50"/>
    </row>
    <row r="653" spans="1:27" ht="12.75" hidden="1" outlineLevel="1" x14ac:dyDescent="0.2">
      <c r="A653" s="50"/>
      <c r="B653" s="69">
        <v>45893</v>
      </c>
      <c r="C653" s="70" t="s">
        <v>32</v>
      </c>
      <c r="D653" s="71">
        <v>17865.38</v>
      </c>
      <c r="E653" s="298"/>
      <c r="F653" s="73">
        <v>62</v>
      </c>
      <c r="G653" s="73">
        <v>60</v>
      </c>
      <c r="H653" s="74">
        <f t="shared" si="151"/>
        <v>1.0333333333333334</v>
      </c>
      <c r="I653" s="75">
        <f t="shared" si="152"/>
        <v>288.15129032258068</v>
      </c>
      <c r="J653" s="76">
        <f t="shared" si="153"/>
        <v>278.85608740894901</v>
      </c>
      <c r="K653" s="77">
        <v>1362.71</v>
      </c>
      <c r="L653" s="73">
        <v>227967</v>
      </c>
      <c r="M653" s="73">
        <v>3</v>
      </c>
      <c r="N653" s="78">
        <v>1381.6</v>
      </c>
      <c r="O653" s="79">
        <f t="shared" si="192"/>
        <v>0.98632744643891146</v>
      </c>
      <c r="P653" s="80">
        <f t="shared" si="154"/>
        <v>1.0138620836421541</v>
      </c>
      <c r="Q653" s="79">
        <f t="shared" si="155"/>
        <v>7.6276575141418765E-2</v>
      </c>
      <c r="R653" s="81">
        <f t="shared" si="156"/>
        <v>7.733392740596616E-2</v>
      </c>
      <c r="S653" s="82">
        <f t="shared" ref="S653:S667" si="196">D653-N653</f>
        <v>16483.780000000002</v>
      </c>
      <c r="T653" s="83">
        <f t="shared" si="157"/>
        <v>454.23666666666668</v>
      </c>
      <c r="U653" s="135"/>
      <c r="V653" s="135"/>
      <c r="W653" s="135"/>
      <c r="X653" s="135"/>
      <c r="Y653" s="136"/>
      <c r="Z653" s="50"/>
      <c r="AA653" s="50"/>
    </row>
    <row r="654" spans="1:27" ht="12.75" hidden="1" outlineLevel="1" x14ac:dyDescent="0.2">
      <c r="A654" s="50"/>
      <c r="B654" s="137"/>
      <c r="C654" s="70" t="s">
        <v>33</v>
      </c>
      <c r="D654" s="87">
        <v>21043.59</v>
      </c>
      <c r="E654" s="298"/>
      <c r="F654" s="73">
        <v>261</v>
      </c>
      <c r="G654" s="73">
        <v>242</v>
      </c>
      <c r="H654" s="74">
        <f t="shared" si="151"/>
        <v>1.0785123966942149</v>
      </c>
      <c r="I654" s="75">
        <f t="shared" si="152"/>
        <v>80.626781609195405</v>
      </c>
      <c r="J654" s="76">
        <f t="shared" si="153"/>
        <v>74.757399039943621</v>
      </c>
      <c r="K654" s="87">
        <v>457.07</v>
      </c>
      <c r="L654" s="73">
        <v>129310</v>
      </c>
      <c r="M654" s="73">
        <v>7</v>
      </c>
      <c r="N654" s="88">
        <v>674.8</v>
      </c>
      <c r="O654" s="79">
        <f t="shared" si="192"/>
        <v>0.67734143449911088</v>
      </c>
      <c r="P654" s="80">
        <f t="shared" si="154"/>
        <v>1.4763602949220032</v>
      </c>
      <c r="Q654" s="79">
        <f t="shared" si="155"/>
        <v>2.1720153262822551E-2</v>
      </c>
      <c r="R654" s="81">
        <f t="shared" si="156"/>
        <v>3.2066771876851807E-2</v>
      </c>
      <c r="S654" s="89">
        <f t="shared" si="196"/>
        <v>20368.79</v>
      </c>
      <c r="T654" s="83">
        <f t="shared" si="157"/>
        <v>65.295714285714283</v>
      </c>
      <c r="U654" s="135"/>
      <c r="V654" s="135"/>
      <c r="W654" s="135"/>
      <c r="X654" s="135"/>
      <c r="Y654" s="136"/>
      <c r="Z654" s="50"/>
      <c r="AA654" s="50"/>
    </row>
    <row r="655" spans="1:27" ht="12.75" hidden="1" outlineLevel="1" x14ac:dyDescent="0.2">
      <c r="A655" s="50"/>
      <c r="B655" s="137"/>
      <c r="C655" s="70" t="s">
        <v>34</v>
      </c>
      <c r="D655" s="90">
        <v>769.45</v>
      </c>
      <c r="E655" s="298"/>
      <c r="F655" s="73">
        <v>11</v>
      </c>
      <c r="G655" s="73">
        <v>10</v>
      </c>
      <c r="H655" s="74">
        <f t="shared" si="151"/>
        <v>1.1000000000000001</v>
      </c>
      <c r="I655" s="75">
        <f t="shared" si="152"/>
        <v>69.95</v>
      </c>
      <c r="J655" s="76">
        <f t="shared" si="153"/>
        <v>63.590909090909086</v>
      </c>
      <c r="K655" s="90">
        <v>0</v>
      </c>
      <c r="L655" s="73">
        <v>235</v>
      </c>
      <c r="M655" s="73">
        <v>0</v>
      </c>
      <c r="N655" s="91">
        <v>0</v>
      </c>
      <c r="O655" s="79" t="e">
        <f>(K655/N655)</f>
        <v>#DIV/0!</v>
      </c>
      <c r="P655" s="80" t="e">
        <f t="shared" si="154"/>
        <v>#DIV/0!</v>
      </c>
      <c r="Q655" s="79">
        <f t="shared" si="155"/>
        <v>0</v>
      </c>
      <c r="R655" s="81">
        <f t="shared" si="156"/>
        <v>0</v>
      </c>
      <c r="S655" s="92">
        <f t="shared" si="196"/>
        <v>769.45</v>
      </c>
      <c r="T655" s="83" t="e">
        <f t="shared" si="157"/>
        <v>#DIV/0!</v>
      </c>
      <c r="U655" s="135"/>
      <c r="V655" s="135"/>
      <c r="W655" s="135"/>
      <c r="X655" s="135"/>
      <c r="Y655" s="136"/>
      <c r="Z655" s="50"/>
      <c r="AA655" s="50"/>
    </row>
    <row r="656" spans="1:27" ht="12.75" hidden="1" outlineLevel="1" x14ac:dyDescent="0.2">
      <c r="A656" s="50"/>
      <c r="B656" s="137"/>
      <c r="C656" s="70" t="s">
        <v>35</v>
      </c>
      <c r="D656" s="90">
        <v>2778.7</v>
      </c>
      <c r="E656" s="298"/>
      <c r="F656" s="73">
        <v>46</v>
      </c>
      <c r="G656" s="73">
        <v>36</v>
      </c>
      <c r="H656" s="74">
        <f t="shared" si="151"/>
        <v>1.2777777777777777</v>
      </c>
      <c r="I656" s="75">
        <f t="shared" si="152"/>
        <v>60.406521739130433</v>
      </c>
      <c r="J656" s="76">
        <f t="shared" si="153"/>
        <v>47.274669187145562</v>
      </c>
      <c r="K656" s="90">
        <v>193.28</v>
      </c>
      <c r="L656" s="73">
        <v>22281</v>
      </c>
      <c r="M656" s="73">
        <v>0</v>
      </c>
      <c r="N656" s="91">
        <v>0</v>
      </c>
      <c r="O656" s="79" t="e">
        <f t="shared" ref="O656:O670" si="197">K656/N656</f>
        <v>#DIV/0!</v>
      </c>
      <c r="P656" s="80">
        <f t="shared" si="154"/>
        <v>0</v>
      </c>
      <c r="Q656" s="79">
        <f t="shared" si="155"/>
        <v>6.9557706841328684E-2</v>
      </c>
      <c r="R656" s="81">
        <f t="shared" si="156"/>
        <v>0</v>
      </c>
      <c r="S656" s="92">
        <f t="shared" si="196"/>
        <v>2778.7</v>
      </c>
      <c r="T656" s="83" t="e">
        <f t="shared" si="157"/>
        <v>#DIV/0!</v>
      </c>
      <c r="U656" s="135"/>
      <c r="V656" s="135"/>
      <c r="W656" s="135"/>
      <c r="X656" s="135"/>
      <c r="Y656" s="136"/>
      <c r="Z656" s="50"/>
      <c r="AA656" s="50"/>
    </row>
    <row r="657" spans="1:27" ht="12.75" hidden="1" outlineLevel="1" x14ac:dyDescent="0.2">
      <c r="A657" s="50"/>
      <c r="B657" s="137"/>
      <c r="C657" s="70" t="s">
        <v>36</v>
      </c>
      <c r="D657" s="90">
        <v>1199.05</v>
      </c>
      <c r="E657" s="298"/>
      <c r="F657" s="73">
        <v>19</v>
      </c>
      <c r="G657" s="73">
        <v>21</v>
      </c>
      <c r="H657" s="74">
        <f t="shared" si="151"/>
        <v>0.90476190476190477</v>
      </c>
      <c r="I657" s="75">
        <f t="shared" si="152"/>
        <v>63.107894736842105</v>
      </c>
      <c r="J657" s="76">
        <f t="shared" si="153"/>
        <v>69.750831024930747</v>
      </c>
      <c r="K657" s="90">
        <v>120.59</v>
      </c>
      <c r="L657" s="73">
        <v>21886</v>
      </c>
      <c r="M657" s="73">
        <v>2</v>
      </c>
      <c r="N657" s="91">
        <v>139.9</v>
      </c>
      <c r="O657" s="79">
        <f t="shared" si="197"/>
        <v>0.86197283774124378</v>
      </c>
      <c r="P657" s="80">
        <f t="shared" si="154"/>
        <v>1.1601293639605275</v>
      </c>
      <c r="Q657" s="79">
        <f t="shared" si="155"/>
        <v>0.10057128560110087</v>
      </c>
      <c r="R657" s="81">
        <f t="shared" si="156"/>
        <v>0.11667570159709771</v>
      </c>
      <c r="S657" s="92">
        <f t="shared" si="196"/>
        <v>1059.1499999999999</v>
      </c>
      <c r="T657" s="83">
        <f t="shared" si="157"/>
        <v>60.295000000000002</v>
      </c>
      <c r="U657" s="135"/>
      <c r="V657" s="135"/>
      <c r="W657" s="135"/>
      <c r="X657" s="135"/>
      <c r="Y657" s="136"/>
      <c r="Z657" s="50"/>
      <c r="AA657" s="50"/>
    </row>
    <row r="658" spans="1:27" ht="12.75" hidden="1" outlineLevel="1" x14ac:dyDescent="0.2">
      <c r="A658" s="50"/>
      <c r="B658" s="69" t="s">
        <v>37</v>
      </c>
      <c r="C658" s="70" t="s">
        <v>38</v>
      </c>
      <c r="D658" s="93">
        <v>254.7</v>
      </c>
      <c r="E658" s="298"/>
      <c r="F658" s="73">
        <v>6</v>
      </c>
      <c r="G658" s="73">
        <v>5</v>
      </c>
      <c r="H658" s="74">
        <f t="shared" si="151"/>
        <v>1.2</v>
      </c>
      <c r="I658" s="75">
        <f t="shared" si="152"/>
        <v>42.449999999999996</v>
      </c>
      <c r="J658" s="76">
        <f t="shared" si="153"/>
        <v>35.375</v>
      </c>
      <c r="K658" s="93">
        <v>35.770000000000003</v>
      </c>
      <c r="L658" s="73">
        <v>15412</v>
      </c>
      <c r="M658" s="73">
        <v>0</v>
      </c>
      <c r="N658" s="94">
        <v>0</v>
      </c>
      <c r="O658" s="79" t="e">
        <f t="shared" si="197"/>
        <v>#DIV/0!</v>
      </c>
      <c r="P658" s="80">
        <f t="shared" si="154"/>
        <v>0</v>
      </c>
      <c r="Q658" s="79">
        <f t="shared" si="155"/>
        <v>0.14043973301923834</v>
      </c>
      <c r="R658" s="81">
        <f t="shared" si="156"/>
        <v>0</v>
      </c>
      <c r="S658" s="95">
        <f t="shared" si="196"/>
        <v>254.7</v>
      </c>
      <c r="T658" s="83" t="e">
        <f t="shared" si="157"/>
        <v>#DIV/0!</v>
      </c>
      <c r="U658" s="135"/>
      <c r="V658" s="135"/>
      <c r="W658" s="135"/>
      <c r="X658" s="135"/>
      <c r="Y658" s="136"/>
      <c r="Z658" s="50"/>
      <c r="AA658" s="50"/>
    </row>
    <row r="659" spans="1:27" ht="12.75" hidden="1" outlineLevel="1" x14ac:dyDescent="0.2">
      <c r="A659" s="50"/>
      <c r="B659" s="137"/>
      <c r="C659" s="70" t="s">
        <v>39</v>
      </c>
      <c r="D659" s="96">
        <v>74.849999999999994</v>
      </c>
      <c r="E659" s="298"/>
      <c r="F659" s="73">
        <v>3</v>
      </c>
      <c r="G659" s="73">
        <v>3</v>
      </c>
      <c r="H659" s="74">
        <f t="shared" si="151"/>
        <v>1</v>
      </c>
      <c r="I659" s="75">
        <f t="shared" si="152"/>
        <v>24.95</v>
      </c>
      <c r="J659" s="76">
        <f t="shared" si="153"/>
        <v>24.95</v>
      </c>
      <c r="K659" s="96">
        <v>0</v>
      </c>
      <c r="L659" s="73">
        <v>0</v>
      </c>
      <c r="M659" s="73">
        <v>0</v>
      </c>
      <c r="N659" s="97">
        <v>0</v>
      </c>
      <c r="O659" s="79" t="e">
        <f t="shared" si="197"/>
        <v>#DIV/0!</v>
      </c>
      <c r="P659" s="80" t="e">
        <f t="shared" si="154"/>
        <v>#DIV/0!</v>
      </c>
      <c r="Q659" s="79">
        <f t="shared" si="155"/>
        <v>0</v>
      </c>
      <c r="R659" s="81">
        <f t="shared" si="156"/>
        <v>0</v>
      </c>
      <c r="S659" s="98">
        <f t="shared" si="196"/>
        <v>74.849999999999994</v>
      </c>
      <c r="T659" s="83" t="e">
        <f t="shared" si="157"/>
        <v>#DIV/0!</v>
      </c>
      <c r="U659" s="135"/>
      <c r="V659" s="135"/>
      <c r="W659" s="135"/>
      <c r="X659" s="135"/>
      <c r="Y659" s="136"/>
      <c r="Z659" s="50"/>
      <c r="AA659" s="50"/>
    </row>
    <row r="660" spans="1:27" ht="12.75" hidden="1" outlineLevel="1" x14ac:dyDescent="0.2">
      <c r="A660" s="50"/>
      <c r="B660" s="137"/>
      <c r="C660" s="70" t="s">
        <v>40</v>
      </c>
      <c r="D660" s="99">
        <v>1593.55</v>
      </c>
      <c r="E660" s="298"/>
      <c r="F660" s="73">
        <v>29</v>
      </c>
      <c r="G660" s="73">
        <v>17</v>
      </c>
      <c r="H660" s="74">
        <f t="shared" si="151"/>
        <v>1.7058823529411764</v>
      </c>
      <c r="I660" s="75">
        <f t="shared" si="152"/>
        <v>54.949999999999996</v>
      </c>
      <c r="J660" s="76">
        <f t="shared" si="153"/>
        <v>32.21206896551724</v>
      </c>
      <c r="K660" s="99">
        <v>0</v>
      </c>
      <c r="L660" s="73">
        <v>0</v>
      </c>
      <c r="M660" s="73">
        <v>0</v>
      </c>
      <c r="N660" s="100">
        <v>0</v>
      </c>
      <c r="O660" s="79" t="e">
        <f t="shared" si="197"/>
        <v>#DIV/0!</v>
      </c>
      <c r="P660" s="80" t="e">
        <f t="shared" si="154"/>
        <v>#DIV/0!</v>
      </c>
      <c r="Q660" s="79">
        <f t="shared" si="155"/>
        <v>0</v>
      </c>
      <c r="R660" s="81">
        <f t="shared" si="156"/>
        <v>0</v>
      </c>
      <c r="S660" s="101">
        <f t="shared" si="196"/>
        <v>1593.55</v>
      </c>
      <c r="T660" s="83" t="e">
        <f t="shared" si="157"/>
        <v>#DIV/0!</v>
      </c>
      <c r="U660" s="135"/>
      <c r="V660" s="135"/>
      <c r="W660" s="135"/>
      <c r="X660" s="135"/>
      <c r="Y660" s="136"/>
      <c r="Z660" s="50"/>
      <c r="AA660" s="50"/>
    </row>
    <row r="661" spans="1:27" ht="12.75" hidden="1" outlineLevel="1" x14ac:dyDescent="0.2">
      <c r="A661" s="50"/>
      <c r="B661" s="137"/>
      <c r="C661" s="70" t="s">
        <v>41</v>
      </c>
      <c r="D661" s="102">
        <v>4412.82</v>
      </c>
      <c r="E661" s="298"/>
      <c r="F661" s="73">
        <v>46</v>
      </c>
      <c r="G661" s="73">
        <v>44</v>
      </c>
      <c r="H661" s="74">
        <f t="shared" si="151"/>
        <v>1.0454545454545454</v>
      </c>
      <c r="I661" s="75">
        <f t="shared" si="152"/>
        <v>95.930869565217378</v>
      </c>
      <c r="J661" s="76">
        <f t="shared" si="153"/>
        <v>91.75996219281663</v>
      </c>
      <c r="K661" s="102">
        <v>253.99</v>
      </c>
      <c r="L661" s="73">
        <v>26721</v>
      </c>
      <c r="M661" s="73">
        <v>5</v>
      </c>
      <c r="N661" s="103">
        <v>188.97</v>
      </c>
      <c r="O661" s="79">
        <f t="shared" si="197"/>
        <v>1.3440757792242155</v>
      </c>
      <c r="P661" s="80">
        <f t="shared" si="154"/>
        <v>0.74400566951454783</v>
      </c>
      <c r="Q661" s="79">
        <f t="shared" si="155"/>
        <v>5.755729896075526E-2</v>
      </c>
      <c r="R661" s="81">
        <f t="shared" si="156"/>
        <v>4.28229567487457E-2</v>
      </c>
      <c r="S661" s="104">
        <f t="shared" si="196"/>
        <v>4223.8499999999995</v>
      </c>
      <c r="T661" s="83">
        <f t="shared" si="157"/>
        <v>50.798000000000002</v>
      </c>
      <c r="U661" s="135"/>
      <c r="V661" s="135"/>
      <c r="W661" s="135"/>
      <c r="X661" s="135"/>
      <c r="Y661" s="136"/>
      <c r="Z661" s="50"/>
      <c r="AA661" s="50"/>
    </row>
    <row r="662" spans="1:27" ht="12.75" hidden="1" outlineLevel="1" x14ac:dyDescent="0.2">
      <c r="A662" s="50"/>
      <c r="B662" s="137"/>
      <c r="C662" s="70" t="s">
        <v>42</v>
      </c>
      <c r="D662" s="90">
        <v>-0.09</v>
      </c>
      <c r="E662" s="298"/>
      <c r="F662" s="73">
        <v>1</v>
      </c>
      <c r="G662" s="73">
        <v>2</v>
      </c>
      <c r="H662" s="74">
        <f t="shared" si="151"/>
        <v>0.5</v>
      </c>
      <c r="I662" s="75">
        <f t="shared" si="152"/>
        <v>-0.09</v>
      </c>
      <c r="J662" s="76">
        <f t="shared" si="153"/>
        <v>-0.18</v>
      </c>
      <c r="K662" s="90">
        <v>0</v>
      </c>
      <c r="L662" s="73">
        <v>0</v>
      </c>
      <c r="M662" s="73">
        <v>0</v>
      </c>
      <c r="N662" s="91">
        <v>0</v>
      </c>
      <c r="O662" s="79" t="e">
        <f t="shared" si="197"/>
        <v>#DIV/0!</v>
      </c>
      <c r="P662" s="80" t="e">
        <f t="shared" si="154"/>
        <v>#DIV/0!</v>
      </c>
      <c r="Q662" s="79">
        <f t="shared" si="155"/>
        <v>0</v>
      </c>
      <c r="R662" s="81">
        <f t="shared" si="156"/>
        <v>0</v>
      </c>
      <c r="S662" s="92">
        <f t="shared" si="196"/>
        <v>-0.09</v>
      </c>
      <c r="T662" s="83" t="e">
        <f t="shared" si="157"/>
        <v>#DIV/0!</v>
      </c>
      <c r="U662" s="135"/>
      <c r="V662" s="135"/>
      <c r="W662" s="135"/>
      <c r="X662" s="135"/>
      <c r="Y662" s="136"/>
      <c r="Z662" s="50"/>
      <c r="AA662" s="50"/>
    </row>
    <row r="663" spans="1:27" ht="12.75" hidden="1" outlineLevel="1" x14ac:dyDescent="0.2">
      <c r="A663" s="50"/>
      <c r="B663" s="137"/>
      <c r="C663" s="70" t="s">
        <v>43</v>
      </c>
      <c r="D663" s="105">
        <v>500.75</v>
      </c>
      <c r="E663" s="298"/>
      <c r="F663" s="73">
        <v>5</v>
      </c>
      <c r="G663" s="73">
        <v>5</v>
      </c>
      <c r="H663" s="74">
        <f t="shared" si="151"/>
        <v>1</v>
      </c>
      <c r="I663" s="75">
        <f t="shared" si="152"/>
        <v>100.15</v>
      </c>
      <c r="J663" s="76">
        <f t="shared" si="153"/>
        <v>100.15</v>
      </c>
      <c r="K663" s="105">
        <v>26.68</v>
      </c>
      <c r="L663" s="73">
        <v>15003</v>
      </c>
      <c r="M663" s="73">
        <v>0</v>
      </c>
      <c r="N663" s="106">
        <v>0</v>
      </c>
      <c r="O663" s="79" t="e">
        <f t="shared" si="197"/>
        <v>#DIV/0!</v>
      </c>
      <c r="P663" s="80">
        <f t="shared" si="154"/>
        <v>0</v>
      </c>
      <c r="Q663" s="79">
        <f t="shared" si="155"/>
        <v>5.3280079880179729E-2</v>
      </c>
      <c r="R663" s="81">
        <f t="shared" si="156"/>
        <v>0</v>
      </c>
      <c r="S663" s="107">
        <f t="shared" si="196"/>
        <v>500.75</v>
      </c>
      <c r="T663" s="83" t="e">
        <f t="shared" si="157"/>
        <v>#DIV/0!</v>
      </c>
      <c r="U663" s="135"/>
      <c r="V663" s="135"/>
      <c r="W663" s="135"/>
      <c r="X663" s="135"/>
      <c r="Y663" s="136"/>
      <c r="Z663" s="50"/>
      <c r="AA663" s="50"/>
    </row>
    <row r="664" spans="1:27" ht="12.75" hidden="1" outlineLevel="1" x14ac:dyDescent="0.2">
      <c r="A664" s="50"/>
      <c r="B664" s="137"/>
      <c r="C664" s="70" t="s">
        <v>44</v>
      </c>
      <c r="D664" s="108">
        <v>1303.55</v>
      </c>
      <c r="E664" s="298"/>
      <c r="F664" s="73">
        <v>29</v>
      </c>
      <c r="G664" s="73">
        <v>31</v>
      </c>
      <c r="H664" s="74">
        <f t="shared" si="151"/>
        <v>0.93548387096774188</v>
      </c>
      <c r="I664" s="75">
        <f t="shared" si="152"/>
        <v>44.949999999999996</v>
      </c>
      <c r="J664" s="76">
        <f t="shared" si="153"/>
        <v>48.05</v>
      </c>
      <c r="K664" s="108">
        <v>149.07</v>
      </c>
      <c r="L664" s="73">
        <v>73351</v>
      </c>
      <c r="M664" s="73">
        <v>3</v>
      </c>
      <c r="N664" s="109">
        <v>134.85</v>
      </c>
      <c r="O664" s="79">
        <f t="shared" si="197"/>
        <v>1.1054505005561734</v>
      </c>
      <c r="P664" s="80">
        <f t="shared" si="154"/>
        <v>0.90460857315355203</v>
      </c>
      <c r="Q664" s="79">
        <f t="shared" si="155"/>
        <v>0.11435694833339725</v>
      </c>
      <c r="R664" s="81">
        <f t="shared" si="156"/>
        <v>0.10344827586206896</v>
      </c>
      <c r="S664" s="110">
        <f t="shared" si="196"/>
        <v>1168.7</v>
      </c>
      <c r="T664" s="83">
        <f t="shared" si="157"/>
        <v>49.69</v>
      </c>
      <c r="U664" s="135"/>
      <c r="V664" s="135"/>
      <c r="W664" s="135"/>
      <c r="X664" s="135"/>
      <c r="Y664" s="136"/>
      <c r="Z664" s="50"/>
      <c r="AA664" s="50"/>
    </row>
    <row r="665" spans="1:27" ht="12.75" hidden="1" outlineLevel="1" x14ac:dyDescent="0.2">
      <c r="A665" s="139"/>
      <c r="B665" s="137"/>
      <c r="C665" s="112" t="s">
        <v>45</v>
      </c>
      <c r="D665" s="71">
        <v>84.85</v>
      </c>
      <c r="E665" s="298"/>
      <c r="F665" s="73">
        <v>3</v>
      </c>
      <c r="G665" s="73">
        <v>2</v>
      </c>
      <c r="H665" s="74">
        <f t="shared" si="151"/>
        <v>1.5</v>
      </c>
      <c r="I665" s="75">
        <f t="shared" si="152"/>
        <v>28.283333333333331</v>
      </c>
      <c r="J665" s="76">
        <f t="shared" si="153"/>
        <v>18.855555555555554</v>
      </c>
      <c r="K665" s="71">
        <v>0</v>
      </c>
      <c r="L665" s="73">
        <v>0</v>
      </c>
      <c r="M665" s="73">
        <v>0</v>
      </c>
      <c r="N665" s="78">
        <v>0</v>
      </c>
      <c r="O665" s="79" t="e">
        <f t="shared" si="197"/>
        <v>#DIV/0!</v>
      </c>
      <c r="P665" s="80" t="e">
        <f t="shared" si="154"/>
        <v>#DIV/0!</v>
      </c>
      <c r="Q665" s="79">
        <f t="shared" si="155"/>
        <v>0</v>
      </c>
      <c r="R665" s="81">
        <f t="shared" si="156"/>
        <v>0</v>
      </c>
      <c r="S665" s="82">
        <f t="shared" si="196"/>
        <v>84.85</v>
      </c>
      <c r="T665" s="83" t="e">
        <f t="shared" si="157"/>
        <v>#DIV/0!</v>
      </c>
      <c r="U665" s="140"/>
      <c r="V665" s="140"/>
      <c r="W665" s="140"/>
      <c r="X665" s="141"/>
      <c r="Y665" s="142"/>
      <c r="Z665" s="50"/>
      <c r="AA665" s="50"/>
    </row>
    <row r="666" spans="1:27" ht="12.75" hidden="1" outlineLevel="1" x14ac:dyDescent="0.2">
      <c r="A666" s="50"/>
      <c r="B666" s="137"/>
      <c r="C666" s="70" t="s">
        <v>46</v>
      </c>
      <c r="D666" s="116">
        <v>1625.15</v>
      </c>
      <c r="E666" s="298"/>
      <c r="F666" s="73">
        <v>37</v>
      </c>
      <c r="G666" s="73">
        <v>36</v>
      </c>
      <c r="H666" s="74">
        <f t="shared" si="151"/>
        <v>1.0277777777777777</v>
      </c>
      <c r="I666" s="75">
        <f t="shared" si="152"/>
        <v>43.922972972972978</v>
      </c>
      <c r="J666" s="76">
        <f t="shared" si="153"/>
        <v>42.735865595325066</v>
      </c>
      <c r="K666" s="116">
        <v>146.27000000000001</v>
      </c>
      <c r="L666" s="73">
        <v>31773</v>
      </c>
      <c r="M666" s="73">
        <v>5</v>
      </c>
      <c r="N666" s="117">
        <v>173.8</v>
      </c>
      <c r="O666" s="79">
        <f t="shared" si="197"/>
        <v>0.84159953970080548</v>
      </c>
      <c r="P666" s="80">
        <f t="shared" si="154"/>
        <v>1.1882135776304095</v>
      </c>
      <c r="Q666" s="79">
        <f t="shared" si="155"/>
        <v>9.0003999630803314E-2</v>
      </c>
      <c r="R666" s="81">
        <f t="shared" si="156"/>
        <v>0.10694397440236286</v>
      </c>
      <c r="S666" s="82">
        <f t="shared" si="196"/>
        <v>1451.3500000000001</v>
      </c>
      <c r="T666" s="83">
        <f t="shared" si="157"/>
        <v>29.254000000000001</v>
      </c>
      <c r="U666" s="135"/>
      <c r="V666" s="135"/>
      <c r="W666" s="135"/>
      <c r="X666" s="135"/>
      <c r="Y666" s="136"/>
      <c r="Z666" s="50"/>
      <c r="AA666" s="50"/>
    </row>
    <row r="667" spans="1:27" ht="12.75" hidden="1" outlineLevel="1" x14ac:dyDescent="0.2">
      <c r="A667" s="118" t="str">
        <f t="shared" ref="A667:A668" si="198">IFERROR(IF(B667&gt;0,MONTH(B667)&amp;"-"&amp;YEAR(B667),B667),)</f>
        <v>8-2025</v>
      </c>
      <c r="B667" s="69">
        <v>45899</v>
      </c>
      <c r="C667" s="70" t="s">
        <v>49</v>
      </c>
      <c r="D667" s="116">
        <v>-439.5</v>
      </c>
      <c r="E667" s="298"/>
      <c r="F667" s="73">
        <v>-9</v>
      </c>
      <c r="G667" s="73">
        <v>1</v>
      </c>
      <c r="H667" s="74">
        <f t="shared" si="151"/>
        <v>-9</v>
      </c>
      <c r="I667" s="75">
        <f t="shared" si="152"/>
        <v>48.833333333333336</v>
      </c>
      <c r="J667" s="76">
        <f t="shared" si="153"/>
        <v>-5.4259259259259265</v>
      </c>
      <c r="K667" s="116">
        <v>2.5099999999999998</v>
      </c>
      <c r="L667" s="73">
        <v>13162</v>
      </c>
      <c r="M667" s="73">
        <v>0</v>
      </c>
      <c r="N667" s="117">
        <v>0</v>
      </c>
      <c r="O667" s="79" t="e">
        <f t="shared" si="197"/>
        <v>#DIV/0!</v>
      </c>
      <c r="P667" s="80">
        <f t="shared" si="154"/>
        <v>0</v>
      </c>
      <c r="Q667" s="79">
        <f t="shared" si="155"/>
        <v>-5.7110352673492596E-3</v>
      </c>
      <c r="R667" s="81">
        <f t="shared" si="156"/>
        <v>0</v>
      </c>
      <c r="S667" s="82">
        <f t="shared" si="196"/>
        <v>-439.5</v>
      </c>
      <c r="T667" s="83" t="e">
        <f t="shared" si="157"/>
        <v>#DIV/0!</v>
      </c>
      <c r="U667" s="135"/>
      <c r="V667" s="135"/>
      <c r="W667" s="135"/>
      <c r="X667" s="135"/>
      <c r="Y667" s="136"/>
      <c r="Z667" s="50"/>
      <c r="AA667" s="50"/>
    </row>
    <row r="668" spans="1:27" ht="12.75" collapsed="1" x14ac:dyDescent="0.2">
      <c r="A668" s="50">
        <f t="shared" si="198"/>
        <v>0</v>
      </c>
      <c r="B668" s="52" t="s">
        <v>93</v>
      </c>
      <c r="C668" s="145"/>
      <c r="D668" s="121">
        <f>SUM(D653:D667)</f>
        <v>53066.8</v>
      </c>
      <c r="E668" s="297"/>
      <c r="F668" s="123">
        <f t="shared" ref="F668:G668" si="199">SUM(F653:F667)</f>
        <v>549</v>
      </c>
      <c r="G668" s="123">
        <f t="shared" si="199"/>
        <v>515</v>
      </c>
      <c r="H668" s="124">
        <f t="shared" si="151"/>
        <v>1.0660194174757283</v>
      </c>
      <c r="I668" s="125">
        <f t="shared" si="152"/>
        <v>96.660837887067402</v>
      </c>
      <c r="J668" s="126">
        <f t="shared" si="153"/>
        <v>90.674556487868315</v>
      </c>
      <c r="K668" s="121">
        <f t="shared" ref="K668:N668" si="200">SUM(K653:K667)</f>
        <v>2747.94</v>
      </c>
      <c r="L668" s="123">
        <f t="shared" si="200"/>
        <v>577101</v>
      </c>
      <c r="M668" s="123">
        <f t="shared" si="200"/>
        <v>25</v>
      </c>
      <c r="N668" s="127">
        <f t="shared" si="200"/>
        <v>2693.9199999999996</v>
      </c>
      <c r="O668" s="128">
        <f t="shared" si="197"/>
        <v>1.0200525628081014</v>
      </c>
      <c r="P668" s="129">
        <f t="shared" si="154"/>
        <v>0.98034163773590388</v>
      </c>
      <c r="Q668" s="128">
        <f t="shared" si="155"/>
        <v>5.1782658837540609E-2</v>
      </c>
      <c r="R668" s="130">
        <f t="shared" si="156"/>
        <v>5.0764696571114133E-2</v>
      </c>
      <c r="S668" s="131">
        <f>SUM(S653:S667)</f>
        <v>50372.88</v>
      </c>
      <c r="T668" s="132">
        <f t="shared" si="157"/>
        <v>109.91760000000001</v>
      </c>
      <c r="U668" s="133">
        <f>IFERROR((D668-D246)/D668,)</f>
        <v>0.85713628860228996</v>
      </c>
      <c r="V668" s="133">
        <f>IFERROR((F668-F246)/F668,)</f>
        <v>0.82877959927140255</v>
      </c>
      <c r="W668" s="271">
        <f>IFERROR((D668-[1]monthly_reporting_2021!E459)/D668, )</f>
        <v>0</v>
      </c>
      <c r="X668" s="271">
        <f>IFERROR((F668-[1]monthly_reporting_2021!F459)/F668, )</f>
        <v>0</v>
      </c>
      <c r="Y668" s="50"/>
      <c r="Z668" s="50"/>
      <c r="AA668" s="50"/>
    </row>
    <row r="669" spans="1:27" ht="12.75" hidden="1" outlineLevel="1" x14ac:dyDescent="0.2">
      <c r="A669" s="50"/>
      <c r="B669" s="69">
        <v>45900</v>
      </c>
      <c r="C669" s="70" t="s">
        <v>32</v>
      </c>
      <c r="D669" s="71">
        <v>9451.59</v>
      </c>
      <c r="E669" s="298"/>
      <c r="F669" s="73">
        <v>33</v>
      </c>
      <c r="G669" s="73">
        <v>34</v>
      </c>
      <c r="H669" s="74">
        <f t="shared" si="151"/>
        <v>0.97058823529411764</v>
      </c>
      <c r="I669" s="75">
        <f t="shared" si="152"/>
        <v>286.41181818181821</v>
      </c>
      <c r="J669" s="76">
        <f t="shared" si="153"/>
        <v>295.09096418732787</v>
      </c>
      <c r="K669" s="77">
        <v>1146.46</v>
      </c>
      <c r="L669" s="73">
        <v>223376</v>
      </c>
      <c r="M669" s="73">
        <v>9</v>
      </c>
      <c r="N669" s="78">
        <v>3006.7</v>
      </c>
      <c r="O669" s="79">
        <f t="shared" si="197"/>
        <v>0.3813017594039978</v>
      </c>
      <c r="P669" s="80">
        <f t="shared" si="154"/>
        <v>2.622594769987614</v>
      </c>
      <c r="Q669" s="79">
        <f t="shared" si="155"/>
        <v>0.12129810963023153</v>
      </c>
      <c r="R669" s="81">
        <f t="shared" si="156"/>
        <v>0.31811578792562945</v>
      </c>
      <c r="S669" s="82">
        <f t="shared" ref="S669:S683" si="201">D669-N669</f>
        <v>6444.89</v>
      </c>
      <c r="T669" s="83">
        <f t="shared" si="157"/>
        <v>127.38444444444445</v>
      </c>
      <c r="U669" s="135"/>
      <c r="V669" s="135"/>
      <c r="W669" s="135"/>
      <c r="X669" s="135"/>
      <c r="Y669" s="136"/>
      <c r="Z669" s="50"/>
      <c r="AA669" s="50"/>
    </row>
    <row r="670" spans="1:27" ht="12.75" hidden="1" outlineLevel="1" x14ac:dyDescent="0.2">
      <c r="A670" s="50"/>
      <c r="B670" s="137"/>
      <c r="C670" s="70" t="s">
        <v>33</v>
      </c>
      <c r="D670" s="87">
        <v>6608.36</v>
      </c>
      <c r="E670" s="298"/>
      <c r="F670" s="73">
        <v>60</v>
      </c>
      <c r="G670" s="73">
        <v>62</v>
      </c>
      <c r="H670" s="74">
        <f t="shared" si="151"/>
        <v>0.967741935483871</v>
      </c>
      <c r="I670" s="75">
        <f t="shared" si="152"/>
        <v>110.13933333333333</v>
      </c>
      <c r="J670" s="76">
        <f t="shared" si="153"/>
        <v>113.81064444444443</v>
      </c>
      <c r="K670" s="87">
        <v>495.4</v>
      </c>
      <c r="L670" s="73">
        <v>124118</v>
      </c>
      <c r="M670" s="73">
        <v>17</v>
      </c>
      <c r="N670" s="88">
        <v>2863.85</v>
      </c>
      <c r="O670" s="79">
        <f t="shared" si="197"/>
        <v>0.17298392024721965</v>
      </c>
      <c r="P670" s="80">
        <f t="shared" si="154"/>
        <v>5.780884134033105</v>
      </c>
      <c r="Q670" s="79">
        <f t="shared" si="155"/>
        <v>7.4965649571149276E-2</v>
      </c>
      <c r="R670" s="81">
        <f t="shared" si="156"/>
        <v>0.43336773420334246</v>
      </c>
      <c r="S670" s="89">
        <f t="shared" si="201"/>
        <v>3744.5099999999998</v>
      </c>
      <c r="T670" s="83">
        <f t="shared" si="157"/>
        <v>29.141176470588235</v>
      </c>
      <c r="U670" s="135"/>
      <c r="V670" s="135"/>
      <c r="W670" s="135"/>
      <c r="X670" s="135"/>
      <c r="Y670" s="136"/>
      <c r="Z670" s="50"/>
      <c r="AA670" s="50"/>
    </row>
    <row r="671" spans="1:27" ht="12.75" hidden="1" outlineLevel="1" x14ac:dyDescent="0.2">
      <c r="A671" s="50"/>
      <c r="B671" s="137"/>
      <c r="C671" s="70" t="s">
        <v>34</v>
      </c>
      <c r="D671" s="90">
        <v>139.9</v>
      </c>
      <c r="E671" s="298"/>
      <c r="F671" s="73">
        <v>2</v>
      </c>
      <c r="G671" s="73">
        <v>2</v>
      </c>
      <c r="H671" s="74">
        <f t="shared" si="151"/>
        <v>1</v>
      </c>
      <c r="I671" s="75">
        <f t="shared" si="152"/>
        <v>69.95</v>
      </c>
      <c r="J671" s="76">
        <f t="shared" si="153"/>
        <v>69.95</v>
      </c>
      <c r="K671" s="90">
        <v>20.239999999999998</v>
      </c>
      <c r="L671" s="73">
        <v>235</v>
      </c>
      <c r="M671" s="73">
        <v>0</v>
      </c>
      <c r="N671" s="91">
        <v>0</v>
      </c>
      <c r="O671" s="79" t="e">
        <f>(K671/N671)</f>
        <v>#DIV/0!</v>
      </c>
      <c r="P671" s="80">
        <f t="shared" si="154"/>
        <v>0</v>
      </c>
      <c r="Q671" s="79">
        <f t="shared" si="155"/>
        <v>0.14467476769120799</v>
      </c>
      <c r="R671" s="81">
        <f t="shared" si="156"/>
        <v>0</v>
      </c>
      <c r="S671" s="92">
        <f t="shared" si="201"/>
        <v>139.9</v>
      </c>
      <c r="T671" s="83" t="e">
        <f t="shared" si="157"/>
        <v>#DIV/0!</v>
      </c>
      <c r="U671" s="135"/>
      <c r="V671" s="135"/>
      <c r="W671" s="135"/>
      <c r="X671" s="135"/>
      <c r="Y671" s="136"/>
      <c r="Z671" s="50"/>
      <c r="AA671" s="50"/>
    </row>
    <row r="672" spans="1:27" ht="12.75" hidden="1" outlineLevel="1" x14ac:dyDescent="0.2">
      <c r="A672" s="50"/>
      <c r="B672" s="137"/>
      <c r="C672" s="70" t="s">
        <v>35</v>
      </c>
      <c r="D672" s="90">
        <v>545.54999999999995</v>
      </c>
      <c r="E672" s="298"/>
      <c r="F672" s="73">
        <v>9</v>
      </c>
      <c r="G672" s="73">
        <v>9</v>
      </c>
      <c r="H672" s="74">
        <f t="shared" si="151"/>
        <v>1</v>
      </c>
      <c r="I672" s="75">
        <f t="shared" si="152"/>
        <v>60.61666666666666</v>
      </c>
      <c r="J672" s="76">
        <f t="shared" si="153"/>
        <v>60.61666666666666</v>
      </c>
      <c r="K672" s="90">
        <v>287.41000000000003</v>
      </c>
      <c r="L672" s="73">
        <v>22597</v>
      </c>
      <c r="M672" s="73">
        <v>5</v>
      </c>
      <c r="N672" s="91">
        <v>299.75</v>
      </c>
      <c r="O672" s="79">
        <f t="shared" ref="O672:O686" si="202">K672/N672</f>
        <v>0.95883236030025032</v>
      </c>
      <c r="P672" s="80">
        <f t="shared" si="154"/>
        <v>1.0429351797084303</v>
      </c>
      <c r="Q672" s="79">
        <f t="shared" si="155"/>
        <v>0.5268261387590506</v>
      </c>
      <c r="R672" s="81">
        <f t="shared" si="156"/>
        <v>0.54944551370176886</v>
      </c>
      <c r="S672" s="92">
        <f t="shared" si="201"/>
        <v>245.79999999999995</v>
      </c>
      <c r="T672" s="83">
        <f t="shared" si="157"/>
        <v>57.482000000000006</v>
      </c>
      <c r="U672" s="135"/>
      <c r="V672" s="135"/>
      <c r="W672" s="135"/>
      <c r="X672" s="135"/>
      <c r="Y672" s="136"/>
      <c r="Z672" s="50"/>
      <c r="AA672" s="50"/>
    </row>
    <row r="673" spans="1:27" ht="12.75" hidden="1" outlineLevel="1" x14ac:dyDescent="0.2">
      <c r="A673" s="50"/>
      <c r="B673" s="137"/>
      <c r="C673" s="70" t="s">
        <v>36</v>
      </c>
      <c r="D673" s="90">
        <v>719.45</v>
      </c>
      <c r="E673" s="298"/>
      <c r="F673" s="73">
        <v>11</v>
      </c>
      <c r="G673" s="73">
        <v>10</v>
      </c>
      <c r="H673" s="74">
        <f t="shared" si="151"/>
        <v>1.1000000000000001</v>
      </c>
      <c r="I673" s="75">
        <f t="shared" si="152"/>
        <v>65.404545454545456</v>
      </c>
      <c r="J673" s="76">
        <f t="shared" si="153"/>
        <v>59.458677685950413</v>
      </c>
      <c r="K673" s="90">
        <v>127.66</v>
      </c>
      <c r="L673" s="73">
        <v>21787</v>
      </c>
      <c r="M673" s="73">
        <v>3</v>
      </c>
      <c r="N673" s="91">
        <v>189.85</v>
      </c>
      <c r="O673" s="79">
        <f t="shared" si="202"/>
        <v>0.67242559915722944</v>
      </c>
      <c r="P673" s="80">
        <f t="shared" si="154"/>
        <v>1.4871533761554128</v>
      </c>
      <c r="Q673" s="79">
        <f t="shared" si="155"/>
        <v>0.17744110084092013</v>
      </c>
      <c r="R673" s="81">
        <f t="shared" si="156"/>
        <v>0.26388213218430745</v>
      </c>
      <c r="S673" s="92">
        <f t="shared" si="201"/>
        <v>529.6</v>
      </c>
      <c r="T673" s="83">
        <f t="shared" si="157"/>
        <v>42.553333333333335</v>
      </c>
      <c r="U673" s="135"/>
      <c r="V673" s="135"/>
      <c r="W673" s="135"/>
      <c r="X673" s="135"/>
      <c r="Y673" s="136"/>
      <c r="Z673" s="50"/>
      <c r="AA673" s="50"/>
    </row>
    <row r="674" spans="1:27" ht="12.75" hidden="1" outlineLevel="1" x14ac:dyDescent="0.2">
      <c r="A674" s="50"/>
      <c r="B674" s="69" t="s">
        <v>37</v>
      </c>
      <c r="C674" s="70" t="s">
        <v>38</v>
      </c>
      <c r="D674" s="93">
        <v>299.7</v>
      </c>
      <c r="E674" s="298"/>
      <c r="F674" s="73">
        <v>6</v>
      </c>
      <c r="G674" s="73">
        <v>8</v>
      </c>
      <c r="H674" s="74">
        <f t="shared" si="151"/>
        <v>0.75</v>
      </c>
      <c r="I674" s="75">
        <f t="shared" si="152"/>
        <v>49.949999999999996</v>
      </c>
      <c r="J674" s="76">
        <f t="shared" si="153"/>
        <v>66.599999999999994</v>
      </c>
      <c r="K674" s="93">
        <v>32.57</v>
      </c>
      <c r="L674" s="73">
        <v>13136</v>
      </c>
      <c r="M674" s="73">
        <v>0</v>
      </c>
      <c r="N674" s="94">
        <v>0</v>
      </c>
      <c r="O674" s="79" t="e">
        <f t="shared" si="202"/>
        <v>#DIV/0!</v>
      </c>
      <c r="P674" s="80">
        <f t="shared" si="154"/>
        <v>0</v>
      </c>
      <c r="Q674" s="79">
        <f t="shared" si="155"/>
        <v>0.10867534200867535</v>
      </c>
      <c r="R674" s="81">
        <f t="shared" si="156"/>
        <v>0</v>
      </c>
      <c r="S674" s="95">
        <f t="shared" si="201"/>
        <v>299.7</v>
      </c>
      <c r="T674" s="83" t="e">
        <f t="shared" si="157"/>
        <v>#DIV/0!</v>
      </c>
      <c r="U674" s="135"/>
      <c r="V674" s="135"/>
      <c r="W674" s="135"/>
      <c r="X674" s="135"/>
      <c r="Y674" s="136"/>
      <c r="Z674" s="50"/>
      <c r="AA674" s="50"/>
    </row>
    <row r="675" spans="1:27" ht="12.75" hidden="1" outlineLevel="1" x14ac:dyDescent="0.2">
      <c r="A675" s="50"/>
      <c r="B675" s="137"/>
      <c r="C675" s="70" t="s">
        <v>39</v>
      </c>
      <c r="D675" s="96">
        <v>0</v>
      </c>
      <c r="E675" s="298"/>
      <c r="F675" s="73">
        <v>0</v>
      </c>
      <c r="G675" s="73">
        <v>0</v>
      </c>
      <c r="H675" s="74" t="e">
        <f t="shared" si="151"/>
        <v>#DIV/0!</v>
      </c>
      <c r="I675" s="75" t="e">
        <f t="shared" si="152"/>
        <v>#DIV/0!</v>
      </c>
      <c r="J675" s="76" t="e">
        <f t="shared" si="153"/>
        <v>#DIV/0!</v>
      </c>
      <c r="K675" s="96">
        <v>0</v>
      </c>
      <c r="L675" s="73">
        <v>0</v>
      </c>
      <c r="M675" s="73">
        <v>0</v>
      </c>
      <c r="N675" s="97">
        <v>0</v>
      </c>
      <c r="O675" s="79" t="e">
        <f t="shared" si="202"/>
        <v>#DIV/0!</v>
      </c>
      <c r="P675" s="80" t="e">
        <f t="shared" si="154"/>
        <v>#DIV/0!</v>
      </c>
      <c r="Q675" s="79" t="e">
        <f t="shared" si="155"/>
        <v>#DIV/0!</v>
      </c>
      <c r="R675" s="81" t="e">
        <f t="shared" si="156"/>
        <v>#DIV/0!</v>
      </c>
      <c r="S675" s="98">
        <f t="shared" si="201"/>
        <v>0</v>
      </c>
      <c r="T675" s="83" t="e">
        <f t="shared" si="157"/>
        <v>#DIV/0!</v>
      </c>
      <c r="U675" s="135"/>
      <c r="V675" s="135"/>
      <c r="W675" s="135"/>
      <c r="X675" s="135"/>
      <c r="Y675" s="136"/>
      <c r="Z675" s="50"/>
      <c r="AA675" s="50"/>
    </row>
    <row r="676" spans="1:27" ht="12.75" hidden="1" outlineLevel="1" x14ac:dyDescent="0.2">
      <c r="A676" s="50"/>
      <c r="B676" s="137"/>
      <c r="C676" s="70" t="s">
        <v>40</v>
      </c>
      <c r="D676" s="99">
        <v>219.8</v>
      </c>
      <c r="E676" s="298"/>
      <c r="F676" s="73">
        <v>4</v>
      </c>
      <c r="G676" s="73">
        <v>5</v>
      </c>
      <c r="H676" s="74">
        <f t="shared" si="151"/>
        <v>0.8</v>
      </c>
      <c r="I676" s="75">
        <f t="shared" si="152"/>
        <v>54.95</v>
      </c>
      <c r="J676" s="76">
        <f t="shared" si="153"/>
        <v>68.6875</v>
      </c>
      <c r="K676" s="99">
        <v>0</v>
      </c>
      <c r="L676" s="73">
        <v>0</v>
      </c>
      <c r="M676" s="73">
        <v>0</v>
      </c>
      <c r="N676" s="100">
        <v>0</v>
      </c>
      <c r="O676" s="79" t="e">
        <f t="shared" si="202"/>
        <v>#DIV/0!</v>
      </c>
      <c r="P676" s="80" t="e">
        <f t="shared" si="154"/>
        <v>#DIV/0!</v>
      </c>
      <c r="Q676" s="79">
        <f t="shared" si="155"/>
        <v>0</v>
      </c>
      <c r="R676" s="81">
        <f t="shared" si="156"/>
        <v>0</v>
      </c>
      <c r="S676" s="101">
        <f t="shared" si="201"/>
        <v>219.8</v>
      </c>
      <c r="T676" s="83" t="e">
        <f t="shared" si="157"/>
        <v>#DIV/0!</v>
      </c>
      <c r="U676" s="135"/>
      <c r="V676" s="135"/>
      <c r="W676" s="135"/>
      <c r="X676" s="135"/>
      <c r="Y676" s="136"/>
      <c r="Z676" s="50"/>
      <c r="AA676" s="50"/>
    </row>
    <row r="677" spans="1:27" ht="12.75" hidden="1" outlineLevel="1" x14ac:dyDescent="0.2">
      <c r="A677" s="50"/>
      <c r="B677" s="137"/>
      <c r="C677" s="70" t="s">
        <v>41</v>
      </c>
      <c r="D677" s="102">
        <v>1526.27</v>
      </c>
      <c r="E677" s="298"/>
      <c r="F677" s="73">
        <v>17</v>
      </c>
      <c r="G677" s="73">
        <v>18</v>
      </c>
      <c r="H677" s="74">
        <f t="shared" si="151"/>
        <v>0.94444444444444442</v>
      </c>
      <c r="I677" s="75">
        <f t="shared" si="152"/>
        <v>89.780588235294118</v>
      </c>
      <c r="J677" s="76">
        <f t="shared" si="153"/>
        <v>95.061799307958481</v>
      </c>
      <c r="K677" s="102">
        <v>394.92</v>
      </c>
      <c r="L677" s="73">
        <v>28872</v>
      </c>
      <c r="M677" s="73">
        <v>5</v>
      </c>
      <c r="N677" s="103">
        <v>582.66999999999996</v>
      </c>
      <c r="O677" s="79">
        <f t="shared" si="202"/>
        <v>0.67777644292652794</v>
      </c>
      <c r="P677" s="80">
        <f t="shared" si="154"/>
        <v>1.4754127418211282</v>
      </c>
      <c r="Q677" s="79">
        <f t="shared" si="155"/>
        <v>0.2587484521087357</v>
      </c>
      <c r="R677" s="81">
        <f t="shared" si="156"/>
        <v>0.38176076316772262</v>
      </c>
      <c r="S677" s="104">
        <f t="shared" si="201"/>
        <v>943.6</v>
      </c>
      <c r="T677" s="83">
        <f t="shared" si="157"/>
        <v>78.984000000000009</v>
      </c>
      <c r="U677" s="135"/>
      <c r="V677" s="135"/>
      <c r="W677" s="135"/>
      <c r="X677" s="135"/>
      <c r="Y677" s="136"/>
      <c r="Z677" s="50"/>
      <c r="AA677" s="50"/>
    </row>
    <row r="678" spans="1:27" ht="12.75" hidden="1" outlineLevel="1" x14ac:dyDescent="0.2">
      <c r="A678" s="50"/>
      <c r="B678" s="137"/>
      <c r="C678" s="70" t="s">
        <v>42</v>
      </c>
      <c r="D678" s="90">
        <v>9.9499999999999993</v>
      </c>
      <c r="E678" s="298"/>
      <c r="F678" s="73">
        <v>1</v>
      </c>
      <c r="G678" s="73">
        <v>1</v>
      </c>
      <c r="H678" s="74">
        <f t="shared" si="151"/>
        <v>1</v>
      </c>
      <c r="I678" s="75">
        <f t="shared" si="152"/>
        <v>9.9499999999999993</v>
      </c>
      <c r="J678" s="76">
        <f t="shared" si="153"/>
        <v>9.9499999999999993</v>
      </c>
      <c r="K678" s="90">
        <v>0</v>
      </c>
      <c r="L678" s="73">
        <v>0</v>
      </c>
      <c r="M678" s="73">
        <v>0</v>
      </c>
      <c r="N678" s="91">
        <v>0</v>
      </c>
      <c r="O678" s="79" t="e">
        <f t="shared" si="202"/>
        <v>#DIV/0!</v>
      </c>
      <c r="P678" s="80" t="e">
        <f t="shared" si="154"/>
        <v>#DIV/0!</v>
      </c>
      <c r="Q678" s="79">
        <f t="shared" si="155"/>
        <v>0</v>
      </c>
      <c r="R678" s="81">
        <f t="shared" si="156"/>
        <v>0</v>
      </c>
      <c r="S678" s="92">
        <f t="shared" si="201"/>
        <v>9.9499999999999993</v>
      </c>
      <c r="T678" s="83" t="e">
        <f t="shared" si="157"/>
        <v>#DIV/0!</v>
      </c>
      <c r="U678" s="135"/>
      <c r="V678" s="135"/>
      <c r="W678" s="135"/>
      <c r="X678" s="135"/>
      <c r="Y678" s="136"/>
      <c r="Z678" s="50"/>
      <c r="AA678" s="50"/>
    </row>
    <row r="679" spans="1:27" ht="12.75" hidden="1" outlineLevel="1" x14ac:dyDescent="0.2">
      <c r="A679" s="50"/>
      <c r="B679" s="137"/>
      <c r="C679" s="70" t="s">
        <v>43</v>
      </c>
      <c r="D679" s="105">
        <v>586.85</v>
      </c>
      <c r="E679" s="298"/>
      <c r="F679" s="73">
        <v>3</v>
      </c>
      <c r="G679" s="73">
        <v>4</v>
      </c>
      <c r="H679" s="74">
        <f t="shared" si="151"/>
        <v>0.75</v>
      </c>
      <c r="I679" s="75">
        <f t="shared" si="152"/>
        <v>195.61666666666667</v>
      </c>
      <c r="J679" s="76">
        <f t="shared" si="153"/>
        <v>260.82222222222225</v>
      </c>
      <c r="K679" s="105">
        <v>53.96</v>
      </c>
      <c r="L679" s="73">
        <v>14217</v>
      </c>
      <c r="M679" s="73">
        <v>2</v>
      </c>
      <c r="N679" s="106">
        <v>210.95</v>
      </c>
      <c r="O679" s="79">
        <f t="shared" si="202"/>
        <v>0.25579521213557715</v>
      </c>
      <c r="P679" s="80">
        <f t="shared" si="154"/>
        <v>3.909377316530763</v>
      </c>
      <c r="Q679" s="79">
        <f t="shared" si="155"/>
        <v>9.1948538808894947E-2</v>
      </c>
      <c r="R679" s="81">
        <f t="shared" si="156"/>
        <v>0.35946153190764246</v>
      </c>
      <c r="S679" s="107">
        <f t="shared" si="201"/>
        <v>375.90000000000003</v>
      </c>
      <c r="T679" s="83">
        <f t="shared" si="157"/>
        <v>26.98</v>
      </c>
      <c r="U679" s="135"/>
      <c r="V679" s="135"/>
      <c r="W679" s="135"/>
      <c r="X679" s="135"/>
      <c r="Y679" s="136"/>
      <c r="Z679" s="50"/>
      <c r="AA679" s="50"/>
    </row>
    <row r="680" spans="1:27" ht="12.75" hidden="1" outlineLevel="1" x14ac:dyDescent="0.2">
      <c r="A680" s="50"/>
      <c r="B680" s="137"/>
      <c r="C680" s="70" t="s">
        <v>44</v>
      </c>
      <c r="D680" s="108">
        <v>314.64999999999998</v>
      </c>
      <c r="E680" s="298"/>
      <c r="F680" s="73">
        <v>7</v>
      </c>
      <c r="G680" s="73">
        <v>7</v>
      </c>
      <c r="H680" s="74">
        <f t="shared" si="151"/>
        <v>1</v>
      </c>
      <c r="I680" s="75">
        <f t="shared" si="152"/>
        <v>44.949999999999996</v>
      </c>
      <c r="J680" s="76">
        <f t="shared" si="153"/>
        <v>44.949999999999996</v>
      </c>
      <c r="K680" s="108">
        <v>145.41999999999999</v>
      </c>
      <c r="L680" s="73">
        <v>69627</v>
      </c>
      <c r="M680" s="73">
        <v>6</v>
      </c>
      <c r="N680" s="109">
        <v>269.7</v>
      </c>
      <c r="O680" s="79">
        <f t="shared" si="202"/>
        <v>0.53919169447534299</v>
      </c>
      <c r="P680" s="80">
        <f t="shared" si="154"/>
        <v>1.8546279741438592</v>
      </c>
      <c r="Q680" s="79">
        <f t="shared" si="155"/>
        <v>0.46216430955029397</v>
      </c>
      <c r="R680" s="81">
        <f t="shared" si="156"/>
        <v>0.85714285714285721</v>
      </c>
      <c r="S680" s="110">
        <f t="shared" si="201"/>
        <v>44.949999999999989</v>
      </c>
      <c r="T680" s="83">
        <f t="shared" si="157"/>
        <v>24.236666666666665</v>
      </c>
      <c r="U680" s="135"/>
      <c r="V680" s="135"/>
      <c r="W680" s="135"/>
      <c r="X680" s="135"/>
      <c r="Y680" s="136"/>
      <c r="Z680" s="50"/>
      <c r="AA680" s="50"/>
    </row>
    <row r="681" spans="1:27" ht="12.75" hidden="1" outlineLevel="1" x14ac:dyDescent="0.2">
      <c r="A681" s="139"/>
      <c r="B681" s="137"/>
      <c r="C681" s="112" t="s">
        <v>45</v>
      </c>
      <c r="D681" s="71">
        <v>59.9</v>
      </c>
      <c r="E681" s="298"/>
      <c r="F681" s="73">
        <v>2</v>
      </c>
      <c r="G681" s="73">
        <v>1</v>
      </c>
      <c r="H681" s="74">
        <f t="shared" si="151"/>
        <v>2</v>
      </c>
      <c r="I681" s="75">
        <f t="shared" si="152"/>
        <v>29.95</v>
      </c>
      <c r="J681" s="76">
        <f t="shared" si="153"/>
        <v>14.975</v>
      </c>
      <c r="K681" s="71">
        <v>0</v>
      </c>
      <c r="L681" s="73">
        <v>0</v>
      </c>
      <c r="M681" s="73">
        <v>0</v>
      </c>
      <c r="N681" s="78">
        <v>0</v>
      </c>
      <c r="O681" s="79" t="e">
        <f t="shared" si="202"/>
        <v>#DIV/0!</v>
      </c>
      <c r="P681" s="80" t="e">
        <f t="shared" si="154"/>
        <v>#DIV/0!</v>
      </c>
      <c r="Q681" s="79">
        <f t="shared" si="155"/>
        <v>0</v>
      </c>
      <c r="R681" s="81">
        <f t="shared" si="156"/>
        <v>0</v>
      </c>
      <c r="S681" s="82">
        <f t="shared" si="201"/>
        <v>59.9</v>
      </c>
      <c r="T681" s="83" t="e">
        <f t="shared" si="157"/>
        <v>#DIV/0!</v>
      </c>
      <c r="U681" s="140"/>
      <c r="V681" s="140"/>
      <c r="W681" s="140"/>
      <c r="X681" s="141"/>
      <c r="Y681" s="142"/>
      <c r="Z681" s="50"/>
      <c r="AA681" s="50"/>
    </row>
    <row r="682" spans="1:27" ht="12.75" hidden="1" outlineLevel="1" x14ac:dyDescent="0.2">
      <c r="A682" s="50"/>
      <c r="B682" s="137"/>
      <c r="C682" s="70" t="s">
        <v>46</v>
      </c>
      <c r="D682" s="116">
        <v>958.9</v>
      </c>
      <c r="E682" s="298"/>
      <c r="F682" s="73">
        <v>22</v>
      </c>
      <c r="G682" s="73">
        <v>24</v>
      </c>
      <c r="H682" s="74">
        <f t="shared" si="151"/>
        <v>0.91666666666666663</v>
      </c>
      <c r="I682" s="75">
        <f t="shared" si="152"/>
        <v>43.586363636363636</v>
      </c>
      <c r="J682" s="76">
        <f t="shared" si="153"/>
        <v>47.548760330578517</v>
      </c>
      <c r="K682" s="116">
        <v>105.6</v>
      </c>
      <c r="L682" s="73">
        <v>28622</v>
      </c>
      <c r="M682" s="73">
        <v>5</v>
      </c>
      <c r="N682" s="117">
        <v>218.75</v>
      </c>
      <c r="O682" s="79">
        <f t="shared" si="202"/>
        <v>0.48274285714285714</v>
      </c>
      <c r="P682" s="80">
        <f t="shared" si="154"/>
        <v>2.0714962121212124</v>
      </c>
      <c r="Q682" s="79">
        <f t="shared" si="155"/>
        <v>0.11012618625508394</v>
      </c>
      <c r="R682" s="81">
        <f t="shared" si="156"/>
        <v>0.22812597768276149</v>
      </c>
      <c r="S682" s="82">
        <f t="shared" si="201"/>
        <v>740.15</v>
      </c>
      <c r="T682" s="83">
        <f t="shared" si="157"/>
        <v>21.119999999999997</v>
      </c>
      <c r="U682" s="135"/>
      <c r="V682" s="135"/>
      <c r="W682" s="135"/>
      <c r="X682" s="135"/>
      <c r="Y682" s="136"/>
      <c r="Z682" s="50"/>
      <c r="AA682" s="50"/>
    </row>
    <row r="683" spans="1:27" ht="12.75" hidden="1" outlineLevel="1" x14ac:dyDescent="0.2">
      <c r="A683" s="118" t="str">
        <f t="shared" ref="A683:A684" si="203">IFERROR(IF(B683&gt;0,MONTH(B683)&amp;"-"&amp;YEAR(B683),B683),)</f>
        <v>9-2025</v>
      </c>
      <c r="B683" s="69">
        <v>45906</v>
      </c>
      <c r="C683" s="70" t="s">
        <v>49</v>
      </c>
      <c r="D683" s="116">
        <v>0</v>
      </c>
      <c r="E683" s="298"/>
      <c r="F683" s="73">
        <v>0</v>
      </c>
      <c r="G683" s="73">
        <v>0</v>
      </c>
      <c r="H683" s="74" t="e">
        <f t="shared" si="151"/>
        <v>#DIV/0!</v>
      </c>
      <c r="I683" s="75" t="e">
        <f t="shared" si="152"/>
        <v>#DIV/0!</v>
      </c>
      <c r="J683" s="76" t="e">
        <f t="shared" si="153"/>
        <v>#DIV/0!</v>
      </c>
      <c r="K683" s="116">
        <v>2.4900000000000002</v>
      </c>
      <c r="L683" s="73">
        <v>10639</v>
      </c>
      <c r="M683" s="73">
        <v>0</v>
      </c>
      <c r="N683" s="117">
        <v>0</v>
      </c>
      <c r="O683" s="79" t="e">
        <f t="shared" si="202"/>
        <v>#DIV/0!</v>
      </c>
      <c r="P683" s="80">
        <f t="shared" si="154"/>
        <v>0</v>
      </c>
      <c r="Q683" s="79" t="e">
        <f t="shared" si="155"/>
        <v>#DIV/0!</v>
      </c>
      <c r="R683" s="81" t="e">
        <f t="shared" si="156"/>
        <v>#DIV/0!</v>
      </c>
      <c r="S683" s="82">
        <f t="shared" si="201"/>
        <v>0</v>
      </c>
      <c r="T683" s="83" t="e">
        <f t="shared" si="157"/>
        <v>#DIV/0!</v>
      </c>
      <c r="U683" s="135"/>
      <c r="V683" s="135"/>
      <c r="W683" s="135"/>
      <c r="X683" s="135"/>
      <c r="Y683" s="136"/>
      <c r="Z683" s="50"/>
      <c r="AA683" s="50"/>
    </row>
    <row r="684" spans="1:27" ht="12.75" collapsed="1" x14ac:dyDescent="0.2">
      <c r="A684" s="50">
        <f t="shared" si="203"/>
        <v>0</v>
      </c>
      <c r="B684" s="52" t="s">
        <v>94</v>
      </c>
      <c r="C684" s="145"/>
      <c r="D684" s="121">
        <f>SUM(D669:D683)</f>
        <v>21440.870000000006</v>
      </c>
      <c r="E684" s="297"/>
      <c r="F684" s="123">
        <f t="shared" ref="F684:G684" si="204">SUM(F669:F683)</f>
        <v>177</v>
      </c>
      <c r="G684" s="123">
        <f t="shared" si="204"/>
        <v>185</v>
      </c>
      <c r="H684" s="124">
        <f t="shared" si="151"/>
        <v>0.95675675675675675</v>
      </c>
      <c r="I684" s="125">
        <f t="shared" si="152"/>
        <v>121.13485875706218</v>
      </c>
      <c r="J684" s="126">
        <f t="shared" si="153"/>
        <v>126.60988062178815</v>
      </c>
      <c r="K684" s="121">
        <f t="shared" ref="K684:N684" si="205">SUM(K669:K683)</f>
        <v>2812.13</v>
      </c>
      <c r="L684" s="123">
        <f t="shared" si="205"/>
        <v>557226</v>
      </c>
      <c r="M684" s="123">
        <f t="shared" si="205"/>
        <v>52</v>
      </c>
      <c r="N684" s="127">
        <f t="shared" si="205"/>
        <v>7642.2199999999993</v>
      </c>
      <c r="O684" s="128">
        <f t="shared" si="202"/>
        <v>0.36797291886389039</v>
      </c>
      <c r="P684" s="129">
        <f t="shared" si="154"/>
        <v>2.717591292009971</v>
      </c>
      <c r="Q684" s="128">
        <f t="shared" si="155"/>
        <v>0.13115745769644604</v>
      </c>
      <c r="R684" s="130">
        <f t="shared" si="156"/>
        <v>0.35643236491802793</v>
      </c>
      <c r="S684" s="131">
        <f>SUM(S669:S683)</f>
        <v>13798.65</v>
      </c>
      <c r="T684" s="132">
        <f t="shared" si="157"/>
        <v>54.079423076923078</v>
      </c>
      <c r="U684" s="133">
        <f>IFERROR((D684-D246)/D684,)</f>
        <v>0.64640800489905514</v>
      </c>
      <c r="V684" s="133">
        <f>IFERROR((F684-F246)/F684,)</f>
        <v>0.46892655367231639</v>
      </c>
      <c r="W684" s="271">
        <f>IFERROR((D684-[1]monthly_reporting_2021!E475)/D684, )</f>
        <v>0</v>
      </c>
      <c r="X684" s="271">
        <f>IFERROR((F684-[1]monthly_reporting_2021!F475)/F684, )</f>
        <v>0</v>
      </c>
      <c r="Y684" s="50"/>
      <c r="Z684" s="50"/>
      <c r="AA684" s="50"/>
    </row>
    <row r="685" spans="1:27" ht="12.75" hidden="1" outlineLevel="1" x14ac:dyDescent="0.2">
      <c r="A685" s="50"/>
      <c r="B685" s="69">
        <v>45907</v>
      </c>
      <c r="C685" s="70" t="s">
        <v>32</v>
      </c>
      <c r="D685" s="71">
        <v>1746.1</v>
      </c>
      <c r="E685" s="298"/>
      <c r="F685" s="73">
        <v>10</v>
      </c>
      <c r="G685" s="73">
        <v>13</v>
      </c>
      <c r="H685" s="74">
        <f t="shared" si="151"/>
        <v>0.76923076923076927</v>
      </c>
      <c r="I685" s="75">
        <f t="shared" si="152"/>
        <v>174.60999999999999</v>
      </c>
      <c r="J685" s="76">
        <f t="shared" si="153"/>
        <v>226.99299999999997</v>
      </c>
      <c r="K685" s="77">
        <v>854.46</v>
      </c>
      <c r="L685" s="73">
        <v>178937</v>
      </c>
      <c r="M685" s="73">
        <v>3</v>
      </c>
      <c r="N685" s="78">
        <v>2267</v>
      </c>
      <c r="O685" s="79">
        <f t="shared" si="202"/>
        <v>0.37691221879135423</v>
      </c>
      <c r="P685" s="80">
        <f t="shared" si="154"/>
        <v>2.6531376541909508</v>
      </c>
      <c r="Q685" s="79">
        <f t="shared" si="155"/>
        <v>0.48935341618464012</v>
      </c>
      <c r="R685" s="81">
        <f t="shared" si="156"/>
        <v>1.2983219746864441</v>
      </c>
      <c r="S685" s="82">
        <f t="shared" ref="S685:S699" si="206">D685-N685</f>
        <v>-520.90000000000009</v>
      </c>
      <c r="T685" s="83">
        <f t="shared" si="157"/>
        <v>284.82</v>
      </c>
      <c r="U685" s="135"/>
      <c r="V685" s="135"/>
      <c r="W685" s="135"/>
      <c r="X685" s="135"/>
      <c r="Y685" s="136"/>
      <c r="Z685" s="50"/>
      <c r="AA685" s="50"/>
    </row>
    <row r="686" spans="1:27" ht="12.75" hidden="1" outlineLevel="1" x14ac:dyDescent="0.2">
      <c r="A686" s="50"/>
      <c r="B686" s="137"/>
      <c r="C686" s="70" t="s">
        <v>33</v>
      </c>
      <c r="D686" s="87">
        <v>7724.65</v>
      </c>
      <c r="E686" s="298"/>
      <c r="F686" s="73">
        <v>67</v>
      </c>
      <c r="G686" s="73">
        <v>65</v>
      </c>
      <c r="H686" s="74">
        <f t="shared" si="151"/>
        <v>1.0307692307692307</v>
      </c>
      <c r="I686" s="75">
        <f t="shared" si="152"/>
        <v>115.29328358208954</v>
      </c>
      <c r="J686" s="76">
        <f t="shared" si="153"/>
        <v>111.85169302740032</v>
      </c>
      <c r="K686" s="87">
        <v>474.07</v>
      </c>
      <c r="L686" s="73">
        <v>105026</v>
      </c>
      <c r="M686" s="73">
        <v>10</v>
      </c>
      <c r="N686" s="88">
        <v>1723.85</v>
      </c>
      <c r="O686" s="79">
        <f t="shared" si="202"/>
        <v>0.27500652608985704</v>
      </c>
      <c r="P686" s="80">
        <f t="shared" si="154"/>
        <v>3.6362773430084165</v>
      </c>
      <c r="Q686" s="79">
        <f t="shared" si="155"/>
        <v>6.1371065355711914E-2</v>
      </c>
      <c r="R686" s="81">
        <f t="shared" si="156"/>
        <v>0.22316221446926399</v>
      </c>
      <c r="S686" s="89">
        <f t="shared" si="206"/>
        <v>6000.7999999999993</v>
      </c>
      <c r="T686" s="83">
        <f t="shared" si="157"/>
        <v>47.406999999999996</v>
      </c>
      <c r="U686" s="135"/>
      <c r="V686" s="135"/>
      <c r="W686" s="135"/>
      <c r="X686" s="135"/>
      <c r="Y686" s="136"/>
      <c r="Z686" s="50"/>
      <c r="AA686" s="50"/>
    </row>
    <row r="687" spans="1:27" ht="12.75" hidden="1" outlineLevel="1" x14ac:dyDescent="0.2">
      <c r="A687" s="50"/>
      <c r="B687" s="137"/>
      <c r="C687" s="70" t="s">
        <v>34</v>
      </c>
      <c r="D687" s="90">
        <v>69.95</v>
      </c>
      <c r="E687" s="298"/>
      <c r="F687" s="73">
        <v>1</v>
      </c>
      <c r="G687" s="73">
        <v>1</v>
      </c>
      <c r="H687" s="74">
        <f t="shared" si="151"/>
        <v>1</v>
      </c>
      <c r="I687" s="75">
        <f t="shared" si="152"/>
        <v>69.95</v>
      </c>
      <c r="J687" s="76">
        <f t="shared" si="153"/>
        <v>69.95</v>
      </c>
      <c r="K687" s="90">
        <v>0</v>
      </c>
      <c r="L687" s="73">
        <v>286</v>
      </c>
      <c r="M687" s="73">
        <v>0</v>
      </c>
      <c r="N687" s="91">
        <v>0</v>
      </c>
      <c r="O687" s="79" t="e">
        <f>(K687/N687)</f>
        <v>#DIV/0!</v>
      </c>
      <c r="P687" s="80" t="e">
        <f t="shared" si="154"/>
        <v>#DIV/0!</v>
      </c>
      <c r="Q687" s="79">
        <f t="shared" si="155"/>
        <v>0</v>
      </c>
      <c r="R687" s="81">
        <f t="shared" si="156"/>
        <v>0</v>
      </c>
      <c r="S687" s="92">
        <f t="shared" si="206"/>
        <v>69.95</v>
      </c>
      <c r="T687" s="83" t="e">
        <f t="shared" si="157"/>
        <v>#DIV/0!</v>
      </c>
      <c r="U687" s="135"/>
      <c r="V687" s="135"/>
      <c r="W687" s="135"/>
      <c r="X687" s="135"/>
      <c r="Y687" s="136"/>
      <c r="Z687" s="50"/>
      <c r="AA687" s="50"/>
    </row>
    <row r="688" spans="1:27" ht="12.75" hidden="1" outlineLevel="1" x14ac:dyDescent="0.2">
      <c r="A688" s="50"/>
      <c r="B688" s="137"/>
      <c r="C688" s="70" t="s">
        <v>35</v>
      </c>
      <c r="D688" s="90">
        <v>296.75</v>
      </c>
      <c r="E688" s="298"/>
      <c r="F688" s="73">
        <v>5</v>
      </c>
      <c r="G688" s="73">
        <v>7</v>
      </c>
      <c r="H688" s="74">
        <f t="shared" si="151"/>
        <v>0.7142857142857143</v>
      </c>
      <c r="I688" s="75">
        <f t="shared" si="152"/>
        <v>59.35</v>
      </c>
      <c r="J688" s="76">
        <f t="shared" si="153"/>
        <v>83.09</v>
      </c>
      <c r="K688" s="90">
        <v>257.62</v>
      </c>
      <c r="L688" s="73">
        <v>22610</v>
      </c>
      <c r="M688" s="73">
        <v>7</v>
      </c>
      <c r="N688" s="91">
        <v>419.65</v>
      </c>
      <c r="O688" s="79">
        <f t="shared" ref="O688:O702" si="207">K688/N688</f>
        <v>0.61389252948885986</v>
      </c>
      <c r="P688" s="80">
        <f t="shared" si="154"/>
        <v>1.6289496157130656</v>
      </c>
      <c r="Q688" s="79">
        <f t="shared" si="155"/>
        <v>0.86813816343723671</v>
      </c>
      <c r="R688" s="81">
        <f t="shared" si="156"/>
        <v>1.4141533277169334</v>
      </c>
      <c r="S688" s="92">
        <f t="shared" si="206"/>
        <v>-122.89999999999998</v>
      </c>
      <c r="T688" s="83">
        <f t="shared" si="157"/>
        <v>36.802857142857142</v>
      </c>
      <c r="U688" s="135"/>
      <c r="V688" s="135"/>
      <c r="W688" s="135"/>
      <c r="X688" s="135"/>
      <c r="Y688" s="136"/>
      <c r="Z688" s="50"/>
      <c r="AA688" s="50"/>
    </row>
    <row r="689" spans="1:27" ht="12.75" hidden="1" outlineLevel="1" x14ac:dyDescent="0.2">
      <c r="A689" s="50"/>
      <c r="B689" s="137"/>
      <c r="C689" s="70" t="s">
        <v>36</v>
      </c>
      <c r="D689" s="90">
        <v>499.6</v>
      </c>
      <c r="E689" s="298"/>
      <c r="F689" s="73">
        <v>8</v>
      </c>
      <c r="G689" s="73">
        <v>9</v>
      </c>
      <c r="H689" s="74">
        <f t="shared" si="151"/>
        <v>0.88888888888888884</v>
      </c>
      <c r="I689" s="75">
        <f t="shared" si="152"/>
        <v>62.45</v>
      </c>
      <c r="J689" s="76">
        <f t="shared" si="153"/>
        <v>70.256250000000009</v>
      </c>
      <c r="K689" s="90">
        <v>147.16</v>
      </c>
      <c r="L689" s="73">
        <v>21588</v>
      </c>
      <c r="M689" s="73">
        <v>4</v>
      </c>
      <c r="N689" s="91">
        <v>249.8</v>
      </c>
      <c r="O689" s="79">
        <f t="shared" si="207"/>
        <v>0.58911128903122489</v>
      </c>
      <c r="P689" s="80">
        <f t="shared" si="154"/>
        <v>1.6974721391682523</v>
      </c>
      <c r="Q689" s="79">
        <f t="shared" si="155"/>
        <v>0.29455564451561245</v>
      </c>
      <c r="R689" s="81">
        <f t="shared" si="156"/>
        <v>0.5</v>
      </c>
      <c r="S689" s="92">
        <f t="shared" si="206"/>
        <v>249.8</v>
      </c>
      <c r="T689" s="83">
        <f t="shared" si="157"/>
        <v>36.79</v>
      </c>
      <c r="U689" s="135"/>
      <c r="V689" s="135"/>
      <c r="W689" s="135"/>
      <c r="X689" s="135"/>
      <c r="Y689" s="136"/>
      <c r="Z689" s="50"/>
      <c r="AA689" s="50"/>
    </row>
    <row r="690" spans="1:27" ht="12.75" hidden="1" outlineLevel="1" x14ac:dyDescent="0.2">
      <c r="A690" s="50"/>
      <c r="B690" s="69" t="s">
        <v>37</v>
      </c>
      <c r="C690" s="70" t="s">
        <v>38</v>
      </c>
      <c r="D690" s="93">
        <v>139.80000000000001</v>
      </c>
      <c r="E690" s="298"/>
      <c r="F690" s="73">
        <v>4</v>
      </c>
      <c r="G690" s="73">
        <v>4</v>
      </c>
      <c r="H690" s="74">
        <f t="shared" si="151"/>
        <v>1</v>
      </c>
      <c r="I690" s="75">
        <f t="shared" si="152"/>
        <v>34.950000000000003</v>
      </c>
      <c r="J690" s="76">
        <f t="shared" si="153"/>
        <v>34.950000000000003</v>
      </c>
      <c r="K690" s="93">
        <v>36.22</v>
      </c>
      <c r="L690" s="73">
        <v>11868</v>
      </c>
      <c r="M690" s="73">
        <v>0</v>
      </c>
      <c r="N690" s="94">
        <v>0</v>
      </c>
      <c r="O690" s="79" t="e">
        <f t="shared" si="207"/>
        <v>#DIV/0!</v>
      </c>
      <c r="P690" s="80">
        <f t="shared" si="154"/>
        <v>0</v>
      </c>
      <c r="Q690" s="79">
        <f t="shared" si="155"/>
        <v>0.25908440629470669</v>
      </c>
      <c r="R690" s="81">
        <f t="shared" si="156"/>
        <v>0</v>
      </c>
      <c r="S690" s="95">
        <f t="shared" si="206"/>
        <v>139.80000000000001</v>
      </c>
      <c r="T690" s="83" t="e">
        <f t="shared" si="157"/>
        <v>#DIV/0!</v>
      </c>
      <c r="U690" s="135"/>
      <c r="V690" s="135"/>
      <c r="W690" s="135"/>
      <c r="X690" s="135"/>
      <c r="Y690" s="136"/>
      <c r="Z690" s="50"/>
      <c r="AA690" s="50"/>
    </row>
    <row r="691" spans="1:27" ht="12.75" hidden="1" outlineLevel="1" x14ac:dyDescent="0.2">
      <c r="A691" s="50"/>
      <c r="B691" s="137"/>
      <c r="C691" s="70" t="s">
        <v>39</v>
      </c>
      <c r="D691" s="96">
        <v>-24.95</v>
      </c>
      <c r="E691" s="298"/>
      <c r="F691" s="73">
        <v>-1</v>
      </c>
      <c r="G691" s="73">
        <v>0</v>
      </c>
      <c r="H691" s="74" t="e">
        <f t="shared" si="151"/>
        <v>#DIV/0!</v>
      </c>
      <c r="I691" s="75">
        <f t="shared" si="152"/>
        <v>24.95</v>
      </c>
      <c r="J691" s="76" t="e">
        <f t="shared" si="153"/>
        <v>#DIV/0!</v>
      </c>
      <c r="K691" s="96">
        <v>0</v>
      </c>
      <c r="L691" s="73">
        <v>0</v>
      </c>
      <c r="M691" s="73">
        <v>0</v>
      </c>
      <c r="N691" s="97">
        <v>0</v>
      </c>
      <c r="O691" s="79" t="e">
        <f t="shared" si="207"/>
        <v>#DIV/0!</v>
      </c>
      <c r="P691" s="80" t="e">
        <f t="shared" si="154"/>
        <v>#DIV/0!</v>
      </c>
      <c r="Q691" s="79">
        <f t="shared" si="155"/>
        <v>0</v>
      </c>
      <c r="R691" s="81">
        <f t="shared" si="156"/>
        <v>0</v>
      </c>
      <c r="S691" s="98">
        <f t="shared" si="206"/>
        <v>-24.95</v>
      </c>
      <c r="T691" s="83" t="e">
        <f t="shared" si="157"/>
        <v>#DIV/0!</v>
      </c>
      <c r="U691" s="135"/>
      <c r="V691" s="135"/>
      <c r="W691" s="135"/>
      <c r="X691" s="135"/>
      <c r="Y691" s="136"/>
      <c r="Z691" s="50"/>
      <c r="AA691" s="50"/>
    </row>
    <row r="692" spans="1:27" ht="12.75" hidden="1" outlineLevel="1" x14ac:dyDescent="0.2">
      <c r="A692" s="50"/>
      <c r="B692" s="137"/>
      <c r="C692" s="70" t="s">
        <v>40</v>
      </c>
      <c r="D692" s="99">
        <v>824.25</v>
      </c>
      <c r="E692" s="298"/>
      <c r="F692" s="73">
        <v>15</v>
      </c>
      <c r="G692" s="73">
        <v>5</v>
      </c>
      <c r="H692" s="74">
        <f t="shared" si="151"/>
        <v>3</v>
      </c>
      <c r="I692" s="75">
        <f t="shared" si="152"/>
        <v>54.95</v>
      </c>
      <c r="J692" s="76">
        <f t="shared" si="153"/>
        <v>18.316666666666666</v>
      </c>
      <c r="K692" s="99">
        <v>0</v>
      </c>
      <c r="L692" s="73">
        <v>0</v>
      </c>
      <c r="M692" s="73">
        <v>0</v>
      </c>
      <c r="N692" s="100">
        <v>0</v>
      </c>
      <c r="O692" s="79" t="e">
        <f t="shared" si="207"/>
        <v>#DIV/0!</v>
      </c>
      <c r="P692" s="80" t="e">
        <f t="shared" si="154"/>
        <v>#DIV/0!</v>
      </c>
      <c r="Q692" s="79">
        <f t="shared" si="155"/>
        <v>0</v>
      </c>
      <c r="R692" s="81">
        <f t="shared" si="156"/>
        <v>0</v>
      </c>
      <c r="S692" s="101">
        <f t="shared" si="206"/>
        <v>824.25</v>
      </c>
      <c r="T692" s="83" t="e">
        <f t="shared" si="157"/>
        <v>#DIV/0!</v>
      </c>
      <c r="U692" s="135"/>
      <c r="V692" s="135"/>
      <c r="W692" s="135"/>
      <c r="X692" s="135"/>
      <c r="Y692" s="136"/>
      <c r="Z692" s="50"/>
      <c r="AA692" s="50"/>
    </row>
    <row r="693" spans="1:27" ht="12.75" hidden="1" outlineLevel="1" x14ac:dyDescent="0.2">
      <c r="A693" s="50"/>
      <c r="B693" s="137"/>
      <c r="C693" s="70" t="s">
        <v>41</v>
      </c>
      <c r="D693" s="102">
        <v>1085.6099999999999</v>
      </c>
      <c r="E693" s="298"/>
      <c r="F693" s="73">
        <v>12</v>
      </c>
      <c r="G693" s="73">
        <v>14</v>
      </c>
      <c r="H693" s="74">
        <f t="shared" si="151"/>
        <v>0.8571428571428571</v>
      </c>
      <c r="I693" s="75">
        <f t="shared" si="152"/>
        <v>90.467499999999987</v>
      </c>
      <c r="J693" s="76">
        <f t="shared" si="153"/>
        <v>105.54541666666665</v>
      </c>
      <c r="K693" s="102">
        <v>274.98</v>
      </c>
      <c r="L693" s="73">
        <v>26078</v>
      </c>
      <c r="M693" s="73">
        <v>6</v>
      </c>
      <c r="N693" s="103">
        <v>863.37</v>
      </c>
      <c r="O693" s="79">
        <f t="shared" si="207"/>
        <v>0.31849612564717328</v>
      </c>
      <c r="P693" s="80">
        <f t="shared" si="154"/>
        <v>3.1397556185904429</v>
      </c>
      <c r="Q693" s="79">
        <f t="shared" si="155"/>
        <v>0.25329538231961757</v>
      </c>
      <c r="R693" s="81">
        <f t="shared" si="156"/>
        <v>0.79528559980103364</v>
      </c>
      <c r="S693" s="104">
        <f t="shared" si="206"/>
        <v>222.2399999999999</v>
      </c>
      <c r="T693" s="83">
        <f t="shared" si="157"/>
        <v>45.830000000000005</v>
      </c>
      <c r="U693" s="135"/>
      <c r="V693" s="135"/>
      <c r="W693" s="135"/>
      <c r="X693" s="135"/>
      <c r="Y693" s="136"/>
      <c r="Z693" s="50"/>
      <c r="AA693" s="50"/>
    </row>
    <row r="694" spans="1:27" ht="12.75" hidden="1" outlineLevel="1" x14ac:dyDescent="0.2">
      <c r="A694" s="50"/>
      <c r="B694" s="137"/>
      <c r="C694" s="70" t="s">
        <v>42</v>
      </c>
      <c r="D694" s="90">
        <v>0</v>
      </c>
      <c r="E694" s="298"/>
      <c r="F694" s="73">
        <v>0</v>
      </c>
      <c r="G694" s="73">
        <v>0</v>
      </c>
      <c r="H694" s="74" t="e">
        <f t="shared" si="151"/>
        <v>#DIV/0!</v>
      </c>
      <c r="I694" s="75" t="e">
        <f t="shared" si="152"/>
        <v>#DIV/0!</v>
      </c>
      <c r="J694" s="76" t="e">
        <f t="shared" si="153"/>
        <v>#DIV/0!</v>
      </c>
      <c r="K694" s="90">
        <v>0</v>
      </c>
      <c r="L694" s="73">
        <v>0</v>
      </c>
      <c r="M694" s="73">
        <v>0</v>
      </c>
      <c r="N694" s="91">
        <v>0</v>
      </c>
      <c r="O694" s="79" t="e">
        <f t="shared" si="207"/>
        <v>#DIV/0!</v>
      </c>
      <c r="P694" s="80" t="e">
        <f t="shared" si="154"/>
        <v>#DIV/0!</v>
      </c>
      <c r="Q694" s="79" t="e">
        <f t="shared" si="155"/>
        <v>#DIV/0!</v>
      </c>
      <c r="R694" s="81" t="e">
        <f t="shared" si="156"/>
        <v>#DIV/0!</v>
      </c>
      <c r="S694" s="92">
        <f t="shared" si="206"/>
        <v>0</v>
      </c>
      <c r="T694" s="83" t="e">
        <f t="shared" si="157"/>
        <v>#DIV/0!</v>
      </c>
      <c r="U694" s="135"/>
      <c r="V694" s="135"/>
      <c r="W694" s="135"/>
      <c r="X694" s="135"/>
      <c r="Y694" s="136"/>
      <c r="Z694" s="50"/>
      <c r="AA694" s="50"/>
    </row>
    <row r="695" spans="1:27" ht="12.75" hidden="1" outlineLevel="1" x14ac:dyDescent="0.2">
      <c r="A695" s="50"/>
      <c r="B695" s="137"/>
      <c r="C695" s="70" t="s">
        <v>43</v>
      </c>
      <c r="D695" s="105">
        <v>171</v>
      </c>
      <c r="E695" s="298"/>
      <c r="F695" s="73">
        <v>0</v>
      </c>
      <c r="G695" s="73">
        <v>1</v>
      </c>
      <c r="H695" s="74">
        <f t="shared" si="151"/>
        <v>0</v>
      </c>
      <c r="I695" s="75" t="e">
        <f t="shared" si="152"/>
        <v>#DIV/0!</v>
      </c>
      <c r="J695" s="76" t="e">
        <f t="shared" si="153"/>
        <v>#DIV/0!</v>
      </c>
      <c r="K695" s="105">
        <v>38.020000000000003</v>
      </c>
      <c r="L695" s="73">
        <v>12107</v>
      </c>
      <c r="M695" s="73">
        <v>1</v>
      </c>
      <c r="N695" s="106">
        <v>210.95</v>
      </c>
      <c r="O695" s="79">
        <f t="shared" si="207"/>
        <v>0.18023228253140558</v>
      </c>
      <c r="P695" s="80">
        <f t="shared" si="154"/>
        <v>5.548395581273013</v>
      </c>
      <c r="Q695" s="79">
        <f t="shared" si="155"/>
        <v>0.22233918128654973</v>
      </c>
      <c r="R695" s="81">
        <f t="shared" si="156"/>
        <v>1.2336257309941521</v>
      </c>
      <c r="S695" s="107">
        <f t="shared" si="206"/>
        <v>-39.949999999999989</v>
      </c>
      <c r="T695" s="83">
        <f t="shared" si="157"/>
        <v>38.020000000000003</v>
      </c>
      <c r="U695" s="135"/>
      <c r="V695" s="135"/>
      <c r="W695" s="135"/>
      <c r="X695" s="135"/>
      <c r="Y695" s="136"/>
      <c r="Z695" s="50"/>
      <c r="AA695" s="50"/>
    </row>
    <row r="696" spans="1:27" ht="12.75" hidden="1" outlineLevel="1" x14ac:dyDescent="0.2">
      <c r="A696" s="50"/>
      <c r="B696" s="137"/>
      <c r="C696" s="70" t="s">
        <v>44</v>
      </c>
      <c r="D696" s="108">
        <v>134.85</v>
      </c>
      <c r="E696" s="298"/>
      <c r="F696" s="73">
        <v>3</v>
      </c>
      <c r="G696" s="73">
        <v>3</v>
      </c>
      <c r="H696" s="74">
        <f t="shared" si="151"/>
        <v>1</v>
      </c>
      <c r="I696" s="75">
        <f t="shared" si="152"/>
        <v>44.949999999999996</v>
      </c>
      <c r="J696" s="76">
        <f t="shared" si="153"/>
        <v>44.949999999999996</v>
      </c>
      <c r="K696" s="108">
        <v>103.17</v>
      </c>
      <c r="L696" s="73">
        <v>64840</v>
      </c>
      <c r="M696" s="73">
        <v>2</v>
      </c>
      <c r="N696" s="109">
        <v>89.9</v>
      </c>
      <c r="O696" s="79">
        <f t="shared" si="207"/>
        <v>1.1476084538375972</v>
      </c>
      <c r="P696" s="80">
        <f t="shared" si="154"/>
        <v>0.87137733837355824</v>
      </c>
      <c r="Q696" s="79">
        <f t="shared" si="155"/>
        <v>0.76507230255839831</v>
      </c>
      <c r="R696" s="81">
        <f t="shared" si="156"/>
        <v>0.66666666666666674</v>
      </c>
      <c r="S696" s="110">
        <f t="shared" si="206"/>
        <v>44.949999999999989</v>
      </c>
      <c r="T696" s="83">
        <f t="shared" si="157"/>
        <v>51.585000000000001</v>
      </c>
      <c r="U696" s="135"/>
      <c r="V696" s="135"/>
      <c r="W696" s="135"/>
      <c r="X696" s="135"/>
      <c r="Y696" s="136"/>
      <c r="Z696" s="50"/>
      <c r="AA696" s="50"/>
    </row>
    <row r="697" spans="1:27" ht="12.75" hidden="1" outlineLevel="1" x14ac:dyDescent="0.2">
      <c r="A697" s="139"/>
      <c r="B697" s="137"/>
      <c r="C697" s="112" t="s">
        <v>45</v>
      </c>
      <c r="D697" s="71">
        <v>59.9</v>
      </c>
      <c r="E697" s="298"/>
      <c r="F697" s="73">
        <v>2</v>
      </c>
      <c r="G697" s="73">
        <v>1</v>
      </c>
      <c r="H697" s="74">
        <f t="shared" si="151"/>
        <v>2</v>
      </c>
      <c r="I697" s="75">
        <f t="shared" si="152"/>
        <v>29.95</v>
      </c>
      <c r="J697" s="76">
        <f t="shared" si="153"/>
        <v>14.975</v>
      </c>
      <c r="K697" s="71">
        <v>0</v>
      </c>
      <c r="L697" s="73">
        <v>0</v>
      </c>
      <c r="M697" s="73">
        <v>0</v>
      </c>
      <c r="N697" s="78">
        <v>0</v>
      </c>
      <c r="O697" s="79" t="e">
        <f t="shared" si="207"/>
        <v>#DIV/0!</v>
      </c>
      <c r="P697" s="80" t="e">
        <f t="shared" si="154"/>
        <v>#DIV/0!</v>
      </c>
      <c r="Q697" s="79">
        <f t="shared" si="155"/>
        <v>0</v>
      </c>
      <c r="R697" s="81">
        <f t="shared" si="156"/>
        <v>0</v>
      </c>
      <c r="S697" s="82">
        <f t="shared" si="206"/>
        <v>59.9</v>
      </c>
      <c r="T697" s="83" t="e">
        <f t="shared" si="157"/>
        <v>#DIV/0!</v>
      </c>
      <c r="U697" s="140"/>
      <c r="V697" s="140"/>
      <c r="W697" s="140"/>
      <c r="X697" s="141"/>
      <c r="Y697" s="142"/>
      <c r="Z697" s="50"/>
      <c r="AA697" s="50"/>
    </row>
    <row r="698" spans="1:27" ht="12.75" hidden="1" outlineLevel="1" x14ac:dyDescent="0.2">
      <c r="A698" s="50"/>
      <c r="B698" s="137"/>
      <c r="C698" s="70" t="s">
        <v>46</v>
      </c>
      <c r="D698" s="116">
        <v>787.1</v>
      </c>
      <c r="E698" s="298"/>
      <c r="F698" s="73">
        <v>18</v>
      </c>
      <c r="G698" s="73">
        <v>19</v>
      </c>
      <c r="H698" s="74">
        <f t="shared" si="151"/>
        <v>0.94736842105263153</v>
      </c>
      <c r="I698" s="75">
        <f t="shared" si="152"/>
        <v>43.727777777777781</v>
      </c>
      <c r="J698" s="76">
        <f t="shared" si="153"/>
        <v>46.157098765432103</v>
      </c>
      <c r="K698" s="116">
        <v>106.64</v>
      </c>
      <c r="L698" s="73">
        <v>24790</v>
      </c>
      <c r="M698" s="73">
        <v>2</v>
      </c>
      <c r="N698" s="117">
        <v>87.9</v>
      </c>
      <c r="O698" s="79">
        <f t="shared" si="207"/>
        <v>1.2131968145620022</v>
      </c>
      <c r="P698" s="80">
        <f t="shared" si="154"/>
        <v>0.82426856714178554</v>
      </c>
      <c r="Q698" s="79">
        <f t="shared" si="155"/>
        <v>0.13548469063651378</v>
      </c>
      <c r="R698" s="81">
        <f t="shared" si="156"/>
        <v>0.1116757718206073</v>
      </c>
      <c r="S698" s="82">
        <f t="shared" si="206"/>
        <v>699.2</v>
      </c>
      <c r="T698" s="83">
        <f t="shared" si="157"/>
        <v>53.32</v>
      </c>
      <c r="U698" s="135"/>
      <c r="V698" s="135"/>
      <c r="W698" s="135"/>
      <c r="X698" s="135"/>
      <c r="Y698" s="136"/>
      <c r="Z698" s="50"/>
      <c r="AA698" s="50"/>
    </row>
    <row r="699" spans="1:27" ht="12.75" hidden="1" outlineLevel="1" x14ac:dyDescent="0.2">
      <c r="A699" s="118" t="str">
        <f t="shared" ref="A699:A700" si="208">IFERROR(IF(B699&gt;0,MONTH(B699)&amp;"-"&amp;YEAR(B699),B699),)</f>
        <v>9-2025</v>
      </c>
      <c r="B699" s="69">
        <v>45913</v>
      </c>
      <c r="C699" s="70" t="s">
        <v>49</v>
      </c>
      <c r="D699" s="116">
        <v>0</v>
      </c>
      <c r="E699" s="298"/>
      <c r="F699" s="73">
        <v>0</v>
      </c>
      <c r="G699" s="73">
        <v>0</v>
      </c>
      <c r="H699" s="74" t="e">
        <f t="shared" si="151"/>
        <v>#DIV/0!</v>
      </c>
      <c r="I699" s="75" t="e">
        <f t="shared" si="152"/>
        <v>#DIV/0!</v>
      </c>
      <c r="J699" s="76" t="e">
        <f t="shared" si="153"/>
        <v>#DIV/0!</v>
      </c>
      <c r="K699" s="116">
        <v>7.87</v>
      </c>
      <c r="L699" s="73">
        <v>8514</v>
      </c>
      <c r="M699" s="73">
        <v>0</v>
      </c>
      <c r="N699" s="117">
        <v>0</v>
      </c>
      <c r="O699" s="79" t="e">
        <f t="shared" si="207"/>
        <v>#DIV/0!</v>
      </c>
      <c r="P699" s="80">
        <f t="shared" si="154"/>
        <v>0</v>
      </c>
      <c r="Q699" s="79" t="e">
        <f t="shared" si="155"/>
        <v>#DIV/0!</v>
      </c>
      <c r="R699" s="81" t="e">
        <f t="shared" si="156"/>
        <v>#DIV/0!</v>
      </c>
      <c r="S699" s="82">
        <f t="shared" si="206"/>
        <v>0</v>
      </c>
      <c r="T699" s="83" t="e">
        <f t="shared" si="157"/>
        <v>#DIV/0!</v>
      </c>
      <c r="U699" s="135"/>
      <c r="V699" s="135"/>
      <c r="W699" s="135"/>
      <c r="X699" s="135"/>
      <c r="Y699" s="136"/>
      <c r="Z699" s="50"/>
      <c r="AA699" s="50"/>
    </row>
    <row r="700" spans="1:27" ht="12.75" collapsed="1" x14ac:dyDescent="0.2">
      <c r="A700" s="50">
        <f t="shared" si="208"/>
        <v>0</v>
      </c>
      <c r="B700" s="52" t="s">
        <v>95</v>
      </c>
      <c r="C700" s="145"/>
      <c r="D700" s="121">
        <f>SUM(D685:D699)</f>
        <v>13514.61</v>
      </c>
      <c r="E700" s="297"/>
      <c r="F700" s="123">
        <f t="shared" ref="F700:G700" si="209">SUM(F685:F699)</f>
        <v>144</v>
      </c>
      <c r="G700" s="123">
        <f t="shared" si="209"/>
        <v>142</v>
      </c>
      <c r="H700" s="124">
        <f t="shared" si="151"/>
        <v>1.0140845070422535</v>
      </c>
      <c r="I700" s="125">
        <f t="shared" si="152"/>
        <v>93.851458333333341</v>
      </c>
      <c r="J700" s="126">
        <f t="shared" si="153"/>
        <v>92.547965856481497</v>
      </c>
      <c r="K700" s="121">
        <f t="shared" ref="K700:N700" si="210">SUM(K685:K699)</f>
        <v>2300.21</v>
      </c>
      <c r="L700" s="123">
        <f t="shared" si="210"/>
        <v>476644</v>
      </c>
      <c r="M700" s="123">
        <f t="shared" si="210"/>
        <v>35</v>
      </c>
      <c r="N700" s="127">
        <f t="shared" si="210"/>
        <v>5912.4199999999992</v>
      </c>
      <c r="O700" s="128">
        <f t="shared" si="207"/>
        <v>0.38904712452768925</v>
      </c>
      <c r="P700" s="129">
        <f t="shared" si="154"/>
        <v>2.5703827041878782</v>
      </c>
      <c r="Q700" s="128">
        <f t="shared" si="155"/>
        <v>0.17020172983164145</v>
      </c>
      <c r="R700" s="130">
        <f t="shared" si="156"/>
        <v>0.43748358258210923</v>
      </c>
      <c r="S700" s="131">
        <f>SUM(S685:S699)</f>
        <v>7602.19</v>
      </c>
      <c r="T700" s="132">
        <f t="shared" si="157"/>
        <v>65.720285714285708</v>
      </c>
      <c r="U700" s="133">
        <f>IFERROR((D700-D246)/D700,)</f>
        <v>0.4390278372812832</v>
      </c>
      <c r="V700" s="133">
        <f>IFERROR((F700-F246)/F700,)</f>
        <v>0.34722222222222221</v>
      </c>
      <c r="W700" s="271">
        <f>IFERROR((D700-[1]monthly_reporting_2021!E491)/D700, )</f>
        <v>0</v>
      </c>
      <c r="X700" s="271">
        <f>IFERROR((F700-[1]monthly_reporting_2021!F491)/F700, )</f>
        <v>0</v>
      </c>
      <c r="Y700" s="50"/>
      <c r="Z700" s="50"/>
      <c r="AA700" s="50"/>
    </row>
    <row r="701" spans="1:27" ht="12.75" hidden="1" outlineLevel="1" x14ac:dyDescent="0.2">
      <c r="A701" s="50"/>
      <c r="B701" s="69">
        <v>45914</v>
      </c>
      <c r="C701" s="70" t="s">
        <v>32</v>
      </c>
      <c r="D701" s="71">
        <v>1165.55</v>
      </c>
      <c r="E701" s="298"/>
      <c r="F701" s="73">
        <v>6</v>
      </c>
      <c r="G701" s="73">
        <v>8</v>
      </c>
      <c r="H701" s="74">
        <f t="shared" si="151"/>
        <v>0.75</v>
      </c>
      <c r="I701" s="75">
        <f t="shared" si="152"/>
        <v>194.25833333333333</v>
      </c>
      <c r="J701" s="76">
        <f t="shared" si="153"/>
        <v>259.01111111111112</v>
      </c>
      <c r="K701" s="77">
        <v>839.67</v>
      </c>
      <c r="L701" s="73">
        <v>144598</v>
      </c>
      <c r="M701" s="73">
        <v>2</v>
      </c>
      <c r="N701" s="78">
        <v>968</v>
      </c>
      <c r="O701" s="79">
        <f t="shared" si="207"/>
        <v>0.8674276859504132</v>
      </c>
      <c r="P701" s="80">
        <f t="shared" si="154"/>
        <v>1.1528338513940002</v>
      </c>
      <c r="Q701" s="79">
        <f t="shared" si="155"/>
        <v>0.72040667496031918</v>
      </c>
      <c r="R701" s="81">
        <f t="shared" si="156"/>
        <v>0.8305092016644503</v>
      </c>
      <c r="S701" s="82">
        <f t="shared" ref="S701:S715" si="211">D701-N701</f>
        <v>197.54999999999995</v>
      </c>
      <c r="T701" s="83">
        <f t="shared" si="157"/>
        <v>419.83499999999998</v>
      </c>
      <c r="U701" s="135"/>
      <c r="V701" s="135"/>
      <c r="W701" s="135"/>
      <c r="X701" s="135"/>
      <c r="Y701" s="136"/>
      <c r="Z701" s="50"/>
      <c r="AA701" s="50"/>
    </row>
    <row r="702" spans="1:27" ht="12.75" hidden="1" outlineLevel="1" x14ac:dyDescent="0.2">
      <c r="A702" s="50"/>
      <c r="B702" s="137"/>
      <c r="C702" s="70" t="s">
        <v>33</v>
      </c>
      <c r="D702" s="87">
        <v>4327</v>
      </c>
      <c r="E702" s="298"/>
      <c r="F702" s="73">
        <v>33</v>
      </c>
      <c r="G702" s="73">
        <v>38</v>
      </c>
      <c r="H702" s="74">
        <f t="shared" si="151"/>
        <v>0.86842105263157898</v>
      </c>
      <c r="I702" s="75">
        <f t="shared" si="152"/>
        <v>131.12121212121212</v>
      </c>
      <c r="J702" s="76">
        <f t="shared" si="153"/>
        <v>150.98806244260788</v>
      </c>
      <c r="K702" s="87">
        <v>361.95</v>
      </c>
      <c r="L702" s="73">
        <v>99708</v>
      </c>
      <c r="M702" s="73">
        <v>8</v>
      </c>
      <c r="N702" s="88">
        <v>923.85</v>
      </c>
      <c r="O702" s="79">
        <f t="shared" si="207"/>
        <v>0.39178438058126319</v>
      </c>
      <c r="P702" s="80">
        <f t="shared" si="154"/>
        <v>2.5524243680066308</v>
      </c>
      <c r="Q702" s="79">
        <f t="shared" si="155"/>
        <v>8.3649179570140966E-2</v>
      </c>
      <c r="R702" s="81">
        <f t="shared" si="156"/>
        <v>0.21350820429859024</v>
      </c>
      <c r="S702" s="89">
        <f t="shared" si="211"/>
        <v>3403.15</v>
      </c>
      <c r="T702" s="83">
        <f t="shared" si="157"/>
        <v>45.243749999999999</v>
      </c>
      <c r="U702" s="135"/>
      <c r="V702" s="135"/>
      <c r="W702" s="135"/>
      <c r="X702" s="135"/>
      <c r="Y702" s="136"/>
      <c r="Z702" s="50"/>
      <c r="AA702" s="50"/>
    </row>
    <row r="703" spans="1:27" ht="12.75" hidden="1" outlineLevel="1" x14ac:dyDescent="0.2">
      <c r="A703" s="50"/>
      <c r="B703" s="137"/>
      <c r="C703" s="70" t="s">
        <v>34</v>
      </c>
      <c r="D703" s="90">
        <v>419.7</v>
      </c>
      <c r="E703" s="298"/>
      <c r="F703" s="73">
        <v>6</v>
      </c>
      <c r="G703" s="73">
        <v>3</v>
      </c>
      <c r="H703" s="74">
        <f t="shared" si="151"/>
        <v>2</v>
      </c>
      <c r="I703" s="75">
        <f t="shared" si="152"/>
        <v>69.95</v>
      </c>
      <c r="J703" s="76">
        <f t="shared" si="153"/>
        <v>34.975000000000001</v>
      </c>
      <c r="K703" s="90">
        <v>6.71</v>
      </c>
      <c r="L703" s="73">
        <v>243</v>
      </c>
      <c r="M703" s="73">
        <v>0</v>
      </c>
      <c r="N703" s="91">
        <v>0</v>
      </c>
      <c r="O703" s="79" t="e">
        <f>(K703/N703)</f>
        <v>#DIV/0!</v>
      </c>
      <c r="P703" s="80">
        <f t="shared" si="154"/>
        <v>0</v>
      </c>
      <c r="Q703" s="79">
        <f t="shared" si="155"/>
        <v>1.5987610197760304E-2</v>
      </c>
      <c r="R703" s="81">
        <f t="shared" si="156"/>
        <v>0</v>
      </c>
      <c r="S703" s="92">
        <f t="shared" si="211"/>
        <v>419.7</v>
      </c>
      <c r="T703" s="83" t="e">
        <f t="shared" si="157"/>
        <v>#DIV/0!</v>
      </c>
      <c r="U703" s="135"/>
      <c r="V703" s="135"/>
      <c r="W703" s="135"/>
      <c r="X703" s="135"/>
      <c r="Y703" s="136"/>
      <c r="Z703" s="50"/>
      <c r="AA703" s="50"/>
    </row>
    <row r="704" spans="1:27" ht="12.75" hidden="1" outlineLevel="1" x14ac:dyDescent="0.2">
      <c r="A704" s="50"/>
      <c r="B704" s="137"/>
      <c r="C704" s="70" t="s">
        <v>35</v>
      </c>
      <c r="D704" s="90">
        <v>734.4</v>
      </c>
      <c r="E704" s="298"/>
      <c r="F704" s="73">
        <v>12</v>
      </c>
      <c r="G704" s="73">
        <v>9</v>
      </c>
      <c r="H704" s="74">
        <f t="shared" si="151"/>
        <v>1.3333333333333333</v>
      </c>
      <c r="I704" s="75">
        <f t="shared" si="152"/>
        <v>61.199999999999996</v>
      </c>
      <c r="J704" s="76">
        <f t="shared" si="153"/>
        <v>45.9</v>
      </c>
      <c r="K704" s="90">
        <v>179.68</v>
      </c>
      <c r="L704" s="73">
        <v>21866</v>
      </c>
      <c r="M704" s="73">
        <v>5</v>
      </c>
      <c r="N704" s="91">
        <v>299.75</v>
      </c>
      <c r="O704" s="79">
        <f t="shared" ref="O704:O718" si="212">K704/N704</f>
        <v>0.59943286071726443</v>
      </c>
      <c r="P704" s="80">
        <f t="shared" si="154"/>
        <v>1.6682435440783614</v>
      </c>
      <c r="Q704" s="79">
        <f t="shared" si="155"/>
        <v>0.24466230936819175</v>
      </c>
      <c r="R704" s="81">
        <f t="shared" si="156"/>
        <v>0.40815631808278868</v>
      </c>
      <c r="S704" s="92">
        <f t="shared" si="211"/>
        <v>434.65</v>
      </c>
      <c r="T704" s="83">
        <f t="shared" si="157"/>
        <v>35.936</v>
      </c>
      <c r="U704" s="135"/>
      <c r="V704" s="135"/>
      <c r="W704" s="135"/>
      <c r="X704" s="135"/>
      <c r="Y704" s="136"/>
      <c r="Z704" s="50"/>
      <c r="AA704" s="50"/>
    </row>
    <row r="705" spans="1:27" ht="12.75" hidden="1" outlineLevel="1" x14ac:dyDescent="0.2">
      <c r="A705" s="50"/>
      <c r="B705" s="137"/>
      <c r="C705" s="70" t="s">
        <v>36</v>
      </c>
      <c r="D705" s="90">
        <v>224.81</v>
      </c>
      <c r="E705" s="298"/>
      <c r="F705" s="73">
        <v>3</v>
      </c>
      <c r="G705" s="73">
        <v>4</v>
      </c>
      <c r="H705" s="74">
        <f t="shared" si="151"/>
        <v>0.75</v>
      </c>
      <c r="I705" s="75">
        <f t="shared" si="152"/>
        <v>74.936666666666667</v>
      </c>
      <c r="J705" s="76">
        <f t="shared" si="153"/>
        <v>99.915555555555557</v>
      </c>
      <c r="K705" s="90">
        <v>74.989999999999995</v>
      </c>
      <c r="L705" s="73">
        <v>20107</v>
      </c>
      <c r="M705" s="73">
        <v>2</v>
      </c>
      <c r="N705" s="91">
        <v>129.9</v>
      </c>
      <c r="O705" s="79">
        <f t="shared" si="212"/>
        <v>0.57729022324865276</v>
      </c>
      <c r="P705" s="80">
        <f t="shared" si="154"/>
        <v>1.7322309641285507</v>
      </c>
      <c r="Q705" s="79">
        <f t="shared" si="155"/>
        <v>0.33357057070415014</v>
      </c>
      <c r="R705" s="81">
        <f t="shared" si="156"/>
        <v>0.57782127129576089</v>
      </c>
      <c r="S705" s="92">
        <f t="shared" si="211"/>
        <v>94.91</v>
      </c>
      <c r="T705" s="83">
        <f t="shared" si="157"/>
        <v>37.494999999999997</v>
      </c>
      <c r="U705" s="135"/>
      <c r="V705" s="135"/>
      <c r="W705" s="135"/>
      <c r="X705" s="135"/>
      <c r="Y705" s="136"/>
      <c r="Z705" s="50"/>
      <c r="AA705" s="50"/>
    </row>
    <row r="706" spans="1:27" ht="12.75" hidden="1" outlineLevel="1" x14ac:dyDescent="0.2">
      <c r="A706" s="50"/>
      <c r="B706" s="69" t="s">
        <v>37</v>
      </c>
      <c r="C706" s="70" t="s">
        <v>38</v>
      </c>
      <c r="D706" s="93">
        <v>209.85</v>
      </c>
      <c r="E706" s="298"/>
      <c r="F706" s="73">
        <v>3</v>
      </c>
      <c r="G706" s="73">
        <v>3</v>
      </c>
      <c r="H706" s="74">
        <f t="shared" si="151"/>
        <v>1</v>
      </c>
      <c r="I706" s="75">
        <f t="shared" si="152"/>
        <v>69.95</v>
      </c>
      <c r="J706" s="76">
        <f t="shared" si="153"/>
        <v>69.95</v>
      </c>
      <c r="K706" s="93">
        <v>29.95</v>
      </c>
      <c r="L706" s="73">
        <v>15344</v>
      </c>
      <c r="M706" s="73">
        <v>0</v>
      </c>
      <c r="N706" s="94">
        <v>0</v>
      </c>
      <c r="O706" s="79" t="e">
        <f t="shared" si="212"/>
        <v>#DIV/0!</v>
      </c>
      <c r="P706" s="80">
        <f t="shared" si="154"/>
        <v>0</v>
      </c>
      <c r="Q706" s="79">
        <f t="shared" si="155"/>
        <v>0.14272099118417916</v>
      </c>
      <c r="R706" s="81">
        <f t="shared" si="156"/>
        <v>0</v>
      </c>
      <c r="S706" s="95">
        <f t="shared" si="211"/>
        <v>209.85</v>
      </c>
      <c r="T706" s="83" t="e">
        <f t="shared" si="157"/>
        <v>#DIV/0!</v>
      </c>
      <c r="U706" s="135"/>
      <c r="V706" s="135"/>
      <c r="W706" s="135"/>
      <c r="X706" s="135"/>
      <c r="Y706" s="136"/>
      <c r="Z706" s="50"/>
      <c r="AA706" s="50"/>
    </row>
    <row r="707" spans="1:27" ht="12.75" hidden="1" outlineLevel="1" x14ac:dyDescent="0.2">
      <c r="A707" s="50"/>
      <c r="B707" s="137"/>
      <c r="C707" s="70" t="s">
        <v>39</v>
      </c>
      <c r="D707" s="96">
        <v>99.8</v>
      </c>
      <c r="E707" s="298"/>
      <c r="F707" s="73">
        <v>4</v>
      </c>
      <c r="G707" s="73">
        <v>2</v>
      </c>
      <c r="H707" s="74">
        <f t="shared" si="151"/>
        <v>2</v>
      </c>
      <c r="I707" s="75">
        <f t="shared" si="152"/>
        <v>24.95</v>
      </c>
      <c r="J707" s="76">
        <f t="shared" si="153"/>
        <v>12.475</v>
      </c>
      <c r="K707" s="96">
        <v>0</v>
      </c>
      <c r="L707" s="73">
        <v>0</v>
      </c>
      <c r="M707" s="73">
        <v>0</v>
      </c>
      <c r="N707" s="97">
        <v>0</v>
      </c>
      <c r="O707" s="79" t="e">
        <f t="shared" si="212"/>
        <v>#DIV/0!</v>
      </c>
      <c r="P707" s="80" t="e">
        <f t="shared" si="154"/>
        <v>#DIV/0!</v>
      </c>
      <c r="Q707" s="79">
        <f t="shared" si="155"/>
        <v>0</v>
      </c>
      <c r="R707" s="81">
        <f t="shared" si="156"/>
        <v>0</v>
      </c>
      <c r="S707" s="98">
        <f t="shared" si="211"/>
        <v>99.8</v>
      </c>
      <c r="T707" s="83" t="e">
        <f t="shared" si="157"/>
        <v>#DIV/0!</v>
      </c>
      <c r="U707" s="135"/>
      <c r="V707" s="135"/>
      <c r="W707" s="135"/>
      <c r="X707" s="135"/>
      <c r="Y707" s="136"/>
      <c r="Z707" s="50"/>
      <c r="AA707" s="50"/>
    </row>
    <row r="708" spans="1:27" ht="12.75" hidden="1" outlineLevel="1" x14ac:dyDescent="0.2">
      <c r="A708" s="50"/>
      <c r="B708" s="137"/>
      <c r="C708" s="70" t="s">
        <v>40</v>
      </c>
      <c r="D708" s="99">
        <v>-54.95</v>
      </c>
      <c r="E708" s="298"/>
      <c r="F708" s="73">
        <v>-1</v>
      </c>
      <c r="G708" s="73">
        <v>3</v>
      </c>
      <c r="H708" s="74">
        <f t="shared" si="151"/>
        <v>-0.33333333333333331</v>
      </c>
      <c r="I708" s="75">
        <f t="shared" si="152"/>
        <v>54.95</v>
      </c>
      <c r="J708" s="76">
        <f t="shared" si="153"/>
        <v>-164.85000000000002</v>
      </c>
      <c r="K708" s="99">
        <v>0</v>
      </c>
      <c r="L708" s="73">
        <v>0</v>
      </c>
      <c r="M708" s="73">
        <v>0</v>
      </c>
      <c r="N708" s="100">
        <v>0</v>
      </c>
      <c r="O708" s="79" t="e">
        <f t="shared" si="212"/>
        <v>#DIV/0!</v>
      </c>
      <c r="P708" s="80" t="e">
        <f t="shared" si="154"/>
        <v>#DIV/0!</v>
      </c>
      <c r="Q708" s="79">
        <f t="shared" si="155"/>
        <v>0</v>
      </c>
      <c r="R708" s="81">
        <f t="shared" si="156"/>
        <v>0</v>
      </c>
      <c r="S708" s="101">
        <f t="shared" si="211"/>
        <v>-54.95</v>
      </c>
      <c r="T708" s="83" t="e">
        <f t="shared" si="157"/>
        <v>#DIV/0!</v>
      </c>
      <c r="U708" s="135"/>
      <c r="V708" s="135"/>
      <c r="W708" s="135"/>
      <c r="X708" s="135"/>
      <c r="Y708" s="136"/>
      <c r="Z708" s="50"/>
      <c r="AA708" s="50"/>
    </row>
    <row r="709" spans="1:27" ht="12.75" hidden="1" outlineLevel="1" x14ac:dyDescent="0.2">
      <c r="A709" s="50"/>
      <c r="B709" s="137"/>
      <c r="C709" s="70" t="s">
        <v>41</v>
      </c>
      <c r="D709" s="102">
        <v>623.23</v>
      </c>
      <c r="E709" s="298"/>
      <c r="F709" s="73">
        <v>9</v>
      </c>
      <c r="G709" s="73">
        <v>11</v>
      </c>
      <c r="H709" s="74">
        <f t="shared" si="151"/>
        <v>0.81818181818181823</v>
      </c>
      <c r="I709" s="75">
        <f t="shared" si="152"/>
        <v>69.247777777777785</v>
      </c>
      <c r="J709" s="76">
        <f t="shared" si="153"/>
        <v>84.636172839506173</v>
      </c>
      <c r="K709" s="102">
        <v>233.2</v>
      </c>
      <c r="L709" s="73">
        <v>24539</v>
      </c>
      <c r="M709" s="73">
        <v>3</v>
      </c>
      <c r="N709" s="103">
        <v>282.98</v>
      </c>
      <c r="O709" s="79">
        <f t="shared" si="212"/>
        <v>0.82408650788041549</v>
      </c>
      <c r="P709" s="80">
        <f t="shared" si="154"/>
        <v>1.213464837049743</v>
      </c>
      <c r="Q709" s="79">
        <f t="shared" si="155"/>
        <v>0.3741796768448245</v>
      </c>
      <c r="R709" s="81">
        <f t="shared" si="156"/>
        <v>0.45405388058983043</v>
      </c>
      <c r="S709" s="104">
        <f t="shared" si="211"/>
        <v>340.25</v>
      </c>
      <c r="T709" s="83">
        <f t="shared" si="157"/>
        <v>77.733333333333334</v>
      </c>
      <c r="U709" s="135"/>
      <c r="V709" s="135"/>
      <c r="W709" s="135"/>
      <c r="X709" s="135"/>
      <c r="Y709" s="136"/>
      <c r="Z709" s="50"/>
      <c r="AA709" s="50"/>
    </row>
    <row r="710" spans="1:27" ht="12.75" hidden="1" outlineLevel="1" x14ac:dyDescent="0.2">
      <c r="A710" s="50"/>
      <c r="B710" s="137"/>
      <c r="C710" s="70" t="s">
        <v>42</v>
      </c>
      <c r="D710" s="90">
        <v>0</v>
      </c>
      <c r="E710" s="298"/>
      <c r="F710" s="73">
        <v>0</v>
      </c>
      <c r="G710" s="73">
        <v>0</v>
      </c>
      <c r="H710" s="74" t="e">
        <f t="shared" si="151"/>
        <v>#DIV/0!</v>
      </c>
      <c r="I710" s="75" t="e">
        <f t="shared" si="152"/>
        <v>#DIV/0!</v>
      </c>
      <c r="J710" s="76" t="e">
        <f t="shared" si="153"/>
        <v>#DIV/0!</v>
      </c>
      <c r="K710" s="90">
        <v>0</v>
      </c>
      <c r="L710" s="73">
        <v>0</v>
      </c>
      <c r="M710" s="73">
        <v>0</v>
      </c>
      <c r="N710" s="91">
        <v>0</v>
      </c>
      <c r="O710" s="79" t="e">
        <f t="shared" si="212"/>
        <v>#DIV/0!</v>
      </c>
      <c r="P710" s="80" t="e">
        <f t="shared" si="154"/>
        <v>#DIV/0!</v>
      </c>
      <c r="Q710" s="79" t="e">
        <f t="shared" si="155"/>
        <v>#DIV/0!</v>
      </c>
      <c r="R710" s="81" t="e">
        <f t="shared" si="156"/>
        <v>#DIV/0!</v>
      </c>
      <c r="S710" s="92">
        <f t="shared" si="211"/>
        <v>0</v>
      </c>
      <c r="T710" s="83" t="e">
        <f t="shared" si="157"/>
        <v>#DIV/0!</v>
      </c>
      <c r="U710" s="135"/>
      <c r="V710" s="135"/>
      <c r="W710" s="135"/>
      <c r="X710" s="135"/>
      <c r="Y710" s="136"/>
      <c r="Z710" s="50"/>
      <c r="AA710" s="50"/>
    </row>
    <row r="711" spans="1:27" ht="12.75" hidden="1" outlineLevel="1" x14ac:dyDescent="0.2">
      <c r="A711" s="50"/>
      <c r="B711" s="137"/>
      <c r="C711" s="70" t="s">
        <v>43</v>
      </c>
      <c r="D711" s="105">
        <v>250.9</v>
      </c>
      <c r="E711" s="298"/>
      <c r="F711" s="73">
        <v>2</v>
      </c>
      <c r="G711" s="73">
        <v>2</v>
      </c>
      <c r="H711" s="74">
        <f t="shared" si="151"/>
        <v>1</v>
      </c>
      <c r="I711" s="75">
        <f t="shared" si="152"/>
        <v>125.45</v>
      </c>
      <c r="J711" s="76">
        <f t="shared" si="153"/>
        <v>125.45</v>
      </c>
      <c r="K711" s="105">
        <v>102.13</v>
      </c>
      <c r="L711" s="73">
        <v>11856</v>
      </c>
      <c r="M711" s="73">
        <v>2</v>
      </c>
      <c r="N711" s="106">
        <v>210.95</v>
      </c>
      <c r="O711" s="79">
        <f t="shared" si="212"/>
        <v>0.48414316188670303</v>
      </c>
      <c r="P711" s="80">
        <f t="shared" si="154"/>
        <v>2.0655047488495053</v>
      </c>
      <c r="Q711" s="79">
        <f t="shared" si="155"/>
        <v>0.40705460342766042</v>
      </c>
      <c r="R711" s="81">
        <f t="shared" si="156"/>
        <v>0.84077321642088476</v>
      </c>
      <c r="S711" s="107">
        <f t="shared" si="211"/>
        <v>39.950000000000017</v>
      </c>
      <c r="T711" s="83">
        <f t="shared" si="157"/>
        <v>51.064999999999998</v>
      </c>
      <c r="U711" s="135"/>
      <c r="V711" s="135"/>
      <c r="W711" s="135"/>
      <c r="X711" s="135"/>
      <c r="Y711" s="136"/>
      <c r="Z711" s="50"/>
      <c r="AA711" s="50"/>
    </row>
    <row r="712" spans="1:27" ht="12.75" hidden="1" outlineLevel="1" x14ac:dyDescent="0.2">
      <c r="A712" s="50"/>
      <c r="B712" s="137"/>
      <c r="C712" s="70" t="s">
        <v>44</v>
      </c>
      <c r="D712" s="108">
        <v>214.8</v>
      </c>
      <c r="E712" s="298"/>
      <c r="F712" s="73">
        <v>4</v>
      </c>
      <c r="G712" s="73">
        <v>6</v>
      </c>
      <c r="H712" s="74">
        <f t="shared" si="151"/>
        <v>0.66666666666666663</v>
      </c>
      <c r="I712" s="75">
        <f t="shared" si="152"/>
        <v>53.7</v>
      </c>
      <c r="J712" s="76">
        <f t="shared" si="153"/>
        <v>80.550000000000011</v>
      </c>
      <c r="K712" s="108">
        <v>128.68</v>
      </c>
      <c r="L712" s="73">
        <v>60875</v>
      </c>
      <c r="M712" s="73">
        <v>6</v>
      </c>
      <c r="N712" s="109">
        <v>304.7</v>
      </c>
      <c r="O712" s="79">
        <f t="shared" si="212"/>
        <v>0.42231703314735808</v>
      </c>
      <c r="P712" s="80">
        <f t="shared" si="154"/>
        <v>2.3678893378924464</v>
      </c>
      <c r="Q712" s="79">
        <f t="shared" si="155"/>
        <v>0.59906890130353818</v>
      </c>
      <c r="R712" s="81">
        <f t="shared" si="156"/>
        <v>1.4185288640595901</v>
      </c>
      <c r="S712" s="110">
        <f t="shared" si="211"/>
        <v>-89.899999999999977</v>
      </c>
      <c r="T712" s="83">
        <f t="shared" si="157"/>
        <v>21.446666666666669</v>
      </c>
      <c r="U712" s="135"/>
      <c r="V712" s="135"/>
      <c r="W712" s="135"/>
      <c r="X712" s="135"/>
      <c r="Y712" s="136"/>
      <c r="Z712" s="50"/>
      <c r="AA712" s="50"/>
    </row>
    <row r="713" spans="1:27" ht="12.75" hidden="1" outlineLevel="1" x14ac:dyDescent="0.2">
      <c r="A713" s="139"/>
      <c r="B713" s="137"/>
      <c r="C713" s="112" t="s">
        <v>45</v>
      </c>
      <c r="D713" s="71">
        <v>29.95</v>
      </c>
      <c r="E713" s="298"/>
      <c r="F713" s="73">
        <v>1</v>
      </c>
      <c r="G713" s="73">
        <v>1</v>
      </c>
      <c r="H713" s="74">
        <f t="shared" si="151"/>
        <v>1</v>
      </c>
      <c r="I713" s="75">
        <f t="shared" si="152"/>
        <v>29.95</v>
      </c>
      <c r="J713" s="76">
        <f t="shared" si="153"/>
        <v>29.95</v>
      </c>
      <c r="K713" s="71">
        <v>0</v>
      </c>
      <c r="L713" s="73">
        <v>0</v>
      </c>
      <c r="M713" s="73">
        <v>0</v>
      </c>
      <c r="N713" s="78">
        <v>0</v>
      </c>
      <c r="O713" s="79" t="e">
        <f t="shared" si="212"/>
        <v>#DIV/0!</v>
      </c>
      <c r="P713" s="80" t="e">
        <f t="shared" si="154"/>
        <v>#DIV/0!</v>
      </c>
      <c r="Q713" s="79">
        <f t="shared" si="155"/>
        <v>0</v>
      </c>
      <c r="R713" s="81">
        <f t="shared" si="156"/>
        <v>0</v>
      </c>
      <c r="S713" s="82">
        <f t="shared" si="211"/>
        <v>29.95</v>
      </c>
      <c r="T713" s="83" t="e">
        <f t="shared" si="157"/>
        <v>#DIV/0!</v>
      </c>
      <c r="U713" s="140"/>
      <c r="V713" s="140"/>
      <c r="W713" s="140"/>
      <c r="X713" s="141"/>
      <c r="Y713" s="142"/>
      <c r="Z713" s="50"/>
      <c r="AA713" s="50"/>
    </row>
    <row r="714" spans="1:27" ht="12.75" hidden="1" outlineLevel="1" x14ac:dyDescent="0.2">
      <c r="A714" s="50"/>
      <c r="B714" s="137"/>
      <c r="C714" s="70" t="s">
        <v>46</v>
      </c>
      <c r="D714" s="116">
        <v>869</v>
      </c>
      <c r="E714" s="298"/>
      <c r="F714" s="73">
        <v>20</v>
      </c>
      <c r="G714" s="73">
        <v>15</v>
      </c>
      <c r="H714" s="74">
        <f t="shared" si="151"/>
        <v>1.3333333333333333</v>
      </c>
      <c r="I714" s="75">
        <f t="shared" si="152"/>
        <v>43.45</v>
      </c>
      <c r="J714" s="76">
        <f t="shared" si="153"/>
        <v>32.587500000000006</v>
      </c>
      <c r="K714" s="116">
        <v>166.52</v>
      </c>
      <c r="L714" s="73">
        <v>25286</v>
      </c>
      <c r="M714" s="73">
        <v>5</v>
      </c>
      <c r="N714" s="117">
        <v>173.8</v>
      </c>
      <c r="O714" s="79">
        <f t="shared" si="212"/>
        <v>0.95811277330264677</v>
      </c>
      <c r="P714" s="80">
        <f t="shared" si="154"/>
        <v>1.043718472255585</v>
      </c>
      <c r="Q714" s="79">
        <f t="shared" si="155"/>
        <v>0.19162255466052935</v>
      </c>
      <c r="R714" s="81">
        <f t="shared" si="156"/>
        <v>0.2</v>
      </c>
      <c r="S714" s="82">
        <f t="shared" si="211"/>
        <v>695.2</v>
      </c>
      <c r="T714" s="83">
        <f t="shared" si="157"/>
        <v>33.304000000000002</v>
      </c>
      <c r="U714" s="135"/>
      <c r="V714" s="135"/>
      <c r="W714" s="135"/>
      <c r="X714" s="135"/>
      <c r="Y714" s="136"/>
      <c r="Z714" s="50"/>
      <c r="AA714" s="50"/>
    </row>
    <row r="715" spans="1:27" ht="12.75" hidden="1" outlineLevel="1" x14ac:dyDescent="0.2">
      <c r="A715" s="118" t="str">
        <f t="shared" ref="A715:A716" si="213">IFERROR(IF(B715&gt;0,MONTH(B715)&amp;"-"&amp;YEAR(B715),B715),)</f>
        <v>9-2025</v>
      </c>
      <c r="B715" s="69">
        <v>45920</v>
      </c>
      <c r="C715" s="70" t="s">
        <v>49</v>
      </c>
      <c r="D715" s="116">
        <v>0</v>
      </c>
      <c r="E715" s="298"/>
      <c r="F715" s="73">
        <v>0</v>
      </c>
      <c r="G715" s="73">
        <v>0</v>
      </c>
      <c r="H715" s="74" t="e">
        <f t="shared" si="151"/>
        <v>#DIV/0!</v>
      </c>
      <c r="I715" s="75" t="e">
        <f t="shared" si="152"/>
        <v>#DIV/0!</v>
      </c>
      <c r="J715" s="76" t="e">
        <f t="shared" si="153"/>
        <v>#DIV/0!</v>
      </c>
      <c r="K715" s="116">
        <v>5.34</v>
      </c>
      <c r="L715" s="73">
        <v>6369</v>
      </c>
      <c r="M715" s="73">
        <v>0</v>
      </c>
      <c r="N715" s="117">
        <v>0</v>
      </c>
      <c r="O715" s="79" t="e">
        <f t="shared" si="212"/>
        <v>#DIV/0!</v>
      </c>
      <c r="P715" s="80">
        <f t="shared" si="154"/>
        <v>0</v>
      </c>
      <c r="Q715" s="79" t="e">
        <f t="shared" si="155"/>
        <v>#DIV/0!</v>
      </c>
      <c r="R715" s="81" t="e">
        <f t="shared" si="156"/>
        <v>#DIV/0!</v>
      </c>
      <c r="S715" s="82">
        <f t="shared" si="211"/>
        <v>0</v>
      </c>
      <c r="T715" s="83" t="e">
        <f t="shared" si="157"/>
        <v>#DIV/0!</v>
      </c>
      <c r="U715" s="135"/>
      <c r="V715" s="135"/>
      <c r="W715" s="135"/>
      <c r="X715" s="135"/>
      <c r="Y715" s="136"/>
      <c r="Z715" s="50"/>
      <c r="AA715" s="50"/>
    </row>
    <row r="716" spans="1:27" ht="12.75" collapsed="1" x14ac:dyDescent="0.2">
      <c r="A716" s="50">
        <f t="shared" si="213"/>
        <v>0</v>
      </c>
      <c r="B716" s="52" t="s">
        <v>96</v>
      </c>
      <c r="C716" s="145"/>
      <c r="D716" s="121">
        <f>SUM(D701:D715)</f>
        <v>9114.0400000000009</v>
      </c>
      <c r="E716" s="297"/>
      <c r="F716" s="123">
        <f t="shared" ref="F716:G716" si="214">SUM(F701:F715)</f>
        <v>102</v>
      </c>
      <c r="G716" s="123">
        <f t="shared" si="214"/>
        <v>105</v>
      </c>
      <c r="H716" s="124">
        <f t="shared" si="151"/>
        <v>0.97142857142857142</v>
      </c>
      <c r="I716" s="125">
        <f t="shared" si="152"/>
        <v>89.353333333333339</v>
      </c>
      <c r="J716" s="126">
        <f t="shared" si="153"/>
        <v>91.981372549019611</v>
      </c>
      <c r="K716" s="121">
        <f t="shared" ref="K716:N716" si="215">SUM(K701:K715)</f>
        <v>2128.8200000000006</v>
      </c>
      <c r="L716" s="123">
        <f t="shared" si="215"/>
        <v>430791</v>
      </c>
      <c r="M716" s="123">
        <f t="shared" si="215"/>
        <v>33</v>
      </c>
      <c r="N716" s="127">
        <f t="shared" si="215"/>
        <v>3293.93</v>
      </c>
      <c r="O716" s="128">
        <f t="shared" si="212"/>
        <v>0.64628574377719039</v>
      </c>
      <c r="P716" s="129">
        <f t="shared" si="154"/>
        <v>1.5473032008342644</v>
      </c>
      <c r="Q716" s="128">
        <f t="shared" si="155"/>
        <v>0.2335758895067391</v>
      </c>
      <c r="R716" s="130">
        <f t="shared" si="156"/>
        <v>0.3614127214714879</v>
      </c>
      <c r="S716" s="131">
        <f>SUM(S701:S715)</f>
        <v>5820.11</v>
      </c>
      <c r="T716" s="132">
        <f t="shared" si="157"/>
        <v>64.509696969696989</v>
      </c>
      <c r="U716" s="133">
        <f>IFERROR((D716-D246)/D716,)</f>
        <v>0.16817130493173202</v>
      </c>
      <c r="V716" s="133">
        <f>IFERROR((F716-F246)/F716,)</f>
        <v>7.8431372549019607E-2</v>
      </c>
      <c r="W716" s="271">
        <f>IFERROR((D716-[1]monthly_reporting_2021!E507)/D716, )</f>
        <v>0</v>
      </c>
      <c r="X716" s="271">
        <f>IFERROR((F716-[1]monthly_reporting_2021!F507)/F716, )</f>
        <v>0</v>
      </c>
      <c r="Y716" s="50"/>
      <c r="Z716" s="50"/>
      <c r="AA716" s="50"/>
    </row>
    <row r="717" spans="1:27" ht="12.75" hidden="1" outlineLevel="1" x14ac:dyDescent="0.2">
      <c r="A717" s="50"/>
      <c r="B717" s="69">
        <v>45921</v>
      </c>
      <c r="C717" s="70" t="s">
        <v>32</v>
      </c>
      <c r="D717" s="71">
        <v>3731.7</v>
      </c>
      <c r="E717" s="298"/>
      <c r="F717" s="73">
        <v>24</v>
      </c>
      <c r="G717" s="73">
        <v>21</v>
      </c>
      <c r="H717" s="74">
        <f t="shared" si="151"/>
        <v>1.1428571428571428</v>
      </c>
      <c r="I717" s="75">
        <f t="shared" si="152"/>
        <v>155.48749999999998</v>
      </c>
      <c r="J717" s="76">
        <f t="shared" si="153"/>
        <v>136.05156249999999</v>
      </c>
      <c r="K717" s="77">
        <v>899.34</v>
      </c>
      <c r="L717" s="73">
        <v>187987</v>
      </c>
      <c r="M717" s="73">
        <v>18</v>
      </c>
      <c r="N717" s="78">
        <v>2904.5</v>
      </c>
      <c r="O717" s="79">
        <f t="shared" si="212"/>
        <v>0.30963677052849026</v>
      </c>
      <c r="P717" s="80">
        <f t="shared" si="154"/>
        <v>3.2295905886539016</v>
      </c>
      <c r="Q717" s="79">
        <f t="shared" si="155"/>
        <v>0.24100008039231452</v>
      </c>
      <c r="R717" s="81">
        <f t="shared" si="156"/>
        <v>0.77833159149985265</v>
      </c>
      <c r="S717" s="82">
        <f t="shared" ref="S717:S731" si="216">D717-N717</f>
        <v>827.19999999999982</v>
      </c>
      <c r="T717" s="83">
        <f t="shared" si="157"/>
        <v>49.963333333333338</v>
      </c>
      <c r="U717" s="135"/>
      <c r="V717" s="135"/>
      <c r="W717" s="135"/>
      <c r="X717" s="135"/>
      <c r="Y717" s="136"/>
      <c r="Z717" s="50"/>
      <c r="AA717" s="50"/>
    </row>
    <row r="718" spans="1:27" ht="12.75" hidden="1" outlineLevel="1" x14ac:dyDescent="0.2">
      <c r="A718" s="50"/>
      <c r="B718" s="137"/>
      <c r="C718" s="70" t="s">
        <v>33</v>
      </c>
      <c r="D718" s="87">
        <v>2737.5</v>
      </c>
      <c r="E718" s="298"/>
      <c r="F718" s="73">
        <v>23</v>
      </c>
      <c r="G718" s="73">
        <v>25</v>
      </c>
      <c r="H718" s="74">
        <f t="shared" si="151"/>
        <v>0.92</v>
      </c>
      <c r="I718" s="75">
        <f t="shared" si="152"/>
        <v>119.02173913043478</v>
      </c>
      <c r="J718" s="76">
        <f t="shared" si="153"/>
        <v>129.37145557655953</v>
      </c>
      <c r="K718" s="87">
        <v>345.36</v>
      </c>
      <c r="L718" s="73">
        <v>106659</v>
      </c>
      <c r="M718" s="73">
        <v>11</v>
      </c>
      <c r="N718" s="88">
        <v>1103.8499999999999</v>
      </c>
      <c r="O718" s="79">
        <f t="shared" si="212"/>
        <v>0.31286859627666808</v>
      </c>
      <c r="P718" s="80">
        <f t="shared" si="154"/>
        <v>3.1962300208478105</v>
      </c>
      <c r="Q718" s="79">
        <f t="shared" si="155"/>
        <v>0.12615890410958905</v>
      </c>
      <c r="R718" s="81">
        <f t="shared" si="156"/>
        <v>0.40323287671232871</v>
      </c>
      <c r="S718" s="89">
        <f t="shared" si="216"/>
        <v>1633.65</v>
      </c>
      <c r="T718" s="83">
        <f t="shared" si="157"/>
        <v>31.396363636363638</v>
      </c>
      <c r="U718" s="135"/>
      <c r="V718" s="135"/>
      <c r="W718" s="135"/>
      <c r="X718" s="135"/>
      <c r="Y718" s="136"/>
      <c r="Z718" s="50"/>
      <c r="AA718" s="50"/>
    </row>
    <row r="719" spans="1:27" ht="12.75" hidden="1" outlineLevel="1" x14ac:dyDescent="0.2">
      <c r="A719" s="50"/>
      <c r="B719" s="137"/>
      <c r="C719" s="70" t="s">
        <v>34</v>
      </c>
      <c r="D719" s="90">
        <v>419.7</v>
      </c>
      <c r="E719" s="298"/>
      <c r="F719" s="73">
        <v>6</v>
      </c>
      <c r="G719" s="73">
        <v>3</v>
      </c>
      <c r="H719" s="74">
        <f t="shared" si="151"/>
        <v>2</v>
      </c>
      <c r="I719" s="75">
        <f t="shared" si="152"/>
        <v>69.95</v>
      </c>
      <c r="J719" s="76">
        <f t="shared" si="153"/>
        <v>34.975000000000001</v>
      </c>
      <c r="K719" s="90">
        <v>1.35</v>
      </c>
      <c r="L719" s="73">
        <v>260</v>
      </c>
      <c r="M719" s="73">
        <v>0</v>
      </c>
      <c r="N719" s="91">
        <v>0</v>
      </c>
      <c r="O719" s="79" t="e">
        <f>(K719/N719)</f>
        <v>#DIV/0!</v>
      </c>
      <c r="P719" s="80">
        <f t="shared" si="154"/>
        <v>0</v>
      </c>
      <c r="Q719" s="79">
        <f t="shared" si="155"/>
        <v>3.2165832737669768E-3</v>
      </c>
      <c r="R719" s="81">
        <f t="shared" si="156"/>
        <v>0</v>
      </c>
      <c r="S719" s="92">
        <f t="shared" si="216"/>
        <v>419.7</v>
      </c>
      <c r="T719" s="83" t="e">
        <f t="shared" si="157"/>
        <v>#DIV/0!</v>
      </c>
      <c r="U719" s="135"/>
      <c r="V719" s="135"/>
      <c r="W719" s="135"/>
      <c r="X719" s="135"/>
      <c r="Y719" s="136"/>
      <c r="Z719" s="50"/>
      <c r="AA719" s="50"/>
    </row>
    <row r="720" spans="1:27" ht="12.75" hidden="1" outlineLevel="1" x14ac:dyDescent="0.2">
      <c r="A720" s="50"/>
      <c r="B720" s="137"/>
      <c r="C720" s="70" t="s">
        <v>35</v>
      </c>
      <c r="D720" s="90">
        <v>479.6</v>
      </c>
      <c r="E720" s="298"/>
      <c r="F720" s="73">
        <v>8</v>
      </c>
      <c r="G720" s="73">
        <v>8</v>
      </c>
      <c r="H720" s="74">
        <f t="shared" si="151"/>
        <v>1</v>
      </c>
      <c r="I720" s="75">
        <f t="shared" si="152"/>
        <v>59.95</v>
      </c>
      <c r="J720" s="76">
        <f t="shared" si="153"/>
        <v>59.95</v>
      </c>
      <c r="K720" s="90">
        <v>209.26</v>
      </c>
      <c r="L720" s="73">
        <v>21090</v>
      </c>
      <c r="M720" s="73">
        <v>5</v>
      </c>
      <c r="N720" s="91">
        <v>299.75</v>
      </c>
      <c r="O720" s="79">
        <f t="shared" ref="O720:O734" si="217">K720/N720</f>
        <v>0.69811509591326104</v>
      </c>
      <c r="P720" s="80">
        <f t="shared" si="154"/>
        <v>1.4324285577750169</v>
      </c>
      <c r="Q720" s="79">
        <f t="shared" si="155"/>
        <v>0.43632193494578814</v>
      </c>
      <c r="R720" s="81">
        <f t="shared" si="156"/>
        <v>0.625</v>
      </c>
      <c r="S720" s="92">
        <f t="shared" si="216"/>
        <v>179.85000000000002</v>
      </c>
      <c r="T720" s="83">
        <f t="shared" si="157"/>
        <v>41.851999999999997</v>
      </c>
      <c r="U720" s="135"/>
      <c r="V720" s="135"/>
      <c r="W720" s="135"/>
      <c r="X720" s="135"/>
      <c r="Y720" s="136"/>
      <c r="Z720" s="50"/>
      <c r="AA720" s="50"/>
    </row>
    <row r="721" spans="1:27" ht="12.75" hidden="1" outlineLevel="1" x14ac:dyDescent="0.2">
      <c r="A721" s="50"/>
      <c r="B721" s="137"/>
      <c r="C721" s="70" t="s">
        <v>36</v>
      </c>
      <c r="D721" s="90">
        <v>509.6</v>
      </c>
      <c r="E721" s="298"/>
      <c r="F721" s="73">
        <v>8</v>
      </c>
      <c r="G721" s="73">
        <v>8</v>
      </c>
      <c r="H721" s="74">
        <f t="shared" si="151"/>
        <v>1</v>
      </c>
      <c r="I721" s="75">
        <f t="shared" si="152"/>
        <v>63.7</v>
      </c>
      <c r="J721" s="76">
        <f t="shared" si="153"/>
        <v>63.7</v>
      </c>
      <c r="K721" s="90">
        <v>106.49</v>
      </c>
      <c r="L721" s="73">
        <v>19928</v>
      </c>
      <c r="M721" s="73">
        <v>6</v>
      </c>
      <c r="N721" s="91">
        <v>379.7</v>
      </c>
      <c r="O721" s="79">
        <f t="shared" si="217"/>
        <v>0.28045825651830392</v>
      </c>
      <c r="P721" s="80">
        <f t="shared" si="154"/>
        <v>3.565593013428491</v>
      </c>
      <c r="Q721" s="79">
        <f t="shared" si="155"/>
        <v>0.2089678178963893</v>
      </c>
      <c r="R721" s="81">
        <f t="shared" si="156"/>
        <v>0.74509419152276291</v>
      </c>
      <c r="S721" s="92">
        <f t="shared" si="216"/>
        <v>129.90000000000003</v>
      </c>
      <c r="T721" s="83">
        <f t="shared" si="157"/>
        <v>17.748333333333331</v>
      </c>
      <c r="U721" s="135"/>
      <c r="V721" s="135"/>
      <c r="W721" s="135"/>
      <c r="X721" s="135"/>
      <c r="Y721" s="136"/>
      <c r="Z721" s="50"/>
      <c r="AA721" s="50"/>
    </row>
    <row r="722" spans="1:27" ht="12.75" hidden="1" outlineLevel="1" x14ac:dyDescent="0.2">
      <c r="A722" s="50"/>
      <c r="B722" s="69" t="s">
        <v>37</v>
      </c>
      <c r="C722" s="70" t="s">
        <v>38</v>
      </c>
      <c r="D722" s="93">
        <v>475.64</v>
      </c>
      <c r="E722" s="298"/>
      <c r="F722" s="73">
        <v>8</v>
      </c>
      <c r="G722" s="73">
        <v>8</v>
      </c>
      <c r="H722" s="74">
        <f t="shared" si="151"/>
        <v>1</v>
      </c>
      <c r="I722" s="75">
        <f t="shared" si="152"/>
        <v>59.454999999999998</v>
      </c>
      <c r="J722" s="76">
        <f t="shared" si="153"/>
        <v>59.454999999999998</v>
      </c>
      <c r="K722" s="93">
        <v>39.43</v>
      </c>
      <c r="L722" s="73">
        <v>15087</v>
      </c>
      <c r="M722" s="73">
        <v>1</v>
      </c>
      <c r="N722" s="94">
        <v>29.95</v>
      </c>
      <c r="O722" s="79">
        <f t="shared" si="217"/>
        <v>1.3165275459098498</v>
      </c>
      <c r="P722" s="80">
        <f t="shared" si="154"/>
        <v>0.75957392848085215</v>
      </c>
      <c r="Q722" s="79">
        <f t="shared" si="155"/>
        <v>8.2898831048692292E-2</v>
      </c>
      <c r="R722" s="81">
        <f t="shared" si="156"/>
        <v>6.2967790766125645E-2</v>
      </c>
      <c r="S722" s="95">
        <f t="shared" si="216"/>
        <v>445.69</v>
      </c>
      <c r="T722" s="83">
        <f t="shared" si="157"/>
        <v>39.43</v>
      </c>
      <c r="U722" s="135"/>
      <c r="V722" s="135"/>
      <c r="W722" s="135"/>
      <c r="X722" s="135"/>
      <c r="Y722" s="136"/>
      <c r="Z722" s="50"/>
      <c r="AA722" s="50"/>
    </row>
    <row r="723" spans="1:27" ht="12.75" hidden="1" outlineLevel="1" x14ac:dyDescent="0.2">
      <c r="A723" s="50"/>
      <c r="B723" s="137"/>
      <c r="C723" s="70" t="s">
        <v>39</v>
      </c>
      <c r="D723" s="96">
        <v>0</v>
      </c>
      <c r="E723" s="298"/>
      <c r="F723" s="73">
        <v>0</v>
      </c>
      <c r="G723" s="73">
        <v>0</v>
      </c>
      <c r="H723" s="74" t="e">
        <f t="shared" si="151"/>
        <v>#DIV/0!</v>
      </c>
      <c r="I723" s="75" t="e">
        <f t="shared" si="152"/>
        <v>#DIV/0!</v>
      </c>
      <c r="J723" s="76" t="e">
        <f t="shared" si="153"/>
        <v>#DIV/0!</v>
      </c>
      <c r="K723" s="96">
        <v>0</v>
      </c>
      <c r="L723" s="73">
        <v>0</v>
      </c>
      <c r="M723" s="73">
        <v>0</v>
      </c>
      <c r="N723" s="97">
        <v>0</v>
      </c>
      <c r="O723" s="79" t="e">
        <f t="shared" si="217"/>
        <v>#DIV/0!</v>
      </c>
      <c r="P723" s="80" t="e">
        <f t="shared" si="154"/>
        <v>#DIV/0!</v>
      </c>
      <c r="Q723" s="79" t="e">
        <f t="shared" si="155"/>
        <v>#DIV/0!</v>
      </c>
      <c r="R723" s="81" t="e">
        <f t="shared" si="156"/>
        <v>#DIV/0!</v>
      </c>
      <c r="S723" s="98">
        <f t="shared" si="216"/>
        <v>0</v>
      </c>
      <c r="T723" s="83" t="e">
        <f t="shared" si="157"/>
        <v>#DIV/0!</v>
      </c>
      <c r="U723" s="135"/>
      <c r="V723" s="135"/>
      <c r="W723" s="135"/>
      <c r="X723" s="135"/>
      <c r="Y723" s="136"/>
      <c r="Z723" s="50"/>
      <c r="AA723" s="50"/>
    </row>
    <row r="724" spans="1:27" ht="12.75" hidden="1" outlineLevel="1" x14ac:dyDescent="0.2">
      <c r="A724" s="50"/>
      <c r="B724" s="137"/>
      <c r="C724" s="70" t="s">
        <v>40</v>
      </c>
      <c r="D724" s="99">
        <v>329.7</v>
      </c>
      <c r="E724" s="298"/>
      <c r="F724" s="73">
        <v>6</v>
      </c>
      <c r="G724" s="73">
        <v>3</v>
      </c>
      <c r="H724" s="74">
        <f t="shared" si="151"/>
        <v>2</v>
      </c>
      <c r="I724" s="75">
        <f t="shared" si="152"/>
        <v>54.949999999999996</v>
      </c>
      <c r="J724" s="76">
        <f t="shared" si="153"/>
        <v>27.474999999999998</v>
      </c>
      <c r="K724" s="99">
        <v>0</v>
      </c>
      <c r="L724" s="73">
        <v>0</v>
      </c>
      <c r="M724" s="73">
        <v>0</v>
      </c>
      <c r="N724" s="100">
        <v>0</v>
      </c>
      <c r="O724" s="79" t="e">
        <f t="shared" si="217"/>
        <v>#DIV/0!</v>
      </c>
      <c r="P724" s="80" t="e">
        <f t="shared" si="154"/>
        <v>#DIV/0!</v>
      </c>
      <c r="Q724" s="79">
        <f t="shared" si="155"/>
        <v>0</v>
      </c>
      <c r="R724" s="81">
        <f t="shared" si="156"/>
        <v>0</v>
      </c>
      <c r="S724" s="101">
        <f t="shared" si="216"/>
        <v>329.7</v>
      </c>
      <c r="T724" s="83" t="e">
        <f t="shared" si="157"/>
        <v>#DIV/0!</v>
      </c>
      <c r="U724" s="135"/>
      <c r="V724" s="135"/>
      <c r="W724" s="135"/>
      <c r="X724" s="135"/>
      <c r="Y724" s="136"/>
      <c r="Z724" s="50"/>
      <c r="AA724" s="50"/>
    </row>
    <row r="725" spans="1:27" ht="12.75" hidden="1" outlineLevel="1" x14ac:dyDescent="0.2">
      <c r="A725" s="50"/>
      <c r="B725" s="137"/>
      <c r="C725" s="70" t="s">
        <v>41</v>
      </c>
      <c r="D725" s="102">
        <v>1252.8</v>
      </c>
      <c r="E725" s="298"/>
      <c r="F725" s="73">
        <v>18</v>
      </c>
      <c r="G725" s="73">
        <v>18</v>
      </c>
      <c r="H725" s="74">
        <f t="shared" si="151"/>
        <v>1</v>
      </c>
      <c r="I725" s="75">
        <f t="shared" si="152"/>
        <v>69.599999999999994</v>
      </c>
      <c r="J725" s="76">
        <f t="shared" si="153"/>
        <v>69.599999999999994</v>
      </c>
      <c r="K725" s="102">
        <v>189.33</v>
      </c>
      <c r="L725" s="73">
        <v>24077</v>
      </c>
      <c r="M725" s="73">
        <v>6</v>
      </c>
      <c r="N725" s="103">
        <v>437.6</v>
      </c>
      <c r="O725" s="79">
        <f t="shared" si="217"/>
        <v>0.43265539305301648</v>
      </c>
      <c r="P725" s="80">
        <f t="shared" si="154"/>
        <v>2.3113082976812973</v>
      </c>
      <c r="Q725" s="79">
        <f t="shared" si="155"/>
        <v>0.15112547892720307</v>
      </c>
      <c r="R725" s="81">
        <f t="shared" si="156"/>
        <v>0.34929757343550449</v>
      </c>
      <c r="S725" s="104">
        <f t="shared" si="216"/>
        <v>815.19999999999993</v>
      </c>
      <c r="T725" s="83">
        <f t="shared" si="157"/>
        <v>31.555000000000003</v>
      </c>
      <c r="U725" s="135"/>
      <c r="V725" s="135"/>
      <c r="W725" s="135"/>
      <c r="X725" s="135"/>
      <c r="Y725" s="136"/>
      <c r="Z725" s="50"/>
      <c r="AA725" s="50"/>
    </row>
    <row r="726" spans="1:27" ht="12.75" hidden="1" outlineLevel="1" x14ac:dyDescent="0.2">
      <c r="A726" s="50"/>
      <c r="B726" s="137"/>
      <c r="C726" s="70" t="s">
        <v>42</v>
      </c>
      <c r="D726" s="90">
        <v>0</v>
      </c>
      <c r="E726" s="298"/>
      <c r="F726" s="73">
        <v>0</v>
      </c>
      <c r="G726" s="73">
        <v>0</v>
      </c>
      <c r="H726" s="74" t="e">
        <f t="shared" si="151"/>
        <v>#DIV/0!</v>
      </c>
      <c r="I726" s="75" t="e">
        <f t="shared" si="152"/>
        <v>#DIV/0!</v>
      </c>
      <c r="J726" s="76" t="e">
        <f t="shared" si="153"/>
        <v>#DIV/0!</v>
      </c>
      <c r="K726" s="90">
        <v>0</v>
      </c>
      <c r="L726" s="73">
        <v>0</v>
      </c>
      <c r="M726" s="73">
        <v>0</v>
      </c>
      <c r="N726" s="91">
        <v>0</v>
      </c>
      <c r="O726" s="79" t="e">
        <f t="shared" si="217"/>
        <v>#DIV/0!</v>
      </c>
      <c r="P726" s="80" t="e">
        <f t="shared" si="154"/>
        <v>#DIV/0!</v>
      </c>
      <c r="Q726" s="79" t="e">
        <f t="shared" si="155"/>
        <v>#DIV/0!</v>
      </c>
      <c r="R726" s="81" t="e">
        <f t="shared" si="156"/>
        <v>#DIV/0!</v>
      </c>
      <c r="S726" s="92">
        <f t="shared" si="216"/>
        <v>0</v>
      </c>
      <c r="T726" s="83" t="e">
        <f t="shared" si="157"/>
        <v>#DIV/0!</v>
      </c>
      <c r="U726" s="135"/>
      <c r="V726" s="135"/>
      <c r="W726" s="135"/>
      <c r="X726" s="135"/>
      <c r="Y726" s="136"/>
      <c r="Z726" s="50"/>
      <c r="AA726" s="50"/>
    </row>
    <row r="727" spans="1:27" ht="12.75" hidden="1" outlineLevel="1" x14ac:dyDescent="0.2">
      <c r="A727" s="50"/>
      <c r="B727" s="137"/>
      <c r="C727" s="70" t="s">
        <v>43</v>
      </c>
      <c r="D727" s="105">
        <v>0</v>
      </c>
      <c r="E727" s="298"/>
      <c r="F727" s="73">
        <v>0</v>
      </c>
      <c r="G727" s="73">
        <v>0</v>
      </c>
      <c r="H727" s="74" t="e">
        <f t="shared" si="151"/>
        <v>#DIV/0!</v>
      </c>
      <c r="I727" s="75" t="e">
        <f t="shared" si="152"/>
        <v>#DIV/0!</v>
      </c>
      <c r="J727" s="76" t="e">
        <f t="shared" si="153"/>
        <v>#DIV/0!</v>
      </c>
      <c r="K727" s="105">
        <v>76.47</v>
      </c>
      <c r="L727" s="73">
        <v>11585</v>
      </c>
      <c r="M727" s="73">
        <v>0</v>
      </c>
      <c r="N727" s="106">
        <v>0</v>
      </c>
      <c r="O727" s="79" t="e">
        <f t="shared" si="217"/>
        <v>#DIV/0!</v>
      </c>
      <c r="P727" s="80">
        <f t="shared" si="154"/>
        <v>0</v>
      </c>
      <c r="Q727" s="79" t="e">
        <f t="shared" si="155"/>
        <v>#DIV/0!</v>
      </c>
      <c r="R727" s="81" t="e">
        <f t="shared" si="156"/>
        <v>#DIV/0!</v>
      </c>
      <c r="S727" s="107">
        <f t="shared" si="216"/>
        <v>0</v>
      </c>
      <c r="T727" s="83" t="e">
        <f t="shared" si="157"/>
        <v>#DIV/0!</v>
      </c>
      <c r="U727" s="135"/>
      <c r="V727" s="135"/>
      <c r="W727" s="135"/>
      <c r="X727" s="135"/>
      <c r="Y727" s="136"/>
      <c r="Z727" s="50"/>
      <c r="AA727" s="50"/>
    </row>
    <row r="728" spans="1:27" ht="12.75" hidden="1" outlineLevel="1" x14ac:dyDescent="0.2">
      <c r="A728" s="50"/>
      <c r="B728" s="137"/>
      <c r="C728" s="70" t="s">
        <v>44</v>
      </c>
      <c r="D728" s="108">
        <v>134.85</v>
      </c>
      <c r="E728" s="298"/>
      <c r="F728" s="73">
        <v>3</v>
      </c>
      <c r="G728" s="73">
        <v>3</v>
      </c>
      <c r="H728" s="74">
        <f t="shared" si="151"/>
        <v>1</v>
      </c>
      <c r="I728" s="75">
        <f t="shared" si="152"/>
        <v>44.949999999999996</v>
      </c>
      <c r="J728" s="76">
        <f t="shared" si="153"/>
        <v>44.949999999999996</v>
      </c>
      <c r="K728" s="108">
        <v>69.52</v>
      </c>
      <c r="L728" s="73">
        <v>40853</v>
      </c>
      <c r="M728" s="73">
        <v>1</v>
      </c>
      <c r="N728" s="109">
        <v>44.95</v>
      </c>
      <c r="O728" s="79">
        <f t="shared" si="217"/>
        <v>1.5466073414905448</v>
      </c>
      <c r="P728" s="80">
        <f t="shared" si="154"/>
        <v>0.64657652474108174</v>
      </c>
      <c r="Q728" s="79">
        <f t="shared" si="155"/>
        <v>0.51553578049684834</v>
      </c>
      <c r="R728" s="81">
        <f t="shared" si="156"/>
        <v>0.33333333333333337</v>
      </c>
      <c r="S728" s="110">
        <f t="shared" si="216"/>
        <v>89.899999999999991</v>
      </c>
      <c r="T728" s="83">
        <f t="shared" si="157"/>
        <v>69.52</v>
      </c>
      <c r="U728" s="135"/>
      <c r="V728" s="135"/>
      <c r="W728" s="135"/>
      <c r="X728" s="135"/>
      <c r="Y728" s="136"/>
      <c r="Z728" s="50"/>
      <c r="AA728" s="50"/>
    </row>
    <row r="729" spans="1:27" ht="12.75" hidden="1" outlineLevel="1" x14ac:dyDescent="0.2">
      <c r="A729" s="139"/>
      <c r="B729" s="137"/>
      <c r="C729" s="112" t="s">
        <v>45</v>
      </c>
      <c r="D729" s="71">
        <v>24.95</v>
      </c>
      <c r="E729" s="298"/>
      <c r="F729" s="73">
        <v>1</v>
      </c>
      <c r="G729" s="73">
        <v>1</v>
      </c>
      <c r="H729" s="74">
        <f t="shared" si="151"/>
        <v>1</v>
      </c>
      <c r="I729" s="75">
        <f t="shared" si="152"/>
        <v>24.95</v>
      </c>
      <c r="J729" s="76">
        <f t="shared" si="153"/>
        <v>24.95</v>
      </c>
      <c r="K729" s="71">
        <v>0</v>
      </c>
      <c r="L729" s="73">
        <v>0</v>
      </c>
      <c r="M729" s="73">
        <v>0</v>
      </c>
      <c r="N729" s="78">
        <v>0</v>
      </c>
      <c r="O729" s="79" t="e">
        <f t="shared" si="217"/>
        <v>#DIV/0!</v>
      </c>
      <c r="P729" s="80" t="e">
        <f t="shared" si="154"/>
        <v>#DIV/0!</v>
      </c>
      <c r="Q729" s="79">
        <f t="shared" si="155"/>
        <v>0</v>
      </c>
      <c r="R729" s="81">
        <f t="shared" si="156"/>
        <v>0</v>
      </c>
      <c r="S729" s="82">
        <f t="shared" si="216"/>
        <v>24.95</v>
      </c>
      <c r="T729" s="83" t="e">
        <f t="shared" si="157"/>
        <v>#DIV/0!</v>
      </c>
      <c r="U729" s="140"/>
      <c r="V729" s="140"/>
      <c r="W729" s="140"/>
      <c r="X729" s="141"/>
      <c r="Y729" s="142"/>
      <c r="Z729" s="50"/>
      <c r="AA729" s="50"/>
    </row>
    <row r="730" spans="1:27" ht="12.75" hidden="1" outlineLevel="1" x14ac:dyDescent="0.2">
      <c r="A730" s="50"/>
      <c r="B730" s="137"/>
      <c r="C730" s="70" t="s">
        <v>46</v>
      </c>
      <c r="D730" s="116">
        <v>431.5</v>
      </c>
      <c r="E730" s="298"/>
      <c r="F730" s="73">
        <v>10</v>
      </c>
      <c r="G730" s="73">
        <v>10</v>
      </c>
      <c r="H730" s="74">
        <f t="shared" si="151"/>
        <v>1</v>
      </c>
      <c r="I730" s="75">
        <f t="shared" si="152"/>
        <v>43.15</v>
      </c>
      <c r="J730" s="76">
        <f t="shared" si="153"/>
        <v>43.15</v>
      </c>
      <c r="K730" s="116">
        <v>105.15</v>
      </c>
      <c r="L730" s="73">
        <v>22565</v>
      </c>
      <c r="M730" s="73">
        <v>4</v>
      </c>
      <c r="N730" s="117">
        <v>128.85</v>
      </c>
      <c r="O730" s="79">
        <f t="shared" si="217"/>
        <v>0.81606519208381845</v>
      </c>
      <c r="P730" s="80">
        <f t="shared" si="154"/>
        <v>1.2253922967189728</v>
      </c>
      <c r="Q730" s="79">
        <f t="shared" si="155"/>
        <v>0.24368482039397452</v>
      </c>
      <c r="R730" s="81">
        <f t="shared" si="156"/>
        <v>0.29860950173812284</v>
      </c>
      <c r="S730" s="82">
        <f t="shared" si="216"/>
        <v>302.64999999999998</v>
      </c>
      <c r="T730" s="83">
        <f t="shared" si="157"/>
        <v>26.287500000000001</v>
      </c>
      <c r="U730" s="135"/>
      <c r="V730" s="135"/>
      <c r="W730" s="135"/>
      <c r="X730" s="135"/>
      <c r="Y730" s="136"/>
      <c r="Z730" s="50"/>
      <c r="AA730" s="50"/>
    </row>
    <row r="731" spans="1:27" ht="12.75" hidden="1" outlineLevel="1" x14ac:dyDescent="0.2">
      <c r="A731" s="118" t="str">
        <f t="shared" ref="A731:A732" si="218">IFERROR(IF(B731&gt;0,MONTH(B731)&amp;"-"&amp;YEAR(B731),B731),)</f>
        <v>9-2025</v>
      </c>
      <c r="B731" s="69">
        <v>45927</v>
      </c>
      <c r="C731" s="70" t="s">
        <v>49</v>
      </c>
      <c r="D731" s="116">
        <v>96</v>
      </c>
      <c r="E731" s="298"/>
      <c r="F731" s="73">
        <v>1</v>
      </c>
      <c r="G731" s="73">
        <v>1</v>
      </c>
      <c r="H731" s="74">
        <f t="shared" si="151"/>
        <v>1</v>
      </c>
      <c r="I731" s="75">
        <f t="shared" si="152"/>
        <v>96</v>
      </c>
      <c r="J731" s="76">
        <f t="shared" si="153"/>
        <v>96</v>
      </c>
      <c r="K731" s="116">
        <v>4.07</v>
      </c>
      <c r="L731" s="73">
        <v>8988</v>
      </c>
      <c r="M731" s="73">
        <v>0</v>
      </c>
      <c r="N731" s="117">
        <v>0</v>
      </c>
      <c r="O731" s="79" t="e">
        <f t="shared" si="217"/>
        <v>#DIV/0!</v>
      </c>
      <c r="P731" s="80">
        <f t="shared" si="154"/>
        <v>0</v>
      </c>
      <c r="Q731" s="79">
        <f t="shared" si="155"/>
        <v>4.2395833333333334E-2</v>
      </c>
      <c r="R731" s="81">
        <f t="shared" si="156"/>
        <v>0</v>
      </c>
      <c r="S731" s="82">
        <f t="shared" si="216"/>
        <v>96</v>
      </c>
      <c r="T731" s="83" t="e">
        <f t="shared" si="157"/>
        <v>#DIV/0!</v>
      </c>
      <c r="U731" s="135"/>
      <c r="V731" s="135"/>
      <c r="W731" s="135"/>
      <c r="X731" s="135"/>
      <c r="Y731" s="136"/>
      <c r="Z731" s="50"/>
      <c r="AA731" s="50"/>
    </row>
    <row r="732" spans="1:27" ht="12.75" collapsed="1" x14ac:dyDescent="0.2">
      <c r="A732" s="50">
        <f t="shared" si="218"/>
        <v>0</v>
      </c>
      <c r="B732" s="52" t="s">
        <v>97</v>
      </c>
      <c r="C732" s="145"/>
      <c r="D732" s="121">
        <f>SUM(D717:D731)</f>
        <v>10623.54</v>
      </c>
      <c r="E732" s="297"/>
      <c r="F732" s="123">
        <f t="shared" ref="F732:G732" si="219">SUM(F717:F731)</f>
        <v>116</v>
      </c>
      <c r="G732" s="123">
        <f t="shared" si="219"/>
        <v>109</v>
      </c>
      <c r="H732" s="124">
        <f t="shared" si="151"/>
        <v>1.0642201834862386</v>
      </c>
      <c r="I732" s="125">
        <f t="shared" si="152"/>
        <v>91.582241379310346</v>
      </c>
      <c r="J732" s="126">
        <f t="shared" si="153"/>
        <v>86.055726813317477</v>
      </c>
      <c r="K732" s="121">
        <f t="shared" ref="K732:N732" si="220">SUM(K717:K731)</f>
        <v>2045.77</v>
      </c>
      <c r="L732" s="123">
        <f t="shared" si="220"/>
        <v>459079</v>
      </c>
      <c r="M732" s="123">
        <f t="shared" si="220"/>
        <v>52</v>
      </c>
      <c r="N732" s="127">
        <f t="shared" si="220"/>
        <v>5329.1500000000005</v>
      </c>
      <c r="O732" s="128">
        <f t="shared" si="217"/>
        <v>0.38388298321495917</v>
      </c>
      <c r="P732" s="129">
        <f t="shared" si="154"/>
        <v>2.6049604794282839</v>
      </c>
      <c r="Q732" s="128">
        <f t="shared" si="155"/>
        <v>0.19256952014112055</v>
      </c>
      <c r="R732" s="130">
        <f t="shared" si="156"/>
        <v>0.50163598951008803</v>
      </c>
      <c r="S732" s="131">
        <f>SUM(S717:S731)</f>
        <v>5294.3899999999985</v>
      </c>
      <c r="T732" s="132">
        <f t="shared" si="157"/>
        <v>39.341730769230772</v>
      </c>
      <c r="U732" s="133">
        <f>IFERROR((D732-D246)/D732,)</f>
        <v>0.28636593828422569</v>
      </c>
      <c r="V732" s="133">
        <f>IFERROR((F732-F246)/F732,)</f>
        <v>0.18965517241379309</v>
      </c>
      <c r="W732" s="271">
        <f>IFERROR((D732-[1]monthly_reporting_2021!E523)/D732, )</f>
        <v>0</v>
      </c>
      <c r="X732" s="271">
        <f>IFERROR((F732-[1]monthly_reporting_2021!F523)/F732, )</f>
        <v>0</v>
      </c>
      <c r="Y732" s="50"/>
      <c r="Z732" s="50"/>
      <c r="AA732" s="50"/>
    </row>
    <row r="733" spans="1:27" ht="12.75" hidden="1" outlineLevel="1" x14ac:dyDescent="0.2">
      <c r="A733" s="50"/>
      <c r="B733" s="69">
        <v>45928</v>
      </c>
      <c r="C733" s="70" t="s">
        <v>32</v>
      </c>
      <c r="D733" s="71">
        <v>3475.28</v>
      </c>
      <c r="E733" s="298"/>
      <c r="F733" s="73">
        <v>13</v>
      </c>
      <c r="G733" s="73">
        <v>13</v>
      </c>
      <c r="H733" s="74">
        <f t="shared" si="151"/>
        <v>1</v>
      </c>
      <c r="I733" s="75">
        <f t="shared" si="152"/>
        <v>267.32923076923078</v>
      </c>
      <c r="J733" s="76">
        <f t="shared" si="153"/>
        <v>267.32923076923078</v>
      </c>
      <c r="K733" s="77">
        <v>855.56</v>
      </c>
      <c r="L733" s="73">
        <v>196963</v>
      </c>
      <c r="M733" s="73">
        <v>4</v>
      </c>
      <c r="N733" s="78">
        <v>1745.28</v>
      </c>
      <c r="O733" s="79">
        <f t="shared" si="217"/>
        <v>0.49021360469380271</v>
      </c>
      <c r="P733" s="80">
        <f t="shared" si="154"/>
        <v>2.0399270653139467</v>
      </c>
      <c r="Q733" s="79">
        <f t="shared" si="155"/>
        <v>0.24618448009944519</v>
      </c>
      <c r="R733" s="81">
        <f t="shared" si="156"/>
        <v>0.50219838401510086</v>
      </c>
      <c r="S733" s="82">
        <f t="shared" ref="S733:S747" si="221">D733-N733</f>
        <v>1730.0000000000002</v>
      </c>
      <c r="T733" s="83">
        <f t="shared" si="157"/>
        <v>213.89</v>
      </c>
      <c r="U733" s="135"/>
      <c r="V733" s="135"/>
      <c r="W733" s="135"/>
      <c r="X733" s="135"/>
      <c r="Y733" s="136"/>
      <c r="Z733" s="50"/>
      <c r="AA733" s="50"/>
    </row>
    <row r="734" spans="1:27" ht="12.75" hidden="1" outlineLevel="1" x14ac:dyDescent="0.2">
      <c r="A734" s="50"/>
      <c r="B734" s="137"/>
      <c r="C734" s="70" t="s">
        <v>33</v>
      </c>
      <c r="D734" s="87">
        <v>1340.95</v>
      </c>
      <c r="E734" s="298"/>
      <c r="F734" s="73">
        <v>32</v>
      </c>
      <c r="G734" s="73">
        <v>38</v>
      </c>
      <c r="H734" s="74">
        <f t="shared" si="151"/>
        <v>0.84210526315789469</v>
      </c>
      <c r="I734" s="75">
        <f t="shared" si="152"/>
        <v>41.904687500000001</v>
      </c>
      <c r="J734" s="76">
        <f t="shared" si="153"/>
        <v>49.761816406250006</v>
      </c>
      <c r="K734" s="87">
        <v>363.51</v>
      </c>
      <c r="L734" s="73">
        <v>108420</v>
      </c>
      <c r="M734" s="73">
        <v>8</v>
      </c>
      <c r="N734" s="88">
        <v>888.75</v>
      </c>
      <c r="O734" s="79">
        <f t="shared" si="217"/>
        <v>0.4090126582278481</v>
      </c>
      <c r="P734" s="80">
        <f t="shared" si="154"/>
        <v>2.4449121069571675</v>
      </c>
      <c r="Q734" s="79">
        <f t="shared" si="155"/>
        <v>0.27108393303255152</v>
      </c>
      <c r="R734" s="81">
        <f t="shared" si="156"/>
        <v>0.66277638987285137</v>
      </c>
      <c r="S734" s="89">
        <f t="shared" si="221"/>
        <v>452.20000000000005</v>
      </c>
      <c r="T734" s="83">
        <f t="shared" si="157"/>
        <v>45.438749999999999</v>
      </c>
      <c r="U734" s="135"/>
      <c r="V734" s="135"/>
      <c r="W734" s="135"/>
      <c r="X734" s="135"/>
      <c r="Y734" s="136"/>
      <c r="Z734" s="50"/>
      <c r="AA734" s="50"/>
    </row>
    <row r="735" spans="1:27" ht="12.75" hidden="1" outlineLevel="1" x14ac:dyDescent="0.2">
      <c r="A735" s="50"/>
      <c r="B735" s="137"/>
      <c r="C735" s="70" t="s">
        <v>34</v>
      </c>
      <c r="D735" s="90">
        <v>69.95</v>
      </c>
      <c r="E735" s="298"/>
      <c r="F735" s="73">
        <v>1</v>
      </c>
      <c r="G735" s="73">
        <v>1</v>
      </c>
      <c r="H735" s="74">
        <f t="shared" si="151"/>
        <v>1</v>
      </c>
      <c r="I735" s="75">
        <f t="shared" si="152"/>
        <v>69.95</v>
      </c>
      <c r="J735" s="76">
        <f t="shared" si="153"/>
        <v>69.95</v>
      </c>
      <c r="K735" s="90">
        <v>0</v>
      </c>
      <c r="L735" s="73">
        <v>311</v>
      </c>
      <c r="M735" s="73">
        <v>0</v>
      </c>
      <c r="N735" s="91">
        <v>0</v>
      </c>
      <c r="O735" s="79" t="e">
        <f>(K735/N735)</f>
        <v>#DIV/0!</v>
      </c>
      <c r="P735" s="80" t="e">
        <f t="shared" si="154"/>
        <v>#DIV/0!</v>
      </c>
      <c r="Q735" s="79">
        <f t="shared" si="155"/>
        <v>0</v>
      </c>
      <c r="R735" s="81">
        <f t="shared" si="156"/>
        <v>0</v>
      </c>
      <c r="S735" s="92">
        <f t="shared" si="221"/>
        <v>69.95</v>
      </c>
      <c r="T735" s="83" t="e">
        <f t="shared" si="157"/>
        <v>#DIV/0!</v>
      </c>
      <c r="U735" s="135"/>
      <c r="V735" s="135"/>
      <c r="W735" s="135"/>
      <c r="X735" s="135"/>
      <c r="Y735" s="136"/>
      <c r="Z735" s="50"/>
      <c r="AA735" s="50"/>
    </row>
    <row r="736" spans="1:27" ht="12.75" hidden="1" outlineLevel="1" x14ac:dyDescent="0.2">
      <c r="A736" s="50"/>
      <c r="B736" s="137"/>
      <c r="C736" s="70" t="s">
        <v>35</v>
      </c>
      <c r="D736" s="90">
        <v>539.54999999999995</v>
      </c>
      <c r="E736" s="298"/>
      <c r="F736" s="73">
        <v>9</v>
      </c>
      <c r="G736" s="73">
        <v>8</v>
      </c>
      <c r="H736" s="74">
        <f t="shared" si="151"/>
        <v>1.125</v>
      </c>
      <c r="I736" s="75">
        <f t="shared" si="152"/>
        <v>59.949999999999996</v>
      </c>
      <c r="J736" s="76">
        <f t="shared" si="153"/>
        <v>53.288888888888884</v>
      </c>
      <c r="K736" s="90">
        <v>264.74</v>
      </c>
      <c r="L736" s="73">
        <v>24715</v>
      </c>
      <c r="M736" s="73">
        <v>7</v>
      </c>
      <c r="N736" s="91">
        <v>419.65</v>
      </c>
      <c r="O736" s="79">
        <f t="shared" ref="O736:O750" si="222">K736/N736</f>
        <v>0.63085904920767311</v>
      </c>
      <c r="P736" s="80">
        <f t="shared" si="154"/>
        <v>1.5851401374933896</v>
      </c>
      <c r="Q736" s="79">
        <f t="shared" si="155"/>
        <v>0.49066814938374576</v>
      </c>
      <c r="R736" s="81">
        <f t="shared" si="156"/>
        <v>0.77777777777777779</v>
      </c>
      <c r="S736" s="92">
        <f t="shared" si="221"/>
        <v>119.89999999999998</v>
      </c>
      <c r="T736" s="83">
        <f t="shared" si="157"/>
        <v>37.82</v>
      </c>
      <c r="U736" s="135"/>
      <c r="V736" s="135"/>
      <c r="W736" s="135"/>
      <c r="X736" s="135"/>
      <c r="Y736" s="136"/>
      <c r="Z736" s="50"/>
      <c r="AA736" s="50"/>
    </row>
    <row r="737" spans="1:27" ht="12.75" hidden="1" outlineLevel="1" x14ac:dyDescent="0.2">
      <c r="A737" s="50"/>
      <c r="B737" s="137"/>
      <c r="C737" s="70" t="s">
        <v>36</v>
      </c>
      <c r="D737" s="90">
        <v>659.5</v>
      </c>
      <c r="E737" s="298"/>
      <c r="F737" s="73">
        <v>10</v>
      </c>
      <c r="G737" s="73">
        <v>9</v>
      </c>
      <c r="H737" s="74">
        <f t="shared" si="151"/>
        <v>1.1111111111111112</v>
      </c>
      <c r="I737" s="75">
        <f t="shared" si="152"/>
        <v>65.95</v>
      </c>
      <c r="J737" s="76">
        <f t="shared" si="153"/>
        <v>59.354999999999997</v>
      </c>
      <c r="K737" s="90">
        <v>64.989999999999995</v>
      </c>
      <c r="L737" s="73">
        <v>19719</v>
      </c>
      <c r="M737" s="73">
        <v>2</v>
      </c>
      <c r="N737" s="91">
        <v>129.9</v>
      </c>
      <c r="O737" s="79">
        <f t="shared" si="222"/>
        <v>0.50030792917628941</v>
      </c>
      <c r="P737" s="80">
        <f t="shared" si="154"/>
        <v>1.9987690413909835</v>
      </c>
      <c r="Q737" s="79">
        <f t="shared" si="155"/>
        <v>9.8544351781652759E-2</v>
      </c>
      <c r="R737" s="81">
        <f t="shared" si="156"/>
        <v>0.19696739954510994</v>
      </c>
      <c r="S737" s="92">
        <f t="shared" si="221"/>
        <v>529.6</v>
      </c>
      <c r="T737" s="83">
        <f t="shared" si="157"/>
        <v>32.494999999999997</v>
      </c>
      <c r="U737" s="135"/>
      <c r="V737" s="135"/>
      <c r="W737" s="135"/>
      <c r="X737" s="135"/>
      <c r="Y737" s="136"/>
      <c r="Z737" s="50"/>
      <c r="AA737" s="50"/>
    </row>
    <row r="738" spans="1:27" ht="12.75" hidden="1" outlineLevel="1" x14ac:dyDescent="0.2">
      <c r="A738" s="50"/>
      <c r="B738" s="69" t="s">
        <v>37</v>
      </c>
      <c r="C738" s="70" t="s">
        <v>38</v>
      </c>
      <c r="D738" s="93">
        <v>234.8</v>
      </c>
      <c r="E738" s="298"/>
      <c r="F738" s="73">
        <v>4</v>
      </c>
      <c r="G738" s="73">
        <v>4</v>
      </c>
      <c r="H738" s="74">
        <f t="shared" si="151"/>
        <v>1</v>
      </c>
      <c r="I738" s="75">
        <f t="shared" si="152"/>
        <v>58.7</v>
      </c>
      <c r="J738" s="76">
        <f t="shared" si="153"/>
        <v>58.7</v>
      </c>
      <c r="K738" s="93">
        <v>50.88</v>
      </c>
      <c r="L738" s="73">
        <v>14681</v>
      </c>
      <c r="M738" s="73">
        <v>2</v>
      </c>
      <c r="N738" s="94">
        <v>169.9</v>
      </c>
      <c r="O738" s="79">
        <f t="shared" si="222"/>
        <v>0.29947027663331371</v>
      </c>
      <c r="P738" s="80">
        <f t="shared" si="154"/>
        <v>3.3392295597484276</v>
      </c>
      <c r="Q738" s="79">
        <f t="shared" si="155"/>
        <v>0.21669505962521296</v>
      </c>
      <c r="R738" s="81">
        <f t="shared" si="156"/>
        <v>0.72359454855195915</v>
      </c>
      <c r="S738" s="95">
        <f t="shared" si="221"/>
        <v>64.900000000000006</v>
      </c>
      <c r="T738" s="83">
        <f t="shared" si="157"/>
        <v>25.44</v>
      </c>
      <c r="U738" s="135"/>
      <c r="V738" s="135"/>
      <c r="W738" s="135"/>
      <c r="X738" s="135"/>
      <c r="Y738" s="136"/>
      <c r="Z738" s="50"/>
      <c r="AA738" s="50"/>
    </row>
    <row r="739" spans="1:27" ht="12.75" hidden="1" outlineLevel="1" x14ac:dyDescent="0.2">
      <c r="A739" s="50"/>
      <c r="B739" s="137"/>
      <c r="C739" s="70" t="s">
        <v>39</v>
      </c>
      <c r="D739" s="96">
        <v>0</v>
      </c>
      <c r="E739" s="298"/>
      <c r="F739" s="73">
        <v>0</v>
      </c>
      <c r="G739" s="73">
        <v>0</v>
      </c>
      <c r="H739" s="74" t="e">
        <f t="shared" si="151"/>
        <v>#DIV/0!</v>
      </c>
      <c r="I739" s="75" t="e">
        <f t="shared" si="152"/>
        <v>#DIV/0!</v>
      </c>
      <c r="J739" s="76" t="e">
        <f t="shared" si="153"/>
        <v>#DIV/0!</v>
      </c>
      <c r="K739" s="96">
        <v>0</v>
      </c>
      <c r="L739" s="73">
        <v>0</v>
      </c>
      <c r="M739" s="73">
        <v>0</v>
      </c>
      <c r="N739" s="97">
        <v>0</v>
      </c>
      <c r="O739" s="79" t="e">
        <f t="shared" si="222"/>
        <v>#DIV/0!</v>
      </c>
      <c r="P739" s="80" t="e">
        <f t="shared" si="154"/>
        <v>#DIV/0!</v>
      </c>
      <c r="Q739" s="79" t="e">
        <f t="shared" si="155"/>
        <v>#DIV/0!</v>
      </c>
      <c r="R739" s="81" t="e">
        <f t="shared" si="156"/>
        <v>#DIV/0!</v>
      </c>
      <c r="S739" s="98">
        <f t="shared" si="221"/>
        <v>0</v>
      </c>
      <c r="T739" s="83" t="e">
        <f t="shared" si="157"/>
        <v>#DIV/0!</v>
      </c>
      <c r="U739" s="135"/>
      <c r="V739" s="135"/>
      <c r="W739" s="135"/>
      <c r="X739" s="135"/>
      <c r="Y739" s="136"/>
      <c r="Z739" s="50"/>
      <c r="AA739" s="50"/>
    </row>
    <row r="740" spans="1:27" ht="12.75" hidden="1" outlineLevel="1" x14ac:dyDescent="0.2">
      <c r="A740" s="50"/>
      <c r="B740" s="137"/>
      <c r="C740" s="70" t="s">
        <v>40</v>
      </c>
      <c r="D740" s="99">
        <v>0</v>
      </c>
      <c r="E740" s="298"/>
      <c r="F740" s="73">
        <v>0</v>
      </c>
      <c r="G740" s="73">
        <v>0</v>
      </c>
      <c r="H740" s="74" t="e">
        <f t="shared" si="151"/>
        <v>#DIV/0!</v>
      </c>
      <c r="I740" s="75" t="e">
        <f t="shared" si="152"/>
        <v>#DIV/0!</v>
      </c>
      <c r="J740" s="76" t="e">
        <f t="shared" si="153"/>
        <v>#DIV/0!</v>
      </c>
      <c r="K740" s="99">
        <v>0</v>
      </c>
      <c r="L740" s="73">
        <v>0</v>
      </c>
      <c r="M740" s="73">
        <v>0</v>
      </c>
      <c r="N740" s="100">
        <v>0</v>
      </c>
      <c r="O740" s="79" t="e">
        <f t="shared" si="222"/>
        <v>#DIV/0!</v>
      </c>
      <c r="P740" s="80" t="e">
        <f t="shared" si="154"/>
        <v>#DIV/0!</v>
      </c>
      <c r="Q740" s="79" t="e">
        <f t="shared" si="155"/>
        <v>#DIV/0!</v>
      </c>
      <c r="R740" s="81" t="e">
        <f t="shared" si="156"/>
        <v>#DIV/0!</v>
      </c>
      <c r="S740" s="101">
        <f t="shared" si="221"/>
        <v>0</v>
      </c>
      <c r="T740" s="83" t="e">
        <f t="shared" si="157"/>
        <v>#DIV/0!</v>
      </c>
      <c r="U740" s="135"/>
      <c r="V740" s="135"/>
      <c r="W740" s="135"/>
      <c r="X740" s="135"/>
      <c r="Y740" s="136"/>
      <c r="Z740" s="50"/>
      <c r="AA740" s="50"/>
    </row>
    <row r="741" spans="1:27" ht="12.75" hidden="1" outlineLevel="1" x14ac:dyDescent="0.2">
      <c r="A741" s="50"/>
      <c r="B741" s="137"/>
      <c r="C741" s="70" t="s">
        <v>41</v>
      </c>
      <c r="D741" s="102">
        <v>1932.18</v>
      </c>
      <c r="E741" s="298"/>
      <c r="F741" s="73">
        <v>20</v>
      </c>
      <c r="G741" s="73">
        <v>19</v>
      </c>
      <c r="H741" s="74">
        <f t="shared" si="151"/>
        <v>1.0526315789473684</v>
      </c>
      <c r="I741" s="75">
        <f t="shared" si="152"/>
        <v>96.609000000000009</v>
      </c>
      <c r="J741" s="76">
        <f t="shared" si="153"/>
        <v>91.77855000000001</v>
      </c>
      <c r="K741" s="102">
        <v>149.81</v>
      </c>
      <c r="L741" s="73">
        <v>22219</v>
      </c>
      <c r="M741" s="73">
        <v>8</v>
      </c>
      <c r="N741" s="103">
        <v>695.57</v>
      </c>
      <c r="O741" s="79">
        <f t="shared" si="222"/>
        <v>0.21537731644550512</v>
      </c>
      <c r="P741" s="80">
        <f t="shared" si="154"/>
        <v>4.6430144850143522</v>
      </c>
      <c r="Q741" s="79">
        <f t="shared" si="155"/>
        <v>7.7534184185738389E-2</v>
      </c>
      <c r="R741" s="81">
        <f t="shared" si="156"/>
        <v>0.35999234025815402</v>
      </c>
      <c r="S741" s="104">
        <f t="shared" si="221"/>
        <v>1236.6100000000001</v>
      </c>
      <c r="T741" s="83">
        <f t="shared" si="157"/>
        <v>18.72625</v>
      </c>
      <c r="U741" s="135"/>
      <c r="V741" s="135"/>
      <c r="W741" s="135"/>
      <c r="X741" s="135"/>
      <c r="Y741" s="136"/>
      <c r="Z741" s="50"/>
      <c r="AA741" s="50"/>
    </row>
    <row r="742" spans="1:27" ht="12.75" hidden="1" outlineLevel="1" x14ac:dyDescent="0.2">
      <c r="A742" s="50"/>
      <c r="B742" s="137"/>
      <c r="C742" s="70" t="s">
        <v>42</v>
      </c>
      <c r="D742" s="90">
        <v>0</v>
      </c>
      <c r="E742" s="298"/>
      <c r="F742" s="73">
        <v>0</v>
      </c>
      <c r="G742" s="73">
        <v>0</v>
      </c>
      <c r="H742" s="74" t="e">
        <f t="shared" si="151"/>
        <v>#DIV/0!</v>
      </c>
      <c r="I742" s="75" t="e">
        <f t="shared" si="152"/>
        <v>#DIV/0!</v>
      </c>
      <c r="J742" s="76" t="e">
        <f t="shared" si="153"/>
        <v>#DIV/0!</v>
      </c>
      <c r="K742" s="90">
        <v>0</v>
      </c>
      <c r="L742" s="73">
        <v>0</v>
      </c>
      <c r="M742" s="73">
        <v>0</v>
      </c>
      <c r="N742" s="91">
        <v>0</v>
      </c>
      <c r="O742" s="79" t="e">
        <f t="shared" si="222"/>
        <v>#DIV/0!</v>
      </c>
      <c r="P742" s="80" t="e">
        <f t="shared" si="154"/>
        <v>#DIV/0!</v>
      </c>
      <c r="Q742" s="79" t="e">
        <f t="shared" si="155"/>
        <v>#DIV/0!</v>
      </c>
      <c r="R742" s="81" t="e">
        <f t="shared" si="156"/>
        <v>#DIV/0!</v>
      </c>
      <c r="S742" s="92">
        <f t="shared" si="221"/>
        <v>0</v>
      </c>
      <c r="T742" s="83" t="e">
        <f t="shared" si="157"/>
        <v>#DIV/0!</v>
      </c>
      <c r="U742" s="135"/>
      <c r="V742" s="135"/>
      <c r="W742" s="135"/>
      <c r="X742" s="135"/>
      <c r="Y742" s="136"/>
      <c r="Z742" s="50"/>
      <c r="AA742" s="50"/>
    </row>
    <row r="743" spans="1:27" ht="12.75" hidden="1" outlineLevel="1" x14ac:dyDescent="0.2">
      <c r="A743" s="50"/>
      <c r="B743" s="137"/>
      <c r="C743" s="70" t="s">
        <v>43</v>
      </c>
      <c r="D743" s="105">
        <v>290.85000000000002</v>
      </c>
      <c r="E743" s="298"/>
      <c r="F743" s="73">
        <v>3</v>
      </c>
      <c r="G743" s="73">
        <v>4</v>
      </c>
      <c r="H743" s="74">
        <f t="shared" si="151"/>
        <v>0.75</v>
      </c>
      <c r="I743" s="75">
        <f t="shared" si="152"/>
        <v>96.95</v>
      </c>
      <c r="J743" s="76">
        <f t="shared" si="153"/>
        <v>129.26666666666668</v>
      </c>
      <c r="K743" s="105">
        <v>46.25</v>
      </c>
      <c r="L743" s="73">
        <v>10206</v>
      </c>
      <c r="M743" s="73">
        <v>1</v>
      </c>
      <c r="N743" s="106">
        <v>210.95</v>
      </c>
      <c r="O743" s="79">
        <f t="shared" si="222"/>
        <v>0.21924626688788815</v>
      </c>
      <c r="P743" s="80">
        <f t="shared" si="154"/>
        <v>4.5610810810810811</v>
      </c>
      <c r="Q743" s="79">
        <f t="shared" si="155"/>
        <v>0.15901667526216262</v>
      </c>
      <c r="R743" s="81">
        <f t="shared" si="156"/>
        <v>0.72528794911466377</v>
      </c>
      <c r="S743" s="107">
        <f t="shared" si="221"/>
        <v>79.900000000000034</v>
      </c>
      <c r="T743" s="83">
        <f t="shared" si="157"/>
        <v>46.25</v>
      </c>
      <c r="U743" s="135"/>
      <c r="V743" s="135"/>
      <c r="W743" s="135"/>
      <c r="X743" s="135"/>
      <c r="Y743" s="136"/>
      <c r="Z743" s="50"/>
      <c r="AA743" s="50"/>
    </row>
    <row r="744" spans="1:27" ht="12.75" hidden="1" outlineLevel="1" x14ac:dyDescent="0.2">
      <c r="A744" s="50"/>
      <c r="B744" s="137"/>
      <c r="C744" s="70" t="s">
        <v>44</v>
      </c>
      <c r="D744" s="108">
        <v>0</v>
      </c>
      <c r="E744" s="298"/>
      <c r="F744" s="73">
        <v>0</v>
      </c>
      <c r="G744" s="73">
        <v>1</v>
      </c>
      <c r="H744" s="74">
        <f t="shared" si="151"/>
        <v>0</v>
      </c>
      <c r="I744" s="75" t="e">
        <f t="shared" si="152"/>
        <v>#DIV/0!</v>
      </c>
      <c r="J744" s="76" t="e">
        <f t="shared" si="153"/>
        <v>#DIV/0!</v>
      </c>
      <c r="K744" s="108">
        <v>115.46</v>
      </c>
      <c r="L744" s="73">
        <v>39634</v>
      </c>
      <c r="M744" s="73">
        <v>1</v>
      </c>
      <c r="N744" s="109">
        <v>44.95</v>
      </c>
      <c r="O744" s="79">
        <f t="shared" si="222"/>
        <v>2.5686318131256951</v>
      </c>
      <c r="P744" s="80">
        <f t="shared" si="154"/>
        <v>0.38931231595357702</v>
      </c>
      <c r="Q744" s="79" t="e">
        <f t="shared" si="155"/>
        <v>#DIV/0!</v>
      </c>
      <c r="R744" s="81" t="e">
        <f t="shared" si="156"/>
        <v>#DIV/0!</v>
      </c>
      <c r="S744" s="110">
        <f t="shared" si="221"/>
        <v>-44.95</v>
      </c>
      <c r="T744" s="83">
        <f t="shared" si="157"/>
        <v>115.46</v>
      </c>
      <c r="U744" s="135"/>
      <c r="V744" s="135"/>
      <c r="W744" s="135"/>
      <c r="X744" s="135"/>
      <c r="Y744" s="136"/>
      <c r="Z744" s="50"/>
      <c r="AA744" s="50"/>
    </row>
    <row r="745" spans="1:27" ht="12.75" hidden="1" outlineLevel="1" x14ac:dyDescent="0.2">
      <c r="A745" s="139"/>
      <c r="B745" s="137"/>
      <c r="C745" s="112" t="s">
        <v>45</v>
      </c>
      <c r="D745" s="71">
        <v>59.9</v>
      </c>
      <c r="E745" s="298"/>
      <c r="F745" s="73">
        <v>2</v>
      </c>
      <c r="G745" s="73">
        <v>1</v>
      </c>
      <c r="H745" s="74">
        <f t="shared" si="151"/>
        <v>2</v>
      </c>
      <c r="I745" s="75">
        <f t="shared" si="152"/>
        <v>29.95</v>
      </c>
      <c r="J745" s="76">
        <f t="shared" si="153"/>
        <v>14.975</v>
      </c>
      <c r="K745" s="71">
        <v>0</v>
      </c>
      <c r="L745" s="73">
        <v>0</v>
      </c>
      <c r="M745" s="73">
        <v>0</v>
      </c>
      <c r="N745" s="78">
        <v>0</v>
      </c>
      <c r="O745" s="79" t="e">
        <f t="shared" si="222"/>
        <v>#DIV/0!</v>
      </c>
      <c r="P745" s="80" t="e">
        <f t="shared" si="154"/>
        <v>#DIV/0!</v>
      </c>
      <c r="Q745" s="79">
        <f t="shared" si="155"/>
        <v>0</v>
      </c>
      <c r="R745" s="81">
        <f t="shared" si="156"/>
        <v>0</v>
      </c>
      <c r="S745" s="82">
        <f t="shared" si="221"/>
        <v>59.9</v>
      </c>
      <c r="T745" s="83" t="e">
        <f t="shared" si="157"/>
        <v>#DIV/0!</v>
      </c>
      <c r="U745" s="140"/>
      <c r="V745" s="140"/>
      <c r="W745" s="140"/>
      <c r="X745" s="141"/>
      <c r="Y745" s="142"/>
      <c r="Z745" s="50"/>
      <c r="AA745" s="50"/>
    </row>
    <row r="746" spans="1:27" ht="12.75" hidden="1" outlineLevel="1" x14ac:dyDescent="0.2">
      <c r="A746" s="50"/>
      <c r="B746" s="137"/>
      <c r="C746" s="70" t="s">
        <v>46</v>
      </c>
      <c r="D746" s="116">
        <v>304.64999999999998</v>
      </c>
      <c r="E746" s="298"/>
      <c r="F746" s="73">
        <v>7</v>
      </c>
      <c r="G746" s="73">
        <v>12</v>
      </c>
      <c r="H746" s="74">
        <f t="shared" si="151"/>
        <v>0.58333333333333337</v>
      </c>
      <c r="I746" s="75">
        <f t="shared" si="152"/>
        <v>43.521428571428565</v>
      </c>
      <c r="J746" s="76">
        <f t="shared" si="153"/>
        <v>74.608163265306104</v>
      </c>
      <c r="K746" s="116">
        <v>103.02</v>
      </c>
      <c r="L746" s="73">
        <v>18013</v>
      </c>
      <c r="M746" s="73">
        <v>4</v>
      </c>
      <c r="N746" s="117">
        <v>130.85</v>
      </c>
      <c r="O746" s="79">
        <f t="shared" si="222"/>
        <v>0.78731371799770733</v>
      </c>
      <c r="P746" s="80">
        <f t="shared" si="154"/>
        <v>1.2701417200543583</v>
      </c>
      <c r="Q746" s="79">
        <f t="shared" si="155"/>
        <v>0.33815854258985723</v>
      </c>
      <c r="R746" s="81">
        <f t="shared" si="156"/>
        <v>0.42950927293615626</v>
      </c>
      <c r="S746" s="82">
        <f t="shared" si="221"/>
        <v>173.79999999999998</v>
      </c>
      <c r="T746" s="83">
        <f t="shared" si="157"/>
        <v>25.754999999999999</v>
      </c>
      <c r="U746" s="135"/>
      <c r="V746" s="135"/>
      <c r="W746" s="135"/>
      <c r="X746" s="135"/>
      <c r="Y746" s="136"/>
      <c r="Z746" s="50"/>
      <c r="AA746" s="50"/>
    </row>
    <row r="747" spans="1:27" ht="12.75" hidden="1" outlineLevel="1" x14ac:dyDescent="0.2">
      <c r="A747" s="118" t="str">
        <f t="shared" ref="A747:A748" si="223">IFERROR(IF(B747&gt;0,MONTH(B747)&amp;"-"&amp;YEAR(B747),B747),)</f>
        <v>10-2025</v>
      </c>
      <c r="B747" s="69">
        <v>45934</v>
      </c>
      <c r="C747" s="70" t="s">
        <v>49</v>
      </c>
      <c r="D747" s="116">
        <v>0</v>
      </c>
      <c r="E747" s="298"/>
      <c r="F747" s="73">
        <v>0</v>
      </c>
      <c r="G747" s="73">
        <v>0</v>
      </c>
      <c r="H747" s="74" t="e">
        <f t="shared" si="151"/>
        <v>#DIV/0!</v>
      </c>
      <c r="I747" s="75" t="e">
        <f t="shared" si="152"/>
        <v>#DIV/0!</v>
      </c>
      <c r="J747" s="76" t="e">
        <f t="shared" si="153"/>
        <v>#DIV/0!</v>
      </c>
      <c r="K747" s="116">
        <v>8.59</v>
      </c>
      <c r="L747" s="73">
        <v>7794</v>
      </c>
      <c r="M747" s="73">
        <v>0</v>
      </c>
      <c r="N747" s="117">
        <v>0</v>
      </c>
      <c r="O747" s="79" t="e">
        <f t="shared" si="222"/>
        <v>#DIV/0!</v>
      </c>
      <c r="P747" s="80">
        <f t="shared" si="154"/>
        <v>0</v>
      </c>
      <c r="Q747" s="79" t="e">
        <f t="shared" si="155"/>
        <v>#DIV/0!</v>
      </c>
      <c r="R747" s="81" t="e">
        <f t="shared" si="156"/>
        <v>#DIV/0!</v>
      </c>
      <c r="S747" s="82">
        <f t="shared" si="221"/>
        <v>0</v>
      </c>
      <c r="T747" s="83" t="e">
        <f t="shared" si="157"/>
        <v>#DIV/0!</v>
      </c>
      <c r="U747" s="135"/>
      <c r="V747" s="135"/>
      <c r="W747" s="135"/>
      <c r="X747" s="135"/>
      <c r="Y747" s="136"/>
      <c r="Z747" s="50"/>
      <c r="AA747" s="50"/>
    </row>
    <row r="748" spans="1:27" ht="12.75" collapsed="1" x14ac:dyDescent="0.2">
      <c r="A748" s="50">
        <f t="shared" si="223"/>
        <v>0</v>
      </c>
      <c r="B748" s="52" t="s">
        <v>98</v>
      </c>
      <c r="C748" s="145"/>
      <c r="D748" s="121">
        <f>SUM(D733:D747)</f>
        <v>8907.61</v>
      </c>
      <c r="E748" s="297"/>
      <c r="F748" s="123">
        <f t="shared" ref="F748:G748" si="224">SUM(F733:F747)</f>
        <v>101</v>
      </c>
      <c r="G748" s="123">
        <f t="shared" si="224"/>
        <v>110</v>
      </c>
      <c r="H748" s="124">
        <f t="shared" si="151"/>
        <v>0.91818181818181821</v>
      </c>
      <c r="I748" s="125">
        <f t="shared" si="152"/>
        <v>88.194158415841585</v>
      </c>
      <c r="J748" s="126">
        <f t="shared" si="153"/>
        <v>96.053043819233409</v>
      </c>
      <c r="K748" s="121">
        <f t="shared" ref="K748:N748" si="225">SUM(K733:K747)</f>
        <v>2022.81</v>
      </c>
      <c r="L748" s="123">
        <f t="shared" si="225"/>
        <v>462675</v>
      </c>
      <c r="M748" s="123">
        <f t="shared" si="225"/>
        <v>37</v>
      </c>
      <c r="N748" s="127">
        <f t="shared" si="225"/>
        <v>4435.8</v>
      </c>
      <c r="O748" s="128">
        <f t="shared" si="222"/>
        <v>0.45601920735831186</v>
      </c>
      <c r="P748" s="129">
        <f t="shared" si="154"/>
        <v>2.1928900885401994</v>
      </c>
      <c r="Q748" s="128">
        <f t="shared" si="155"/>
        <v>0.22708784960275538</v>
      </c>
      <c r="R748" s="130">
        <f t="shared" si="156"/>
        <v>0.49797869462178967</v>
      </c>
      <c r="S748" s="131">
        <f>SUM(S733:S747)</f>
        <v>4471.8099999999995</v>
      </c>
      <c r="T748" s="132">
        <f t="shared" si="157"/>
        <v>54.670540540540536</v>
      </c>
      <c r="U748" s="133">
        <f>IFERROR((D748-D246)/D748,)</f>
        <v>0.14889403554937886</v>
      </c>
      <c r="V748" s="133">
        <f>IFERROR((F748-F246)/F748,)</f>
        <v>6.9306930693069313E-2</v>
      </c>
      <c r="W748" s="271">
        <f>IFERROR((D748-[1]monthly_reporting_2021!E539)/D748, )</f>
        <v>0</v>
      </c>
      <c r="X748" s="271">
        <f>IFERROR((F748-[1]monthly_reporting_2021!F539)/F748, )</f>
        <v>0</v>
      </c>
      <c r="Y748" s="50"/>
      <c r="Z748" s="50"/>
      <c r="AA748" s="50"/>
    </row>
    <row r="749" spans="1:27" ht="12.75" hidden="1" outlineLevel="1" x14ac:dyDescent="0.2">
      <c r="A749" s="50"/>
      <c r="B749" s="69">
        <v>45935</v>
      </c>
      <c r="C749" s="70" t="s">
        <v>32</v>
      </c>
      <c r="D749" s="71">
        <v>16167.71</v>
      </c>
      <c r="E749" s="298"/>
      <c r="F749" s="73">
        <v>57</v>
      </c>
      <c r="G749" s="73">
        <v>47</v>
      </c>
      <c r="H749" s="74">
        <f t="shared" si="151"/>
        <v>1.2127659574468086</v>
      </c>
      <c r="I749" s="75">
        <f t="shared" si="152"/>
        <v>283.64403508771926</v>
      </c>
      <c r="J749" s="76">
        <f t="shared" si="153"/>
        <v>233.88192366882112</v>
      </c>
      <c r="K749" s="77">
        <v>1721.58</v>
      </c>
      <c r="L749" s="73">
        <v>269717</v>
      </c>
      <c r="M749" s="73">
        <v>19</v>
      </c>
      <c r="N749" s="78">
        <v>3568.04</v>
      </c>
      <c r="O749" s="79">
        <f t="shared" si="222"/>
        <v>0.48250019618614137</v>
      </c>
      <c r="P749" s="80">
        <f t="shared" si="154"/>
        <v>2.0725380174026187</v>
      </c>
      <c r="Q749" s="79">
        <f t="shared" si="155"/>
        <v>0.10648261256541589</v>
      </c>
      <c r="R749" s="81">
        <f t="shared" si="156"/>
        <v>0.22068926273417819</v>
      </c>
      <c r="S749" s="82">
        <f t="shared" ref="S749:S763" si="226">D749-N749</f>
        <v>12599.669999999998</v>
      </c>
      <c r="T749" s="83">
        <f t="shared" si="157"/>
        <v>90.609473684210528</v>
      </c>
      <c r="U749" s="135"/>
      <c r="V749" s="135"/>
      <c r="W749" s="135"/>
      <c r="X749" s="135"/>
      <c r="Y749" s="136"/>
      <c r="Z749" s="50"/>
      <c r="AA749" s="50"/>
    </row>
    <row r="750" spans="1:27" ht="12.75" hidden="1" outlineLevel="1" x14ac:dyDescent="0.2">
      <c r="A750" s="50"/>
      <c r="B750" s="137"/>
      <c r="C750" s="70" t="s">
        <v>33</v>
      </c>
      <c r="D750" s="87">
        <v>29945.599999999999</v>
      </c>
      <c r="E750" s="298"/>
      <c r="F750" s="73">
        <v>137</v>
      </c>
      <c r="G750" s="73">
        <v>145</v>
      </c>
      <c r="H750" s="74">
        <f t="shared" si="151"/>
        <v>0.94482758620689655</v>
      </c>
      <c r="I750" s="75">
        <f t="shared" si="152"/>
        <v>218.58102189781022</v>
      </c>
      <c r="J750" s="76">
        <f t="shared" si="153"/>
        <v>231.344877191113</v>
      </c>
      <c r="K750" s="87">
        <v>764.67</v>
      </c>
      <c r="L750" s="73">
        <v>129744</v>
      </c>
      <c r="M750" s="73">
        <v>47</v>
      </c>
      <c r="N750" s="88">
        <v>7857.13</v>
      </c>
      <c r="O750" s="79">
        <f t="shared" si="222"/>
        <v>9.7321795617483733E-2</v>
      </c>
      <c r="P750" s="80">
        <f t="shared" si="154"/>
        <v>10.275190605097624</v>
      </c>
      <c r="Q750" s="79">
        <f t="shared" si="155"/>
        <v>2.5535304017952554E-2</v>
      </c>
      <c r="R750" s="81">
        <f t="shared" si="156"/>
        <v>0.26238011594357769</v>
      </c>
      <c r="S750" s="89">
        <f t="shared" si="226"/>
        <v>22088.469999999998</v>
      </c>
      <c r="T750" s="83">
        <f t="shared" si="157"/>
        <v>16.269574468085107</v>
      </c>
      <c r="U750" s="135"/>
      <c r="V750" s="135"/>
      <c r="W750" s="135"/>
      <c r="X750" s="135"/>
      <c r="Y750" s="136"/>
      <c r="Z750" s="50"/>
      <c r="AA750" s="50"/>
    </row>
    <row r="751" spans="1:27" ht="12.75" hidden="1" outlineLevel="1" x14ac:dyDescent="0.2">
      <c r="A751" s="50"/>
      <c r="B751" s="137"/>
      <c r="C751" s="70" t="s">
        <v>34</v>
      </c>
      <c r="D751" s="90">
        <v>0</v>
      </c>
      <c r="E751" s="298"/>
      <c r="F751" s="73">
        <v>0</v>
      </c>
      <c r="G751" s="73">
        <v>0</v>
      </c>
      <c r="H751" s="74" t="e">
        <f t="shared" si="151"/>
        <v>#DIV/0!</v>
      </c>
      <c r="I751" s="75" t="e">
        <f t="shared" si="152"/>
        <v>#DIV/0!</v>
      </c>
      <c r="J751" s="76" t="e">
        <f t="shared" si="153"/>
        <v>#DIV/0!</v>
      </c>
      <c r="K751" s="90">
        <v>11.43</v>
      </c>
      <c r="L751" s="73">
        <v>368</v>
      </c>
      <c r="M751" s="73">
        <v>0</v>
      </c>
      <c r="N751" s="91">
        <v>0</v>
      </c>
      <c r="O751" s="79" t="e">
        <f>(K751/N751)</f>
        <v>#DIV/0!</v>
      </c>
      <c r="P751" s="80">
        <f t="shared" si="154"/>
        <v>0</v>
      </c>
      <c r="Q751" s="79" t="e">
        <f t="shared" si="155"/>
        <v>#DIV/0!</v>
      </c>
      <c r="R751" s="81" t="e">
        <f t="shared" si="156"/>
        <v>#DIV/0!</v>
      </c>
      <c r="S751" s="92">
        <f t="shared" si="226"/>
        <v>0</v>
      </c>
      <c r="T751" s="83" t="e">
        <f t="shared" si="157"/>
        <v>#DIV/0!</v>
      </c>
      <c r="U751" s="135"/>
      <c r="V751" s="135"/>
      <c r="W751" s="135"/>
      <c r="X751" s="135"/>
      <c r="Y751" s="136"/>
      <c r="Z751" s="50"/>
      <c r="AA751" s="50"/>
    </row>
    <row r="752" spans="1:27" ht="12.75" hidden="1" outlineLevel="1" x14ac:dyDescent="0.2">
      <c r="A752" s="50"/>
      <c r="B752" s="137"/>
      <c r="C752" s="70" t="s">
        <v>35</v>
      </c>
      <c r="D752" s="90">
        <v>910.09</v>
      </c>
      <c r="E752" s="298"/>
      <c r="F752" s="73">
        <v>21</v>
      </c>
      <c r="G752" s="73">
        <v>17</v>
      </c>
      <c r="H752" s="74">
        <f t="shared" si="151"/>
        <v>1.2352941176470589</v>
      </c>
      <c r="I752" s="75">
        <f t="shared" si="152"/>
        <v>43.33761904761905</v>
      </c>
      <c r="J752" s="76">
        <f t="shared" si="153"/>
        <v>35.082834467120179</v>
      </c>
      <c r="K752" s="90">
        <v>259.63</v>
      </c>
      <c r="L752" s="73">
        <v>24233</v>
      </c>
      <c r="M752" s="73">
        <v>11</v>
      </c>
      <c r="N752" s="91">
        <v>470.63</v>
      </c>
      <c r="O752" s="79">
        <f t="shared" ref="O752:O766" si="227">K752/N752</f>
        <v>0.55166478974990973</v>
      </c>
      <c r="P752" s="80">
        <f t="shared" si="154"/>
        <v>1.8126949890228403</v>
      </c>
      <c r="Q752" s="79">
        <f t="shared" si="155"/>
        <v>0.28527947785383861</v>
      </c>
      <c r="R752" s="81">
        <f t="shared" si="156"/>
        <v>0.51712467997670553</v>
      </c>
      <c r="S752" s="92">
        <f t="shared" si="226"/>
        <v>439.46000000000004</v>
      </c>
      <c r="T752" s="83">
        <f t="shared" si="157"/>
        <v>23.602727272727272</v>
      </c>
      <c r="U752" s="135"/>
      <c r="V752" s="135"/>
      <c r="W752" s="135"/>
      <c r="X752" s="135"/>
      <c r="Y752" s="136"/>
      <c r="Z752" s="50"/>
      <c r="AA752" s="50"/>
    </row>
    <row r="753" spans="1:27" ht="12.75" hidden="1" outlineLevel="1" x14ac:dyDescent="0.2">
      <c r="A753" s="50"/>
      <c r="B753" s="137"/>
      <c r="C753" s="70" t="s">
        <v>36</v>
      </c>
      <c r="D753" s="90">
        <v>0</v>
      </c>
      <c r="E753" s="298"/>
      <c r="F753" s="73">
        <v>0</v>
      </c>
      <c r="G753" s="73">
        <v>0</v>
      </c>
      <c r="H753" s="74" t="e">
        <f t="shared" si="151"/>
        <v>#DIV/0!</v>
      </c>
      <c r="I753" s="75" t="e">
        <f t="shared" si="152"/>
        <v>#DIV/0!</v>
      </c>
      <c r="J753" s="76" t="e">
        <f t="shared" si="153"/>
        <v>#DIV/0!</v>
      </c>
      <c r="K753" s="90">
        <v>68.62</v>
      </c>
      <c r="L753" s="73">
        <v>16933</v>
      </c>
      <c r="M753" s="73">
        <v>4</v>
      </c>
      <c r="N753" s="91">
        <v>155.88</v>
      </c>
      <c r="O753" s="79">
        <f t="shared" si="227"/>
        <v>0.44021041827046448</v>
      </c>
      <c r="P753" s="80">
        <f t="shared" si="154"/>
        <v>2.2716409210142814</v>
      </c>
      <c r="Q753" s="79" t="e">
        <f t="shared" si="155"/>
        <v>#DIV/0!</v>
      </c>
      <c r="R753" s="81" t="e">
        <f t="shared" si="156"/>
        <v>#DIV/0!</v>
      </c>
      <c r="S753" s="92">
        <f t="shared" si="226"/>
        <v>-155.88</v>
      </c>
      <c r="T753" s="83">
        <f t="shared" si="157"/>
        <v>17.155000000000001</v>
      </c>
      <c r="U753" s="135"/>
      <c r="V753" s="135"/>
      <c r="W753" s="135"/>
      <c r="X753" s="135"/>
      <c r="Y753" s="136"/>
      <c r="Z753" s="50"/>
      <c r="AA753" s="50"/>
    </row>
    <row r="754" spans="1:27" ht="12.75" hidden="1" outlineLevel="1" x14ac:dyDescent="0.2">
      <c r="A754" s="50"/>
      <c r="B754" s="69" t="s">
        <v>37</v>
      </c>
      <c r="C754" s="70" t="s">
        <v>38</v>
      </c>
      <c r="D754" s="93">
        <v>446.08</v>
      </c>
      <c r="E754" s="298"/>
      <c r="F754" s="73">
        <v>10</v>
      </c>
      <c r="G754" s="73">
        <v>10</v>
      </c>
      <c r="H754" s="74">
        <f t="shared" si="151"/>
        <v>1</v>
      </c>
      <c r="I754" s="75">
        <f t="shared" si="152"/>
        <v>44.607999999999997</v>
      </c>
      <c r="J754" s="76">
        <f t="shared" si="153"/>
        <v>44.607999999999997</v>
      </c>
      <c r="K754" s="93">
        <v>93.55</v>
      </c>
      <c r="L754" s="73">
        <v>17224</v>
      </c>
      <c r="M754" s="73">
        <v>2</v>
      </c>
      <c r="N754" s="94">
        <v>59.9</v>
      </c>
      <c r="O754" s="79">
        <f t="shared" si="227"/>
        <v>1.5617696160267112</v>
      </c>
      <c r="P754" s="80">
        <f t="shared" si="154"/>
        <v>0.64029930518439337</v>
      </c>
      <c r="Q754" s="79">
        <f t="shared" si="155"/>
        <v>0.20971574605451937</v>
      </c>
      <c r="R754" s="81">
        <f t="shared" si="156"/>
        <v>0.13428084648493543</v>
      </c>
      <c r="S754" s="95">
        <f t="shared" si="226"/>
        <v>386.18</v>
      </c>
      <c r="T754" s="83">
        <f t="shared" si="157"/>
        <v>46.774999999999999</v>
      </c>
      <c r="U754" s="135"/>
      <c r="V754" s="135"/>
      <c r="W754" s="135"/>
      <c r="X754" s="135"/>
      <c r="Y754" s="136"/>
      <c r="Z754" s="50"/>
      <c r="AA754" s="50"/>
    </row>
    <row r="755" spans="1:27" ht="12.75" hidden="1" outlineLevel="1" x14ac:dyDescent="0.2">
      <c r="A755" s="50"/>
      <c r="B755" s="137"/>
      <c r="C755" s="70" t="s">
        <v>39</v>
      </c>
      <c r="D755" s="96">
        <v>0</v>
      </c>
      <c r="E755" s="298"/>
      <c r="F755" s="73">
        <v>0</v>
      </c>
      <c r="G755" s="73">
        <v>0</v>
      </c>
      <c r="H755" s="74" t="e">
        <f t="shared" si="151"/>
        <v>#DIV/0!</v>
      </c>
      <c r="I755" s="75" t="e">
        <f t="shared" si="152"/>
        <v>#DIV/0!</v>
      </c>
      <c r="J755" s="76" t="e">
        <f t="shared" si="153"/>
        <v>#DIV/0!</v>
      </c>
      <c r="K755" s="96">
        <v>0</v>
      </c>
      <c r="L755" s="73">
        <v>0</v>
      </c>
      <c r="M755" s="73">
        <v>0</v>
      </c>
      <c r="N755" s="97">
        <v>0</v>
      </c>
      <c r="O755" s="79" t="e">
        <f t="shared" si="227"/>
        <v>#DIV/0!</v>
      </c>
      <c r="P755" s="80" t="e">
        <f t="shared" si="154"/>
        <v>#DIV/0!</v>
      </c>
      <c r="Q755" s="79" t="e">
        <f t="shared" si="155"/>
        <v>#DIV/0!</v>
      </c>
      <c r="R755" s="81" t="e">
        <f t="shared" si="156"/>
        <v>#DIV/0!</v>
      </c>
      <c r="S755" s="98">
        <f t="shared" si="226"/>
        <v>0</v>
      </c>
      <c r="T755" s="83" t="e">
        <f t="shared" si="157"/>
        <v>#DIV/0!</v>
      </c>
      <c r="U755" s="135"/>
      <c r="V755" s="135"/>
      <c r="W755" s="135"/>
      <c r="X755" s="135"/>
      <c r="Y755" s="136"/>
      <c r="Z755" s="50"/>
      <c r="AA755" s="50"/>
    </row>
    <row r="756" spans="1:27" ht="12.75" hidden="1" outlineLevel="1" x14ac:dyDescent="0.2">
      <c r="A756" s="50"/>
      <c r="B756" s="137"/>
      <c r="C756" s="70" t="s">
        <v>40</v>
      </c>
      <c r="D756" s="99">
        <v>0</v>
      </c>
      <c r="E756" s="298"/>
      <c r="F756" s="73">
        <v>0</v>
      </c>
      <c r="G756" s="73">
        <v>0</v>
      </c>
      <c r="H756" s="74" t="e">
        <f t="shared" si="151"/>
        <v>#DIV/0!</v>
      </c>
      <c r="I756" s="75" t="e">
        <f t="shared" si="152"/>
        <v>#DIV/0!</v>
      </c>
      <c r="J756" s="76" t="e">
        <f t="shared" si="153"/>
        <v>#DIV/0!</v>
      </c>
      <c r="K756" s="99">
        <v>0</v>
      </c>
      <c r="L756" s="73">
        <v>0</v>
      </c>
      <c r="M756" s="73">
        <v>0</v>
      </c>
      <c r="N756" s="100">
        <v>0</v>
      </c>
      <c r="O756" s="79" t="e">
        <f t="shared" si="227"/>
        <v>#DIV/0!</v>
      </c>
      <c r="P756" s="80" t="e">
        <f t="shared" si="154"/>
        <v>#DIV/0!</v>
      </c>
      <c r="Q756" s="79" t="e">
        <f t="shared" si="155"/>
        <v>#DIV/0!</v>
      </c>
      <c r="R756" s="81" t="e">
        <f t="shared" si="156"/>
        <v>#DIV/0!</v>
      </c>
      <c r="S756" s="101">
        <f t="shared" si="226"/>
        <v>0</v>
      </c>
      <c r="T756" s="83" t="e">
        <f t="shared" si="157"/>
        <v>#DIV/0!</v>
      </c>
      <c r="U756" s="135"/>
      <c r="V756" s="135"/>
      <c r="W756" s="135"/>
      <c r="X756" s="135"/>
      <c r="Y756" s="136"/>
      <c r="Z756" s="50"/>
      <c r="AA756" s="50"/>
    </row>
    <row r="757" spans="1:27" ht="12.75" hidden="1" outlineLevel="1" x14ac:dyDescent="0.2">
      <c r="A757" s="50"/>
      <c r="B757" s="137"/>
      <c r="C757" s="70" t="s">
        <v>41</v>
      </c>
      <c r="D757" s="102">
        <v>3081.69</v>
      </c>
      <c r="E757" s="298"/>
      <c r="F757" s="73">
        <v>44</v>
      </c>
      <c r="G757" s="73">
        <v>42</v>
      </c>
      <c r="H757" s="74">
        <f t="shared" si="151"/>
        <v>1.0476190476190477</v>
      </c>
      <c r="I757" s="75">
        <f t="shared" si="152"/>
        <v>70.038409090909099</v>
      </c>
      <c r="J757" s="76">
        <f t="shared" si="153"/>
        <v>66.854845041322321</v>
      </c>
      <c r="K757" s="102">
        <v>140.16999999999999</v>
      </c>
      <c r="L757" s="73">
        <v>24719</v>
      </c>
      <c r="M757" s="73">
        <v>16</v>
      </c>
      <c r="N757" s="103">
        <v>1011.21</v>
      </c>
      <c r="O757" s="79">
        <f t="shared" si="227"/>
        <v>0.13861611336913202</v>
      </c>
      <c r="P757" s="80">
        <f t="shared" si="154"/>
        <v>7.214168509666834</v>
      </c>
      <c r="Q757" s="79">
        <f t="shared" si="155"/>
        <v>4.5484782700401398E-2</v>
      </c>
      <c r="R757" s="81">
        <f t="shared" si="156"/>
        <v>0.32813488702627452</v>
      </c>
      <c r="S757" s="104">
        <f t="shared" si="226"/>
        <v>2070.48</v>
      </c>
      <c r="T757" s="83">
        <f t="shared" si="157"/>
        <v>8.7606249999999992</v>
      </c>
      <c r="U757" s="135"/>
      <c r="V757" s="135"/>
      <c r="W757" s="135"/>
      <c r="X757" s="135"/>
      <c r="Y757" s="136"/>
      <c r="Z757" s="50"/>
      <c r="AA757" s="50"/>
    </row>
    <row r="758" spans="1:27" ht="12.75" hidden="1" outlineLevel="1" x14ac:dyDescent="0.2">
      <c r="A758" s="50"/>
      <c r="B758" s="137"/>
      <c r="C758" s="70" t="s">
        <v>42</v>
      </c>
      <c r="D758" s="90">
        <v>0</v>
      </c>
      <c r="E758" s="298"/>
      <c r="F758" s="73">
        <v>0</v>
      </c>
      <c r="G758" s="73">
        <v>0</v>
      </c>
      <c r="H758" s="74" t="e">
        <f t="shared" si="151"/>
        <v>#DIV/0!</v>
      </c>
      <c r="I758" s="75" t="e">
        <f t="shared" si="152"/>
        <v>#DIV/0!</v>
      </c>
      <c r="J758" s="76" t="e">
        <f t="shared" si="153"/>
        <v>#DIV/0!</v>
      </c>
      <c r="K758" s="90">
        <v>7.78</v>
      </c>
      <c r="L758" s="73">
        <v>4585</v>
      </c>
      <c r="M758" s="73">
        <v>0</v>
      </c>
      <c r="N758" s="91">
        <v>0</v>
      </c>
      <c r="O758" s="79" t="e">
        <f t="shared" si="227"/>
        <v>#DIV/0!</v>
      </c>
      <c r="P758" s="80">
        <f t="shared" si="154"/>
        <v>0</v>
      </c>
      <c r="Q758" s="79" t="e">
        <f t="shared" si="155"/>
        <v>#DIV/0!</v>
      </c>
      <c r="R758" s="81" t="e">
        <f t="shared" si="156"/>
        <v>#DIV/0!</v>
      </c>
      <c r="S758" s="92">
        <f t="shared" si="226"/>
        <v>0</v>
      </c>
      <c r="T758" s="83" t="e">
        <f t="shared" si="157"/>
        <v>#DIV/0!</v>
      </c>
      <c r="U758" s="135"/>
      <c r="V758" s="135"/>
      <c r="W758" s="135"/>
      <c r="X758" s="135"/>
      <c r="Y758" s="136"/>
      <c r="Z758" s="50"/>
      <c r="AA758" s="50"/>
    </row>
    <row r="759" spans="1:27" ht="12.75" hidden="1" outlineLevel="1" x14ac:dyDescent="0.2">
      <c r="A759" s="50"/>
      <c r="B759" s="137"/>
      <c r="C759" s="70" t="s">
        <v>43</v>
      </c>
      <c r="D759" s="105">
        <v>1147.67</v>
      </c>
      <c r="E759" s="298"/>
      <c r="F759" s="73">
        <v>8</v>
      </c>
      <c r="G759" s="73">
        <v>8</v>
      </c>
      <c r="H759" s="74">
        <f t="shared" si="151"/>
        <v>1</v>
      </c>
      <c r="I759" s="75">
        <f t="shared" si="152"/>
        <v>143.45875000000001</v>
      </c>
      <c r="J759" s="76">
        <f t="shared" si="153"/>
        <v>143.45875000000001</v>
      </c>
      <c r="K759" s="105">
        <v>62.81</v>
      </c>
      <c r="L759" s="73">
        <v>13306</v>
      </c>
      <c r="M759" s="73">
        <v>1</v>
      </c>
      <c r="N759" s="106">
        <v>168.76</v>
      </c>
      <c r="O759" s="79">
        <f t="shared" si="227"/>
        <v>0.37218535197914199</v>
      </c>
      <c r="P759" s="80">
        <f t="shared" si="154"/>
        <v>2.6868333067982801</v>
      </c>
      <c r="Q759" s="79">
        <f t="shared" si="155"/>
        <v>5.4728275549591782E-2</v>
      </c>
      <c r="R759" s="81">
        <f t="shared" si="156"/>
        <v>0.14704575357027716</v>
      </c>
      <c r="S759" s="107">
        <f t="shared" si="226"/>
        <v>978.91000000000008</v>
      </c>
      <c r="T759" s="83">
        <f t="shared" si="157"/>
        <v>62.81</v>
      </c>
      <c r="U759" s="135"/>
      <c r="V759" s="135"/>
      <c r="W759" s="135"/>
      <c r="X759" s="135"/>
      <c r="Y759" s="136"/>
      <c r="Z759" s="50"/>
      <c r="AA759" s="50"/>
    </row>
    <row r="760" spans="1:27" ht="12.75" hidden="1" outlineLevel="1" x14ac:dyDescent="0.2">
      <c r="A760" s="50"/>
      <c r="B760" s="137"/>
      <c r="C760" s="70" t="s">
        <v>44</v>
      </c>
      <c r="D760" s="108">
        <v>332.64</v>
      </c>
      <c r="E760" s="298"/>
      <c r="F760" s="73">
        <v>12</v>
      </c>
      <c r="G760" s="73">
        <v>12</v>
      </c>
      <c r="H760" s="74">
        <f t="shared" si="151"/>
        <v>1</v>
      </c>
      <c r="I760" s="75">
        <f t="shared" si="152"/>
        <v>27.72</v>
      </c>
      <c r="J760" s="76">
        <f t="shared" si="153"/>
        <v>27.72</v>
      </c>
      <c r="K760" s="108">
        <v>120.16</v>
      </c>
      <c r="L760" s="73">
        <v>49339</v>
      </c>
      <c r="M760" s="73">
        <v>8</v>
      </c>
      <c r="N760" s="109">
        <v>224.76</v>
      </c>
      <c r="O760" s="79">
        <f t="shared" si="227"/>
        <v>0.53461470012457735</v>
      </c>
      <c r="P760" s="80">
        <f t="shared" si="154"/>
        <v>1.8705059920106524</v>
      </c>
      <c r="Q760" s="79">
        <f t="shared" si="155"/>
        <v>0.36123136123136124</v>
      </c>
      <c r="R760" s="81">
        <f t="shared" si="156"/>
        <v>0.67568542568542567</v>
      </c>
      <c r="S760" s="110">
        <f t="shared" si="226"/>
        <v>107.88</v>
      </c>
      <c r="T760" s="83">
        <f t="shared" si="157"/>
        <v>15.02</v>
      </c>
      <c r="U760" s="135"/>
      <c r="V760" s="135"/>
      <c r="W760" s="135"/>
      <c r="X760" s="135"/>
      <c r="Y760" s="136"/>
      <c r="Z760" s="50"/>
      <c r="AA760" s="50"/>
    </row>
    <row r="761" spans="1:27" ht="12.75" hidden="1" outlineLevel="1" x14ac:dyDescent="0.2">
      <c r="A761" s="139"/>
      <c r="B761" s="137"/>
      <c r="C761" s="112" t="s">
        <v>45</v>
      </c>
      <c r="D761" s="71">
        <v>89.85</v>
      </c>
      <c r="E761" s="298"/>
      <c r="F761" s="73">
        <v>3</v>
      </c>
      <c r="G761" s="73">
        <v>2</v>
      </c>
      <c r="H761" s="74">
        <f t="shared" si="151"/>
        <v>1.5</v>
      </c>
      <c r="I761" s="75">
        <f t="shared" si="152"/>
        <v>29.95</v>
      </c>
      <c r="J761" s="76">
        <f t="shared" si="153"/>
        <v>19.966666666666665</v>
      </c>
      <c r="K761" s="71">
        <v>0</v>
      </c>
      <c r="L761" s="73">
        <v>0</v>
      </c>
      <c r="M761" s="73">
        <v>0</v>
      </c>
      <c r="N761" s="78">
        <v>0</v>
      </c>
      <c r="O761" s="79" t="e">
        <f t="shared" si="227"/>
        <v>#DIV/0!</v>
      </c>
      <c r="P761" s="80" t="e">
        <f t="shared" si="154"/>
        <v>#DIV/0!</v>
      </c>
      <c r="Q761" s="79">
        <f t="shared" si="155"/>
        <v>0</v>
      </c>
      <c r="R761" s="81">
        <f t="shared" si="156"/>
        <v>0</v>
      </c>
      <c r="S761" s="82">
        <f t="shared" si="226"/>
        <v>89.85</v>
      </c>
      <c r="T761" s="83" t="e">
        <f t="shared" si="157"/>
        <v>#DIV/0!</v>
      </c>
      <c r="U761" s="140"/>
      <c r="V761" s="140"/>
      <c r="W761" s="140"/>
      <c r="X761" s="141"/>
      <c r="Y761" s="142"/>
      <c r="Z761" s="50"/>
      <c r="AA761" s="50"/>
    </row>
    <row r="762" spans="1:27" ht="12.75" hidden="1" outlineLevel="1" x14ac:dyDescent="0.2">
      <c r="A762" s="50"/>
      <c r="B762" s="137"/>
      <c r="C762" s="70" t="s">
        <v>46</v>
      </c>
      <c r="D762" s="116">
        <v>313.58</v>
      </c>
      <c r="E762" s="298"/>
      <c r="F762" s="73">
        <v>10</v>
      </c>
      <c r="G762" s="73">
        <v>11</v>
      </c>
      <c r="H762" s="74">
        <f t="shared" si="151"/>
        <v>0.90909090909090906</v>
      </c>
      <c r="I762" s="75">
        <f t="shared" si="152"/>
        <v>31.357999999999997</v>
      </c>
      <c r="J762" s="76">
        <f t="shared" si="153"/>
        <v>34.4938</v>
      </c>
      <c r="K762" s="116">
        <v>13.8</v>
      </c>
      <c r="L762" s="73">
        <v>3675</v>
      </c>
      <c r="M762" s="73">
        <v>1</v>
      </c>
      <c r="N762" s="117">
        <v>30.07</v>
      </c>
      <c r="O762" s="79">
        <f t="shared" si="227"/>
        <v>0.45892916528101102</v>
      </c>
      <c r="P762" s="80">
        <f t="shared" si="154"/>
        <v>2.1789855072463769</v>
      </c>
      <c r="Q762" s="79">
        <f t="shared" si="155"/>
        <v>4.4007908667644625E-2</v>
      </c>
      <c r="R762" s="81">
        <f t="shared" si="156"/>
        <v>9.5892595191019836E-2</v>
      </c>
      <c r="S762" s="82">
        <f t="shared" si="226"/>
        <v>283.51</v>
      </c>
      <c r="T762" s="83">
        <f t="shared" si="157"/>
        <v>13.8</v>
      </c>
      <c r="U762" s="135"/>
      <c r="V762" s="135"/>
      <c r="W762" s="135"/>
      <c r="X762" s="135"/>
      <c r="Y762" s="136"/>
      <c r="Z762" s="50"/>
      <c r="AA762" s="50"/>
    </row>
    <row r="763" spans="1:27" ht="12.75" hidden="1" outlineLevel="1" x14ac:dyDescent="0.2">
      <c r="A763" s="118" t="str">
        <f t="shared" ref="A763:A764" si="228">IFERROR(IF(B763&gt;0,MONTH(B763)&amp;"-"&amp;YEAR(B763),B763),)</f>
        <v>10-2025</v>
      </c>
      <c r="B763" s="69">
        <v>45941</v>
      </c>
      <c r="C763" s="70" t="s">
        <v>49</v>
      </c>
      <c r="D763" s="116">
        <v>0</v>
      </c>
      <c r="E763" s="298"/>
      <c r="F763" s="73">
        <v>0</v>
      </c>
      <c r="G763" s="73">
        <v>0</v>
      </c>
      <c r="H763" s="74" t="e">
        <f t="shared" si="151"/>
        <v>#DIV/0!</v>
      </c>
      <c r="I763" s="75" t="e">
        <f t="shared" si="152"/>
        <v>#DIV/0!</v>
      </c>
      <c r="J763" s="76" t="e">
        <f t="shared" si="153"/>
        <v>#DIV/0!</v>
      </c>
      <c r="K763" s="116">
        <v>7.38</v>
      </c>
      <c r="L763" s="73">
        <v>7442</v>
      </c>
      <c r="M763" s="73">
        <v>0</v>
      </c>
      <c r="N763" s="117">
        <v>0</v>
      </c>
      <c r="O763" s="79" t="e">
        <f t="shared" si="227"/>
        <v>#DIV/0!</v>
      </c>
      <c r="P763" s="80">
        <f t="shared" si="154"/>
        <v>0</v>
      </c>
      <c r="Q763" s="79" t="e">
        <f t="shared" si="155"/>
        <v>#DIV/0!</v>
      </c>
      <c r="R763" s="81" t="e">
        <f t="shared" si="156"/>
        <v>#DIV/0!</v>
      </c>
      <c r="S763" s="82">
        <f t="shared" si="226"/>
        <v>0</v>
      </c>
      <c r="T763" s="83" t="e">
        <f t="shared" si="157"/>
        <v>#DIV/0!</v>
      </c>
      <c r="U763" s="135"/>
      <c r="V763" s="135"/>
      <c r="W763" s="135"/>
      <c r="X763" s="135"/>
      <c r="Y763" s="136"/>
      <c r="Z763" s="50"/>
      <c r="AA763" s="50"/>
    </row>
    <row r="764" spans="1:27" ht="12.75" collapsed="1" x14ac:dyDescent="0.2">
      <c r="A764" s="50">
        <f t="shared" si="228"/>
        <v>0</v>
      </c>
      <c r="B764" s="52" t="s">
        <v>99</v>
      </c>
      <c r="C764" s="145"/>
      <c r="D764" s="121">
        <f>SUM(D749:D763)</f>
        <v>52434.909999999996</v>
      </c>
      <c r="E764" s="297"/>
      <c r="F764" s="123">
        <f t="shared" ref="F764:G764" si="229">SUM(F749:F763)</f>
        <v>302</v>
      </c>
      <c r="G764" s="123">
        <f t="shared" si="229"/>
        <v>294</v>
      </c>
      <c r="H764" s="124">
        <f t="shared" si="151"/>
        <v>1.0272108843537415</v>
      </c>
      <c r="I764" s="125">
        <f t="shared" si="152"/>
        <v>173.62552980132449</v>
      </c>
      <c r="J764" s="126">
        <f t="shared" si="153"/>
        <v>169.02617801850795</v>
      </c>
      <c r="K764" s="121">
        <f t="shared" ref="K764:N764" si="230">SUM(K749:K763)</f>
        <v>3271.5800000000004</v>
      </c>
      <c r="L764" s="123">
        <f t="shared" si="230"/>
        <v>561285</v>
      </c>
      <c r="M764" s="123">
        <f t="shared" si="230"/>
        <v>109</v>
      </c>
      <c r="N764" s="127">
        <f t="shared" si="230"/>
        <v>13546.379999999997</v>
      </c>
      <c r="O764" s="128">
        <f t="shared" si="227"/>
        <v>0.24150953981801787</v>
      </c>
      <c r="P764" s="129">
        <f t="shared" si="154"/>
        <v>4.1406231851276738</v>
      </c>
      <c r="Q764" s="128">
        <f t="shared" si="155"/>
        <v>6.239316516420073E-2</v>
      </c>
      <c r="R764" s="130">
        <f t="shared" si="156"/>
        <v>0.25834658627238988</v>
      </c>
      <c r="S764" s="131">
        <f>SUM(S749:S763)</f>
        <v>38888.530000000006</v>
      </c>
      <c r="T764" s="132">
        <f t="shared" si="157"/>
        <v>30.014495412844042</v>
      </c>
      <c r="U764" s="133">
        <f>IFERROR((D764-D246)/D764,)</f>
        <v>0.85541464646358689</v>
      </c>
      <c r="V764" s="133">
        <f>IFERROR((F764-F246)/F764,)</f>
        <v>0.6887417218543046</v>
      </c>
      <c r="W764" s="271">
        <f>IFERROR((D764-[1]monthly_reporting_2021!E555)/D764, )</f>
        <v>0</v>
      </c>
      <c r="X764" s="271">
        <f>IFERROR((F764-[1]monthly_reporting_2021!F555)/F764, )</f>
        <v>0</v>
      </c>
      <c r="Y764" s="50"/>
      <c r="Z764" s="50"/>
      <c r="AA764" s="50"/>
    </row>
    <row r="765" spans="1:27" ht="12.75" hidden="1" outlineLevel="1" x14ac:dyDescent="0.2">
      <c r="A765" s="50"/>
      <c r="B765" s="69">
        <v>45942</v>
      </c>
      <c r="C765" s="70" t="s">
        <v>32</v>
      </c>
      <c r="D765" s="71">
        <v>5646.49</v>
      </c>
      <c r="E765" s="298"/>
      <c r="F765" s="73">
        <v>36</v>
      </c>
      <c r="G765" s="73">
        <v>35</v>
      </c>
      <c r="H765" s="74">
        <f t="shared" si="151"/>
        <v>1.0285714285714285</v>
      </c>
      <c r="I765" s="75">
        <f t="shared" si="152"/>
        <v>156.84694444444443</v>
      </c>
      <c r="J765" s="76">
        <f t="shared" si="153"/>
        <v>152.49008487654322</v>
      </c>
      <c r="K765" s="77">
        <v>477.18</v>
      </c>
      <c r="L765" s="73">
        <v>112905</v>
      </c>
      <c r="M765" s="73">
        <v>15</v>
      </c>
      <c r="N765" s="78">
        <v>1591.8</v>
      </c>
      <c r="O765" s="79">
        <f t="shared" si="227"/>
        <v>0.29977384093479081</v>
      </c>
      <c r="P765" s="80">
        <f t="shared" si="154"/>
        <v>3.3358481076323399</v>
      </c>
      <c r="Q765" s="79">
        <f t="shared" si="155"/>
        <v>8.4509137534999626E-2</v>
      </c>
      <c r="R765" s="81">
        <f t="shared" si="156"/>
        <v>0.28190964652376965</v>
      </c>
      <c r="S765" s="82">
        <f t="shared" ref="S765:S779" si="231">D765-N765</f>
        <v>4054.6899999999996</v>
      </c>
      <c r="T765" s="83">
        <f t="shared" si="157"/>
        <v>31.812000000000001</v>
      </c>
      <c r="U765" s="135"/>
      <c r="V765" s="135"/>
      <c r="W765" s="135"/>
      <c r="X765" s="135"/>
      <c r="Y765" s="136"/>
      <c r="Z765" s="50"/>
      <c r="AA765" s="50"/>
    </row>
    <row r="766" spans="1:27" ht="12.75" hidden="1" outlineLevel="1" x14ac:dyDescent="0.2">
      <c r="A766" s="50"/>
      <c r="B766" s="137"/>
      <c r="C766" s="70" t="s">
        <v>33</v>
      </c>
      <c r="D766" s="87">
        <v>8886.6</v>
      </c>
      <c r="E766" s="298"/>
      <c r="F766" s="73">
        <v>81</v>
      </c>
      <c r="G766" s="73">
        <v>90</v>
      </c>
      <c r="H766" s="74">
        <f t="shared" si="151"/>
        <v>0.9</v>
      </c>
      <c r="I766" s="75">
        <f t="shared" si="152"/>
        <v>109.71111111111111</v>
      </c>
      <c r="J766" s="76">
        <f t="shared" si="153"/>
        <v>121.90123456790123</v>
      </c>
      <c r="K766" s="87">
        <v>400.49</v>
      </c>
      <c r="L766" s="73">
        <v>108260</v>
      </c>
      <c r="M766" s="73">
        <v>13</v>
      </c>
      <c r="N766" s="88">
        <v>2455.1799999999998</v>
      </c>
      <c r="O766" s="79">
        <f t="shared" si="227"/>
        <v>0.16312042294251339</v>
      </c>
      <c r="P766" s="80">
        <f t="shared" si="154"/>
        <v>6.130440210741841</v>
      </c>
      <c r="Q766" s="79">
        <f t="shared" si="155"/>
        <v>4.5066729682893346E-2</v>
      </c>
      <c r="R766" s="81">
        <f t="shared" si="156"/>
        <v>0.27627889181464221</v>
      </c>
      <c r="S766" s="89">
        <f t="shared" si="231"/>
        <v>6431.42</v>
      </c>
      <c r="T766" s="83">
        <f t="shared" si="157"/>
        <v>30.806923076923077</v>
      </c>
      <c r="U766" s="135"/>
      <c r="V766" s="135"/>
      <c r="W766" s="135"/>
      <c r="X766" s="135"/>
      <c r="Y766" s="136"/>
      <c r="Z766" s="50"/>
      <c r="AA766" s="50"/>
    </row>
    <row r="767" spans="1:27" ht="12.75" hidden="1" outlineLevel="1" x14ac:dyDescent="0.2">
      <c r="A767" s="50"/>
      <c r="B767" s="137"/>
      <c r="C767" s="70" t="s">
        <v>34</v>
      </c>
      <c r="D767" s="90">
        <v>279.8</v>
      </c>
      <c r="E767" s="298"/>
      <c r="F767" s="73">
        <v>4</v>
      </c>
      <c r="G767" s="73">
        <v>3</v>
      </c>
      <c r="H767" s="74">
        <f t="shared" si="151"/>
        <v>1.3333333333333333</v>
      </c>
      <c r="I767" s="75">
        <f t="shared" si="152"/>
        <v>69.95</v>
      </c>
      <c r="J767" s="76">
        <f t="shared" si="153"/>
        <v>52.462500000000006</v>
      </c>
      <c r="K767" s="90">
        <v>16.8</v>
      </c>
      <c r="L767" s="73">
        <v>303</v>
      </c>
      <c r="M767" s="73">
        <v>0</v>
      </c>
      <c r="N767" s="91">
        <v>0</v>
      </c>
      <c r="O767" s="79" t="e">
        <f>(K767/N767)</f>
        <v>#DIV/0!</v>
      </c>
      <c r="P767" s="80">
        <f t="shared" si="154"/>
        <v>0</v>
      </c>
      <c r="Q767" s="79">
        <f t="shared" si="155"/>
        <v>6.0042887776983557E-2</v>
      </c>
      <c r="R767" s="81">
        <f t="shared" si="156"/>
        <v>0</v>
      </c>
      <c r="S767" s="92">
        <f t="shared" si="231"/>
        <v>279.8</v>
      </c>
      <c r="T767" s="83" t="e">
        <f t="shared" si="157"/>
        <v>#DIV/0!</v>
      </c>
      <c r="U767" s="135"/>
      <c r="V767" s="135"/>
      <c r="W767" s="135"/>
      <c r="X767" s="135"/>
      <c r="Y767" s="136"/>
      <c r="Z767" s="50"/>
      <c r="AA767" s="50"/>
    </row>
    <row r="768" spans="1:27" ht="12.75" hidden="1" outlineLevel="1" x14ac:dyDescent="0.2">
      <c r="A768" s="50"/>
      <c r="B768" s="137"/>
      <c r="C768" s="70" t="s">
        <v>35</v>
      </c>
      <c r="D768" s="90">
        <v>794.22</v>
      </c>
      <c r="E768" s="298"/>
      <c r="F768" s="73">
        <v>17</v>
      </c>
      <c r="G768" s="73">
        <v>15</v>
      </c>
      <c r="H768" s="74">
        <f t="shared" si="151"/>
        <v>1.1333333333333333</v>
      </c>
      <c r="I768" s="75">
        <f t="shared" si="152"/>
        <v>46.718823529411765</v>
      </c>
      <c r="J768" s="76">
        <f t="shared" si="153"/>
        <v>41.222491349480968</v>
      </c>
      <c r="K768" s="90">
        <v>241.09</v>
      </c>
      <c r="L768" s="73">
        <v>21587</v>
      </c>
      <c r="M768" s="73">
        <v>10</v>
      </c>
      <c r="N768" s="91">
        <v>515.58000000000004</v>
      </c>
      <c r="O768" s="79">
        <f t="shared" ref="O768:O782" si="232">K768/N768</f>
        <v>0.46760929438690402</v>
      </c>
      <c r="P768" s="80">
        <f t="shared" si="154"/>
        <v>2.138537475631507</v>
      </c>
      <c r="Q768" s="79">
        <f t="shared" si="155"/>
        <v>0.30355568985923292</v>
      </c>
      <c r="R768" s="81">
        <f t="shared" si="156"/>
        <v>0.64916521870514465</v>
      </c>
      <c r="S768" s="92">
        <f t="shared" si="231"/>
        <v>278.64</v>
      </c>
      <c r="T768" s="83">
        <f t="shared" si="157"/>
        <v>24.109000000000002</v>
      </c>
      <c r="U768" s="135"/>
      <c r="V768" s="135"/>
      <c r="W768" s="135"/>
      <c r="X768" s="135"/>
      <c r="Y768" s="136"/>
      <c r="Z768" s="50"/>
      <c r="AA768" s="50"/>
    </row>
    <row r="769" spans="1:27" ht="12.75" hidden="1" outlineLevel="1" x14ac:dyDescent="0.2">
      <c r="A769" s="50"/>
      <c r="B769" s="137"/>
      <c r="C769" s="70" t="s">
        <v>36</v>
      </c>
      <c r="D769" s="90">
        <v>254.77</v>
      </c>
      <c r="E769" s="298"/>
      <c r="F769" s="73">
        <v>5</v>
      </c>
      <c r="G769" s="73">
        <v>5</v>
      </c>
      <c r="H769" s="74">
        <f t="shared" si="151"/>
        <v>1</v>
      </c>
      <c r="I769" s="75">
        <f t="shared" si="152"/>
        <v>50.954000000000001</v>
      </c>
      <c r="J769" s="76">
        <f t="shared" si="153"/>
        <v>50.954000000000001</v>
      </c>
      <c r="K769" s="90">
        <v>56.57</v>
      </c>
      <c r="L769" s="73">
        <v>15496</v>
      </c>
      <c r="M769" s="73">
        <v>2</v>
      </c>
      <c r="N769" s="91">
        <v>116.88</v>
      </c>
      <c r="O769" s="79">
        <f t="shared" si="232"/>
        <v>0.48400068446269678</v>
      </c>
      <c r="P769" s="80">
        <f t="shared" si="154"/>
        <v>2.0661127806257733</v>
      </c>
      <c r="Q769" s="79">
        <f t="shared" si="155"/>
        <v>0.22204341170467479</v>
      </c>
      <c r="R769" s="81">
        <f t="shared" si="156"/>
        <v>0.45876673077677904</v>
      </c>
      <c r="S769" s="92">
        <f t="shared" si="231"/>
        <v>137.89000000000001</v>
      </c>
      <c r="T769" s="83">
        <f t="shared" si="157"/>
        <v>28.285</v>
      </c>
      <c r="U769" s="135"/>
      <c r="V769" s="135"/>
      <c r="W769" s="135"/>
      <c r="X769" s="135"/>
      <c r="Y769" s="136"/>
      <c r="Z769" s="50"/>
      <c r="AA769" s="50"/>
    </row>
    <row r="770" spans="1:27" ht="12.75" hidden="1" outlineLevel="1" x14ac:dyDescent="0.2">
      <c r="A770" s="50"/>
      <c r="B770" s="69" t="s">
        <v>37</v>
      </c>
      <c r="C770" s="70" t="s">
        <v>38</v>
      </c>
      <c r="D770" s="93">
        <v>-45.1</v>
      </c>
      <c r="E770" s="298"/>
      <c r="F770" s="73">
        <v>2</v>
      </c>
      <c r="G770" s="73">
        <v>3</v>
      </c>
      <c r="H770" s="74">
        <f t="shared" si="151"/>
        <v>0.66666666666666663</v>
      </c>
      <c r="I770" s="75">
        <f t="shared" si="152"/>
        <v>-22.55</v>
      </c>
      <c r="J770" s="76">
        <f t="shared" si="153"/>
        <v>-33.825000000000003</v>
      </c>
      <c r="K770" s="93">
        <v>33.9</v>
      </c>
      <c r="L770" s="73">
        <v>11504</v>
      </c>
      <c r="M770" s="73">
        <v>0</v>
      </c>
      <c r="N770" s="94">
        <v>0</v>
      </c>
      <c r="O770" s="79" t="e">
        <f t="shared" si="232"/>
        <v>#DIV/0!</v>
      </c>
      <c r="P770" s="80">
        <f t="shared" si="154"/>
        <v>0</v>
      </c>
      <c r="Q770" s="79">
        <f t="shared" si="155"/>
        <v>-0.75166297117516623</v>
      </c>
      <c r="R770" s="81">
        <f t="shared" si="156"/>
        <v>0</v>
      </c>
      <c r="S770" s="95">
        <f t="shared" si="231"/>
        <v>-45.1</v>
      </c>
      <c r="T770" s="83" t="e">
        <f t="shared" si="157"/>
        <v>#DIV/0!</v>
      </c>
      <c r="U770" s="135"/>
      <c r="V770" s="135"/>
      <c r="W770" s="135"/>
      <c r="X770" s="135"/>
      <c r="Y770" s="136"/>
      <c r="Z770" s="50"/>
      <c r="AA770" s="50"/>
    </row>
    <row r="771" spans="1:27" ht="12.75" hidden="1" outlineLevel="1" x14ac:dyDescent="0.2">
      <c r="A771" s="50"/>
      <c r="B771" s="137"/>
      <c r="C771" s="70" t="s">
        <v>39</v>
      </c>
      <c r="D771" s="96">
        <v>0</v>
      </c>
      <c r="E771" s="298"/>
      <c r="F771" s="73">
        <v>0</v>
      </c>
      <c r="G771" s="73">
        <v>0</v>
      </c>
      <c r="H771" s="74" t="e">
        <f t="shared" si="151"/>
        <v>#DIV/0!</v>
      </c>
      <c r="I771" s="75" t="e">
        <f t="shared" si="152"/>
        <v>#DIV/0!</v>
      </c>
      <c r="J771" s="76" t="e">
        <f t="shared" si="153"/>
        <v>#DIV/0!</v>
      </c>
      <c r="K771" s="96">
        <v>0</v>
      </c>
      <c r="L771" s="73">
        <v>0</v>
      </c>
      <c r="M771" s="73">
        <v>0</v>
      </c>
      <c r="N771" s="97">
        <v>0</v>
      </c>
      <c r="O771" s="79" t="e">
        <f t="shared" si="232"/>
        <v>#DIV/0!</v>
      </c>
      <c r="P771" s="80" t="e">
        <f t="shared" si="154"/>
        <v>#DIV/0!</v>
      </c>
      <c r="Q771" s="79" t="e">
        <f t="shared" si="155"/>
        <v>#DIV/0!</v>
      </c>
      <c r="R771" s="81" t="e">
        <f t="shared" si="156"/>
        <v>#DIV/0!</v>
      </c>
      <c r="S771" s="98">
        <f t="shared" si="231"/>
        <v>0</v>
      </c>
      <c r="T771" s="83" t="e">
        <f t="shared" si="157"/>
        <v>#DIV/0!</v>
      </c>
      <c r="U771" s="135"/>
      <c r="V771" s="135"/>
      <c r="W771" s="135"/>
      <c r="X771" s="135"/>
      <c r="Y771" s="136"/>
      <c r="Z771" s="50"/>
      <c r="AA771" s="50"/>
    </row>
    <row r="772" spans="1:27" ht="12.75" hidden="1" outlineLevel="1" x14ac:dyDescent="0.2">
      <c r="A772" s="50"/>
      <c r="B772" s="137"/>
      <c r="C772" s="70" t="s">
        <v>40</v>
      </c>
      <c r="D772" s="99">
        <v>0</v>
      </c>
      <c r="E772" s="298"/>
      <c r="F772" s="73">
        <v>0</v>
      </c>
      <c r="G772" s="73">
        <v>0</v>
      </c>
      <c r="H772" s="74" t="e">
        <f t="shared" si="151"/>
        <v>#DIV/0!</v>
      </c>
      <c r="I772" s="75" t="e">
        <f t="shared" si="152"/>
        <v>#DIV/0!</v>
      </c>
      <c r="J772" s="76" t="e">
        <f t="shared" si="153"/>
        <v>#DIV/0!</v>
      </c>
      <c r="K772" s="99">
        <v>0</v>
      </c>
      <c r="L772" s="73">
        <v>0</v>
      </c>
      <c r="M772" s="73">
        <v>0</v>
      </c>
      <c r="N772" s="100">
        <v>0</v>
      </c>
      <c r="O772" s="79" t="e">
        <f t="shared" si="232"/>
        <v>#DIV/0!</v>
      </c>
      <c r="P772" s="80" t="e">
        <f t="shared" si="154"/>
        <v>#DIV/0!</v>
      </c>
      <c r="Q772" s="79" t="e">
        <f t="shared" si="155"/>
        <v>#DIV/0!</v>
      </c>
      <c r="R772" s="81" t="e">
        <f t="shared" si="156"/>
        <v>#DIV/0!</v>
      </c>
      <c r="S772" s="101">
        <f t="shared" si="231"/>
        <v>0</v>
      </c>
      <c r="T772" s="83" t="e">
        <f t="shared" si="157"/>
        <v>#DIV/0!</v>
      </c>
      <c r="U772" s="135"/>
      <c r="V772" s="135"/>
      <c r="W772" s="135"/>
      <c r="X772" s="135"/>
      <c r="Y772" s="136"/>
      <c r="Z772" s="50"/>
      <c r="AA772" s="50"/>
    </row>
    <row r="773" spans="1:27" ht="12.75" hidden="1" outlineLevel="1" x14ac:dyDescent="0.2">
      <c r="A773" s="50"/>
      <c r="B773" s="137"/>
      <c r="C773" s="70" t="s">
        <v>41</v>
      </c>
      <c r="D773" s="102">
        <v>1566.1</v>
      </c>
      <c r="E773" s="298"/>
      <c r="F773" s="73">
        <v>23</v>
      </c>
      <c r="G773" s="73">
        <v>24</v>
      </c>
      <c r="H773" s="74">
        <f t="shared" si="151"/>
        <v>0.95833333333333337</v>
      </c>
      <c r="I773" s="75">
        <f t="shared" si="152"/>
        <v>68.091304347826082</v>
      </c>
      <c r="J773" s="76">
        <f t="shared" si="153"/>
        <v>71.051795841209824</v>
      </c>
      <c r="K773" s="102">
        <v>156.01</v>
      </c>
      <c r="L773" s="73">
        <v>26389</v>
      </c>
      <c r="M773" s="73">
        <v>8</v>
      </c>
      <c r="N773" s="103">
        <v>726.7</v>
      </c>
      <c r="O773" s="79">
        <f t="shared" si="232"/>
        <v>0.21468281271501305</v>
      </c>
      <c r="P773" s="80">
        <f t="shared" si="154"/>
        <v>4.6580347413627337</v>
      </c>
      <c r="Q773" s="79">
        <f t="shared" si="155"/>
        <v>9.9616882702254009E-2</v>
      </c>
      <c r="R773" s="81">
        <f t="shared" si="156"/>
        <v>0.46401890045335553</v>
      </c>
      <c r="S773" s="104">
        <f t="shared" si="231"/>
        <v>839.39999999999986</v>
      </c>
      <c r="T773" s="83">
        <f t="shared" si="157"/>
        <v>19.501249999999999</v>
      </c>
      <c r="U773" s="135"/>
      <c r="V773" s="135"/>
      <c r="W773" s="135"/>
      <c r="X773" s="135"/>
      <c r="Y773" s="136"/>
      <c r="Z773" s="50"/>
      <c r="AA773" s="50"/>
    </row>
    <row r="774" spans="1:27" ht="12.75" hidden="1" outlineLevel="1" x14ac:dyDescent="0.2">
      <c r="A774" s="50"/>
      <c r="B774" s="137"/>
      <c r="C774" s="70" t="s">
        <v>42</v>
      </c>
      <c r="D774" s="90">
        <v>119.94</v>
      </c>
      <c r="E774" s="298"/>
      <c r="F774" s="73">
        <v>6</v>
      </c>
      <c r="G774" s="73">
        <v>7</v>
      </c>
      <c r="H774" s="74">
        <f t="shared" si="151"/>
        <v>0.8571428571428571</v>
      </c>
      <c r="I774" s="75">
        <f t="shared" si="152"/>
        <v>19.989999999999998</v>
      </c>
      <c r="J774" s="76">
        <f t="shared" si="153"/>
        <v>23.321666666666665</v>
      </c>
      <c r="K774" s="90">
        <v>177.01</v>
      </c>
      <c r="L774" s="73">
        <v>68111</v>
      </c>
      <c r="M774" s="73">
        <v>3</v>
      </c>
      <c r="N774" s="91">
        <v>59.97</v>
      </c>
      <c r="O774" s="79">
        <f t="shared" si="232"/>
        <v>2.9516424879106218</v>
      </c>
      <c r="P774" s="80">
        <f t="shared" si="154"/>
        <v>0.33879441839444102</v>
      </c>
      <c r="Q774" s="79">
        <f t="shared" si="155"/>
        <v>1.4758212439553109</v>
      </c>
      <c r="R774" s="81">
        <f t="shared" si="156"/>
        <v>0.5</v>
      </c>
      <c r="S774" s="92">
        <f t="shared" si="231"/>
        <v>59.97</v>
      </c>
      <c r="T774" s="83">
        <f t="shared" si="157"/>
        <v>59.00333333333333</v>
      </c>
      <c r="U774" s="135"/>
      <c r="V774" s="135"/>
      <c r="W774" s="135"/>
      <c r="X774" s="135"/>
      <c r="Y774" s="136"/>
      <c r="Z774" s="50"/>
      <c r="AA774" s="50"/>
    </row>
    <row r="775" spans="1:27" ht="12.75" hidden="1" outlineLevel="1" x14ac:dyDescent="0.2">
      <c r="A775" s="50"/>
      <c r="B775" s="137"/>
      <c r="C775" s="70" t="s">
        <v>43</v>
      </c>
      <c r="D775" s="105">
        <v>0</v>
      </c>
      <c r="E775" s="298"/>
      <c r="F775" s="73">
        <v>0</v>
      </c>
      <c r="G775" s="73">
        <v>1</v>
      </c>
      <c r="H775" s="74">
        <f t="shared" si="151"/>
        <v>0</v>
      </c>
      <c r="I775" s="75" t="e">
        <f t="shared" si="152"/>
        <v>#DIV/0!</v>
      </c>
      <c r="J775" s="76" t="e">
        <f t="shared" si="153"/>
        <v>#DIV/0!</v>
      </c>
      <c r="K775" s="105">
        <v>77.98</v>
      </c>
      <c r="L775" s="73">
        <v>12887</v>
      </c>
      <c r="M775" s="73">
        <v>0</v>
      </c>
      <c r="N775" s="106">
        <v>0</v>
      </c>
      <c r="O775" s="79" t="e">
        <f t="shared" si="232"/>
        <v>#DIV/0!</v>
      </c>
      <c r="P775" s="80">
        <f t="shared" si="154"/>
        <v>0</v>
      </c>
      <c r="Q775" s="79" t="e">
        <f t="shared" si="155"/>
        <v>#DIV/0!</v>
      </c>
      <c r="R775" s="81" t="e">
        <f t="shared" si="156"/>
        <v>#DIV/0!</v>
      </c>
      <c r="S775" s="107">
        <f t="shared" si="231"/>
        <v>0</v>
      </c>
      <c r="T775" s="83" t="e">
        <f t="shared" si="157"/>
        <v>#DIV/0!</v>
      </c>
      <c r="U775" s="135"/>
      <c r="V775" s="135"/>
      <c r="W775" s="135"/>
      <c r="X775" s="135"/>
      <c r="Y775" s="136"/>
      <c r="Z775" s="50"/>
      <c r="AA775" s="50"/>
    </row>
    <row r="776" spans="1:27" ht="12.75" hidden="1" outlineLevel="1" x14ac:dyDescent="0.2">
      <c r="A776" s="50"/>
      <c r="B776" s="137"/>
      <c r="C776" s="70" t="s">
        <v>44</v>
      </c>
      <c r="D776" s="108">
        <v>269.76</v>
      </c>
      <c r="E776" s="298"/>
      <c r="F776" s="73">
        <v>6</v>
      </c>
      <c r="G776" s="73">
        <v>7</v>
      </c>
      <c r="H776" s="74">
        <f t="shared" si="151"/>
        <v>0.8571428571428571</v>
      </c>
      <c r="I776" s="75">
        <f t="shared" si="152"/>
        <v>44.96</v>
      </c>
      <c r="J776" s="76">
        <f t="shared" si="153"/>
        <v>52.45333333333334</v>
      </c>
      <c r="K776" s="108">
        <v>138.72999999999999</v>
      </c>
      <c r="L776" s="73">
        <v>50887</v>
      </c>
      <c r="M776" s="73">
        <v>4</v>
      </c>
      <c r="N776" s="109">
        <v>206.82</v>
      </c>
      <c r="O776" s="79">
        <f t="shared" si="232"/>
        <v>0.67077652064597226</v>
      </c>
      <c r="P776" s="80">
        <f t="shared" si="154"/>
        <v>1.4908094860520436</v>
      </c>
      <c r="Q776" s="79">
        <f t="shared" si="155"/>
        <v>0.5142719454329775</v>
      </c>
      <c r="R776" s="81">
        <f t="shared" si="156"/>
        <v>0.7666814946619217</v>
      </c>
      <c r="S776" s="110">
        <f t="shared" si="231"/>
        <v>62.94</v>
      </c>
      <c r="T776" s="83">
        <f t="shared" si="157"/>
        <v>34.682499999999997</v>
      </c>
      <c r="U776" s="135"/>
      <c r="V776" s="135"/>
      <c r="W776" s="135"/>
      <c r="X776" s="135"/>
      <c r="Y776" s="136"/>
      <c r="Z776" s="50"/>
      <c r="AA776" s="50"/>
    </row>
    <row r="777" spans="1:27" ht="12.75" hidden="1" outlineLevel="1" x14ac:dyDescent="0.2">
      <c r="A777" s="139"/>
      <c r="B777" s="137"/>
      <c r="C777" s="112" t="s">
        <v>45</v>
      </c>
      <c r="D777" s="71">
        <v>54.9</v>
      </c>
      <c r="E777" s="298"/>
      <c r="F777" s="73">
        <v>2</v>
      </c>
      <c r="G777" s="73">
        <v>2</v>
      </c>
      <c r="H777" s="74">
        <f t="shared" si="151"/>
        <v>1</v>
      </c>
      <c r="I777" s="75">
        <f t="shared" si="152"/>
        <v>27.45</v>
      </c>
      <c r="J777" s="76">
        <f t="shared" si="153"/>
        <v>27.45</v>
      </c>
      <c r="K777" s="71">
        <v>0</v>
      </c>
      <c r="L777" s="73">
        <v>0</v>
      </c>
      <c r="M777" s="73">
        <v>0</v>
      </c>
      <c r="N777" s="78">
        <v>0</v>
      </c>
      <c r="O777" s="79" t="e">
        <f t="shared" si="232"/>
        <v>#DIV/0!</v>
      </c>
      <c r="P777" s="80" t="e">
        <f t="shared" si="154"/>
        <v>#DIV/0!</v>
      </c>
      <c r="Q777" s="79">
        <f t="shared" si="155"/>
        <v>0</v>
      </c>
      <c r="R777" s="81">
        <f t="shared" si="156"/>
        <v>0</v>
      </c>
      <c r="S777" s="82">
        <f t="shared" si="231"/>
        <v>54.9</v>
      </c>
      <c r="T777" s="83" t="e">
        <f t="shared" si="157"/>
        <v>#DIV/0!</v>
      </c>
      <c r="U777" s="140"/>
      <c r="V777" s="140"/>
      <c r="W777" s="140"/>
      <c r="X777" s="141"/>
      <c r="Y777" s="142"/>
      <c r="Z777" s="50"/>
      <c r="AA777" s="50"/>
    </row>
    <row r="778" spans="1:27" ht="12.75" hidden="1" outlineLevel="1" x14ac:dyDescent="0.2">
      <c r="A778" s="50"/>
      <c r="B778" s="137"/>
      <c r="C778" s="70" t="s">
        <v>46</v>
      </c>
      <c r="D778" s="116">
        <v>15.19</v>
      </c>
      <c r="E778" s="298"/>
      <c r="F778" s="73">
        <v>1</v>
      </c>
      <c r="G778" s="73">
        <v>3</v>
      </c>
      <c r="H778" s="74">
        <f t="shared" ref="H778:H973" si="233">F778/G778</f>
        <v>0.33333333333333331</v>
      </c>
      <c r="I778" s="75">
        <f t="shared" ref="I778:I973" si="234">D778/F778</f>
        <v>15.19</v>
      </c>
      <c r="J778" s="76">
        <f t="shared" ref="J778:J973" si="235">I778/H778</f>
        <v>45.57</v>
      </c>
      <c r="K778" s="116">
        <v>11.66</v>
      </c>
      <c r="L778" s="73">
        <v>3234</v>
      </c>
      <c r="M778" s="73">
        <v>0</v>
      </c>
      <c r="N778" s="117">
        <v>0</v>
      </c>
      <c r="O778" s="79" t="e">
        <f t="shared" si="232"/>
        <v>#DIV/0!</v>
      </c>
      <c r="P778" s="80">
        <f t="shared" ref="P778:P973" si="236">N778/K778</f>
        <v>0</v>
      </c>
      <c r="Q778" s="79">
        <f t="shared" ref="Q778:Q973" si="237">K778/D778</f>
        <v>0.76761026991441739</v>
      </c>
      <c r="R778" s="81">
        <f t="shared" ref="R778:R973" si="238">N778/D778</f>
        <v>0</v>
      </c>
      <c r="S778" s="82">
        <f t="shared" si="231"/>
        <v>15.19</v>
      </c>
      <c r="T778" s="83" t="e">
        <f t="shared" ref="T778:T973" si="239">K778/M778</f>
        <v>#DIV/0!</v>
      </c>
      <c r="U778" s="135"/>
      <c r="V778" s="135"/>
      <c r="W778" s="135"/>
      <c r="X778" s="135"/>
      <c r="Y778" s="136"/>
      <c r="Z778" s="50"/>
      <c r="AA778" s="50"/>
    </row>
    <row r="779" spans="1:27" ht="12.75" hidden="1" outlineLevel="1" x14ac:dyDescent="0.2">
      <c r="A779" s="118" t="str">
        <f t="shared" ref="A779:A780" si="240">IFERROR(IF(B779&gt;0,MONTH(B779)&amp;"-"&amp;YEAR(B779),B779),)</f>
        <v>10-2025</v>
      </c>
      <c r="B779" s="69">
        <v>45948</v>
      </c>
      <c r="C779" s="70" t="s">
        <v>49</v>
      </c>
      <c r="D779" s="116">
        <v>288</v>
      </c>
      <c r="E779" s="298"/>
      <c r="F779" s="73">
        <v>3</v>
      </c>
      <c r="G779" s="73">
        <v>3</v>
      </c>
      <c r="H779" s="74">
        <f t="shared" si="233"/>
        <v>1</v>
      </c>
      <c r="I779" s="75">
        <f t="shared" si="234"/>
        <v>96</v>
      </c>
      <c r="J779" s="76">
        <f t="shared" si="235"/>
        <v>96</v>
      </c>
      <c r="K779" s="116">
        <v>6.45</v>
      </c>
      <c r="L779" s="73">
        <v>7110</v>
      </c>
      <c r="M779" s="73">
        <v>2</v>
      </c>
      <c r="N779" s="117">
        <v>192</v>
      </c>
      <c r="O779" s="79">
        <f t="shared" si="232"/>
        <v>3.3593749999999999E-2</v>
      </c>
      <c r="P779" s="80">
        <f t="shared" si="236"/>
        <v>29.767441860465116</v>
      </c>
      <c r="Q779" s="79">
        <f t="shared" si="237"/>
        <v>2.2395833333333334E-2</v>
      </c>
      <c r="R779" s="81">
        <f t="shared" si="238"/>
        <v>0.66666666666666663</v>
      </c>
      <c r="S779" s="82">
        <f t="shared" si="231"/>
        <v>96</v>
      </c>
      <c r="T779" s="83">
        <f t="shared" si="239"/>
        <v>3.2250000000000001</v>
      </c>
      <c r="U779" s="135"/>
      <c r="V779" s="135"/>
      <c r="W779" s="135"/>
      <c r="X779" s="135"/>
      <c r="Y779" s="136"/>
      <c r="Z779" s="50"/>
      <c r="AA779" s="50"/>
    </row>
    <row r="780" spans="1:27" ht="12.75" collapsed="1" x14ac:dyDescent="0.2">
      <c r="A780" s="50">
        <f t="shared" si="240"/>
        <v>0</v>
      </c>
      <c r="B780" s="52" t="s">
        <v>100</v>
      </c>
      <c r="C780" s="145"/>
      <c r="D780" s="121">
        <f>SUM(D765:D779)</f>
        <v>18130.669999999995</v>
      </c>
      <c r="E780" s="297"/>
      <c r="F780" s="123">
        <f t="shared" ref="F780:G780" si="241">SUM(F765:F779)</f>
        <v>186</v>
      </c>
      <c r="G780" s="123">
        <f t="shared" si="241"/>
        <v>198</v>
      </c>
      <c r="H780" s="124">
        <f t="shared" si="233"/>
        <v>0.93939393939393945</v>
      </c>
      <c r="I780" s="125">
        <f t="shared" si="234"/>
        <v>97.476720430107491</v>
      </c>
      <c r="J780" s="126">
        <f t="shared" si="235"/>
        <v>103.76554110301764</v>
      </c>
      <c r="K780" s="121">
        <f t="shared" ref="K780:N780" si="242">SUM(K765:K779)</f>
        <v>1793.8700000000001</v>
      </c>
      <c r="L780" s="123">
        <f t="shared" si="242"/>
        <v>438673</v>
      </c>
      <c r="M780" s="123">
        <f t="shared" si="242"/>
        <v>57</v>
      </c>
      <c r="N780" s="127">
        <f t="shared" si="242"/>
        <v>5864.9299999999994</v>
      </c>
      <c r="O780" s="128">
        <f t="shared" si="232"/>
        <v>0.30586383810207457</v>
      </c>
      <c r="P780" s="129">
        <f t="shared" si="236"/>
        <v>3.2694286653993871</v>
      </c>
      <c r="Q780" s="128">
        <f t="shared" si="237"/>
        <v>9.8941186398517025E-2</v>
      </c>
      <c r="R780" s="130">
        <f t="shared" si="238"/>
        <v>0.32348115099993552</v>
      </c>
      <c r="S780" s="131">
        <f>SUM(S765:S779)</f>
        <v>12265.739999999998</v>
      </c>
      <c r="T780" s="132">
        <f t="shared" si="239"/>
        <v>31.471403508771932</v>
      </c>
      <c r="U780" s="133">
        <f>IFERROR((D780-D246)/D780,)</f>
        <v>0.58185108437801802</v>
      </c>
      <c r="V780" s="133">
        <f>IFERROR((F780-F246)/F780,)</f>
        <v>0.4946236559139785</v>
      </c>
      <c r="W780" s="271">
        <f>IFERROR((D780-[1]monthly_reporting_2021!E571)/D780, )</f>
        <v>0</v>
      </c>
      <c r="X780" s="271">
        <f>IFERROR((F780-[1]monthly_reporting_2021!F571)/F780, )</f>
        <v>0</v>
      </c>
      <c r="Y780" s="50"/>
      <c r="Z780" s="50"/>
      <c r="AA780" s="50"/>
    </row>
    <row r="781" spans="1:27" ht="12.75" hidden="1" outlineLevel="1" x14ac:dyDescent="0.2">
      <c r="A781" s="50"/>
      <c r="B781" s="69">
        <v>45949</v>
      </c>
      <c r="C781" s="70" t="s">
        <v>32</v>
      </c>
      <c r="D781" s="71">
        <v>5917.24</v>
      </c>
      <c r="E781" s="298"/>
      <c r="F781" s="73">
        <v>20</v>
      </c>
      <c r="G781" s="73">
        <v>21</v>
      </c>
      <c r="H781" s="74">
        <f t="shared" si="233"/>
        <v>0.95238095238095233</v>
      </c>
      <c r="I781" s="75">
        <f t="shared" si="234"/>
        <v>295.86199999999997</v>
      </c>
      <c r="J781" s="76">
        <f t="shared" si="235"/>
        <v>310.6551</v>
      </c>
      <c r="K781" s="77">
        <v>418.13</v>
      </c>
      <c r="L781" s="73">
        <v>105111</v>
      </c>
      <c r="M781" s="73">
        <v>5</v>
      </c>
      <c r="N781" s="78">
        <v>1936</v>
      </c>
      <c r="O781" s="79">
        <f t="shared" si="232"/>
        <v>0.21597623966942148</v>
      </c>
      <c r="P781" s="80">
        <f t="shared" si="236"/>
        <v>4.630138952000574</v>
      </c>
      <c r="Q781" s="79">
        <f t="shared" si="237"/>
        <v>7.0663011809559861E-2</v>
      </c>
      <c r="R781" s="81">
        <f t="shared" si="238"/>
        <v>0.32717956344511967</v>
      </c>
      <c r="S781" s="82">
        <f t="shared" ref="S781:S795" si="243">D781-N781</f>
        <v>3981.24</v>
      </c>
      <c r="T781" s="83">
        <f t="shared" si="239"/>
        <v>83.626000000000005</v>
      </c>
      <c r="U781" s="135"/>
      <c r="V781" s="135"/>
      <c r="W781" s="135"/>
      <c r="X781" s="135"/>
      <c r="Y781" s="136"/>
      <c r="Z781" s="50"/>
      <c r="AA781" s="50"/>
    </row>
    <row r="782" spans="1:27" ht="12.75" hidden="1" outlineLevel="1" x14ac:dyDescent="0.2">
      <c r="A782" s="50"/>
      <c r="B782" s="137"/>
      <c r="C782" s="70" t="s">
        <v>33</v>
      </c>
      <c r="D782" s="87">
        <v>2785.04</v>
      </c>
      <c r="E782" s="298"/>
      <c r="F782" s="73">
        <v>39</v>
      </c>
      <c r="G782" s="73">
        <v>45</v>
      </c>
      <c r="H782" s="74">
        <f t="shared" si="233"/>
        <v>0.8666666666666667</v>
      </c>
      <c r="I782" s="75">
        <f t="shared" si="234"/>
        <v>71.411282051282043</v>
      </c>
      <c r="J782" s="76">
        <f t="shared" si="235"/>
        <v>82.397633136094669</v>
      </c>
      <c r="K782" s="87">
        <v>300.64</v>
      </c>
      <c r="L782" s="73">
        <v>106265</v>
      </c>
      <c r="M782" s="73">
        <v>7</v>
      </c>
      <c r="N782" s="88">
        <v>1006.9</v>
      </c>
      <c r="O782" s="79">
        <f t="shared" si="232"/>
        <v>0.29857979938424867</v>
      </c>
      <c r="P782" s="80">
        <f t="shared" si="236"/>
        <v>3.3491883980840873</v>
      </c>
      <c r="Q782" s="79">
        <f t="shared" si="237"/>
        <v>0.10794818027748254</v>
      </c>
      <c r="R782" s="81">
        <f t="shared" si="238"/>
        <v>0.36153879297963404</v>
      </c>
      <c r="S782" s="89">
        <f t="shared" si="243"/>
        <v>1778.1399999999999</v>
      </c>
      <c r="T782" s="83">
        <f t="shared" si="239"/>
        <v>42.948571428571427</v>
      </c>
      <c r="U782" s="135"/>
      <c r="V782" s="135"/>
      <c r="W782" s="135"/>
      <c r="X782" s="135"/>
      <c r="Y782" s="136"/>
      <c r="Z782" s="50"/>
      <c r="AA782" s="50"/>
    </row>
    <row r="783" spans="1:27" ht="12.75" hidden="1" outlineLevel="1" x14ac:dyDescent="0.2">
      <c r="A783" s="50"/>
      <c r="B783" s="137"/>
      <c r="C783" s="70" t="s">
        <v>34</v>
      </c>
      <c r="D783" s="90">
        <v>69.95</v>
      </c>
      <c r="E783" s="298"/>
      <c r="F783" s="73">
        <v>1</v>
      </c>
      <c r="G783" s="73">
        <v>1</v>
      </c>
      <c r="H783" s="74">
        <f t="shared" si="233"/>
        <v>1</v>
      </c>
      <c r="I783" s="75">
        <f t="shared" si="234"/>
        <v>69.95</v>
      </c>
      <c r="J783" s="76">
        <f t="shared" si="235"/>
        <v>69.95</v>
      </c>
      <c r="K783" s="90">
        <v>8.3800000000000008</v>
      </c>
      <c r="L783" s="73">
        <v>337</v>
      </c>
      <c r="M783" s="73">
        <v>0</v>
      </c>
      <c r="N783" s="91">
        <v>0</v>
      </c>
      <c r="O783" s="79" t="e">
        <f>(K783/N783)</f>
        <v>#DIV/0!</v>
      </c>
      <c r="P783" s="80">
        <f t="shared" si="236"/>
        <v>0</v>
      </c>
      <c r="Q783" s="79">
        <f t="shared" si="237"/>
        <v>0.11979985704074339</v>
      </c>
      <c r="R783" s="81">
        <f t="shared" si="238"/>
        <v>0</v>
      </c>
      <c r="S783" s="92">
        <f t="shared" si="243"/>
        <v>69.95</v>
      </c>
      <c r="T783" s="83" t="e">
        <f t="shared" si="239"/>
        <v>#DIV/0!</v>
      </c>
      <c r="U783" s="135"/>
      <c r="V783" s="135"/>
      <c r="W783" s="135"/>
      <c r="X783" s="135"/>
      <c r="Y783" s="136"/>
      <c r="Z783" s="50"/>
      <c r="AA783" s="50"/>
    </row>
    <row r="784" spans="1:27" ht="12.75" hidden="1" outlineLevel="1" x14ac:dyDescent="0.2">
      <c r="A784" s="50"/>
      <c r="B784" s="137"/>
      <c r="C784" s="70" t="s">
        <v>35</v>
      </c>
      <c r="D784" s="90">
        <v>419.65</v>
      </c>
      <c r="E784" s="298"/>
      <c r="F784" s="73">
        <v>7</v>
      </c>
      <c r="G784" s="73">
        <v>8</v>
      </c>
      <c r="H784" s="74">
        <f t="shared" si="233"/>
        <v>0.875</v>
      </c>
      <c r="I784" s="75">
        <f t="shared" si="234"/>
        <v>59.949999999999996</v>
      </c>
      <c r="J784" s="76">
        <f t="shared" si="235"/>
        <v>68.514285714285705</v>
      </c>
      <c r="K784" s="90">
        <v>248.54</v>
      </c>
      <c r="L784" s="73">
        <v>23456</v>
      </c>
      <c r="M784" s="73">
        <v>8</v>
      </c>
      <c r="N784" s="91">
        <v>479.6</v>
      </c>
      <c r="O784" s="79">
        <f t="shared" ref="O784:O798" si="244">K784/N784</f>
        <v>0.51822351959966639</v>
      </c>
      <c r="P784" s="80">
        <f t="shared" si="236"/>
        <v>1.9296692685282049</v>
      </c>
      <c r="Q784" s="79">
        <f t="shared" si="237"/>
        <v>0.59225545097104726</v>
      </c>
      <c r="R784" s="81">
        <f t="shared" si="238"/>
        <v>1.142857142857143</v>
      </c>
      <c r="S784" s="92">
        <f t="shared" si="243"/>
        <v>-59.950000000000045</v>
      </c>
      <c r="T784" s="83">
        <f t="shared" si="239"/>
        <v>31.067499999999999</v>
      </c>
      <c r="U784" s="135"/>
      <c r="V784" s="135"/>
      <c r="W784" s="135"/>
      <c r="X784" s="135"/>
      <c r="Y784" s="136"/>
      <c r="Z784" s="50"/>
      <c r="AA784" s="50"/>
    </row>
    <row r="785" spans="1:27" ht="12.75" hidden="1" outlineLevel="1" x14ac:dyDescent="0.2">
      <c r="A785" s="50"/>
      <c r="B785" s="137"/>
      <c r="C785" s="70" t="s">
        <v>36</v>
      </c>
      <c r="D785" s="90">
        <v>169.85</v>
      </c>
      <c r="E785" s="298"/>
      <c r="F785" s="73">
        <v>3</v>
      </c>
      <c r="G785" s="73">
        <v>4</v>
      </c>
      <c r="H785" s="74">
        <f t="shared" si="233"/>
        <v>0.75</v>
      </c>
      <c r="I785" s="75">
        <f t="shared" si="234"/>
        <v>56.616666666666667</v>
      </c>
      <c r="J785" s="76">
        <f t="shared" si="235"/>
        <v>75.488888888888894</v>
      </c>
      <c r="K785" s="90">
        <v>51.53</v>
      </c>
      <c r="L785" s="73">
        <v>17181</v>
      </c>
      <c r="M785" s="73">
        <v>0</v>
      </c>
      <c r="N785" s="91">
        <v>0</v>
      </c>
      <c r="O785" s="79" t="e">
        <f t="shared" si="244"/>
        <v>#DIV/0!</v>
      </c>
      <c r="P785" s="80">
        <f t="shared" si="236"/>
        <v>0</v>
      </c>
      <c r="Q785" s="79">
        <f t="shared" si="237"/>
        <v>0.30338534000588757</v>
      </c>
      <c r="R785" s="81">
        <f t="shared" si="238"/>
        <v>0</v>
      </c>
      <c r="S785" s="92">
        <f t="shared" si="243"/>
        <v>169.85</v>
      </c>
      <c r="T785" s="83" t="e">
        <f t="shared" si="239"/>
        <v>#DIV/0!</v>
      </c>
      <c r="U785" s="135"/>
      <c r="V785" s="135"/>
      <c r="W785" s="135"/>
      <c r="X785" s="135"/>
      <c r="Y785" s="136"/>
      <c r="Z785" s="50"/>
      <c r="AA785" s="50"/>
    </row>
    <row r="786" spans="1:27" ht="12.75" hidden="1" outlineLevel="1" x14ac:dyDescent="0.2">
      <c r="A786" s="50"/>
      <c r="B786" s="69" t="s">
        <v>37</v>
      </c>
      <c r="C786" s="70" t="s">
        <v>38</v>
      </c>
      <c r="D786" s="93">
        <v>339.75</v>
      </c>
      <c r="E786" s="298"/>
      <c r="F786" s="73">
        <v>5</v>
      </c>
      <c r="G786" s="73">
        <v>6</v>
      </c>
      <c r="H786" s="74">
        <f t="shared" si="233"/>
        <v>0.83333333333333337</v>
      </c>
      <c r="I786" s="75">
        <f t="shared" si="234"/>
        <v>67.95</v>
      </c>
      <c r="J786" s="76">
        <f t="shared" si="235"/>
        <v>81.540000000000006</v>
      </c>
      <c r="K786" s="93">
        <v>37.21</v>
      </c>
      <c r="L786" s="73">
        <v>12517</v>
      </c>
      <c r="M786" s="73">
        <v>3</v>
      </c>
      <c r="N786" s="94">
        <v>229.85</v>
      </c>
      <c r="O786" s="79">
        <f t="shared" si="244"/>
        <v>0.16188818794866217</v>
      </c>
      <c r="P786" s="80">
        <f t="shared" si="236"/>
        <v>6.1771029293200748</v>
      </c>
      <c r="Q786" s="79">
        <f t="shared" si="237"/>
        <v>0.10952170713760118</v>
      </c>
      <c r="R786" s="81">
        <f t="shared" si="238"/>
        <v>0.67652685798381162</v>
      </c>
      <c r="S786" s="95">
        <f t="shared" si="243"/>
        <v>109.9</v>
      </c>
      <c r="T786" s="83">
        <f t="shared" si="239"/>
        <v>12.403333333333334</v>
      </c>
      <c r="U786" s="135"/>
      <c r="V786" s="135"/>
      <c r="W786" s="135"/>
      <c r="X786" s="135"/>
      <c r="Y786" s="136"/>
      <c r="Z786" s="50"/>
      <c r="AA786" s="50"/>
    </row>
    <row r="787" spans="1:27" ht="12.75" hidden="1" outlineLevel="1" x14ac:dyDescent="0.2">
      <c r="A787" s="50"/>
      <c r="B787" s="137"/>
      <c r="C787" s="70" t="s">
        <v>39</v>
      </c>
      <c r="D787" s="96">
        <v>0</v>
      </c>
      <c r="E787" s="298"/>
      <c r="F787" s="73">
        <v>0</v>
      </c>
      <c r="G787" s="73">
        <v>0</v>
      </c>
      <c r="H787" s="74" t="e">
        <f t="shared" si="233"/>
        <v>#DIV/0!</v>
      </c>
      <c r="I787" s="75" t="e">
        <f t="shared" si="234"/>
        <v>#DIV/0!</v>
      </c>
      <c r="J787" s="76" t="e">
        <f t="shared" si="235"/>
        <v>#DIV/0!</v>
      </c>
      <c r="K787" s="96">
        <v>0</v>
      </c>
      <c r="L787" s="73">
        <v>0</v>
      </c>
      <c r="M787" s="73">
        <v>0</v>
      </c>
      <c r="N787" s="97">
        <v>0</v>
      </c>
      <c r="O787" s="79" t="e">
        <f t="shared" si="244"/>
        <v>#DIV/0!</v>
      </c>
      <c r="P787" s="80" t="e">
        <f t="shared" si="236"/>
        <v>#DIV/0!</v>
      </c>
      <c r="Q787" s="79" t="e">
        <f t="shared" si="237"/>
        <v>#DIV/0!</v>
      </c>
      <c r="R787" s="81" t="e">
        <f t="shared" si="238"/>
        <v>#DIV/0!</v>
      </c>
      <c r="S787" s="98">
        <f t="shared" si="243"/>
        <v>0</v>
      </c>
      <c r="T787" s="83" t="e">
        <f t="shared" si="239"/>
        <v>#DIV/0!</v>
      </c>
      <c r="U787" s="135"/>
      <c r="V787" s="135"/>
      <c r="W787" s="135"/>
      <c r="X787" s="135"/>
      <c r="Y787" s="136"/>
      <c r="Z787" s="50"/>
      <c r="AA787" s="50"/>
    </row>
    <row r="788" spans="1:27" ht="12.75" hidden="1" outlineLevel="1" x14ac:dyDescent="0.2">
      <c r="A788" s="50"/>
      <c r="B788" s="137"/>
      <c r="C788" s="70" t="s">
        <v>40</v>
      </c>
      <c r="D788" s="99">
        <v>0</v>
      </c>
      <c r="E788" s="298"/>
      <c r="F788" s="73">
        <v>0</v>
      </c>
      <c r="G788" s="73">
        <v>0</v>
      </c>
      <c r="H788" s="74" t="e">
        <f t="shared" si="233"/>
        <v>#DIV/0!</v>
      </c>
      <c r="I788" s="75" t="e">
        <f t="shared" si="234"/>
        <v>#DIV/0!</v>
      </c>
      <c r="J788" s="76" t="e">
        <f t="shared" si="235"/>
        <v>#DIV/0!</v>
      </c>
      <c r="K788" s="99">
        <v>0</v>
      </c>
      <c r="L788" s="73">
        <v>0</v>
      </c>
      <c r="M788" s="73">
        <v>0</v>
      </c>
      <c r="N788" s="100">
        <v>0</v>
      </c>
      <c r="O788" s="79" t="e">
        <f t="shared" si="244"/>
        <v>#DIV/0!</v>
      </c>
      <c r="P788" s="80" t="e">
        <f t="shared" si="236"/>
        <v>#DIV/0!</v>
      </c>
      <c r="Q788" s="79" t="e">
        <f t="shared" si="237"/>
        <v>#DIV/0!</v>
      </c>
      <c r="R788" s="81" t="e">
        <f t="shared" si="238"/>
        <v>#DIV/0!</v>
      </c>
      <c r="S788" s="101">
        <f t="shared" si="243"/>
        <v>0</v>
      </c>
      <c r="T788" s="83" t="e">
        <f t="shared" si="239"/>
        <v>#DIV/0!</v>
      </c>
      <c r="U788" s="135"/>
      <c r="V788" s="135"/>
      <c r="W788" s="135"/>
      <c r="X788" s="135"/>
      <c r="Y788" s="136"/>
      <c r="Z788" s="50"/>
      <c r="AA788" s="50"/>
    </row>
    <row r="789" spans="1:27" ht="12.75" hidden="1" outlineLevel="1" x14ac:dyDescent="0.2">
      <c r="A789" s="50"/>
      <c r="B789" s="137"/>
      <c r="C789" s="70" t="s">
        <v>41</v>
      </c>
      <c r="D789" s="102">
        <v>1737.94</v>
      </c>
      <c r="E789" s="298"/>
      <c r="F789" s="73">
        <v>24</v>
      </c>
      <c r="G789" s="73">
        <v>24</v>
      </c>
      <c r="H789" s="74">
        <f t="shared" si="233"/>
        <v>1</v>
      </c>
      <c r="I789" s="75">
        <f t="shared" si="234"/>
        <v>72.414166666666674</v>
      </c>
      <c r="J789" s="76">
        <f t="shared" si="235"/>
        <v>72.414166666666674</v>
      </c>
      <c r="K789" s="102">
        <v>192.57</v>
      </c>
      <c r="L789" s="73">
        <v>29771</v>
      </c>
      <c r="M789" s="73">
        <v>9</v>
      </c>
      <c r="N789" s="103">
        <v>718.93</v>
      </c>
      <c r="O789" s="79">
        <f t="shared" si="244"/>
        <v>0.2678563977021407</v>
      </c>
      <c r="P789" s="80">
        <f t="shared" si="236"/>
        <v>3.7333437191670562</v>
      </c>
      <c r="Q789" s="79">
        <f t="shared" si="237"/>
        <v>0.11080359506081912</v>
      </c>
      <c r="R789" s="81">
        <f t="shared" si="238"/>
        <v>0.41366790568143891</v>
      </c>
      <c r="S789" s="104">
        <f t="shared" si="243"/>
        <v>1019.0100000000001</v>
      </c>
      <c r="T789" s="83">
        <f t="shared" si="239"/>
        <v>21.396666666666665</v>
      </c>
      <c r="U789" s="135"/>
      <c r="V789" s="135"/>
      <c r="W789" s="135"/>
      <c r="X789" s="135"/>
      <c r="Y789" s="136"/>
      <c r="Z789" s="50"/>
      <c r="AA789" s="50"/>
    </row>
    <row r="790" spans="1:27" ht="12.75" hidden="1" outlineLevel="1" x14ac:dyDescent="0.2">
      <c r="A790" s="50"/>
      <c r="B790" s="137"/>
      <c r="C790" s="70" t="s">
        <v>42</v>
      </c>
      <c r="D790" s="90">
        <v>19.989999999999998</v>
      </c>
      <c r="E790" s="298"/>
      <c r="F790" s="73">
        <v>1</v>
      </c>
      <c r="G790" s="73">
        <v>2</v>
      </c>
      <c r="H790" s="74">
        <f t="shared" si="233"/>
        <v>0.5</v>
      </c>
      <c r="I790" s="75">
        <f t="shared" si="234"/>
        <v>19.989999999999998</v>
      </c>
      <c r="J790" s="76">
        <f t="shared" si="235"/>
        <v>39.979999999999997</v>
      </c>
      <c r="K790" s="90">
        <v>114.32</v>
      </c>
      <c r="L790" s="73">
        <v>46531</v>
      </c>
      <c r="M790" s="73">
        <v>2</v>
      </c>
      <c r="N790" s="91">
        <v>39.979999999999997</v>
      </c>
      <c r="O790" s="79">
        <f t="shared" si="244"/>
        <v>2.8594297148574288</v>
      </c>
      <c r="P790" s="80">
        <f t="shared" si="236"/>
        <v>0.34972008397480753</v>
      </c>
      <c r="Q790" s="79">
        <f t="shared" si="237"/>
        <v>5.7188594297148576</v>
      </c>
      <c r="R790" s="81">
        <f t="shared" si="238"/>
        <v>2</v>
      </c>
      <c r="S790" s="92">
        <f t="shared" si="243"/>
        <v>-19.989999999999998</v>
      </c>
      <c r="T790" s="83">
        <f t="shared" si="239"/>
        <v>57.16</v>
      </c>
      <c r="U790" s="135"/>
      <c r="V790" s="135"/>
      <c r="W790" s="135"/>
      <c r="X790" s="135"/>
      <c r="Y790" s="136"/>
      <c r="Z790" s="50"/>
      <c r="AA790" s="50"/>
    </row>
    <row r="791" spans="1:27" ht="12.75" hidden="1" outlineLevel="1" x14ac:dyDescent="0.2">
      <c r="A791" s="50"/>
      <c r="B791" s="137"/>
      <c r="C791" s="70" t="s">
        <v>43</v>
      </c>
      <c r="D791" s="105">
        <v>-131.96</v>
      </c>
      <c r="E791" s="298"/>
      <c r="F791" s="73">
        <v>-1</v>
      </c>
      <c r="G791" s="73">
        <v>1</v>
      </c>
      <c r="H791" s="74">
        <f t="shared" si="233"/>
        <v>-1</v>
      </c>
      <c r="I791" s="75">
        <f t="shared" si="234"/>
        <v>131.96</v>
      </c>
      <c r="J791" s="76">
        <f t="shared" si="235"/>
        <v>-131.96</v>
      </c>
      <c r="K791" s="105">
        <v>59.03</v>
      </c>
      <c r="L791" s="73">
        <v>11790</v>
      </c>
      <c r="M791" s="73">
        <v>1</v>
      </c>
      <c r="N791" s="106">
        <v>210.95</v>
      </c>
      <c r="O791" s="79">
        <f t="shared" si="244"/>
        <v>0.27982934344631433</v>
      </c>
      <c r="P791" s="80">
        <f t="shared" si="236"/>
        <v>3.5736066406911737</v>
      </c>
      <c r="Q791" s="79">
        <f t="shared" si="237"/>
        <v>-0.44733252500757803</v>
      </c>
      <c r="R791" s="81">
        <f t="shared" si="238"/>
        <v>-1.5985904819642314</v>
      </c>
      <c r="S791" s="107">
        <f t="shared" si="243"/>
        <v>-342.90999999999997</v>
      </c>
      <c r="T791" s="83">
        <f t="shared" si="239"/>
        <v>59.03</v>
      </c>
      <c r="U791" s="135"/>
      <c r="V791" s="135"/>
      <c r="W791" s="135"/>
      <c r="X791" s="135"/>
      <c r="Y791" s="136"/>
      <c r="Z791" s="50"/>
      <c r="AA791" s="50"/>
    </row>
    <row r="792" spans="1:27" ht="12.75" hidden="1" outlineLevel="1" x14ac:dyDescent="0.2">
      <c r="A792" s="50"/>
      <c r="B792" s="137"/>
      <c r="C792" s="70" t="s">
        <v>44</v>
      </c>
      <c r="D792" s="108">
        <v>138.88999999999999</v>
      </c>
      <c r="E792" s="298"/>
      <c r="F792" s="73">
        <v>1</v>
      </c>
      <c r="G792" s="73">
        <v>5</v>
      </c>
      <c r="H792" s="74">
        <f t="shared" si="233"/>
        <v>0.2</v>
      </c>
      <c r="I792" s="75">
        <f t="shared" si="234"/>
        <v>138.88999999999999</v>
      </c>
      <c r="J792" s="76">
        <f t="shared" si="235"/>
        <v>694.44999999999993</v>
      </c>
      <c r="K792" s="108">
        <v>137.30000000000001</v>
      </c>
      <c r="L792" s="73">
        <v>54033</v>
      </c>
      <c r="M792" s="73">
        <v>3</v>
      </c>
      <c r="N792" s="109">
        <v>179.85</v>
      </c>
      <c r="O792" s="79">
        <f t="shared" si="244"/>
        <v>0.76341395607450657</v>
      </c>
      <c r="P792" s="80">
        <f t="shared" si="236"/>
        <v>1.3099053168244719</v>
      </c>
      <c r="Q792" s="79">
        <f t="shared" si="237"/>
        <v>0.98855209158326751</v>
      </c>
      <c r="R792" s="81">
        <f t="shared" si="238"/>
        <v>1.2949096407228744</v>
      </c>
      <c r="S792" s="110">
        <f t="shared" si="243"/>
        <v>-40.960000000000008</v>
      </c>
      <c r="T792" s="83">
        <f t="shared" si="239"/>
        <v>45.766666666666673</v>
      </c>
      <c r="U792" s="135"/>
      <c r="V792" s="135"/>
      <c r="W792" s="135"/>
      <c r="X792" s="135"/>
      <c r="Y792" s="136"/>
      <c r="Z792" s="50"/>
      <c r="AA792" s="50"/>
    </row>
    <row r="793" spans="1:27" ht="12.75" hidden="1" outlineLevel="1" x14ac:dyDescent="0.2">
      <c r="A793" s="139"/>
      <c r="B793" s="137"/>
      <c r="C793" s="112" t="s">
        <v>45</v>
      </c>
      <c r="D793" s="71">
        <v>0</v>
      </c>
      <c r="E793" s="298"/>
      <c r="F793" s="73">
        <v>0</v>
      </c>
      <c r="G793" s="73">
        <v>0</v>
      </c>
      <c r="H793" s="74" t="e">
        <f t="shared" si="233"/>
        <v>#DIV/0!</v>
      </c>
      <c r="I793" s="75" t="e">
        <f t="shared" si="234"/>
        <v>#DIV/0!</v>
      </c>
      <c r="J793" s="76" t="e">
        <f t="shared" si="235"/>
        <v>#DIV/0!</v>
      </c>
      <c r="K793" s="71">
        <v>0</v>
      </c>
      <c r="L793" s="73">
        <v>0</v>
      </c>
      <c r="M793" s="73">
        <v>0</v>
      </c>
      <c r="N793" s="78">
        <v>0</v>
      </c>
      <c r="O793" s="79" t="e">
        <f t="shared" si="244"/>
        <v>#DIV/0!</v>
      </c>
      <c r="P793" s="80" t="e">
        <f t="shared" si="236"/>
        <v>#DIV/0!</v>
      </c>
      <c r="Q793" s="79" t="e">
        <f t="shared" si="237"/>
        <v>#DIV/0!</v>
      </c>
      <c r="R793" s="81" t="e">
        <f t="shared" si="238"/>
        <v>#DIV/0!</v>
      </c>
      <c r="S793" s="82">
        <f t="shared" si="243"/>
        <v>0</v>
      </c>
      <c r="T793" s="83" t="e">
        <f t="shared" si="239"/>
        <v>#DIV/0!</v>
      </c>
      <c r="U793" s="140"/>
      <c r="V793" s="140"/>
      <c r="W793" s="140"/>
      <c r="X793" s="141"/>
      <c r="Y793" s="142"/>
      <c r="Z793" s="50"/>
      <c r="AA793" s="50"/>
    </row>
    <row r="794" spans="1:27" ht="12.75" hidden="1" outlineLevel="1" x14ac:dyDescent="0.2">
      <c r="A794" s="50"/>
      <c r="B794" s="137"/>
      <c r="C794" s="70" t="s">
        <v>46</v>
      </c>
      <c r="D794" s="116">
        <v>130.85</v>
      </c>
      <c r="E794" s="298"/>
      <c r="F794" s="73">
        <v>3</v>
      </c>
      <c r="G794" s="73">
        <v>2</v>
      </c>
      <c r="H794" s="74">
        <f t="shared" si="233"/>
        <v>1.5</v>
      </c>
      <c r="I794" s="75">
        <f t="shared" si="234"/>
        <v>43.616666666666667</v>
      </c>
      <c r="J794" s="76">
        <f t="shared" si="235"/>
        <v>29.077777777777779</v>
      </c>
      <c r="K794" s="116">
        <v>70.459999999999994</v>
      </c>
      <c r="L794" s="73">
        <v>15556</v>
      </c>
      <c r="M794" s="73">
        <v>0</v>
      </c>
      <c r="N794" s="117">
        <v>0</v>
      </c>
      <c r="O794" s="79" t="e">
        <f t="shared" si="244"/>
        <v>#DIV/0!</v>
      </c>
      <c r="P794" s="80">
        <f t="shared" si="236"/>
        <v>0</v>
      </c>
      <c r="Q794" s="79">
        <f t="shared" si="237"/>
        <v>0.538479174627436</v>
      </c>
      <c r="R794" s="81">
        <f t="shared" si="238"/>
        <v>0</v>
      </c>
      <c r="S794" s="82">
        <f t="shared" si="243"/>
        <v>130.85</v>
      </c>
      <c r="T794" s="83" t="e">
        <f t="shared" si="239"/>
        <v>#DIV/0!</v>
      </c>
      <c r="U794" s="135"/>
      <c r="V794" s="135"/>
      <c r="W794" s="135"/>
      <c r="X794" s="135"/>
      <c r="Y794" s="136"/>
      <c r="Z794" s="50"/>
      <c r="AA794" s="50"/>
    </row>
    <row r="795" spans="1:27" ht="12.75" hidden="1" outlineLevel="1" x14ac:dyDescent="0.2">
      <c r="A795" s="118" t="str">
        <f t="shared" ref="A795:A796" si="245">IFERROR(IF(B795&gt;0,MONTH(B795)&amp;"-"&amp;YEAR(B795),B795),)</f>
        <v>10-2025</v>
      </c>
      <c r="B795" s="69">
        <v>45955</v>
      </c>
      <c r="C795" s="70" t="s">
        <v>49</v>
      </c>
      <c r="D795" s="116">
        <v>-96</v>
      </c>
      <c r="E795" s="298"/>
      <c r="F795" s="73">
        <v>-1</v>
      </c>
      <c r="G795" s="73">
        <v>0</v>
      </c>
      <c r="H795" s="74" t="e">
        <f t="shared" si="233"/>
        <v>#DIV/0!</v>
      </c>
      <c r="I795" s="75">
        <f t="shared" si="234"/>
        <v>96</v>
      </c>
      <c r="J795" s="76" t="e">
        <f t="shared" si="235"/>
        <v>#DIV/0!</v>
      </c>
      <c r="K795" s="116">
        <v>7.3</v>
      </c>
      <c r="L795" s="73">
        <v>7520</v>
      </c>
      <c r="M795" s="73">
        <v>0</v>
      </c>
      <c r="N795" s="117">
        <v>0</v>
      </c>
      <c r="O795" s="79" t="e">
        <f t="shared" si="244"/>
        <v>#DIV/0!</v>
      </c>
      <c r="P795" s="80">
        <f t="shared" si="236"/>
        <v>0</v>
      </c>
      <c r="Q795" s="79">
        <f t="shared" si="237"/>
        <v>-7.604166666666666E-2</v>
      </c>
      <c r="R795" s="81">
        <f t="shared" si="238"/>
        <v>0</v>
      </c>
      <c r="S795" s="82">
        <f t="shared" si="243"/>
        <v>-96</v>
      </c>
      <c r="T795" s="83" t="e">
        <f t="shared" si="239"/>
        <v>#DIV/0!</v>
      </c>
      <c r="U795" s="135"/>
      <c r="V795" s="135"/>
      <c r="W795" s="135"/>
      <c r="X795" s="135"/>
      <c r="Y795" s="136"/>
      <c r="Z795" s="50"/>
      <c r="AA795" s="50"/>
    </row>
    <row r="796" spans="1:27" ht="12.75" collapsed="1" x14ac:dyDescent="0.2">
      <c r="A796" s="50">
        <f t="shared" si="245"/>
        <v>0</v>
      </c>
      <c r="B796" s="52" t="s">
        <v>101</v>
      </c>
      <c r="C796" s="145"/>
      <c r="D796" s="121">
        <f>SUM(D781:D795)</f>
        <v>11501.19</v>
      </c>
      <c r="E796" s="297"/>
      <c r="F796" s="123">
        <f t="shared" ref="F796:G796" si="246">SUM(F781:F795)</f>
        <v>102</v>
      </c>
      <c r="G796" s="123">
        <f t="shared" si="246"/>
        <v>119</v>
      </c>
      <c r="H796" s="124">
        <f t="shared" si="233"/>
        <v>0.8571428571428571</v>
      </c>
      <c r="I796" s="125">
        <f t="shared" si="234"/>
        <v>112.75676470588236</v>
      </c>
      <c r="J796" s="126">
        <f t="shared" si="235"/>
        <v>131.54955882352942</v>
      </c>
      <c r="K796" s="121">
        <f t="shared" ref="K796:N796" si="247">SUM(K781:K795)</f>
        <v>1645.4099999999999</v>
      </c>
      <c r="L796" s="123">
        <f t="shared" si="247"/>
        <v>430068</v>
      </c>
      <c r="M796" s="123">
        <f t="shared" si="247"/>
        <v>38</v>
      </c>
      <c r="N796" s="127">
        <f t="shared" si="247"/>
        <v>4802.0599999999995</v>
      </c>
      <c r="O796" s="128">
        <f t="shared" si="244"/>
        <v>0.34264669745900717</v>
      </c>
      <c r="P796" s="129">
        <f t="shared" si="236"/>
        <v>2.9184580135042331</v>
      </c>
      <c r="Q796" s="128">
        <f t="shared" si="237"/>
        <v>0.14306432638709557</v>
      </c>
      <c r="R796" s="130">
        <f t="shared" si="238"/>
        <v>0.41752722979100415</v>
      </c>
      <c r="S796" s="131">
        <f>SUM(S781:S795)</f>
        <v>6699.13</v>
      </c>
      <c r="T796" s="132">
        <f t="shared" si="239"/>
        <v>43.300263157894733</v>
      </c>
      <c r="U796" s="133">
        <f>IFERROR((D796-D246)/D796,)</f>
        <v>0.34082299309897518</v>
      </c>
      <c r="V796" s="133">
        <f>IFERROR((F796-F246)/F796,)</f>
        <v>7.8431372549019607E-2</v>
      </c>
      <c r="W796" s="271">
        <f>IFERROR((D796-[1]monthly_reporting_2021!E587)/D796, )</f>
        <v>0</v>
      </c>
      <c r="X796" s="271">
        <f>IFERROR((F796-[1]monthly_reporting_2021!F587)/F796, )</f>
        <v>0</v>
      </c>
      <c r="Y796" s="50"/>
      <c r="Z796" s="50"/>
      <c r="AA796" s="50"/>
    </row>
    <row r="797" spans="1:27" ht="12.75" hidden="1" outlineLevel="1" x14ac:dyDescent="0.2">
      <c r="A797" s="50"/>
      <c r="B797" s="69">
        <v>45956</v>
      </c>
      <c r="C797" s="70" t="s">
        <v>32</v>
      </c>
      <c r="D797" s="71">
        <v>3108.77</v>
      </c>
      <c r="E797" s="298"/>
      <c r="F797" s="73">
        <v>27</v>
      </c>
      <c r="G797" s="73">
        <v>30</v>
      </c>
      <c r="H797" s="74">
        <f t="shared" si="233"/>
        <v>0.9</v>
      </c>
      <c r="I797" s="75">
        <f t="shared" si="234"/>
        <v>115.13962962962962</v>
      </c>
      <c r="J797" s="76">
        <f t="shared" si="235"/>
        <v>127.93292181069958</v>
      </c>
      <c r="K797" s="77">
        <v>534.11</v>
      </c>
      <c r="L797" s="73">
        <v>103940</v>
      </c>
      <c r="M797" s="73">
        <v>6</v>
      </c>
      <c r="N797" s="78">
        <v>307.75</v>
      </c>
      <c r="O797" s="79">
        <f t="shared" si="244"/>
        <v>1.7355320877335501</v>
      </c>
      <c r="P797" s="80">
        <f t="shared" si="236"/>
        <v>0.5761921701522158</v>
      </c>
      <c r="Q797" s="79">
        <f t="shared" si="237"/>
        <v>0.17180749942903464</v>
      </c>
      <c r="R797" s="81">
        <f t="shared" si="238"/>
        <v>9.899413594444105E-2</v>
      </c>
      <c r="S797" s="82">
        <f t="shared" ref="S797:S811" si="248">D797-N797</f>
        <v>2801.02</v>
      </c>
      <c r="T797" s="83">
        <f t="shared" si="239"/>
        <v>89.018333333333331</v>
      </c>
      <c r="U797" s="135"/>
      <c r="V797" s="135"/>
      <c r="W797" s="135"/>
      <c r="X797" s="135"/>
      <c r="Y797" s="136"/>
      <c r="Z797" s="50"/>
      <c r="AA797" s="50"/>
    </row>
    <row r="798" spans="1:27" ht="12.75" hidden="1" outlineLevel="1" x14ac:dyDescent="0.2">
      <c r="A798" s="50"/>
      <c r="B798" s="137"/>
      <c r="C798" s="70" t="s">
        <v>33</v>
      </c>
      <c r="D798" s="87">
        <v>2365.9499999999998</v>
      </c>
      <c r="E798" s="298"/>
      <c r="F798" s="73">
        <v>42</v>
      </c>
      <c r="G798" s="73">
        <v>40</v>
      </c>
      <c r="H798" s="74">
        <f t="shared" si="233"/>
        <v>1.05</v>
      </c>
      <c r="I798" s="75">
        <f t="shared" si="234"/>
        <v>56.332142857142856</v>
      </c>
      <c r="J798" s="76">
        <f t="shared" si="235"/>
        <v>53.649659863945573</v>
      </c>
      <c r="K798" s="87">
        <v>227.98</v>
      </c>
      <c r="L798" s="73">
        <v>79981</v>
      </c>
      <c r="M798" s="73">
        <v>6</v>
      </c>
      <c r="N798" s="88">
        <v>1004.9</v>
      </c>
      <c r="O798" s="79">
        <f t="shared" si="244"/>
        <v>0.22686834510896606</v>
      </c>
      <c r="P798" s="80">
        <f t="shared" si="236"/>
        <v>4.4078427932274762</v>
      </c>
      <c r="Q798" s="79">
        <f t="shared" si="237"/>
        <v>9.6358756524863171E-2</v>
      </c>
      <c r="R798" s="81">
        <f t="shared" si="238"/>
        <v>0.42473425051247915</v>
      </c>
      <c r="S798" s="89">
        <f t="shared" si="248"/>
        <v>1361.0499999999997</v>
      </c>
      <c r="T798" s="83">
        <f t="shared" si="239"/>
        <v>37.996666666666663</v>
      </c>
      <c r="U798" s="135"/>
      <c r="V798" s="135"/>
      <c r="W798" s="135"/>
      <c r="X798" s="135"/>
      <c r="Y798" s="136"/>
      <c r="Z798" s="50"/>
      <c r="AA798" s="50"/>
    </row>
    <row r="799" spans="1:27" ht="12.75" hidden="1" outlineLevel="1" x14ac:dyDescent="0.2">
      <c r="A799" s="50"/>
      <c r="B799" s="137"/>
      <c r="C799" s="70" t="s">
        <v>34</v>
      </c>
      <c r="D799" s="90">
        <v>699.5</v>
      </c>
      <c r="E799" s="298"/>
      <c r="F799" s="73">
        <v>10</v>
      </c>
      <c r="G799" s="73">
        <v>5</v>
      </c>
      <c r="H799" s="74">
        <f t="shared" si="233"/>
        <v>2</v>
      </c>
      <c r="I799" s="75">
        <f t="shared" si="234"/>
        <v>69.95</v>
      </c>
      <c r="J799" s="76">
        <f t="shared" si="235"/>
        <v>34.975000000000001</v>
      </c>
      <c r="K799" s="90">
        <v>0</v>
      </c>
      <c r="L799" s="73">
        <v>342</v>
      </c>
      <c r="M799" s="73">
        <v>0</v>
      </c>
      <c r="N799" s="91">
        <v>0</v>
      </c>
      <c r="O799" s="79" t="e">
        <f>(K799/N799)</f>
        <v>#DIV/0!</v>
      </c>
      <c r="P799" s="80" t="e">
        <f t="shared" si="236"/>
        <v>#DIV/0!</v>
      </c>
      <c r="Q799" s="79">
        <f t="shared" si="237"/>
        <v>0</v>
      </c>
      <c r="R799" s="81">
        <f t="shared" si="238"/>
        <v>0</v>
      </c>
      <c r="S799" s="92">
        <f t="shared" si="248"/>
        <v>699.5</v>
      </c>
      <c r="T799" s="83" t="e">
        <f t="shared" si="239"/>
        <v>#DIV/0!</v>
      </c>
      <c r="U799" s="135"/>
      <c r="V799" s="135"/>
      <c r="W799" s="135"/>
      <c r="X799" s="135"/>
      <c r="Y799" s="136"/>
      <c r="Z799" s="50"/>
      <c r="AA799" s="50"/>
    </row>
    <row r="800" spans="1:27" ht="12.75" hidden="1" outlineLevel="1" x14ac:dyDescent="0.2">
      <c r="A800" s="50"/>
      <c r="B800" s="137"/>
      <c r="C800" s="70" t="s">
        <v>35</v>
      </c>
      <c r="D800" s="90">
        <v>560.53</v>
      </c>
      <c r="E800" s="298"/>
      <c r="F800" s="73">
        <v>9</v>
      </c>
      <c r="G800" s="73">
        <v>10</v>
      </c>
      <c r="H800" s="74">
        <f t="shared" si="233"/>
        <v>0.9</v>
      </c>
      <c r="I800" s="75">
        <f t="shared" si="234"/>
        <v>62.281111111111109</v>
      </c>
      <c r="J800" s="76">
        <f t="shared" si="235"/>
        <v>69.201234567901224</v>
      </c>
      <c r="K800" s="90">
        <v>268.76</v>
      </c>
      <c r="L800" s="73">
        <v>25315</v>
      </c>
      <c r="M800" s="73">
        <v>8</v>
      </c>
      <c r="N800" s="91">
        <v>479.6</v>
      </c>
      <c r="O800" s="79">
        <f t="shared" ref="O800:O814" si="249">K800/N800</f>
        <v>0.56038365304420346</v>
      </c>
      <c r="P800" s="80">
        <f t="shared" si="236"/>
        <v>1.7844917398422386</v>
      </c>
      <c r="Q800" s="79">
        <f t="shared" si="237"/>
        <v>0.47947478279485489</v>
      </c>
      <c r="R800" s="81">
        <f t="shared" si="238"/>
        <v>0.85561878936006996</v>
      </c>
      <c r="S800" s="92">
        <f t="shared" si="248"/>
        <v>80.92999999999995</v>
      </c>
      <c r="T800" s="83">
        <f t="shared" si="239"/>
        <v>33.594999999999999</v>
      </c>
      <c r="U800" s="135"/>
      <c r="V800" s="135"/>
      <c r="W800" s="135"/>
      <c r="X800" s="135"/>
      <c r="Y800" s="136"/>
      <c r="Z800" s="50"/>
      <c r="AA800" s="50"/>
    </row>
    <row r="801" spans="1:27" ht="12.75" hidden="1" outlineLevel="1" x14ac:dyDescent="0.2">
      <c r="A801" s="50"/>
      <c r="B801" s="137"/>
      <c r="C801" s="70" t="s">
        <v>36</v>
      </c>
      <c r="D801" s="90">
        <v>319.75</v>
      </c>
      <c r="E801" s="298"/>
      <c r="F801" s="73">
        <v>5</v>
      </c>
      <c r="G801" s="73">
        <v>5</v>
      </c>
      <c r="H801" s="74">
        <f t="shared" si="233"/>
        <v>1</v>
      </c>
      <c r="I801" s="75">
        <f t="shared" si="234"/>
        <v>63.95</v>
      </c>
      <c r="J801" s="76">
        <f t="shared" si="235"/>
        <v>63.95</v>
      </c>
      <c r="K801" s="90">
        <v>64.739999999999995</v>
      </c>
      <c r="L801" s="73">
        <v>23556</v>
      </c>
      <c r="M801" s="73">
        <v>2</v>
      </c>
      <c r="N801" s="91">
        <v>129.9</v>
      </c>
      <c r="O801" s="79">
        <f t="shared" si="249"/>
        <v>0.49838337182448028</v>
      </c>
      <c r="P801" s="80">
        <f t="shared" si="236"/>
        <v>2.0064874884151993</v>
      </c>
      <c r="Q801" s="79">
        <f t="shared" si="237"/>
        <v>0.20247068021892101</v>
      </c>
      <c r="R801" s="81">
        <f t="shared" si="238"/>
        <v>0.40625488663017983</v>
      </c>
      <c r="S801" s="92">
        <f t="shared" si="248"/>
        <v>189.85</v>
      </c>
      <c r="T801" s="83">
        <f t="shared" si="239"/>
        <v>32.369999999999997</v>
      </c>
      <c r="U801" s="135"/>
      <c r="V801" s="135"/>
      <c r="W801" s="135"/>
      <c r="X801" s="135"/>
      <c r="Y801" s="136"/>
      <c r="Z801" s="50"/>
      <c r="AA801" s="50"/>
    </row>
    <row r="802" spans="1:27" ht="12.75" hidden="1" outlineLevel="1" x14ac:dyDescent="0.2">
      <c r="A802" s="50"/>
      <c r="B802" s="69" t="s">
        <v>37</v>
      </c>
      <c r="C802" s="70" t="s">
        <v>38</v>
      </c>
      <c r="D802" s="93">
        <v>419.69</v>
      </c>
      <c r="E802" s="298"/>
      <c r="F802" s="73">
        <v>7</v>
      </c>
      <c r="G802" s="73">
        <v>7</v>
      </c>
      <c r="H802" s="74">
        <f t="shared" si="233"/>
        <v>1</v>
      </c>
      <c r="I802" s="75">
        <f t="shared" si="234"/>
        <v>59.955714285714286</v>
      </c>
      <c r="J802" s="76">
        <f t="shared" si="235"/>
        <v>59.955714285714286</v>
      </c>
      <c r="K802" s="93">
        <v>32.93</v>
      </c>
      <c r="L802" s="73">
        <v>16166</v>
      </c>
      <c r="M802" s="73">
        <v>0</v>
      </c>
      <c r="N802" s="94">
        <v>0</v>
      </c>
      <c r="O802" s="79" t="e">
        <f t="shared" si="249"/>
        <v>#DIV/0!</v>
      </c>
      <c r="P802" s="80">
        <f t="shared" si="236"/>
        <v>0</v>
      </c>
      <c r="Q802" s="79">
        <f t="shared" si="237"/>
        <v>7.846267483142319E-2</v>
      </c>
      <c r="R802" s="81">
        <f t="shared" si="238"/>
        <v>0</v>
      </c>
      <c r="S802" s="95">
        <f t="shared" si="248"/>
        <v>419.69</v>
      </c>
      <c r="T802" s="83" t="e">
        <f t="shared" si="239"/>
        <v>#DIV/0!</v>
      </c>
      <c r="U802" s="135"/>
      <c r="V802" s="135"/>
      <c r="W802" s="135"/>
      <c r="X802" s="135"/>
      <c r="Y802" s="136"/>
      <c r="Z802" s="50"/>
      <c r="AA802" s="50"/>
    </row>
    <row r="803" spans="1:27" ht="12.75" hidden="1" outlineLevel="1" x14ac:dyDescent="0.2">
      <c r="A803" s="50"/>
      <c r="B803" s="137"/>
      <c r="C803" s="70" t="s">
        <v>39</v>
      </c>
      <c r="D803" s="96">
        <v>0</v>
      </c>
      <c r="E803" s="298"/>
      <c r="F803" s="73">
        <v>0</v>
      </c>
      <c r="G803" s="73">
        <v>0</v>
      </c>
      <c r="H803" s="74" t="e">
        <f t="shared" si="233"/>
        <v>#DIV/0!</v>
      </c>
      <c r="I803" s="75" t="e">
        <f t="shared" si="234"/>
        <v>#DIV/0!</v>
      </c>
      <c r="J803" s="76" t="e">
        <f t="shared" si="235"/>
        <v>#DIV/0!</v>
      </c>
      <c r="K803" s="96">
        <v>0</v>
      </c>
      <c r="L803" s="73">
        <v>0</v>
      </c>
      <c r="M803" s="73">
        <v>0</v>
      </c>
      <c r="N803" s="97">
        <v>0</v>
      </c>
      <c r="O803" s="79" t="e">
        <f t="shared" si="249"/>
        <v>#DIV/0!</v>
      </c>
      <c r="P803" s="80" t="e">
        <f t="shared" si="236"/>
        <v>#DIV/0!</v>
      </c>
      <c r="Q803" s="79" t="e">
        <f t="shared" si="237"/>
        <v>#DIV/0!</v>
      </c>
      <c r="R803" s="81" t="e">
        <f t="shared" si="238"/>
        <v>#DIV/0!</v>
      </c>
      <c r="S803" s="98">
        <f t="shared" si="248"/>
        <v>0</v>
      </c>
      <c r="T803" s="83" t="e">
        <f t="shared" si="239"/>
        <v>#DIV/0!</v>
      </c>
      <c r="U803" s="135"/>
      <c r="V803" s="135"/>
      <c r="W803" s="135"/>
      <c r="X803" s="135"/>
      <c r="Y803" s="136"/>
      <c r="Z803" s="50"/>
      <c r="AA803" s="50"/>
    </row>
    <row r="804" spans="1:27" ht="12.75" hidden="1" outlineLevel="1" x14ac:dyDescent="0.2">
      <c r="A804" s="50"/>
      <c r="B804" s="137"/>
      <c r="C804" s="70" t="s">
        <v>40</v>
      </c>
      <c r="D804" s="99">
        <v>0</v>
      </c>
      <c r="E804" s="298"/>
      <c r="F804" s="73">
        <v>0</v>
      </c>
      <c r="G804" s="73">
        <v>0</v>
      </c>
      <c r="H804" s="74" t="e">
        <f t="shared" si="233"/>
        <v>#DIV/0!</v>
      </c>
      <c r="I804" s="75" t="e">
        <f t="shared" si="234"/>
        <v>#DIV/0!</v>
      </c>
      <c r="J804" s="76" t="e">
        <f t="shared" si="235"/>
        <v>#DIV/0!</v>
      </c>
      <c r="K804" s="99">
        <v>0</v>
      </c>
      <c r="L804" s="73">
        <v>0</v>
      </c>
      <c r="M804" s="73">
        <v>0</v>
      </c>
      <c r="N804" s="100">
        <v>0</v>
      </c>
      <c r="O804" s="79" t="e">
        <f t="shared" si="249"/>
        <v>#DIV/0!</v>
      </c>
      <c r="P804" s="80" t="e">
        <f t="shared" si="236"/>
        <v>#DIV/0!</v>
      </c>
      <c r="Q804" s="79" t="e">
        <f t="shared" si="237"/>
        <v>#DIV/0!</v>
      </c>
      <c r="R804" s="81" t="e">
        <f t="shared" si="238"/>
        <v>#DIV/0!</v>
      </c>
      <c r="S804" s="101">
        <f t="shared" si="248"/>
        <v>0</v>
      </c>
      <c r="T804" s="83" t="e">
        <f t="shared" si="239"/>
        <v>#DIV/0!</v>
      </c>
      <c r="U804" s="135"/>
      <c r="V804" s="135"/>
      <c r="W804" s="135"/>
      <c r="X804" s="135"/>
      <c r="Y804" s="136"/>
      <c r="Z804" s="50"/>
      <c r="AA804" s="50"/>
    </row>
    <row r="805" spans="1:27" ht="12.75" hidden="1" outlineLevel="1" x14ac:dyDescent="0.2">
      <c r="A805" s="50"/>
      <c r="B805" s="137"/>
      <c r="C805" s="70" t="s">
        <v>41</v>
      </c>
      <c r="D805" s="102">
        <v>1198.82</v>
      </c>
      <c r="E805" s="298"/>
      <c r="F805" s="73">
        <v>19</v>
      </c>
      <c r="G805" s="73">
        <v>17</v>
      </c>
      <c r="H805" s="74">
        <f t="shared" si="233"/>
        <v>1.1176470588235294</v>
      </c>
      <c r="I805" s="75">
        <f t="shared" si="234"/>
        <v>63.095789473684206</v>
      </c>
      <c r="J805" s="76">
        <f t="shared" si="235"/>
        <v>56.454127423822712</v>
      </c>
      <c r="K805" s="102">
        <v>106.18</v>
      </c>
      <c r="L805" s="73">
        <v>29280</v>
      </c>
      <c r="M805" s="73">
        <v>5</v>
      </c>
      <c r="N805" s="103">
        <v>380.96</v>
      </c>
      <c r="O805" s="79">
        <f t="shared" si="249"/>
        <v>0.27871692566148681</v>
      </c>
      <c r="P805" s="80">
        <f t="shared" si="236"/>
        <v>3.5878696553023164</v>
      </c>
      <c r="Q805" s="79">
        <f t="shared" si="237"/>
        <v>8.8570427587127354E-2</v>
      </c>
      <c r="R805" s="81">
        <f t="shared" si="238"/>
        <v>0.31777914949700536</v>
      </c>
      <c r="S805" s="104">
        <f t="shared" si="248"/>
        <v>817.8599999999999</v>
      </c>
      <c r="T805" s="83">
        <f t="shared" si="239"/>
        <v>21.236000000000001</v>
      </c>
      <c r="U805" s="135"/>
      <c r="V805" s="135"/>
      <c r="W805" s="135"/>
      <c r="X805" s="135"/>
      <c r="Y805" s="136"/>
      <c r="Z805" s="50"/>
      <c r="AA805" s="50"/>
    </row>
    <row r="806" spans="1:27" ht="12.75" hidden="1" outlineLevel="1" x14ac:dyDescent="0.2">
      <c r="A806" s="50"/>
      <c r="B806" s="137"/>
      <c r="C806" s="70" t="s">
        <v>42</v>
      </c>
      <c r="D806" s="90">
        <v>49.93</v>
      </c>
      <c r="E806" s="298"/>
      <c r="F806" s="73">
        <v>3</v>
      </c>
      <c r="G806" s="73">
        <v>3</v>
      </c>
      <c r="H806" s="74">
        <f t="shared" si="233"/>
        <v>1</v>
      </c>
      <c r="I806" s="75">
        <f t="shared" si="234"/>
        <v>16.643333333333334</v>
      </c>
      <c r="J806" s="76">
        <f t="shared" si="235"/>
        <v>16.643333333333334</v>
      </c>
      <c r="K806" s="90">
        <v>97.59</v>
      </c>
      <c r="L806" s="73">
        <v>48478</v>
      </c>
      <c r="M806" s="73">
        <v>3</v>
      </c>
      <c r="N806" s="91">
        <v>59.97</v>
      </c>
      <c r="O806" s="79">
        <f t="shared" si="249"/>
        <v>1.6273136568284143</v>
      </c>
      <c r="P806" s="80">
        <f t="shared" si="236"/>
        <v>0.61450968336919765</v>
      </c>
      <c r="Q806" s="79">
        <f t="shared" si="237"/>
        <v>1.9545363508912479</v>
      </c>
      <c r="R806" s="81">
        <f t="shared" si="238"/>
        <v>1.2010815141197677</v>
      </c>
      <c r="S806" s="92">
        <f t="shared" si="248"/>
        <v>-10.039999999999999</v>
      </c>
      <c r="T806" s="83">
        <f t="shared" si="239"/>
        <v>32.53</v>
      </c>
      <c r="U806" s="135"/>
      <c r="V806" s="135"/>
      <c r="W806" s="135"/>
      <c r="X806" s="135"/>
      <c r="Y806" s="136"/>
      <c r="Z806" s="50"/>
      <c r="AA806" s="50"/>
    </row>
    <row r="807" spans="1:27" ht="12.75" hidden="1" outlineLevel="1" x14ac:dyDescent="0.2">
      <c r="A807" s="50"/>
      <c r="B807" s="137"/>
      <c r="C807" s="70" t="s">
        <v>43</v>
      </c>
      <c r="D807" s="105">
        <v>158.9</v>
      </c>
      <c r="E807" s="298"/>
      <c r="F807" s="73">
        <v>2</v>
      </c>
      <c r="G807" s="73">
        <v>3</v>
      </c>
      <c r="H807" s="74">
        <f t="shared" si="233"/>
        <v>0.66666666666666663</v>
      </c>
      <c r="I807" s="75">
        <f t="shared" si="234"/>
        <v>79.45</v>
      </c>
      <c r="J807" s="76">
        <f t="shared" si="235"/>
        <v>119.17500000000001</v>
      </c>
      <c r="K807" s="105">
        <v>38.130000000000003</v>
      </c>
      <c r="L807" s="73">
        <v>12772</v>
      </c>
      <c r="M807" s="73">
        <v>0</v>
      </c>
      <c r="N807" s="106">
        <v>0</v>
      </c>
      <c r="O807" s="79" t="e">
        <f t="shared" si="249"/>
        <v>#DIV/0!</v>
      </c>
      <c r="P807" s="80">
        <f t="shared" si="236"/>
        <v>0</v>
      </c>
      <c r="Q807" s="79">
        <f t="shared" si="237"/>
        <v>0.23996224040276903</v>
      </c>
      <c r="R807" s="81">
        <f t="shared" si="238"/>
        <v>0</v>
      </c>
      <c r="S807" s="107">
        <f t="shared" si="248"/>
        <v>158.9</v>
      </c>
      <c r="T807" s="83" t="e">
        <f t="shared" si="239"/>
        <v>#DIV/0!</v>
      </c>
      <c r="U807" s="135"/>
      <c r="V807" s="135"/>
      <c r="W807" s="135"/>
      <c r="X807" s="135"/>
      <c r="Y807" s="136"/>
      <c r="Z807" s="50"/>
      <c r="AA807" s="50"/>
    </row>
    <row r="808" spans="1:27" ht="12.75" hidden="1" outlineLevel="1" x14ac:dyDescent="0.2">
      <c r="A808" s="50"/>
      <c r="B808" s="137"/>
      <c r="C808" s="70" t="s">
        <v>44</v>
      </c>
      <c r="D808" s="108">
        <v>152.88</v>
      </c>
      <c r="E808" s="298"/>
      <c r="F808" s="73">
        <v>2</v>
      </c>
      <c r="G808" s="73">
        <v>4</v>
      </c>
      <c r="H808" s="74">
        <f t="shared" si="233"/>
        <v>0.5</v>
      </c>
      <c r="I808" s="75">
        <f t="shared" si="234"/>
        <v>76.44</v>
      </c>
      <c r="J808" s="76">
        <f t="shared" si="235"/>
        <v>152.88</v>
      </c>
      <c r="K808" s="108">
        <v>136.81</v>
      </c>
      <c r="L808" s="73">
        <v>49376</v>
      </c>
      <c r="M808" s="73">
        <v>3</v>
      </c>
      <c r="N808" s="109">
        <v>179.85</v>
      </c>
      <c r="O808" s="79">
        <f t="shared" si="249"/>
        <v>0.76068946344175703</v>
      </c>
      <c r="P808" s="80">
        <f t="shared" si="236"/>
        <v>1.3145968861925297</v>
      </c>
      <c r="Q808" s="79">
        <f t="shared" si="237"/>
        <v>0.89488487702773423</v>
      </c>
      <c r="R808" s="81">
        <f t="shared" si="238"/>
        <v>1.1764128728414442</v>
      </c>
      <c r="S808" s="110">
        <f t="shared" si="248"/>
        <v>-26.97</v>
      </c>
      <c r="T808" s="83">
        <f t="shared" si="239"/>
        <v>45.603333333333332</v>
      </c>
      <c r="U808" s="135"/>
      <c r="V808" s="135"/>
      <c r="W808" s="135"/>
      <c r="X808" s="135"/>
      <c r="Y808" s="136"/>
      <c r="Z808" s="50"/>
      <c r="AA808" s="50"/>
    </row>
    <row r="809" spans="1:27" ht="12.75" hidden="1" outlineLevel="1" x14ac:dyDescent="0.2">
      <c r="A809" s="139"/>
      <c r="B809" s="137"/>
      <c r="C809" s="112" t="s">
        <v>45</v>
      </c>
      <c r="D809" s="71">
        <v>0</v>
      </c>
      <c r="E809" s="298"/>
      <c r="F809" s="73">
        <v>0</v>
      </c>
      <c r="G809" s="73">
        <v>0</v>
      </c>
      <c r="H809" s="74" t="e">
        <f t="shared" si="233"/>
        <v>#DIV/0!</v>
      </c>
      <c r="I809" s="75" t="e">
        <f t="shared" si="234"/>
        <v>#DIV/0!</v>
      </c>
      <c r="J809" s="76" t="e">
        <f t="shared" si="235"/>
        <v>#DIV/0!</v>
      </c>
      <c r="K809" s="71">
        <v>0</v>
      </c>
      <c r="L809" s="73">
        <v>0</v>
      </c>
      <c r="M809" s="73">
        <v>0</v>
      </c>
      <c r="N809" s="78">
        <v>0</v>
      </c>
      <c r="O809" s="79" t="e">
        <f t="shared" si="249"/>
        <v>#DIV/0!</v>
      </c>
      <c r="P809" s="80" t="e">
        <f t="shared" si="236"/>
        <v>#DIV/0!</v>
      </c>
      <c r="Q809" s="79" t="e">
        <f t="shared" si="237"/>
        <v>#DIV/0!</v>
      </c>
      <c r="R809" s="81" t="e">
        <f t="shared" si="238"/>
        <v>#DIV/0!</v>
      </c>
      <c r="S809" s="82">
        <f t="shared" si="248"/>
        <v>0</v>
      </c>
      <c r="T809" s="83" t="e">
        <f t="shared" si="239"/>
        <v>#DIV/0!</v>
      </c>
      <c r="U809" s="140"/>
      <c r="V809" s="140"/>
      <c r="W809" s="140"/>
      <c r="X809" s="141"/>
      <c r="Y809" s="142"/>
      <c r="Z809" s="50"/>
      <c r="AA809" s="50"/>
    </row>
    <row r="810" spans="1:27" ht="12.75" hidden="1" outlineLevel="1" x14ac:dyDescent="0.2">
      <c r="A810" s="50"/>
      <c r="B810" s="137"/>
      <c r="C810" s="70" t="s">
        <v>46</v>
      </c>
      <c r="D810" s="116">
        <v>392.55</v>
      </c>
      <c r="E810" s="298"/>
      <c r="F810" s="73">
        <v>9</v>
      </c>
      <c r="G810" s="73">
        <v>12</v>
      </c>
      <c r="H810" s="74">
        <f t="shared" si="233"/>
        <v>0.75</v>
      </c>
      <c r="I810" s="75">
        <f t="shared" si="234"/>
        <v>43.616666666666667</v>
      </c>
      <c r="J810" s="76">
        <f t="shared" si="235"/>
        <v>58.155555555555559</v>
      </c>
      <c r="K810" s="116">
        <v>182.16</v>
      </c>
      <c r="L810" s="73">
        <v>38980</v>
      </c>
      <c r="M810" s="73">
        <v>4</v>
      </c>
      <c r="N810" s="117">
        <v>173.8</v>
      </c>
      <c r="O810" s="79">
        <f t="shared" si="249"/>
        <v>1.0481012658227846</v>
      </c>
      <c r="P810" s="80">
        <f t="shared" si="236"/>
        <v>0.95410628019323684</v>
      </c>
      <c r="Q810" s="79">
        <f t="shared" si="237"/>
        <v>0.46404279709591134</v>
      </c>
      <c r="R810" s="81">
        <f t="shared" si="238"/>
        <v>0.44274614698764492</v>
      </c>
      <c r="S810" s="82">
        <f t="shared" si="248"/>
        <v>218.75</v>
      </c>
      <c r="T810" s="83">
        <f t="shared" si="239"/>
        <v>45.54</v>
      </c>
      <c r="U810" s="135"/>
      <c r="V810" s="135"/>
      <c r="W810" s="135"/>
      <c r="X810" s="135"/>
      <c r="Y810" s="136"/>
      <c r="Z810" s="50"/>
      <c r="AA810" s="50"/>
    </row>
    <row r="811" spans="1:27" ht="12.75" hidden="1" outlineLevel="1" x14ac:dyDescent="0.2">
      <c r="A811" s="118" t="str">
        <f t="shared" ref="A811:A812" si="250">IFERROR(IF(B811&gt;0,MONTH(B811)&amp;"-"&amp;YEAR(B811),B811),)</f>
        <v>11-2025</v>
      </c>
      <c r="B811" s="69">
        <v>45962</v>
      </c>
      <c r="C811" s="70" t="s">
        <v>49</v>
      </c>
      <c r="D811" s="116">
        <v>-96</v>
      </c>
      <c r="E811" s="298"/>
      <c r="F811" s="73">
        <v>-1</v>
      </c>
      <c r="G811" s="73">
        <v>0</v>
      </c>
      <c r="H811" s="74" t="e">
        <f t="shared" si="233"/>
        <v>#DIV/0!</v>
      </c>
      <c r="I811" s="75">
        <f t="shared" si="234"/>
        <v>96</v>
      </c>
      <c r="J811" s="76" t="e">
        <f t="shared" si="235"/>
        <v>#DIV/0!</v>
      </c>
      <c r="K811" s="116">
        <v>5.88</v>
      </c>
      <c r="L811" s="73">
        <v>8831</v>
      </c>
      <c r="M811" s="73">
        <v>0</v>
      </c>
      <c r="N811" s="117">
        <v>0</v>
      </c>
      <c r="O811" s="79" t="e">
        <f t="shared" si="249"/>
        <v>#DIV/0!</v>
      </c>
      <c r="P811" s="80">
        <f t="shared" si="236"/>
        <v>0</v>
      </c>
      <c r="Q811" s="79">
        <f t="shared" si="237"/>
        <v>-6.1249999999999999E-2</v>
      </c>
      <c r="R811" s="81">
        <f t="shared" si="238"/>
        <v>0</v>
      </c>
      <c r="S811" s="82">
        <f t="shared" si="248"/>
        <v>-96</v>
      </c>
      <c r="T811" s="83" t="e">
        <f t="shared" si="239"/>
        <v>#DIV/0!</v>
      </c>
      <c r="U811" s="135"/>
      <c r="V811" s="135"/>
      <c r="W811" s="135"/>
      <c r="X811" s="135"/>
      <c r="Y811" s="136"/>
      <c r="Z811" s="50"/>
      <c r="AA811" s="50"/>
    </row>
    <row r="812" spans="1:27" ht="12.75" collapsed="1" x14ac:dyDescent="0.2">
      <c r="A812" s="50">
        <f t="shared" si="250"/>
        <v>0</v>
      </c>
      <c r="B812" s="52" t="s">
        <v>102</v>
      </c>
      <c r="C812" s="145"/>
      <c r="D812" s="121">
        <f>SUM(D797:D811)</f>
        <v>9331.2699999999968</v>
      </c>
      <c r="E812" s="297"/>
      <c r="F812" s="123">
        <f t="shared" ref="F812:G812" si="251">SUM(F797:F811)</f>
        <v>134</v>
      </c>
      <c r="G812" s="123">
        <f t="shared" si="251"/>
        <v>136</v>
      </c>
      <c r="H812" s="124">
        <f t="shared" si="233"/>
        <v>0.98529411764705888</v>
      </c>
      <c r="I812" s="125">
        <f t="shared" si="234"/>
        <v>69.636343283582065</v>
      </c>
      <c r="J812" s="126">
        <f t="shared" si="235"/>
        <v>70.675691690799709</v>
      </c>
      <c r="K812" s="121">
        <f t="shared" ref="K812:N812" si="252">SUM(K797:K811)</f>
        <v>1695.2700000000002</v>
      </c>
      <c r="L812" s="123">
        <f t="shared" si="252"/>
        <v>437017</v>
      </c>
      <c r="M812" s="123">
        <f t="shared" si="252"/>
        <v>37</v>
      </c>
      <c r="N812" s="127">
        <f t="shared" si="252"/>
        <v>2716.73</v>
      </c>
      <c r="O812" s="128">
        <f t="shared" si="249"/>
        <v>0.62401121937034609</v>
      </c>
      <c r="P812" s="129">
        <f t="shared" si="236"/>
        <v>1.602535289363936</v>
      </c>
      <c r="Q812" s="128">
        <f t="shared" si="237"/>
        <v>0.18167623485334802</v>
      </c>
      <c r="R812" s="130">
        <f t="shared" si="238"/>
        <v>0.29114257759126044</v>
      </c>
      <c r="S812" s="131">
        <f>SUM(S797:S811)</f>
        <v>6614.5399999999991</v>
      </c>
      <c r="T812" s="132">
        <f t="shared" si="239"/>
        <v>45.818108108108113</v>
      </c>
      <c r="U812" s="133">
        <f>IFERROR((D812-D246)/D812,)</f>
        <v>0.18753610173106119</v>
      </c>
      <c r="V812" s="133">
        <f>IFERROR((F812-F246)/F812,)</f>
        <v>0.29850746268656714</v>
      </c>
      <c r="W812" s="271">
        <f>IFERROR((D812-[1]monthly_reporting_2021!E603)/D812, )</f>
        <v>0</v>
      </c>
      <c r="X812" s="271">
        <f>IFERROR((F812-[1]monthly_reporting_2021!F603)/F812, )</f>
        <v>0</v>
      </c>
      <c r="Y812" s="50"/>
      <c r="Z812" s="50"/>
      <c r="AA812" s="50"/>
    </row>
    <row r="813" spans="1:27" ht="12.75" hidden="1" outlineLevel="1" x14ac:dyDescent="0.2">
      <c r="A813" s="50"/>
      <c r="B813" s="69">
        <v>45963</v>
      </c>
      <c r="C813" s="70" t="s">
        <v>32</v>
      </c>
      <c r="D813" s="71">
        <v>2096.9499999999998</v>
      </c>
      <c r="E813" s="298"/>
      <c r="F813" s="73">
        <v>22</v>
      </c>
      <c r="G813" s="73">
        <v>24</v>
      </c>
      <c r="H813" s="74">
        <f t="shared" si="233"/>
        <v>0.91666666666666663</v>
      </c>
      <c r="I813" s="75">
        <f t="shared" si="234"/>
        <v>95.315909090909088</v>
      </c>
      <c r="J813" s="76">
        <f t="shared" si="235"/>
        <v>103.98099173553719</v>
      </c>
      <c r="K813" s="77">
        <v>738.02</v>
      </c>
      <c r="L813" s="73">
        <v>132624</v>
      </c>
      <c r="M813" s="73">
        <v>2</v>
      </c>
      <c r="N813" s="78">
        <v>204.9</v>
      </c>
      <c r="O813" s="79">
        <f t="shared" si="249"/>
        <v>3.6018545632015617</v>
      </c>
      <c r="P813" s="80">
        <f t="shared" si="236"/>
        <v>0.27763475244573321</v>
      </c>
      <c r="Q813" s="79">
        <f t="shared" si="237"/>
        <v>0.35194925963899953</v>
      </c>
      <c r="R813" s="81">
        <f t="shared" si="238"/>
        <v>9.7713345573332708E-2</v>
      </c>
      <c r="S813" s="82">
        <f t="shared" ref="S813:S828" si="253">D813-N813</f>
        <v>1892.0499999999997</v>
      </c>
      <c r="T813" s="83">
        <f t="shared" si="239"/>
        <v>369.01</v>
      </c>
      <c r="U813" s="135"/>
      <c r="V813" s="135"/>
      <c r="W813" s="135"/>
      <c r="X813" s="135"/>
      <c r="Y813" s="136"/>
      <c r="Z813" s="50"/>
      <c r="AA813" s="50"/>
    </row>
    <row r="814" spans="1:27" ht="12.75" hidden="1" outlineLevel="1" x14ac:dyDescent="0.2">
      <c r="A814" s="50"/>
      <c r="B814" s="137"/>
      <c r="C814" s="70" t="s">
        <v>33</v>
      </c>
      <c r="D814" s="87">
        <v>4358.8500000000004</v>
      </c>
      <c r="E814" s="298"/>
      <c r="F814" s="73">
        <v>52</v>
      </c>
      <c r="G814" s="73">
        <v>52</v>
      </c>
      <c r="H814" s="74">
        <f t="shared" si="233"/>
        <v>1</v>
      </c>
      <c r="I814" s="75">
        <f t="shared" si="234"/>
        <v>83.824038461538464</v>
      </c>
      <c r="J814" s="76">
        <f t="shared" si="235"/>
        <v>83.824038461538464</v>
      </c>
      <c r="K814" s="87">
        <v>290.51</v>
      </c>
      <c r="L814" s="73">
        <v>95880</v>
      </c>
      <c r="M814" s="73">
        <v>12</v>
      </c>
      <c r="N814" s="88">
        <v>904.65</v>
      </c>
      <c r="O814" s="79">
        <f t="shared" si="249"/>
        <v>0.32112971867573092</v>
      </c>
      <c r="P814" s="80">
        <f t="shared" si="236"/>
        <v>3.1140064025334757</v>
      </c>
      <c r="Q814" s="79">
        <f t="shared" si="237"/>
        <v>6.6648313201876627E-2</v>
      </c>
      <c r="R814" s="81">
        <f t="shared" si="238"/>
        <v>0.20754327402870021</v>
      </c>
      <c r="S814" s="89">
        <f t="shared" si="253"/>
        <v>3454.2000000000003</v>
      </c>
      <c r="T814" s="83">
        <f t="shared" si="239"/>
        <v>24.209166666666665</v>
      </c>
      <c r="U814" s="135"/>
      <c r="V814" s="135"/>
      <c r="W814" s="135"/>
      <c r="X814" s="135"/>
      <c r="Y814" s="136"/>
      <c r="Z814" s="50"/>
      <c r="AA814" s="50"/>
    </row>
    <row r="815" spans="1:27" ht="12.75" hidden="1" outlineLevel="1" x14ac:dyDescent="0.2">
      <c r="A815" s="50"/>
      <c r="B815" s="137"/>
      <c r="C815" s="70" t="s">
        <v>34</v>
      </c>
      <c r="D815" s="90">
        <v>209.85</v>
      </c>
      <c r="E815" s="298"/>
      <c r="F815" s="73">
        <v>3</v>
      </c>
      <c r="G815" s="73">
        <v>1</v>
      </c>
      <c r="H815" s="74">
        <f t="shared" si="233"/>
        <v>3</v>
      </c>
      <c r="I815" s="75">
        <f t="shared" si="234"/>
        <v>69.95</v>
      </c>
      <c r="J815" s="76">
        <f t="shared" si="235"/>
        <v>23.316666666666666</v>
      </c>
      <c r="K815" s="90">
        <v>0</v>
      </c>
      <c r="L815" s="73">
        <v>320</v>
      </c>
      <c r="M815" s="73">
        <v>0</v>
      </c>
      <c r="N815" s="91">
        <v>0</v>
      </c>
      <c r="O815" s="79" t="e">
        <f>(K815/N815)</f>
        <v>#DIV/0!</v>
      </c>
      <c r="P815" s="80" t="e">
        <f t="shared" si="236"/>
        <v>#DIV/0!</v>
      </c>
      <c r="Q815" s="79">
        <f t="shared" si="237"/>
        <v>0</v>
      </c>
      <c r="R815" s="81">
        <f t="shared" si="238"/>
        <v>0</v>
      </c>
      <c r="S815" s="92">
        <f t="shared" si="253"/>
        <v>209.85</v>
      </c>
      <c r="T815" s="83" t="e">
        <f t="shared" si="239"/>
        <v>#DIV/0!</v>
      </c>
      <c r="U815" s="135"/>
      <c r="V815" s="135"/>
      <c r="W815" s="135"/>
      <c r="X815" s="135"/>
      <c r="Y815" s="136"/>
      <c r="Z815" s="50"/>
      <c r="AA815" s="50"/>
    </row>
    <row r="816" spans="1:27" ht="12.75" hidden="1" outlineLevel="1" x14ac:dyDescent="0.2">
      <c r="A816" s="50"/>
      <c r="B816" s="137"/>
      <c r="C816" s="70" t="s">
        <v>35</v>
      </c>
      <c r="D816" s="90">
        <v>422.65</v>
      </c>
      <c r="E816" s="298"/>
      <c r="F816" s="73">
        <v>7</v>
      </c>
      <c r="G816" s="73">
        <v>7</v>
      </c>
      <c r="H816" s="74">
        <f t="shared" si="233"/>
        <v>1</v>
      </c>
      <c r="I816" s="75">
        <f t="shared" si="234"/>
        <v>60.378571428571426</v>
      </c>
      <c r="J816" s="76">
        <f t="shared" si="235"/>
        <v>60.378571428571426</v>
      </c>
      <c r="K816" s="90">
        <v>199.67</v>
      </c>
      <c r="L816" s="73">
        <v>26446</v>
      </c>
      <c r="M816" s="73">
        <v>3</v>
      </c>
      <c r="N816" s="91">
        <v>179.85</v>
      </c>
      <c r="O816" s="79">
        <f t="shared" ref="O816:O831" si="254">K816/N816</f>
        <v>1.1102029469001946</v>
      </c>
      <c r="P816" s="80">
        <f t="shared" si="236"/>
        <v>0.90073621475434473</v>
      </c>
      <c r="Q816" s="79">
        <f t="shared" si="237"/>
        <v>0.47242399148231395</v>
      </c>
      <c r="R816" s="81">
        <f t="shared" si="238"/>
        <v>0.42552939784691829</v>
      </c>
      <c r="S816" s="92">
        <f t="shared" si="253"/>
        <v>242.79999999999998</v>
      </c>
      <c r="T816" s="83">
        <f t="shared" si="239"/>
        <v>66.556666666666658</v>
      </c>
      <c r="U816" s="135"/>
      <c r="V816" s="135"/>
      <c r="W816" s="135"/>
      <c r="X816" s="135"/>
      <c r="Y816" s="136"/>
      <c r="Z816" s="50"/>
      <c r="AA816" s="50"/>
    </row>
    <row r="817" spans="1:27" ht="12.75" hidden="1" outlineLevel="1" x14ac:dyDescent="0.2">
      <c r="A817" s="50"/>
      <c r="B817" s="137"/>
      <c r="C817" s="70" t="s">
        <v>36</v>
      </c>
      <c r="D817" s="90">
        <v>404.66</v>
      </c>
      <c r="E817" s="298"/>
      <c r="F817" s="73">
        <v>6</v>
      </c>
      <c r="G817" s="73">
        <v>6</v>
      </c>
      <c r="H817" s="74">
        <f t="shared" si="233"/>
        <v>1</v>
      </c>
      <c r="I817" s="75">
        <f t="shared" si="234"/>
        <v>67.443333333333342</v>
      </c>
      <c r="J817" s="76">
        <f t="shared" si="235"/>
        <v>67.443333333333342</v>
      </c>
      <c r="K817" s="90">
        <v>79.900000000000006</v>
      </c>
      <c r="L817" s="73">
        <v>29248</v>
      </c>
      <c r="M817" s="73">
        <v>3</v>
      </c>
      <c r="N817" s="91">
        <v>129.9</v>
      </c>
      <c r="O817" s="79">
        <f t="shared" si="254"/>
        <v>0.61508852963818328</v>
      </c>
      <c r="P817" s="80">
        <f t="shared" si="236"/>
        <v>1.6257822277847309</v>
      </c>
      <c r="Q817" s="79">
        <f t="shared" si="237"/>
        <v>0.19744971086838334</v>
      </c>
      <c r="R817" s="81">
        <f t="shared" si="238"/>
        <v>0.32101023081105123</v>
      </c>
      <c r="S817" s="92">
        <f t="shared" si="253"/>
        <v>274.76</v>
      </c>
      <c r="T817" s="83">
        <f t="shared" si="239"/>
        <v>26.633333333333336</v>
      </c>
      <c r="U817" s="135"/>
      <c r="V817" s="135"/>
      <c r="W817" s="135"/>
      <c r="X817" s="135"/>
      <c r="Y817" s="136"/>
      <c r="Z817" s="50"/>
      <c r="AA817" s="50"/>
    </row>
    <row r="818" spans="1:27" ht="12.75" hidden="1" outlineLevel="1" x14ac:dyDescent="0.2">
      <c r="A818" s="50"/>
      <c r="B818" s="69" t="s">
        <v>37</v>
      </c>
      <c r="C818" s="70" t="s">
        <v>38</v>
      </c>
      <c r="D818" s="93">
        <v>234.8</v>
      </c>
      <c r="E818" s="298"/>
      <c r="F818" s="73">
        <v>4</v>
      </c>
      <c r="G818" s="73">
        <v>5</v>
      </c>
      <c r="H818" s="74">
        <f t="shared" si="233"/>
        <v>0.8</v>
      </c>
      <c r="I818" s="75">
        <f t="shared" si="234"/>
        <v>58.7</v>
      </c>
      <c r="J818" s="76">
        <f t="shared" si="235"/>
        <v>73.375</v>
      </c>
      <c r="K818" s="93">
        <v>38.450000000000003</v>
      </c>
      <c r="L818" s="73">
        <v>10545</v>
      </c>
      <c r="M818" s="73">
        <v>2</v>
      </c>
      <c r="N818" s="94">
        <v>69.900000000000006</v>
      </c>
      <c r="O818" s="79">
        <f t="shared" si="254"/>
        <v>0.55007153075822601</v>
      </c>
      <c r="P818" s="80">
        <f t="shared" si="236"/>
        <v>1.8179453836150845</v>
      </c>
      <c r="Q818" s="79">
        <f t="shared" si="237"/>
        <v>0.16375638841567292</v>
      </c>
      <c r="R818" s="81">
        <f t="shared" si="238"/>
        <v>0.29770017035775131</v>
      </c>
      <c r="S818" s="95">
        <f t="shared" si="253"/>
        <v>164.9</v>
      </c>
      <c r="T818" s="83">
        <f t="shared" si="239"/>
        <v>19.225000000000001</v>
      </c>
      <c r="U818" s="135"/>
      <c r="V818" s="135"/>
      <c r="W818" s="135"/>
      <c r="X818" s="135"/>
      <c r="Y818" s="136"/>
      <c r="Z818" s="50"/>
      <c r="AA818" s="50"/>
    </row>
    <row r="819" spans="1:27" ht="12.75" hidden="1" outlineLevel="1" x14ac:dyDescent="0.2">
      <c r="A819" s="50"/>
      <c r="B819" s="137"/>
      <c r="C819" s="70" t="s">
        <v>39</v>
      </c>
      <c r="D819" s="96">
        <v>0</v>
      </c>
      <c r="E819" s="298"/>
      <c r="F819" s="73">
        <v>0</v>
      </c>
      <c r="G819" s="73">
        <v>0</v>
      </c>
      <c r="H819" s="74" t="e">
        <f t="shared" si="233"/>
        <v>#DIV/0!</v>
      </c>
      <c r="I819" s="75" t="e">
        <f t="shared" si="234"/>
        <v>#DIV/0!</v>
      </c>
      <c r="J819" s="76" t="e">
        <f t="shared" si="235"/>
        <v>#DIV/0!</v>
      </c>
      <c r="K819" s="96">
        <v>0</v>
      </c>
      <c r="L819" s="73">
        <v>0</v>
      </c>
      <c r="M819" s="73">
        <v>0</v>
      </c>
      <c r="N819" s="97">
        <v>0</v>
      </c>
      <c r="O819" s="79" t="e">
        <f t="shared" si="254"/>
        <v>#DIV/0!</v>
      </c>
      <c r="P819" s="80" t="e">
        <f t="shared" si="236"/>
        <v>#DIV/0!</v>
      </c>
      <c r="Q819" s="79" t="e">
        <f t="shared" si="237"/>
        <v>#DIV/0!</v>
      </c>
      <c r="R819" s="81" t="e">
        <f t="shared" si="238"/>
        <v>#DIV/0!</v>
      </c>
      <c r="S819" s="98">
        <f t="shared" si="253"/>
        <v>0</v>
      </c>
      <c r="T819" s="83" t="e">
        <f t="shared" si="239"/>
        <v>#DIV/0!</v>
      </c>
      <c r="U819" s="135"/>
      <c r="V819" s="135"/>
      <c r="W819" s="135"/>
      <c r="X819" s="135"/>
      <c r="Y819" s="136"/>
      <c r="Z819" s="50"/>
      <c r="AA819" s="50"/>
    </row>
    <row r="820" spans="1:27" ht="12.75" hidden="1" outlineLevel="1" x14ac:dyDescent="0.2">
      <c r="A820" s="50"/>
      <c r="B820" s="137"/>
      <c r="C820" s="70" t="s">
        <v>40</v>
      </c>
      <c r="D820" s="99">
        <v>0</v>
      </c>
      <c r="E820" s="298"/>
      <c r="F820" s="73">
        <v>0</v>
      </c>
      <c r="G820" s="73">
        <v>0</v>
      </c>
      <c r="H820" s="74" t="e">
        <f t="shared" si="233"/>
        <v>#DIV/0!</v>
      </c>
      <c r="I820" s="75" t="e">
        <f t="shared" si="234"/>
        <v>#DIV/0!</v>
      </c>
      <c r="J820" s="76" t="e">
        <f t="shared" si="235"/>
        <v>#DIV/0!</v>
      </c>
      <c r="K820" s="99">
        <v>0</v>
      </c>
      <c r="L820" s="73">
        <v>0</v>
      </c>
      <c r="M820" s="73">
        <v>0</v>
      </c>
      <c r="N820" s="100">
        <v>0</v>
      </c>
      <c r="O820" s="79" t="e">
        <f t="shared" si="254"/>
        <v>#DIV/0!</v>
      </c>
      <c r="P820" s="80" t="e">
        <f t="shared" si="236"/>
        <v>#DIV/0!</v>
      </c>
      <c r="Q820" s="79" t="e">
        <f t="shared" si="237"/>
        <v>#DIV/0!</v>
      </c>
      <c r="R820" s="81" t="e">
        <f t="shared" si="238"/>
        <v>#DIV/0!</v>
      </c>
      <c r="S820" s="101">
        <f t="shared" si="253"/>
        <v>0</v>
      </c>
      <c r="T820" s="83" t="e">
        <f t="shared" si="239"/>
        <v>#DIV/0!</v>
      </c>
      <c r="U820" s="135"/>
      <c r="V820" s="135"/>
      <c r="W820" s="135"/>
      <c r="X820" s="135"/>
      <c r="Y820" s="136"/>
      <c r="Z820" s="50"/>
      <c r="AA820" s="50"/>
    </row>
    <row r="821" spans="1:27" ht="12.75" hidden="1" outlineLevel="1" x14ac:dyDescent="0.2">
      <c r="A821" s="50"/>
      <c r="B821" s="137"/>
      <c r="C821" s="70" t="s">
        <v>41</v>
      </c>
      <c r="D821" s="102">
        <v>2015.52</v>
      </c>
      <c r="E821" s="298"/>
      <c r="F821" s="73">
        <v>24</v>
      </c>
      <c r="G821" s="73">
        <v>24</v>
      </c>
      <c r="H821" s="74">
        <f t="shared" si="233"/>
        <v>1</v>
      </c>
      <c r="I821" s="75">
        <f t="shared" si="234"/>
        <v>83.98</v>
      </c>
      <c r="J821" s="76">
        <f t="shared" si="235"/>
        <v>83.98</v>
      </c>
      <c r="K821" s="102">
        <v>148.69</v>
      </c>
      <c r="L821" s="73">
        <v>24989</v>
      </c>
      <c r="M821" s="73">
        <v>8</v>
      </c>
      <c r="N821" s="103">
        <v>651.94000000000005</v>
      </c>
      <c r="O821" s="79">
        <f t="shared" si="254"/>
        <v>0.2280731355646225</v>
      </c>
      <c r="P821" s="80">
        <f t="shared" si="236"/>
        <v>4.3845584773690236</v>
      </c>
      <c r="Q821" s="79">
        <f t="shared" si="237"/>
        <v>7.3772525204413755E-2</v>
      </c>
      <c r="R821" s="81">
        <f t="shared" si="238"/>
        <v>0.32345995078193224</v>
      </c>
      <c r="S821" s="104">
        <f t="shared" si="253"/>
        <v>1363.58</v>
      </c>
      <c r="T821" s="83">
        <f t="shared" si="239"/>
        <v>18.58625</v>
      </c>
      <c r="U821" s="135"/>
      <c r="V821" s="135"/>
      <c r="W821" s="135"/>
      <c r="X821" s="135"/>
      <c r="Y821" s="136"/>
      <c r="Z821" s="50"/>
      <c r="AA821" s="50"/>
    </row>
    <row r="822" spans="1:27" ht="12.75" hidden="1" outlineLevel="1" x14ac:dyDescent="0.2">
      <c r="A822" s="50"/>
      <c r="B822" s="137"/>
      <c r="C822" s="70" t="s">
        <v>42</v>
      </c>
      <c r="D822" s="90">
        <v>79.959999999999994</v>
      </c>
      <c r="E822" s="298"/>
      <c r="F822" s="73">
        <v>4</v>
      </c>
      <c r="G822" s="73">
        <v>4</v>
      </c>
      <c r="H822" s="74">
        <f t="shared" si="233"/>
        <v>1</v>
      </c>
      <c r="I822" s="75">
        <f t="shared" si="234"/>
        <v>19.989999999999998</v>
      </c>
      <c r="J822" s="76">
        <f t="shared" si="235"/>
        <v>19.989999999999998</v>
      </c>
      <c r="K822" s="90">
        <v>132.47</v>
      </c>
      <c r="L822" s="73">
        <v>64051</v>
      </c>
      <c r="M822" s="73">
        <v>0</v>
      </c>
      <c r="N822" s="91">
        <v>0</v>
      </c>
      <c r="O822" s="79" t="e">
        <f t="shared" si="254"/>
        <v>#DIV/0!</v>
      </c>
      <c r="P822" s="80">
        <f t="shared" si="236"/>
        <v>0</v>
      </c>
      <c r="Q822" s="79">
        <f t="shared" si="237"/>
        <v>1.656703351675838</v>
      </c>
      <c r="R822" s="81">
        <f t="shared" si="238"/>
        <v>0</v>
      </c>
      <c r="S822" s="92">
        <f t="shared" si="253"/>
        <v>79.959999999999994</v>
      </c>
      <c r="T822" s="83" t="e">
        <f t="shared" si="239"/>
        <v>#DIV/0!</v>
      </c>
      <c r="U822" s="135"/>
      <c r="V822" s="135"/>
      <c r="W822" s="135"/>
      <c r="X822" s="135"/>
      <c r="Y822" s="136"/>
      <c r="Z822" s="50"/>
      <c r="AA822" s="50"/>
    </row>
    <row r="823" spans="1:27" ht="12.75" hidden="1" outlineLevel="1" x14ac:dyDescent="0.2">
      <c r="A823" s="50"/>
      <c r="B823" s="137"/>
      <c r="C823" s="70" t="s">
        <v>43</v>
      </c>
      <c r="D823" s="105">
        <v>455.8</v>
      </c>
      <c r="E823" s="298"/>
      <c r="F823" s="73">
        <v>4</v>
      </c>
      <c r="G823" s="73">
        <v>5</v>
      </c>
      <c r="H823" s="74">
        <f t="shared" si="233"/>
        <v>0.8</v>
      </c>
      <c r="I823" s="75">
        <f t="shared" si="234"/>
        <v>113.95</v>
      </c>
      <c r="J823" s="76">
        <f t="shared" si="235"/>
        <v>142.4375</v>
      </c>
      <c r="K823" s="105">
        <v>53.13</v>
      </c>
      <c r="L823" s="73">
        <v>15807</v>
      </c>
      <c r="M823" s="73">
        <v>3</v>
      </c>
      <c r="N823" s="106">
        <v>421.9</v>
      </c>
      <c r="O823" s="79">
        <f t="shared" si="254"/>
        <v>0.12593031524057835</v>
      </c>
      <c r="P823" s="80">
        <f t="shared" si="236"/>
        <v>7.9408996800301139</v>
      </c>
      <c r="Q823" s="79">
        <f t="shared" si="237"/>
        <v>0.11656428258007899</v>
      </c>
      <c r="R823" s="81">
        <f t="shared" si="238"/>
        <v>0.92562527424308905</v>
      </c>
      <c r="S823" s="107">
        <f t="shared" si="253"/>
        <v>33.900000000000034</v>
      </c>
      <c r="T823" s="83">
        <f t="shared" si="239"/>
        <v>17.71</v>
      </c>
      <c r="U823" s="135"/>
      <c r="V823" s="135"/>
      <c r="W823" s="135"/>
      <c r="X823" s="135"/>
      <c r="Y823" s="136"/>
      <c r="Z823" s="50"/>
      <c r="AA823" s="50"/>
    </row>
    <row r="824" spans="1:27" ht="12.75" hidden="1" outlineLevel="1" x14ac:dyDescent="0.2">
      <c r="A824" s="50"/>
      <c r="B824" s="137"/>
      <c r="C824" s="70" t="s">
        <v>44</v>
      </c>
      <c r="D824" s="108">
        <v>299.75</v>
      </c>
      <c r="E824" s="298"/>
      <c r="F824" s="73">
        <v>5</v>
      </c>
      <c r="G824" s="73">
        <v>5</v>
      </c>
      <c r="H824" s="74">
        <f t="shared" si="233"/>
        <v>1</v>
      </c>
      <c r="I824" s="75">
        <f t="shared" si="234"/>
        <v>59.95</v>
      </c>
      <c r="J824" s="76">
        <f t="shared" si="235"/>
        <v>59.95</v>
      </c>
      <c r="K824" s="108">
        <v>91.62</v>
      </c>
      <c r="L824" s="73">
        <v>50703</v>
      </c>
      <c r="M824" s="73">
        <v>2</v>
      </c>
      <c r="N824" s="109">
        <v>119.9</v>
      </c>
      <c r="O824" s="79">
        <f t="shared" si="254"/>
        <v>0.76413678065054214</v>
      </c>
      <c r="P824" s="80">
        <f t="shared" si="236"/>
        <v>1.3086662300807683</v>
      </c>
      <c r="Q824" s="79">
        <f t="shared" si="237"/>
        <v>0.30565471226021684</v>
      </c>
      <c r="R824" s="81">
        <f t="shared" si="238"/>
        <v>0.4</v>
      </c>
      <c r="S824" s="110">
        <f t="shared" si="253"/>
        <v>179.85</v>
      </c>
      <c r="T824" s="83">
        <f t="shared" si="239"/>
        <v>45.81</v>
      </c>
      <c r="U824" s="135"/>
      <c r="V824" s="135"/>
      <c r="W824" s="135"/>
      <c r="X824" s="135"/>
      <c r="Y824" s="136"/>
      <c r="Z824" s="50"/>
      <c r="AA824" s="50"/>
    </row>
    <row r="825" spans="1:27" ht="12.75" hidden="1" outlineLevel="1" x14ac:dyDescent="0.2">
      <c r="A825" s="139"/>
      <c r="B825" s="137"/>
      <c r="C825" s="112" t="s">
        <v>45</v>
      </c>
      <c r="D825" s="71">
        <v>0</v>
      </c>
      <c r="E825" s="298"/>
      <c r="F825" s="73">
        <v>0</v>
      </c>
      <c r="G825" s="73">
        <v>0</v>
      </c>
      <c r="H825" s="74" t="e">
        <f t="shared" si="233"/>
        <v>#DIV/0!</v>
      </c>
      <c r="I825" s="75" t="e">
        <f t="shared" si="234"/>
        <v>#DIV/0!</v>
      </c>
      <c r="J825" s="76" t="e">
        <f t="shared" si="235"/>
        <v>#DIV/0!</v>
      </c>
      <c r="K825" s="71">
        <v>0</v>
      </c>
      <c r="L825" s="73">
        <v>0</v>
      </c>
      <c r="M825" s="73">
        <v>0</v>
      </c>
      <c r="N825" s="78">
        <v>0</v>
      </c>
      <c r="O825" s="79" t="e">
        <f t="shared" si="254"/>
        <v>#DIV/0!</v>
      </c>
      <c r="P825" s="80" t="e">
        <f t="shared" si="236"/>
        <v>#DIV/0!</v>
      </c>
      <c r="Q825" s="79" t="e">
        <f t="shared" si="237"/>
        <v>#DIV/0!</v>
      </c>
      <c r="R825" s="81" t="e">
        <f t="shared" si="238"/>
        <v>#DIV/0!</v>
      </c>
      <c r="S825" s="82">
        <f t="shared" si="253"/>
        <v>0</v>
      </c>
      <c r="T825" s="83" t="e">
        <f t="shared" si="239"/>
        <v>#DIV/0!</v>
      </c>
      <c r="U825" s="140"/>
      <c r="V825" s="140"/>
      <c r="W825" s="140"/>
      <c r="X825" s="141"/>
      <c r="Y825" s="142"/>
      <c r="Z825" s="50"/>
      <c r="AA825" s="50"/>
    </row>
    <row r="826" spans="1:27" ht="12.75" hidden="1" outlineLevel="1" x14ac:dyDescent="0.2">
      <c r="A826" s="50"/>
      <c r="B826" s="137"/>
      <c r="C826" s="70" t="s">
        <v>46</v>
      </c>
      <c r="D826" s="116">
        <v>392.55</v>
      </c>
      <c r="E826" s="298"/>
      <c r="F826" s="73">
        <v>9</v>
      </c>
      <c r="G826" s="73">
        <v>10</v>
      </c>
      <c r="H826" s="74">
        <f t="shared" si="233"/>
        <v>0.9</v>
      </c>
      <c r="I826" s="75">
        <f t="shared" si="234"/>
        <v>43.616666666666667</v>
      </c>
      <c r="J826" s="76">
        <f t="shared" si="235"/>
        <v>48.462962962962962</v>
      </c>
      <c r="K826" s="116">
        <v>150.37</v>
      </c>
      <c r="L826" s="73">
        <v>47879</v>
      </c>
      <c r="M826" s="73">
        <v>2</v>
      </c>
      <c r="N826" s="117">
        <v>85.9</v>
      </c>
      <c r="O826" s="79">
        <f t="shared" si="254"/>
        <v>1.7505238649592549</v>
      </c>
      <c r="P826" s="80">
        <f t="shared" si="236"/>
        <v>0.57125756467380462</v>
      </c>
      <c r="Q826" s="79">
        <f t="shared" si="237"/>
        <v>0.38305948286842439</v>
      </c>
      <c r="R826" s="81">
        <f t="shared" si="238"/>
        <v>0.21882562730862312</v>
      </c>
      <c r="S826" s="82">
        <f t="shared" si="253"/>
        <v>306.64999999999998</v>
      </c>
      <c r="T826" s="83">
        <f t="shared" si="239"/>
        <v>75.185000000000002</v>
      </c>
      <c r="U826" s="135"/>
      <c r="V826" s="135"/>
      <c r="W826" s="135"/>
      <c r="X826" s="135"/>
      <c r="Y826" s="136"/>
      <c r="Z826" s="50"/>
      <c r="AA826" s="50"/>
    </row>
    <row r="827" spans="1:27" ht="12.75" hidden="1" outlineLevel="1" x14ac:dyDescent="0.2">
      <c r="A827" s="50"/>
      <c r="B827" s="137"/>
      <c r="C827" s="70" t="s">
        <v>47</v>
      </c>
      <c r="D827" s="274">
        <v>0</v>
      </c>
      <c r="E827" s="298"/>
      <c r="F827" s="73">
        <v>0</v>
      </c>
      <c r="G827" s="73">
        <v>0</v>
      </c>
      <c r="H827" s="74" t="e">
        <f t="shared" si="233"/>
        <v>#DIV/0!</v>
      </c>
      <c r="I827" s="75" t="e">
        <f t="shared" si="234"/>
        <v>#DIV/0!</v>
      </c>
      <c r="J827" s="76" t="e">
        <f t="shared" si="235"/>
        <v>#DIV/0!</v>
      </c>
      <c r="K827" s="274">
        <v>0</v>
      </c>
      <c r="L827" s="73">
        <v>0</v>
      </c>
      <c r="M827" s="73">
        <v>0</v>
      </c>
      <c r="N827" s="275">
        <v>0</v>
      </c>
      <c r="O827" s="79" t="e">
        <f t="shared" si="254"/>
        <v>#DIV/0!</v>
      </c>
      <c r="P827" s="80" t="e">
        <f t="shared" si="236"/>
        <v>#DIV/0!</v>
      </c>
      <c r="Q827" s="79" t="e">
        <f t="shared" si="237"/>
        <v>#DIV/0!</v>
      </c>
      <c r="R827" s="81" t="e">
        <f t="shared" si="238"/>
        <v>#DIV/0!</v>
      </c>
      <c r="S827" s="82">
        <f t="shared" si="253"/>
        <v>0</v>
      </c>
      <c r="T827" s="83" t="e">
        <f t="shared" si="239"/>
        <v>#DIV/0!</v>
      </c>
      <c r="U827" s="135"/>
      <c r="V827" s="135"/>
      <c r="W827" s="135"/>
      <c r="X827" s="135"/>
      <c r="Y827" s="136"/>
      <c r="Z827" s="50"/>
      <c r="AA827" s="50"/>
    </row>
    <row r="828" spans="1:27" ht="12.75" hidden="1" outlineLevel="1" x14ac:dyDescent="0.2">
      <c r="A828" s="118" t="str">
        <f t="shared" ref="A828:A829" si="255">IFERROR(IF(B828&gt;0,MONTH(B828)&amp;"-"&amp;YEAR(B828),B828),)</f>
        <v>11-2025</v>
      </c>
      <c r="B828" s="69">
        <v>45969</v>
      </c>
      <c r="C828" s="70" t="s">
        <v>49</v>
      </c>
      <c r="D828" s="116">
        <v>96</v>
      </c>
      <c r="E828" s="298"/>
      <c r="F828" s="73">
        <v>1</v>
      </c>
      <c r="G828" s="73">
        <v>1</v>
      </c>
      <c r="H828" s="74">
        <f t="shared" si="233"/>
        <v>1</v>
      </c>
      <c r="I828" s="75">
        <f t="shared" si="234"/>
        <v>96</v>
      </c>
      <c r="J828" s="76">
        <f t="shared" si="235"/>
        <v>96</v>
      </c>
      <c r="K828" s="116">
        <v>11.35</v>
      </c>
      <c r="L828" s="73">
        <v>11665</v>
      </c>
      <c r="M828" s="73">
        <v>0</v>
      </c>
      <c r="N828" s="117">
        <v>0</v>
      </c>
      <c r="O828" s="79" t="e">
        <f t="shared" si="254"/>
        <v>#DIV/0!</v>
      </c>
      <c r="P828" s="80">
        <f t="shared" si="236"/>
        <v>0</v>
      </c>
      <c r="Q828" s="79">
        <f t="shared" si="237"/>
        <v>0.11822916666666666</v>
      </c>
      <c r="R828" s="81">
        <f t="shared" si="238"/>
        <v>0</v>
      </c>
      <c r="S828" s="82">
        <f t="shared" si="253"/>
        <v>96</v>
      </c>
      <c r="T828" s="83" t="e">
        <f t="shared" si="239"/>
        <v>#DIV/0!</v>
      </c>
      <c r="U828" s="135"/>
      <c r="V828" s="135"/>
      <c r="W828" s="135"/>
      <c r="X828" s="135"/>
      <c r="Y828" s="136"/>
      <c r="Z828" s="50"/>
      <c r="AA828" s="50"/>
    </row>
    <row r="829" spans="1:27" ht="12.75" collapsed="1" x14ac:dyDescent="0.2">
      <c r="A829" s="50">
        <f t="shared" si="255"/>
        <v>0</v>
      </c>
      <c r="B829" s="52" t="s">
        <v>103</v>
      </c>
      <c r="C829" s="145"/>
      <c r="D829" s="121">
        <f>SUM(D813:D828)</f>
        <v>11067.339999999998</v>
      </c>
      <c r="E829" s="297"/>
      <c r="F829" s="123">
        <f t="shared" ref="F829:G829" si="256">SUM(F813:F828)</f>
        <v>141</v>
      </c>
      <c r="G829" s="123">
        <f t="shared" si="256"/>
        <v>144</v>
      </c>
      <c r="H829" s="124">
        <f t="shared" si="233"/>
        <v>0.97916666666666663</v>
      </c>
      <c r="I829" s="125">
        <f t="shared" si="234"/>
        <v>78.491773049645374</v>
      </c>
      <c r="J829" s="126">
        <f t="shared" si="235"/>
        <v>80.161810774105916</v>
      </c>
      <c r="K829" s="121">
        <f t="shared" ref="K829:N829" si="257">SUM(K813:K828)</f>
        <v>1934.1800000000003</v>
      </c>
      <c r="L829" s="123">
        <f t="shared" si="257"/>
        <v>510157</v>
      </c>
      <c r="M829" s="123">
        <f t="shared" si="257"/>
        <v>37</v>
      </c>
      <c r="N829" s="127">
        <f t="shared" si="257"/>
        <v>2768.8400000000006</v>
      </c>
      <c r="O829" s="128">
        <f t="shared" si="254"/>
        <v>0.69855246240302793</v>
      </c>
      <c r="P829" s="129">
        <f t="shared" si="236"/>
        <v>1.4315317085276449</v>
      </c>
      <c r="Q829" s="128">
        <f t="shared" si="237"/>
        <v>0.17476466793285475</v>
      </c>
      <c r="R829" s="130">
        <f t="shared" si="238"/>
        <v>0.25018116367618604</v>
      </c>
      <c r="S829" s="131">
        <f>SUM(S813:S828)</f>
        <v>8298.5</v>
      </c>
      <c r="T829" s="132">
        <f t="shared" si="239"/>
        <v>52.275135135135145</v>
      </c>
      <c r="U829" s="133">
        <f>IFERROR((D829-D246)/D829,)</f>
        <v>0.31498264262234654</v>
      </c>
      <c r="V829" s="133">
        <f>IFERROR((F829-F246)/F829,)</f>
        <v>0.33333333333333331</v>
      </c>
      <c r="W829" s="271">
        <f>IFERROR((D829-[1]monthly_reporting_2021!E620)/D829, )</f>
        <v>0</v>
      </c>
      <c r="X829" s="271">
        <f>IFERROR((F829-[1]monthly_reporting_2021!F620)/F829, )</f>
        <v>0</v>
      </c>
      <c r="Y829" s="50"/>
      <c r="Z829" s="50"/>
      <c r="AA829" s="50"/>
    </row>
    <row r="830" spans="1:27" ht="12.75" hidden="1" outlineLevel="1" x14ac:dyDescent="0.2">
      <c r="A830" s="68"/>
      <c r="B830" s="69">
        <v>45970</v>
      </c>
      <c r="C830" s="70" t="s">
        <v>32</v>
      </c>
      <c r="D830" s="71">
        <v>3141.65</v>
      </c>
      <c r="E830" s="72"/>
      <c r="F830" s="73">
        <v>18</v>
      </c>
      <c r="G830" s="73">
        <v>18</v>
      </c>
      <c r="H830" s="74">
        <f t="shared" si="233"/>
        <v>1</v>
      </c>
      <c r="I830" s="75">
        <f t="shared" si="234"/>
        <v>174.53611111111113</v>
      </c>
      <c r="J830" s="76">
        <f t="shared" si="235"/>
        <v>174.53611111111113</v>
      </c>
      <c r="K830" s="77">
        <v>746.22</v>
      </c>
      <c r="L830" s="73">
        <v>350718</v>
      </c>
      <c r="M830" s="73">
        <v>7</v>
      </c>
      <c r="N830" s="78">
        <v>1434.8</v>
      </c>
      <c r="O830" s="79">
        <f t="shared" si="254"/>
        <v>0.52008642319487042</v>
      </c>
      <c r="P830" s="80">
        <f t="shared" si="236"/>
        <v>1.9227573637801183</v>
      </c>
      <c r="Q830" s="79">
        <f t="shared" si="237"/>
        <v>0.23752486750592841</v>
      </c>
      <c r="R830" s="81">
        <f t="shared" si="238"/>
        <v>0.4567026880779208</v>
      </c>
      <c r="S830" s="82">
        <f t="shared" ref="S830:S846" si="258">D830-N830</f>
        <v>1706.8500000000001</v>
      </c>
      <c r="T830" s="83">
        <f t="shared" si="239"/>
        <v>106.60285714285715</v>
      </c>
      <c r="U830" s="84"/>
      <c r="V830" s="84"/>
      <c r="W830" s="84"/>
      <c r="X830" s="84"/>
      <c r="Y830" s="85"/>
      <c r="Z830" s="68"/>
      <c r="AA830" s="68"/>
    </row>
    <row r="831" spans="1:27" ht="12.75" hidden="1" outlineLevel="1" x14ac:dyDescent="0.2">
      <c r="A831" s="68"/>
      <c r="B831" s="86"/>
      <c r="C831" s="70" t="s">
        <v>33</v>
      </c>
      <c r="D831" s="87">
        <v>3001.98</v>
      </c>
      <c r="E831" s="72"/>
      <c r="F831" s="73">
        <v>35</v>
      </c>
      <c r="G831" s="73">
        <v>38</v>
      </c>
      <c r="H831" s="74">
        <f t="shared" si="233"/>
        <v>0.92105263157894735</v>
      </c>
      <c r="I831" s="75">
        <f t="shared" si="234"/>
        <v>85.770857142857139</v>
      </c>
      <c r="J831" s="76">
        <f t="shared" si="235"/>
        <v>93.122644897959177</v>
      </c>
      <c r="K831" s="87">
        <v>351.82</v>
      </c>
      <c r="L831" s="73">
        <v>413951</v>
      </c>
      <c r="M831" s="73">
        <v>8</v>
      </c>
      <c r="N831" s="88">
        <v>241.75</v>
      </c>
      <c r="O831" s="79">
        <f t="shared" si="254"/>
        <v>1.4553050672182006</v>
      </c>
      <c r="P831" s="80">
        <f t="shared" si="236"/>
        <v>0.68714115172531409</v>
      </c>
      <c r="Q831" s="79">
        <f t="shared" si="237"/>
        <v>0.11719598398390395</v>
      </c>
      <c r="R831" s="81">
        <f t="shared" si="238"/>
        <v>8.0530183412281228E-2</v>
      </c>
      <c r="S831" s="89">
        <f t="shared" si="258"/>
        <v>2760.23</v>
      </c>
      <c r="T831" s="83">
        <f t="shared" si="239"/>
        <v>43.977499999999999</v>
      </c>
      <c r="U831" s="84"/>
      <c r="V831" s="84"/>
      <c r="W831" s="84"/>
      <c r="X831" s="84"/>
      <c r="Y831" s="85"/>
      <c r="Z831" s="68"/>
      <c r="AA831" s="68"/>
    </row>
    <row r="832" spans="1:27" ht="12.75" hidden="1" outlineLevel="1" x14ac:dyDescent="0.2">
      <c r="A832" s="68"/>
      <c r="B832" s="86"/>
      <c r="C832" s="70" t="s">
        <v>34</v>
      </c>
      <c r="D832" s="90">
        <v>0</v>
      </c>
      <c r="E832" s="72"/>
      <c r="F832" s="73">
        <v>0</v>
      </c>
      <c r="G832" s="73">
        <v>0</v>
      </c>
      <c r="H832" s="74" t="e">
        <f t="shared" si="233"/>
        <v>#DIV/0!</v>
      </c>
      <c r="I832" s="75" t="e">
        <f t="shared" si="234"/>
        <v>#DIV/0!</v>
      </c>
      <c r="J832" s="76" t="e">
        <f t="shared" si="235"/>
        <v>#DIV/0!</v>
      </c>
      <c r="K832" s="90">
        <v>25.2</v>
      </c>
      <c r="L832" s="73">
        <v>348</v>
      </c>
      <c r="M832" s="73">
        <v>0</v>
      </c>
      <c r="N832" s="91">
        <v>0</v>
      </c>
      <c r="O832" s="79" t="e">
        <f>(K832/N832)</f>
        <v>#DIV/0!</v>
      </c>
      <c r="P832" s="80">
        <f t="shared" si="236"/>
        <v>0</v>
      </c>
      <c r="Q832" s="79" t="e">
        <f t="shared" si="237"/>
        <v>#DIV/0!</v>
      </c>
      <c r="R832" s="81" t="e">
        <f t="shared" si="238"/>
        <v>#DIV/0!</v>
      </c>
      <c r="S832" s="92">
        <f t="shared" si="258"/>
        <v>0</v>
      </c>
      <c r="T832" s="83" t="e">
        <f t="shared" si="239"/>
        <v>#DIV/0!</v>
      </c>
      <c r="U832" s="84"/>
      <c r="V832" s="84"/>
      <c r="W832" s="84"/>
      <c r="X832" s="84"/>
      <c r="Y832" s="85"/>
      <c r="Z832" s="68"/>
      <c r="AA832" s="68"/>
    </row>
    <row r="833" spans="1:27" ht="12.75" hidden="1" outlineLevel="1" x14ac:dyDescent="0.2">
      <c r="A833" s="68"/>
      <c r="B833" s="86"/>
      <c r="C833" s="70" t="s">
        <v>35</v>
      </c>
      <c r="D833" s="90">
        <v>470.61</v>
      </c>
      <c r="E833" s="72"/>
      <c r="F833" s="73">
        <v>8</v>
      </c>
      <c r="G833" s="73">
        <v>8</v>
      </c>
      <c r="H833" s="74">
        <f t="shared" si="233"/>
        <v>1</v>
      </c>
      <c r="I833" s="75">
        <f t="shared" si="234"/>
        <v>58.826250000000002</v>
      </c>
      <c r="J833" s="76">
        <f t="shared" si="235"/>
        <v>58.826250000000002</v>
      </c>
      <c r="K833" s="90">
        <v>279.77</v>
      </c>
      <c r="L833" s="73">
        <v>22624</v>
      </c>
      <c r="M833" s="73">
        <v>5</v>
      </c>
      <c r="N833" s="91">
        <v>299.75</v>
      </c>
      <c r="O833" s="79">
        <f t="shared" ref="O833:O849" si="259">K833/N833</f>
        <v>0.93334445371142616</v>
      </c>
      <c r="P833" s="80">
        <f t="shared" si="236"/>
        <v>1.0714158058405119</v>
      </c>
      <c r="Q833" s="79">
        <f t="shared" si="237"/>
        <v>0.59448375512632534</v>
      </c>
      <c r="R833" s="81">
        <f t="shared" si="238"/>
        <v>0.63693929155776541</v>
      </c>
      <c r="S833" s="92">
        <f t="shared" si="258"/>
        <v>170.86</v>
      </c>
      <c r="T833" s="83">
        <f t="shared" si="239"/>
        <v>55.953999999999994</v>
      </c>
      <c r="U833" s="84"/>
      <c r="V833" s="84"/>
      <c r="W833" s="84"/>
      <c r="X833" s="84"/>
      <c r="Y833" s="85"/>
      <c r="Z833" s="68"/>
      <c r="AA833" s="68"/>
    </row>
    <row r="834" spans="1:27" ht="12.75" hidden="1" outlineLevel="1" x14ac:dyDescent="0.2">
      <c r="A834" s="68"/>
      <c r="B834" s="86"/>
      <c r="C834" s="70" t="s">
        <v>36</v>
      </c>
      <c r="D834" s="90">
        <v>1040.18</v>
      </c>
      <c r="E834" s="72"/>
      <c r="F834" s="73">
        <v>16</v>
      </c>
      <c r="G834" s="73">
        <v>14</v>
      </c>
      <c r="H834" s="74">
        <f t="shared" si="233"/>
        <v>1.1428571428571428</v>
      </c>
      <c r="I834" s="75">
        <f t="shared" si="234"/>
        <v>65.011250000000004</v>
      </c>
      <c r="J834" s="76">
        <f t="shared" si="235"/>
        <v>56.884843750000009</v>
      </c>
      <c r="K834" s="90">
        <v>79.61</v>
      </c>
      <c r="L834" s="73">
        <v>29121</v>
      </c>
      <c r="M834" s="73">
        <v>6</v>
      </c>
      <c r="N834" s="91">
        <v>389.7</v>
      </c>
      <c r="O834" s="79">
        <f t="shared" si="259"/>
        <v>0.20428534770336157</v>
      </c>
      <c r="P834" s="80">
        <f t="shared" si="236"/>
        <v>4.8951136791860321</v>
      </c>
      <c r="Q834" s="79">
        <f t="shared" si="237"/>
        <v>7.6534830510104013E-2</v>
      </c>
      <c r="R834" s="81">
        <f t="shared" si="238"/>
        <v>0.37464669576419463</v>
      </c>
      <c r="S834" s="92">
        <f t="shared" si="258"/>
        <v>650.48</v>
      </c>
      <c r="T834" s="83">
        <f t="shared" si="239"/>
        <v>13.268333333333333</v>
      </c>
      <c r="U834" s="84"/>
      <c r="V834" s="84"/>
      <c r="W834" s="84"/>
      <c r="X834" s="84"/>
      <c r="Y834" s="85"/>
      <c r="Z834" s="68"/>
      <c r="AA834" s="68"/>
    </row>
    <row r="835" spans="1:27" ht="12.75" hidden="1" outlineLevel="1" x14ac:dyDescent="0.2">
      <c r="A835" s="68"/>
      <c r="B835" s="69" t="s">
        <v>37</v>
      </c>
      <c r="C835" s="70" t="s">
        <v>38</v>
      </c>
      <c r="D835" s="93">
        <v>59.9</v>
      </c>
      <c r="E835" s="72"/>
      <c r="F835" s="73">
        <v>2</v>
      </c>
      <c r="G835" s="73">
        <v>2</v>
      </c>
      <c r="H835" s="74">
        <f t="shared" si="233"/>
        <v>1</v>
      </c>
      <c r="I835" s="75">
        <f t="shared" si="234"/>
        <v>29.95</v>
      </c>
      <c r="J835" s="76">
        <f t="shared" si="235"/>
        <v>29.95</v>
      </c>
      <c r="K835" s="93">
        <v>35.479999999999997</v>
      </c>
      <c r="L835" s="73">
        <v>7796</v>
      </c>
      <c r="M835" s="73">
        <v>2</v>
      </c>
      <c r="N835" s="94">
        <v>59.9</v>
      </c>
      <c r="O835" s="79">
        <f t="shared" si="259"/>
        <v>0.59232053422370612</v>
      </c>
      <c r="P835" s="80">
        <f t="shared" si="236"/>
        <v>1.6882750845546788</v>
      </c>
      <c r="Q835" s="79">
        <f t="shared" si="237"/>
        <v>0.59232053422370612</v>
      </c>
      <c r="R835" s="81">
        <f t="shared" si="238"/>
        <v>1</v>
      </c>
      <c r="S835" s="95">
        <f t="shared" si="258"/>
        <v>0</v>
      </c>
      <c r="T835" s="83">
        <f t="shared" si="239"/>
        <v>17.739999999999998</v>
      </c>
      <c r="U835" s="84"/>
      <c r="V835" s="84"/>
      <c r="W835" s="84"/>
      <c r="X835" s="84"/>
      <c r="Y835" s="85"/>
      <c r="Z835" s="68"/>
      <c r="AA835" s="68"/>
    </row>
    <row r="836" spans="1:27" ht="12.75" hidden="1" outlineLevel="1" x14ac:dyDescent="0.2">
      <c r="A836" s="68"/>
      <c r="B836" s="86"/>
      <c r="C836" s="70" t="s">
        <v>39</v>
      </c>
      <c r="D836" s="96">
        <v>0</v>
      </c>
      <c r="E836" s="72"/>
      <c r="F836" s="73">
        <v>0</v>
      </c>
      <c r="G836" s="73">
        <v>0</v>
      </c>
      <c r="H836" s="74" t="e">
        <f t="shared" si="233"/>
        <v>#DIV/0!</v>
      </c>
      <c r="I836" s="75" t="e">
        <f t="shared" si="234"/>
        <v>#DIV/0!</v>
      </c>
      <c r="J836" s="76" t="e">
        <f t="shared" si="235"/>
        <v>#DIV/0!</v>
      </c>
      <c r="K836" s="96">
        <v>0</v>
      </c>
      <c r="L836" s="73">
        <v>0</v>
      </c>
      <c r="M836" s="73">
        <v>0</v>
      </c>
      <c r="N836" s="97">
        <v>0</v>
      </c>
      <c r="O836" s="79" t="e">
        <f t="shared" si="259"/>
        <v>#DIV/0!</v>
      </c>
      <c r="P836" s="80" t="e">
        <f t="shared" si="236"/>
        <v>#DIV/0!</v>
      </c>
      <c r="Q836" s="79" t="e">
        <f t="shared" si="237"/>
        <v>#DIV/0!</v>
      </c>
      <c r="R836" s="81" t="e">
        <f t="shared" si="238"/>
        <v>#DIV/0!</v>
      </c>
      <c r="S836" s="98">
        <f t="shared" si="258"/>
        <v>0</v>
      </c>
      <c r="T836" s="83" t="e">
        <f t="shared" si="239"/>
        <v>#DIV/0!</v>
      </c>
      <c r="U836" s="84"/>
      <c r="V836" s="84"/>
      <c r="W836" s="84"/>
      <c r="X836" s="84"/>
      <c r="Y836" s="85"/>
      <c r="Z836" s="68"/>
      <c r="AA836" s="68"/>
    </row>
    <row r="837" spans="1:27" ht="12.75" hidden="1" outlineLevel="1" x14ac:dyDescent="0.2">
      <c r="A837" s="68"/>
      <c r="B837" s="86"/>
      <c r="C837" s="70" t="s">
        <v>40</v>
      </c>
      <c r="D837" s="99">
        <v>0</v>
      </c>
      <c r="E837" s="72"/>
      <c r="F837" s="73">
        <v>0</v>
      </c>
      <c r="G837" s="73">
        <v>0</v>
      </c>
      <c r="H837" s="74" t="e">
        <f t="shared" si="233"/>
        <v>#DIV/0!</v>
      </c>
      <c r="I837" s="75" t="e">
        <f t="shared" si="234"/>
        <v>#DIV/0!</v>
      </c>
      <c r="J837" s="76" t="e">
        <f t="shared" si="235"/>
        <v>#DIV/0!</v>
      </c>
      <c r="K837" s="99">
        <v>0</v>
      </c>
      <c r="L837" s="73">
        <v>0</v>
      </c>
      <c r="M837" s="73">
        <v>0</v>
      </c>
      <c r="N837" s="100">
        <v>0</v>
      </c>
      <c r="O837" s="79" t="e">
        <f t="shared" si="259"/>
        <v>#DIV/0!</v>
      </c>
      <c r="P837" s="80" t="e">
        <f t="shared" si="236"/>
        <v>#DIV/0!</v>
      </c>
      <c r="Q837" s="79" t="e">
        <f t="shared" si="237"/>
        <v>#DIV/0!</v>
      </c>
      <c r="R837" s="81" t="e">
        <f t="shared" si="238"/>
        <v>#DIV/0!</v>
      </c>
      <c r="S837" s="101">
        <f t="shared" si="258"/>
        <v>0</v>
      </c>
      <c r="T837" s="83" t="e">
        <f t="shared" si="239"/>
        <v>#DIV/0!</v>
      </c>
      <c r="U837" s="84"/>
      <c r="V837" s="84"/>
      <c r="W837" s="84"/>
      <c r="X837" s="84"/>
      <c r="Y837" s="85"/>
      <c r="Z837" s="68"/>
      <c r="AA837" s="68"/>
    </row>
    <row r="838" spans="1:27" ht="12.75" hidden="1" outlineLevel="1" x14ac:dyDescent="0.2">
      <c r="A838" s="68"/>
      <c r="B838" s="86"/>
      <c r="C838" s="70" t="s">
        <v>41</v>
      </c>
      <c r="D838" s="102">
        <v>1889.93</v>
      </c>
      <c r="E838" s="72"/>
      <c r="F838" s="73">
        <v>21</v>
      </c>
      <c r="G838" s="73">
        <v>21</v>
      </c>
      <c r="H838" s="74">
        <f t="shared" si="233"/>
        <v>1</v>
      </c>
      <c r="I838" s="75">
        <f t="shared" si="234"/>
        <v>89.99666666666667</v>
      </c>
      <c r="J838" s="76">
        <f t="shared" si="235"/>
        <v>89.99666666666667</v>
      </c>
      <c r="K838" s="102">
        <v>285.33999999999997</v>
      </c>
      <c r="L838" s="73">
        <v>34665</v>
      </c>
      <c r="M838" s="73">
        <v>7</v>
      </c>
      <c r="N838" s="103">
        <v>1191.77</v>
      </c>
      <c r="O838" s="79">
        <f t="shared" si="259"/>
        <v>0.23942539248344896</v>
      </c>
      <c r="P838" s="80">
        <f t="shared" si="236"/>
        <v>4.1766664330272656</v>
      </c>
      <c r="Q838" s="79">
        <f t="shared" si="237"/>
        <v>0.1509791367934262</v>
      </c>
      <c r="R838" s="81">
        <f t="shared" si="238"/>
        <v>0.63058949273253506</v>
      </c>
      <c r="S838" s="104">
        <f t="shared" si="258"/>
        <v>698.16000000000008</v>
      </c>
      <c r="T838" s="83">
        <f t="shared" si="239"/>
        <v>40.762857142857136</v>
      </c>
      <c r="U838" s="84"/>
      <c r="V838" s="84"/>
      <c r="W838" s="84"/>
      <c r="X838" s="84"/>
      <c r="Y838" s="85"/>
      <c r="Z838" s="68"/>
      <c r="AA838" s="68"/>
    </row>
    <row r="839" spans="1:27" ht="12.75" hidden="1" outlineLevel="1" x14ac:dyDescent="0.2">
      <c r="A839" s="68"/>
      <c r="B839" s="86"/>
      <c r="C839" s="70" t="s">
        <v>42</v>
      </c>
      <c r="D839" s="90">
        <v>139.93</v>
      </c>
      <c r="E839" s="72"/>
      <c r="F839" s="73">
        <v>7</v>
      </c>
      <c r="G839" s="73">
        <v>6</v>
      </c>
      <c r="H839" s="74">
        <f t="shared" si="233"/>
        <v>1.1666666666666667</v>
      </c>
      <c r="I839" s="75">
        <f t="shared" si="234"/>
        <v>19.990000000000002</v>
      </c>
      <c r="J839" s="76">
        <f t="shared" si="235"/>
        <v>17.134285714285713</v>
      </c>
      <c r="K839" s="90">
        <v>140.47999999999999</v>
      </c>
      <c r="L839" s="73">
        <v>53690</v>
      </c>
      <c r="M839" s="73">
        <v>7</v>
      </c>
      <c r="N839" s="91">
        <v>139.93</v>
      </c>
      <c r="O839" s="79">
        <f t="shared" si="259"/>
        <v>1.0039305366969198</v>
      </c>
      <c r="P839" s="80">
        <f t="shared" si="236"/>
        <v>0.99608485193621876</v>
      </c>
      <c r="Q839" s="79">
        <f t="shared" si="237"/>
        <v>1.0039305366969198</v>
      </c>
      <c r="R839" s="81">
        <f t="shared" si="238"/>
        <v>1</v>
      </c>
      <c r="S839" s="92">
        <f t="shared" si="258"/>
        <v>0</v>
      </c>
      <c r="T839" s="83">
        <f t="shared" si="239"/>
        <v>20.068571428571428</v>
      </c>
      <c r="U839" s="84"/>
      <c r="V839" s="84"/>
      <c r="W839" s="84"/>
      <c r="X839" s="84"/>
      <c r="Y839" s="85"/>
      <c r="Z839" s="68"/>
      <c r="AA839" s="68"/>
    </row>
    <row r="840" spans="1:27" ht="12.75" hidden="1" outlineLevel="1" x14ac:dyDescent="0.2">
      <c r="A840" s="68"/>
      <c r="B840" s="86"/>
      <c r="C840" s="70" t="s">
        <v>43</v>
      </c>
      <c r="D840" s="105">
        <v>290.85000000000002</v>
      </c>
      <c r="E840" s="72"/>
      <c r="F840" s="73">
        <v>3</v>
      </c>
      <c r="G840" s="73">
        <v>3</v>
      </c>
      <c r="H840" s="74">
        <f t="shared" si="233"/>
        <v>1</v>
      </c>
      <c r="I840" s="75">
        <f t="shared" si="234"/>
        <v>96.95</v>
      </c>
      <c r="J840" s="76">
        <f t="shared" si="235"/>
        <v>96.95</v>
      </c>
      <c r="K840" s="105">
        <v>67.599999999999994</v>
      </c>
      <c r="L840" s="73">
        <v>16222</v>
      </c>
      <c r="M840" s="73">
        <v>1</v>
      </c>
      <c r="N840" s="106">
        <v>210.95</v>
      </c>
      <c r="O840" s="79">
        <f t="shared" si="259"/>
        <v>0.32045508414316187</v>
      </c>
      <c r="P840" s="80">
        <f t="shared" si="236"/>
        <v>3.120562130177515</v>
      </c>
      <c r="Q840" s="79">
        <f t="shared" si="237"/>
        <v>0.23242221076156092</v>
      </c>
      <c r="R840" s="81">
        <f t="shared" si="238"/>
        <v>0.72528794911466377</v>
      </c>
      <c r="S840" s="107">
        <f t="shared" si="258"/>
        <v>79.900000000000034</v>
      </c>
      <c r="T840" s="83">
        <f t="shared" si="239"/>
        <v>67.599999999999994</v>
      </c>
      <c r="U840" s="84"/>
      <c r="V840" s="84"/>
      <c r="W840" s="84"/>
      <c r="X840" s="84"/>
      <c r="Y840" s="85"/>
      <c r="Z840" s="68"/>
      <c r="AA840" s="68"/>
    </row>
    <row r="841" spans="1:27" ht="12.75" hidden="1" outlineLevel="1" x14ac:dyDescent="0.2">
      <c r="A841" s="68"/>
      <c r="B841" s="86"/>
      <c r="C841" s="70" t="s">
        <v>44</v>
      </c>
      <c r="D841" s="108">
        <v>23.98</v>
      </c>
      <c r="E841" s="72"/>
      <c r="F841" s="73">
        <v>0</v>
      </c>
      <c r="G841" s="73">
        <v>3</v>
      </c>
      <c r="H841" s="74">
        <f t="shared" si="233"/>
        <v>0</v>
      </c>
      <c r="I841" s="75" t="e">
        <f t="shared" si="234"/>
        <v>#DIV/0!</v>
      </c>
      <c r="J841" s="76" t="e">
        <f t="shared" si="235"/>
        <v>#DIV/0!</v>
      </c>
      <c r="K841" s="108">
        <v>130.4</v>
      </c>
      <c r="L841" s="73">
        <v>53659</v>
      </c>
      <c r="M841" s="73">
        <v>2</v>
      </c>
      <c r="N841" s="109">
        <v>119.9</v>
      </c>
      <c r="O841" s="79">
        <f t="shared" si="259"/>
        <v>1.0875729774812344</v>
      </c>
      <c r="P841" s="80">
        <f t="shared" si="236"/>
        <v>0.91947852760736193</v>
      </c>
      <c r="Q841" s="79">
        <f t="shared" si="237"/>
        <v>5.4378648874061719</v>
      </c>
      <c r="R841" s="81">
        <f t="shared" si="238"/>
        <v>5</v>
      </c>
      <c r="S841" s="110">
        <f t="shared" si="258"/>
        <v>-95.92</v>
      </c>
      <c r="T841" s="83">
        <f t="shared" si="239"/>
        <v>65.2</v>
      </c>
      <c r="U841" s="84"/>
      <c r="V841" s="84"/>
      <c r="W841" s="84"/>
      <c r="X841" s="84"/>
      <c r="Y841" s="85"/>
      <c r="Z841" s="68"/>
      <c r="AA841" s="68"/>
    </row>
    <row r="842" spans="1:27" ht="12.75" hidden="1" outlineLevel="1" x14ac:dyDescent="0.2">
      <c r="A842" s="111"/>
      <c r="B842" s="86"/>
      <c r="C842" s="112" t="s">
        <v>45</v>
      </c>
      <c r="D842" s="71">
        <v>0</v>
      </c>
      <c r="E842" s="72"/>
      <c r="F842" s="73">
        <v>0</v>
      </c>
      <c r="G842" s="73">
        <v>0</v>
      </c>
      <c r="H842" s="74" t="e">
        <f t="shared" si="233"/>
        <v>#DIV/0!</v>
      </c>
      <c r="I842" s="75" t="e">
        <f t="shared" si="234"/>
        <v>#DIV/0!</v>
      </c>
      <c r="J842" s="76" t="e">
        <f t="shared" si="235"/>
        <v>#DIV/0!</v>
      </c>
      <c r="K842" s="71">
        <v>0</v>
      </c>
      <c r="L842" s="73">
        <v>0</v>
      </c>
      <c r="M842" s="73">
        <v>0</v>
      </c>
      <c r="N842" s="78">
        <v>0</v>
      </c>
      <c r="O842" s="79" t="e">
        <f t="shared" si="259"/>
        <v>#DIV/0!</v>
      </c>
      <c r="P842" s="80" t="e">
        <f t="shared" si="236"/>
        <v>#DIV/0!</v>
      </c>
      <c r="Q842" s="79" t="e">
        <f t="shared" si="237"/>
        <v>#DIV/0!</v>
      </c>
      <c r="R842" s="81" t="e">
        <f t="shared" si="238"/>
        <v>#DIV/0!</v>
      </c>
      <c r="S842" s="82">
        <f t="shared" si="258"/>
        <v>0</v>
      </c>
      <c r="T842" s="83" t="e">
        <f t="shared" si="239"/>
        <v>#DIV/0!</v>
      </c>
      <c r="U842" s="113"/>
      <c r="V842" s="113"/>
      <c r="W842" s="113"/>
      <c r="X842" s="114"/>
      <c r="Y842" s="115"/>
      <c r="Z842" s="68"/>
      <c r="AA842" s="68"/>
    </row>
    <row r="843" spans="1:27" ht="12.75" hidden="1" outlineLevel="1" x14ac:dyDescent="0.2">
      <c r="A843" s="68"/>
      <c r="B843" s="86"/>
      <c r="C843" s="70" t="s">
        <v>46</v>
      </c>
      <c r="D843" s="116">
        <v>826.05</v>
      </c>
      <c r="E843" s="72"/>
      <c r="F843" s="73">
        <v>19</v>
      </c>
      <c r="G843" s="73">
        <v>18</v>
      </c>
      <c r="H843" s="74">
        <f t="shared" si="233"/>
        <v>1.0555555555555556</v>
      </c>
      <c r="I843" s="75">
        <f t="shared" si="234"/>
        <v>43.476315789473681</v>
      </c>
      <c r="J843" s="76">
        <f t="shared" si="235"/>
        <v>41.188088642659274</v>
      </c>
      <c r="K843" s="116">
        <v>192.18</v>
      </c>
      <c r="L843" s="73">
        <v>50971</v>
      </c>
      <c r="M843" s="73">
        <v>8</v>
      </c>
      <c r="N843" s="117">
        <v>306.64999999999998</v>
      </c>
      <c r="O843" s="79">
        <f t="shared" si="259"/>
        <v>0.6267079732594163</v>
      </c>
      <c r="P843" s="80">
        <f t="shared" si="236"/>
        <v>1.595639504631075</v>
      </c>
      <c r="Q843" s="79">
        <f t="shared" si="237"/>
        <v>0.23264935536589798</v>
      </c>
      <c r="R843" s="81">
        <f t="shared" si="238"/>
        <v>0.37122450214878033</v>
      </c>
      <c r="S843" s="82">
        <f t="shared" si="258"/>
        <v>519.4</v>
      </c>
      <c r="T843" s="83">
        <f t="shared" si="239"/>
        <v>24.022500000000001</v>
      </c>
      <c r="U843" s="84"/>
      <c r="V843" s="84"/>
      <c r="W843" s="84"/>
      <c r="X843" s="84"/>
      <c r="Y843" s="85"/>
      <c r="Z843" s="68"/>
      <c r="AA843" s="68"/>
    </row>
    <row r="844" spans="1:27" ht="12.75" hidden="1" outlineLevel="1" x14ac:dyDescent="0.2">
      <c r="A844" s="68"/>
      <c r="B844" s="86"/>
      <c r="C844" s="70" t="s">
        <v>47</v>
      </c>
      <c r="D844" s="274">
        <v>0</v>
      </c>
      <c r="E844" s="72"/>
      <c r="F844" s="73">
        <v>0</v>
      </c>
      <c r="G844" s="73">
        <v>0</v>
      </c>
      <c r="H844" s="74" t="e">
        <f t="shared" si="233"/>
        <v>#DIV/0!</v>
      </c>
      <c r="I844" s="75" t="e">
        <f t="shared" si="234"/>
        <v>#DIV/0!</v>
      </c>
      <c r="J844" s="76" t="e">
        <f t="shared" si="235"/>
        <v>#DIV/0!</v>
      </c>
      <c r="K844" s="274">
        <v>0</v>
      </c>
      <c r="L844" s="73">
        <v>0</v>
      </c>
      <c r="M844" s="73">
        <v>0</v>
      </c>
      <c r="N844" s="275">
        <v>0</v>
      </c>
      <c r="O844" s="79" t="e">
        <f t="shared" si="259"/>
        <v>#DIV/0!</v>
      </c>
      <c r="P844" s="80" t="e">
        <f t="shared" si="236"/>
        <v>#DIV/0!</v>
      </c>
      <c r="Q844" s="79" t="e">
        <f t="shared" si="237"/>
        <v>#DIV/0!</v>
      </c>
      <c r="R844" s="81" t="e">
        <f t="shared" si="238"/>
        <v>#DIV/0!</v>
      </c>
      <c r="S844" s="82">
        <f t="shared" si="258"/>
        <v>0</v>
      </c>
      <c r="T844" s="83" t="e">
        <f t="shared" si="239"/>
        <v>#DIV/0!</v>
      </c>
      <c r="U844" s="84"/>
      <c r="V844" s="84"/>
      <c r="W844" s="84"/>
      <c r="X844" s="84"/>
      <c r="Y844" s="85"/>
      <c r="Z844" s="68"/>
      <c r="AA844" s="68"/>
    </row>
    <row r="845" spans="1:27" ht="12.75" hidden="1" outlineLevel="1" x14ac:dyDescent="0.2">
      <c r="A845" s="68"/>
      <c r="B845" s="86"/>
      <c r="C845" s="70" t="s">
        <v>48</v>
      </c>
      <c r="D845" s="102">
        <v>6198.51</v>
      </c>
      <c r="E845" s="72"/>
      <c r="F845" s="73">
        <v>29</v>
      </c>
      <c r="G845" s="73">
        <v>30</v>
      </c>
      <c r="H845" s="74">
        <f t="shared" si="233"/>
        <v>0.96666666666666667</v>
      </c>
      <c r="I845" s="75">
        <f t="shared" si="234"/>
        <v>213.74172413793104</v>
      </c>
      <c r="J845" s="76">
        <f t="shared" si="235"/>
        <v>221.11212841854936</v>
      </c>
      <c r="K845" s="102">
        <v>399.4</v>
      </c>
      <c r="L845" s="73">
        <v>30857</v>
      </c>
      <c r="M845" s="73">
        <v>19</v>
      </c>
      <c r="N845" s="103">
        <v>3959.15</v>
      </c>
      <c r="O845" s="79">
        <f t="shared" si="259"/>
        <v>0.10088023944533549</v>
      </c>
      <c r="P845" s="80">
        <f t="shared" si="236"/>
        <v>9.9127441161742613</v>
      </c>
      <c r="Q845" s="79">
        <f t="shared" si="237"/>
        <v>6.4434839985738498E-2</v>
      </c>
      <c r="R845" s="81">
        <f t="shared" si="238"/>
        <v>0.6387260809452594</v>
      </c>
      <c r="S845" s="82">
        <f t="shared" si="258"/>
        <v>2239.36</v>
      </c>
      <c r="T845" s="83">
        <f t="shared" si="239"/>
        <v>21.021052631578947</v>
      </c>
      <c r="U845" s="84"/>
      <c r="V845" s="84"/>
      <c r="W845" s="84"/>
      <c r="X845" s="84"/>
      <c r="Y845" s="85"/>
      <c r="Z845" s="68"/>
      <c r="AA845" s="68"/>
    </row>
    <row r="846" spans="1:27" ht="12.75" hidden="1" outlineLevel="1" x14ac:dyDescent="0.2">
      <c r="A846" s="118" t="str">
        <f t="shared" ref="A846:A847" si="260">IFERROR(IF(B846&gt;0,MONTH(B846)&amp;"-"&amp;YEAR(B846),B846),)</f>
        <v>11-2025</v>
      </c>
      <c r="B846" s="69">
        <v>45976</v>
      </c>
      <c r="C846" s="70" t="s">
        <v>49</v>
      </c>
      <c r="D846" s="116">
        <v>192</v>
      </c>
      <c r="E846" s="72"/>
      <c r="F846" s="73">
        <v>2</v>
      </c>
      <c r="G846" s="73">
        <v>1</v>
      </c>
      <c r="H846" s="74">
        <f t="shared" si="233"/>
        <v>2</v>
      </c>
      <c r="I846" s="75">
        <f t="shared" si="234"/>
        <v>96</v>
      </c>
      <c r="J846" s="76">
        <f t="shared" si="235"/>
        <v>48</v>
      </c>
      <c r="K846" s="116">
        <v>3.33</v>
      </c>
      <c r="L846" s="73">
        <v>11176</v>
      </c>
      <c r="M846" s="73">
        <v>0</v>
      </c>
      <c r="N846" s="117">
        <v>0</v>
      </c>
      <c r="O846" s="79" t="e">
        <f t="shared" si="259"/>
        <v>#DIV/0!</v>
      </c>
      <c r="P846" s="80">
        <f t="shared" si="236"/>
        <v>0</v>
      </c>
      <c r="Q846" s="79">
        <f t="shared" si="237"/>
        <v>1.7343750000000002E-2</v>
      </c>
      <c r="R846" s="81">
        <f t="shared" si="238"/>
        <v>0</v>
      </c>
      <c r="S846" s="82">
        <f t="shared" si="258"/>
        <v>192</v>
      </c>
      <c r="T846" s="83" t="e">
        <f t="shared" si="239"/>
        <v>#DIV/0!</v>
      </c>
      <c r="U846" s="84"/>
      <c r="V846" s="84"/>
      <c r="W846" s="84"/>
      <c r="X846" s="84"/>
      <c r="Y846" s="85"/>
      <c r="Z846" s="68"/>
      <c r="AA846" s="68"/>
    </row>
    <row r="847" spans="1:27" ht="12.75" collapsed="1" x14ac:dyDescent="0.2">
      <c r="A847" s="68">
        <f t="shared" si="260"/>
        <v>0</v>
      </c>
      <c r="B847" s="52" t="s">
        <v>104</v>
      </c>
      <c r="C847" s="120"/>
      <c r="D847" s="121">
        <f>SUM(D830:D846)</f>
        <v>17275.57</v>
      </c>
      <c r="E847" s="122"/>
      <c r="F847" s="123">
        <f t="shared" ref="F847:G847" si="261">SUM(F830:F846)</f>
        <v>160</v>
      </c>
      <c r="G847" s="123">
        <f t="shared" si="261"/>
        <v>162</v>
      </c>
      <c r="H847" s="124">
        <f t="shared" si="233"/>
        <v>0.98765432098765427</v>
      </c>
      <c r="I847" s="125">
        <f t="shared" si="234"/>
        <v>107.9723125</v>
      </c>
      <c r="J847" s="126">
        <f t="shared" si="235"/>
        <v>109.32196640625001</v>
      </c>
      <c r="K847" s="121">
        <f t="shared" ref="K847:N847" si="262">SUM(K830:K846)</f>
        <v>2736.8299999999995</v>
      </c>
      <c r="L847" s="123">
        <f t="shared" si="262"/>
        <v>1075798</v>
      </c>
      <c r="M847" s="123">
        <f t="shared" si="262"/>
        <v>72</v>
      </c>
      <c r="N847" s="127">
        <f t="shared" si="262"/>
        <v>8354.25</v>
      </c>
      <c r="O847" s="128">
        <f t="shared" si="259"/>
        <v>0.32759733069994307</v>
      </c>
      <c r="P847" s="129">
        <f t="shared" si="236"/>
        <v>3.0525279246427441</v>
      </c>
      <c r="Q847" s="128">
        <f t="shared" si="237"/>
        <v>0.15842197970891841</v>
      </c>
      <c r="R847" s="130">
        <f t="shared" si="238"/>
        <v>0.48358751693865965</v>
      </c>
      <c r="S847" s="131">
        <f>SUM(S830:S846)</f>
        <v>8921.32</v>
      </c>
      <c r="T847" s="132">
        <f t="shared" si="239"/>
        <v>38.011527777777772</v>
      </c>
      <c r="U847" s="133">
        <f>IFERROR((D847-D246)/D847,)</f>
        <v>0.56115369854656039</v>
      </c>
      <c r="V847" s="133">
        <f>IFERROR((F847-F246)/F847,)</f>
        <v>0.41249999999999998</v>
      </c>
      <c r="W847" s="134">
        <f>IFERROR((D847-[1]monthly_reporting_2021!E638)/D847, )</f>
        <v>0</v>
      </c>
      <c r="X847" s="134">
        <f>IFERROR((F847-[1]monthly_reporting_2021!F638)/F847, )</f>
        <v>0</v>
      </c>
      <c r="Y847" s="68"/>
      <c r="Z847" s="68"/>
      <c r="AA847" s="68"/>
    </row>
    <row r="848" spans="1:27" ht="12.75" hidden="1" outlineLevel="1" x14ac:dyDescent="0.2">
      <c r="A848" s="68"/>
      <c r="B848" s="69">
        <v>45977</v>
      </c>
      <c r="C848" s="70" t="s">
        <v>32</v>
      </c>
      <c r="D848" s="71">
        <v>4625.63</v>
      </c>
      <c r="E848" s="72"/>
      <c r="F848" s="73">
        <v>19</v>
      </c>
      <c r="G848" s="73">
        <v>20</v>
      </c>
      <c r="H848" s="74">
        <f t="shared" si="233"/>
        <v>0.95</v>
      </c>
      <c r="I848" s="75">
        <f t="shared" si="234"/>
        <v>243.45421052631579</v>
      </c>
      <c r="J848" s="76">
        <f t="shared" si="235"/>
        <v>256.26759002770086</v>
      </c>
      <c r="K848" s="77">
        <v>2049.4499999999998</v>
      </c>
      <c r="L848" s="73">
        <v>619809</v>
      </c>
      <c r="M848" s="73">
        <v>6</v>
      </c>
      <c r="N848" s="78">
        <v>1094.99</v>
      </c>
      <c r="O848" s="79">
        <f t="shared" si="259"/>
        <v>1.871660928410305</v>
      </c>
      <c r="P848" s="80">
        <f t="shared" si="236"/>
        <v>0.53428480811925161</v>
      </c>
      <c r="Q848" s="79">
        <f t="shared" si="237"/>
        <v>0.44306397182654034</v>
      </c>
      <c r="R848" s="81">
        <f t="shared" si="238"/>
        <v>0.23672234917189658</v>
      </c>
      <c r="S848" s="82">
        <f t="shared" ref="S848:S864" si="263">D848-N848</f>
        <v>3530.6400000000003</v>
      </c>
      <c r="T848" s="83">
        <f t="shared" si="239"/>
        <v>341.57499999999999</v>
      </c>
      <c r="U848" s="84"/>
      <c r="V848" s="84"/>
      <c r="W848" s="84"/>
      <c r="X848" s="84"/>
      <c r="Y848" s="85"/>
      <c r="Z848" s="68"/>
      <c r="AA848" s="68"/>
    </row>
    <row r="849" spans="1:27" ht="12.75" hidden="1" outlineLevel="1" x14ac:dyDescent="0.2">
      <c r="A849" s="68"/>
      <c r="B849" s="86"/>
      <c r="C849" s="70" t="s">
        <v>33</v>
      </c>
      <c r="D849" s="87">
        <v>7897.2</v>
      </c>
      <c r="E849" s="72"/>
      <c r="F849" s="73">
        <v>42</v>
      </c>
      <c r="G849" s="73">
        <v>46</v>
      </c>
      <c r="H849" s="74">
        <f t="shared" si="233"/>
        <v>0.91304347826086951</v>
      </c>
      <c r="I849" s="75">
        <f t="shared" si="234"/>
        <v>188.02857142857141</v>
      </c>
      <c r="J849" s="76">
        <f t="shared" si="235"/>
        <v>205.93605442176869</v>
      </c>
      <c r="K849" s="87">
        <v>678.76</v>
      </c>
      <c r="L849" s="73">
        <v>829031</v>
      </c>
      <c r="M849" s="73">
        <v>9</v>
      </c>
      <c r="N849" s="88">
        <v>1450.7</v>
      </c>
      <c r="O849" s="79">
        <f t="shared" si="259"/>
        <v>0.46788446956641622</v>
      </c>
      <c r="P849" s="80">
        <f t="shared" si="236"/>
        <v>2.1372797454181156</v>
      </c>
      <c r="Q849" s="79">
        <f t="shared" si="237"/>
        <v>8.5949450438129973E-2</v>
      </c>
      <c r="R849" s="81">
        <f t="shared" si="238"/>
        <v>0.18369801955123335</v>
      </c>
      <c r="S849" s="89">
        <f t="shared" si="263"/>
        <v>6446.5</v>
      </c>
      <c r="T849" s="83">
        <f t="shared" si="239"/>
        <v>75.417777777777772</v>
      </c>
      <c r="U849" s="84"/>
      <c r="V849" s="84"/>
      <c r="W849" s="84"/>
      <c r="X849" s="84"/>
      <c r="Y849" s="85"/>
      <c r="Z849" s="68"/>
      <c r="AA849" s="68"/>
    </row>
    <row r="850" spans="1:27" ht="12.75" hidden="1" outlineLevel="1" x14ac:dyDescent="0.2">
      <c r="A850" s="68"/>
      <c r="B850" s="86"/>
      <c r="C850" s="70" t="s">
        <v>34</v>
      </c>
      <c r="D850" s="90">
        <v>349.75</v>
      </c>
      <c r="E850" s="72"/>
      <c r="F850" s="73">
        <v>5</v>
      </c>
      <c r="G850" s="73">
        <v>2</v>
      </c>
      <c r="H850" s="74">
        <f t="shared" si="233"/>
        <v>2.5</v>
      </c>
      <c r="I850" s="75">
        <f t="shared" si="234"/>
        <v>69.95</v>
      </c>
      <c r="J850" s="76">
        <f t="shared" si="235"/>
        <v>27.98</v>
      </c>
      <c r="K850" s="90">
        <v>0</v>
      </c>
      <c r="L850" s="73">
        <v>332</v>
      </c>
      <c r="M850" s="73">
        <v>0</v>
      </c>
      <c r="N850" s="91">
        <v>0</v>
      </c>
      <c r="O850" s="79" t="e">
        <f>(K850/N850)</f>
        <v>#DIV/0!</v>
      </c>
      <c r="P850" s="80" t="e">
        <f t="shared" si="236"/>
        <v>#DIV/0!</v>
      </c>
      <c r="Q850" s="79">
        <f t="shared" si="237"/>
        <v>0</v>
      </c>
      <c r="R850" s="81">
        <f t="shared" si="238"/>
        <v>0</v>
      </c>
      <c r="S850" s="92">
        <f t="shared" si="263"/>
        <v>349.75</v>
      </c>
      <c r="T850" s="83" t="e">
        <f t="shared" si="239"/>
        <v>#DIV/0!</v>
      </c>
      <c r="U850" s="84"/>
      <c r="V850" s="84"/>
      <c r="W850" s="84"/>
      <c r="X850" s="84"/>
      <c r="Y850" s="85"/>
      <c r="Z850" s="68"/>
      <c r="AA850" s="68"/>
    </row>
    <row r="851" spans="1:27" ht="12.75" hidden="1" outlineLevel="1" x14ac:dyDescent="0.2">
      <c r="A851" s="68"/>
      <c r="B851" s="86"/>
      <c r="C851" s="70" t="s">
        <v>35</v>
      </c>
      <c r="D851" s="90">
        <v>188.85</v>
      </c>
      <c r="E851" s="72"/>
      <c r="F851" s="73">
        <v>5</v>
      </c>
      <c r="G851" s="73">
        <v>3</v>
      </c>
      <c r="H851" s="74">
        <f t="shared" si="233"/>
        <v>1.6666666666666667</v>
      </c>
      <c r="I851" s="75">
        <f t="shared" si="234"/>
        <v>37.769999999999996</v>
      </c>
      <c r="J851" s="76">
        <f t="shared" si="235"/>
        <v>22.661999999999995</v>
      </c>
      <c r="K851" s="90">
        <v>281.60000000000002</v>
      </c>
      <c r="L851" s="73">
        <v>21883</v>
      </c>
      <c r="M851" s="73">
        <v>7</v>
      </c>
      <c r="N851" s="91">
        <v>270.37</v>
      </c>
      <c r="O851" s="79">
        <f t="shared" ref="O851:O867" si="264">K851/N851</f>
        <v>1.0415356733365388</v>
      </c>
      <c r="P851" s="80">
        <f t="shared" si="236"/>
        <v>0.9601207386363636</v>
      </c>
      <c r="Q851" s="79">
        <f t="shared" si="237"/>
        <v>1.49113052687318</v>
      </c>
      <c r="R851" s="81">
        <f t="shared" si="238"/>
        <v>1.4316653428647075</v>
      </c>
      <c r="S851" s="92">
        <f t="shared" si="263"/>
        <v>-81.52000000000001</v>
      </c>
      <c r="T851" s="83">
        <f t="shared" si="239"/>
        <v>40.228571428571435</v>
      </c>
      <c r="U851" s="84"/>
      <c r="V851" s="84"/>
      <c r="W851" s="84"/>
      <c r="X851" s="84"/>
      <c r="Y851" s="85"/>
      <c r="Z851" s="68"/>
      <c r="AA851" s="68"/>
    </row>
    <row r="852" spans="1:27" ht="12.75" hidden="1" outlineLevel="1" x14ac:dyDescent="0.2">
      <c r="A852" s="68"/>
      <c r="B852" s="86"/>
      <c r="C852" s="70" t="s">
        <v>36</v>
      </c>
      <c r="D852" s="90">
        <v>781.37</v>
      </c>
      <c r="E852" s="72"/>
      <c r="F852" s="73">
        <v>13</v>
      </c>
      <c r="G852" s="73">
        <v>10</v>
      </c>
      <c r="H852" s="74">
        <f t="shared" si="233"/>
        <v>1.3</v>
      </c>
      <c r="I852" s="75">
        <f t="shared" si="234"/>
        <v>60.105384615384615</v>
      </c>
      <c r="J852" s="76">
        <f t="shared" si="235"/>
        <v>46.234911242603552</v>
      </c>
      <c r="K852" s="90">
        <v>47.88</v>
      </c>
      <c r="L852" s="73">
        <v>17236</v>
      </c>
      <c r="M852" s="73">
        <v>6</v>
      </c>
      <c r="N852" s="91">
        <v>361.72</v>
      </c>
      <c r="O852" s="79">
        <f t="shared" si="264"/>
        <v>0.13236757713148292</v>
      </c>
      <c r="P852" s="80">
        <f t="shared" si="236"/>
        <v>7.5547201336675025</v>
      </c>
      <c r="Q852" s="79">
        <f t="shared" si="237"/>
        <v>6.1276987854665524E-2</v>
      </c>
      <c r="R852" s="81">
        <f t="shared" si="238"/>
        <v>0.46293049387614066</v>
      </c>
      <c r="S852" s="92">
        <f t="shared" si="263"/>
        <v>419.65</v>
      </c>
      <c r="T852" s="83">
        <f t="shared" si="239"/>
        <v>7.98</v>
      </c>
      <c r="U852" s="84"/>
      <c r="V852" s="84"/>
      <c r="W852" s="84"/>
      <c r="X852" s="84"/>
      <c r="Y852" s="85"/>
      <c r="Z852" s="68"/>
      <c r="AA852" s="68"/>
    </row>
    <row r="853" spans="1:27" ht="12.75" hidden="1" outlineLevel="1" x14ac:dyDescent="0.2">
      <c r="A853" s="68"/>
      <c r="B853" s="69" t="s">
        <v>37</v>
      </c>
      <c r="C853" s="70" t="s">
        <v>38</v>
      </c>
      <c r="D853" s="93">
        <v>194.7</v>
      </c>
      <c r="E853" s="72"/>
      <c r="F853" s="73">
        <v>6</v>
      </c>
      <c r="G853" s="73">
        <v>5</v>
      </c>
      <c r="H853" s="74">
        <f t="shared" si="233"/>
        <v>1.2</v>
      </c>
      <c r="I853" s="75">
        <f t="shared" si="234"/>
        <v>32.449999999999996</v>
      </c>
      <c r="J853" s="76">
        <f t="shared" si="235"/>
        <v>27.041666666666664</v>
      </c>
      <c r="K853" s="93">
        <v>37.6</v>
      </c>
      <c r="L853" s="73">
        <v>8316</v>
      </c>
      <c r="M853" s="73">
        <v>2</v>
      </c>
      <c r="N853" s="94">
        <v>59.9</v>
      </c>
      <c r="O853" s="79">
        <f t="shared" si="264"/>
        <v>0.62771285475792993</v>
      </c>
      <c r="P853" s="80">
        <f t="shared" si="236"/>
        <v>1.5930851063829787</v>
      </c>
      <c r="Q853" s="79">
        <f t="shared" si="237"/>
        <v>0.19311761684643042</v>
      </c>
      <c r="R853" s="81">
        <f t="shared" si="238"/>
        <v>0.30765279917822291</v>
      </c>
      <c r="S853" s="95">
        <f t="shared" si="263"/>
        <v>134.79999999999998</v>
      </c>
      <c r="T853" s="83">
        <f t="shared" si="239"/>
        <v>18.8</v>
      </c>
      <c r="U853" s="84"/>
      <c r="V853" s="84"/>
      <c r="W853" s="84"/>
      <c r="X853" s="84"/>
      <c r="Y853" s="85"/>
      <c r="Z853" s="68"/>
      <c r="AA853" s="68"/>
    </row>
    <row r="854" spans="1:27" ht="12.75" hidden="1" outlineLevel="1" x14ac:dyDescent="0.2">
      <c r="A854" s="68"/>
      <c r="B854" s="86"/>
      <c r="C854" s="70" t="s">
        <v>39</v>
      </c>
      <c r="D854" s="96">
        <v>0</v>
      </c>
      <c r="E854" s="72"/>
      <c r="F854" s="73">
        <v>0</v>
      </c>
      <c r="G854" s="73">
        <v>0</v>
      </c>
      <c r="H854" s="74" t="e">
        <f t="shared" si="233"/>
        <v>#DIV/0!</v>
      </c>
      <c r="I854" s="75" t="e">
        <f t="shared" si="234"/>
        <v>#DIV/0!</v>
      </c>
      <c r="J854" s="76" t="e">
        <f t="shared" si="235"/>
        <v>#DIV/0!</v>
      </c>
      <c r="K854" s="96">
        <v>0</v>
      </c>
      <c r="L854" s="73">
        <v>0</v>
      </c>
      <c r="M854" s="73">
        <v>0</v>
      </c>
      <c r="N854" s="97">
        <v>0</v>
      </c>
      <c r="O854" s="79" t="e">
        <f t="shared" si="264"/>
        <v>#DIV/0!</v>
      </c>
      <c r="P854" s="80" t="e">
        <f t="shared" si="236"/>
        <v>#DIV/0!</v>
      </c>
      <c r="Q854" s="79" t="e">
        <f t="shared" si="237"/>
        <v>#DIV/0!</v>
      </c>
      <c r="R854" s="81" t="e">
        <f t="shared" si="238"/>
        <v>#DIV/0!</v>
      </c>
      <c r="S854" s="98">
        <f t="shared" si="263"/>
        <v>0</v>
      </c>
      <c r="T854" s="83" t="e">
        <f t="shared" si="239"/>
        <v>#DIV/0!</v>
      </c>
      <c r="U854" s="84"/>
      <c r="V854" s="84"/>
      <c r="W854" s="84"/>
      <c r="X854" s="84"/>
      <c r="Y854" s="85"/>
      <c r="Z854" s="68"/>
      <c r="AA854" s="68"/>
    </row>
    <row r="855" spans="1:27" ht="12.75" hidden="1" outlineLevel="1" x14ac:dyDescent="0.2">
      <c r="A855" s="68"/>
      <c r="B855" s="86"/>
      <c r="C855" s="70" t="s">
        <v>40</v>
      </c>
      <c r="D855" s="99">
        <v>0</v>
      </c>
      <c r="E855" s="72"/>
      <c r="F855" s="73">
        <v>0</v>
      </c>
      <c r="G855" s="73">
        <v>0</v>
      </c>
      <c r="H855" s="74" t="e">
        <f t="shared" si="233"/>
        <v>#DIV/0!</v>
      </c>
      <c r="I855" s="75" t="e">
        <f t="shared" si="234"/>
        <v>#DIV/0!</v>
      </c>
      <c r="J855" s="76" t="e">
        <f t="shared" si="235"/>
        <v>#DIV/0!</v>
      </c>
      <c r="K855" s="99">
        <v>0</v>
      </c>
      <c r="L855" s="73">
        <v>0</v>
      </c>
      <c r="M855" s="73">
        <v>0</v>
      </c>
      <c r="N855" s="100">
        <v>0</v>
      </c>
      <c r="O855" s="79" t="e">
        <f t="shared" si="264"/>
        <v>#DIV/0!</v>
      </c>
      <c r="P855" s="80" t="e">
        <f t="shared" si="236"/>
        <v>#DIV/0!</v>
      </c>
      <c r="Q855" s="79" t="e">
        <f t="shared" si="237"/>
        <v>#DIV/0!</v>
      </c>
      <c r="R855" s="81" t="e">
        <f t="shared" si="238"/>
        <v>#DIV/0!</v>
      </c>
      <c r="S855" s="101">
        <f t="shared" si="263"/>
        <v>0</v>
      </c>
      <c r="T855" s="83" t="e">
        <f t="shared" si="239"/>
        <v>#DIV/0!</v>
      </c>
      <c r="U855" s="84"/>
      <c r="V855" s="84"/>
      <c r="W855" s="84"/>
      <c r="X855" s="84"/>
      <c r="Y855" s="85"/>
      <c r="Z855" s="68"/>
      <c r="AA855" s="68"/>
    </row>
    <row r="856" spans="1:27" ht="12.75" hidden="1" outlineLevel="1" x14ac:dyDescent="0.2">
      <c r="A856" s="68"/>
      <c r="B856" s="86"/>
      <c r="C856" s="70" t="s">
        <v>41</v>
      </c>
      <c r="D856" s="102">
        <v>1526.71</v>
      </c>
      <c r="E856" s="72"/>
      <c r="F856" s="73">
        <v>27</v>
      </c>
      <c r="G856" s="73">
        <v>22</v>
      </c>
      <c r="H856" s="74">
        <f t="shared" si="233"/>
        <v>1.2272727272727273</v>
      </c>
      <c r="I856" s="75">
        <f t="shared" si="234"/>
        <v>56.544814814814814</v>
      </c>
      <c r="J856" s="76">
        <f t="shared" si="235"/>
        <v>46.073552812071327</v>
      </c>
      <c r="K856" s="102">
        <v>456.03</v>
      </c>
      <c r="L856" s="73">
        <v>40650</v>
      </c>
      <c r="M856" s="73">
        <v>6</v>
      </c>
      <c r="N856" s="103">
        <v>466.38</v>
      </c>
      <c r="O856" s="79">
        <f t="shared" si="264"/>
        <v>0.97780779621767655</v>
      </c>
      <c r="P856" s="80">
        <f t="shared" si="236"/>
        <v>1.0226958752713637</v>
      </c>
      <c r="Q856" s="79">
        <f t="shared" si="237"/>
        <v>0.29870112857058639</v>
      </c>
      <c r="R856" s="81">
        <f t="shared" si="238"/>
        <v>0.30548041212804</v>
      </c>
      <c r="S856" s="104">
        <f t="shared" si="263"/>
        <v>1060.33</v>
      </c>
      <c r="T856" s="83">
        <f t="shared" si="239"/>
        <v>76.004999999999995</v>
      </c>
      <c r="U856" s="84"/>
      <c r="V856" s="84"/>
      <c r="W856" s="84"/>
      <c r="X856" s="84"/>
      <c r="Y856" s="85"/>
      <c r="Z856" s="68"/>
      <c r="AA856" s="68"/>
    </row>
    <row r="857" spans="1:27" ht="12.75" hidden="1" outlineLevel="1" x14ac:dyDescent="0.2">
      <c r="A857" s="68"/>
      <c r="B857" s="86"/>
      <c r="C857" s="70" t="s">
        <v>42</v>
      </c>
      <c r="D857" s="90">
        <v>79.959999999999994</v>
      </c>
      <c r="E857" s="72"/>
      <c r="F857" s="73">
        <v>4</v>
      </c>
      <c r="G857" s="73">
        <v>5</v>
      </c>
      <c r="H857" s="74">
        <f t="shared" si="233"/>
        <v>0.8</v>
      </c>
      <c r="I857" s="75">
        <f t="shared" si="234"/>
        <v>19.989999999999998</v>
      </c>
      <c r="J857" s="76">
        <f t="shared" si="235"/>
        <v>24.987499999999997</v>
      </c>
      <c r="K857" s="90">
        <v>139.62</v>
      </c>
      <c r="L857" s="73">
        <v>49701</v>
      </c>
      <c r="M857" s="73">
        <v>8</v>
      </c>
      <c r="N857" s="91">
        <v>159.91999999999999</v>
      </c>
      <c r="O857" s="79">
        <f t="shared" si="264"/>
        <v>0.87306153076538284</v>
      </c>
      <c r="P857" s="80">
        <f t="shared" si="236"/>
        <v>1.1453946426013464</v>
      </c>
      <c r="Q857" s="79">
        <f t="shared" si="237"/>
        <v>1.7461230615307657</v>
      </c>
      <c r="R857" s="81">
        <f t="shared" si="238"/>
        <v>2</v>
      </c>
      <c r="S857" s="92">
        <f t="shared" si="263"/>
        <v>-79.959999999999994</v>
      </c>
      <c r="T857" s="83">
        <f t="shared" si="239"/>
        <v>17.452500000000001</v>
      </c>
      <c r="U857" s="84"/>
      <c r="V857" s="84"/>
      <c r="W857" s="84"/>
      <c r="X857" s="84"/>
      <c r="Y857" s="85"/>
      <c r="Z857" s="68"/>
      <c r="AA857" s="68"/>
    </row>
    <row r="858" spans="1:27" ht="12.75" hidden="1" outlineLevel="1" x14ac:dyDescent="0.2">
      <c r="A858" s="68"/>
      <c r="B858" s="86"/>
      <c r="C858" s="70" t="s">
        <v>43</v>
      </c>
      <c r="D858" s="105">
        <v>767.81</v>
      </c>
      <c r="E858" s="72"/>
      <c r="F858" s="73">
        <v>6</v>
      </c>
      <c r="G858" s="73">
        <v>7</v>
      </c>
      <c r="H858" s="74">
        <f t="shared" si="233"/>
        <v>0.8571428571428571</v>
      </c>
      <c r="I858" s="75">
        <f t="shared" si="234"/>
        <v>127.96833333333332</v>
      </c>
      <c r="J858" s="76">
        <f t="shared" si="235"/>
        <v>149.29638888888888</v>
      </c>
      <c r="K858" s="105">
        <v>94.38</v>
      </c>
      <c r="L858" s="73">
        <v>10987</v>
      </c>
      <c r="M858" s="73">
        <v>2</v>
      </c>
      <c r="N858" s="106">
        <v>146.22</v>
      </c>
      <c r="O858" s="79">
        <f t="shared" si="264"/>
        <v>0.64546573656134587</v>
      </c>
      <c r="P858" s="80">
        <f t="shared" si="236"/>
        <v>1.5492689129052766</v>
      </c>
      <c r="Q858" s="79">
        <f t="shared" si="237"/>
        <v>0.12292103515192561</v>
      </c>
      <c r="R858" s="81">
        <f t="shared" si="238"/>
        <v>0.19043773850301507</v>
      </c>
      <c r="S858" s="107">
        <f t="shared" si="263"/>
        <v>621.58999999999992</v>
      </c>
      <c r="T858" s="83">
        <f t="shared" si="239"/>
        <v>47.19</v>
      </c>
      <c r="U858" s="84"/>
      <c r="V858" s="84"/>
      <c r="W858" s="84"/>
      <c r="X858" s="84"/>
      <c r="Y858" s="85"/>
      <c r="Z858" s="68"/>
      <c r="AA858" s="68"/>
    </row>
    <row r="859" spans="1:27" ht="12.75" hidden="1" outlineLevel="1" x14ac:dyDescent="0.2">
      <c r="A859" s="68"/>
      <c r="B859" s="86"/>
      <c r="C859" s="70" t="s">
        <v>44</v>
      </c>
      <c r="D859" s="108">
        <v>215.95</v>
      </c>
      <c r="E859" s="72"/>
      <c r="F859" s="73">
        <v>5</v>
      </c>
      <c r="G859" s="73">
        <v>4</v>
      </c>
      <c r="H859" s="74">
        <f t="shared" si="233"/>
        <v>1.25</v>
      </c>
      <c r="I859" s="75">
        <f t="shared" si="234"/>
        <v>43.19</v>
      </c>
      <c r="J859" s="76">
        <f t="shared" si="235"/>
        <v>34.552</v>
      </c>
      <c r="K859" s="108">
        <v>132.9</v>
      </c>
      <c r="L859" s="73">
        <v>54020</v>
      </c>
      <c r="M859" s="73">
        <v>0</v>
      </c>
      <c r="N859" s="109">
        <v>0</v>
      </c>
      <c r="O859" s="79" t="e">
        <f t="shared" si="264"/>
        <v>#DIV/0!</v>
      </c>
      <c r="P859" s="80">
        <f t="shared" si="236"/>
        <v>0</v>
      </c>
      <c r="Q859" s="79">
        <f t="shared" si="237"/>
        <v>0.61542023616577912</v>
      </c>
      <c r="R859" s="81">
        <f t="shared" si="238"/>
        <v>0</v>
      </c>
      <c r="S859" s="110">
        <f t="shared" si="263"/>
        <v>215.95</v>
      </c>
      <c r="T859" s="83" t="e">
        <f t="shared" si="239"/>
        <v>#DIV/0!</v>
      </c>
      <c r="U859" s="84"/>
      <c r="V859" s="84"/>
      <c r="W859" s="84"/>
      <c r="X859" s="84"/>
      <c r="Y859" s="85"/>
      <c r="Z859" s="68"/>
      <c r="AA859" s="68"/>
    </row>
    <row r="860" spans="1:27" ht="12.75" hidden="1" outlineLevel="1" x14ac:dyDescent="0.2">
      <c r="A860" s="111"/>
      <c r="B860" s="86"/>
      <c r="C860" s="112" t="s">
        <v>45</v>
      </c>
      <c r="D860" s="71">
        <v>24.95</v>
      </c>
      <c r="E860" s="72"/>
      <c r="F860" s="73">
        <v>1</v>
      </c>
      <c r="G860" s="73">
        <v>1</v>
      </c>
      <c r="H860" s="74">
        <f t="shared" si="233"/>
        <v>1</v>
      </c>
      <c r="I860" s="75">
        <f t="shared" si="234"/>
        <v>24.95</v>
      </c>
      <c r="J860" s="76">
        <f t="shared" si="235"/>
        <v>24.95</v>
      </c>
      <c r="K860" s="71">
        <v>0</v>
      </c>
      <c r="L860" s="73">
        <v>0</v>
      </c>
      <c r="M860" s="73">
        <v>0</v>
      </c>
      <c r="N860" s="78">
        <v>0</v>
      </c>
      <c r="O860" s="79" t="e">
        <f t="shared" si="264"/>
        <v>#DIV/0!</v>
      </c>
      <c r="P860" s="80" t="e">
        <f t="shared" si="236"/>
        <v>#DIV/0!</v>
      </c>
      <c r="Q860" s="79">
        <f t="shared" si="237"/>
        <v>0</v>
      </c>
      <c r="R860" s="81">
        <f t="shared" si="238"/>
        <v>0</v>
      </c>
      <c r="S860" s="82">
        <f t="shared" si="263"/>
        <v>24.95</v>
      </c>
      <c r="T860" s="83" t="e">
        <f t="shared" si="239"/>
        <v>#DIV/0!</v>
      </c>
      <c r="U860" s="113"/>
      <c r="V860" s="113"/>
      <c r="W860" s="113"/>
      <c r="X860" s="114"/>
      <c r="Y860" s="115"/>
      <c r="Z860" s="68"/>
      <c r="AA860" s="68"/>
    </row>
    <row r="861" spans="1:27" ht="12.75" hidden="1" outlineLevel="1" x14ac:dyDescent="0.2">
      <c r="A861" s="68"/>
      <c r="B861" s="86"/>
      <c r="C861" s="70" t="s">
        <v>46</v>
      </c>
      <c r="D861" s="116">
        <v>977.12</v>
      </c>
      <c r="E861" s="72"/>
      <c r="F861" s="73">
        <v>27</v>
      </c>
      <c r="G861" s="73">
        <v>27</v>
      </c>
      <c r="H861" s="74">
        <f t="shared" si="233"/>
        <v>1</v>
      </c>
      <c r="I861" s="75">
        <f t="shared" si="234"/>
        <v>36.189629629629628</v>
      </c>
      <c r="J861" s="76">
        <f t="shared" si="235"/>
        <v>36.189629629629628</v>
      </c>
      <c r="K861" s="116">
        <v>186.93</v>
      </c>
      <c r="L861" s="73">
        <v>46308</v>
      </c>
      <c r="M861" s="73">
        <v>12</v>
      </c>
      <c r="N861" s="117">
        <v>206.95</v>
      </c>
      <c r="O861" s="79">
        <f t="shared" si="264"/>
        <v>0.90326165740517039</v>
      </c>
      <c r="P861" s="80">
        <f t="shared" si="236"/>
        <v>1.1070989140319905</v>
      </c>
      <c r="Q861" s="79">
        <f t="shared" si="237"/>
        <v>0.19130710659898478</v>
      </c>
      <c r="R861" s="81">
        <f t="shared" si="238"/>
        <v>0.21179588996233828</v>
      </c>
      <c r="S861" s="82">
        <f t="shared" si="263"/>
        <v>770.17000000000007</v>
      </c>
      <c r="T861" s="83">
        <f t="shared" si="239"/>
        <v>15.577500000000001</v>
      </c>
      <c r="U861" s="84"/>
      <c r="V861" s="84"/>
      <c r="W861" s="84"/>
      <c r="X861" s="84"/>
      <c r="Y861" s="85"/>
      <c r="Z861" s="68"/>
      <c r="AA861" s="68"/>
    </row>
    <row r="862" spans="1:27" ht="12.75" hidden="1" outlineLevel="1" x14ac:dyDescent="0.2">
      <c r="A862" s="68"/>
      <c r="B862" s="86"/>
      <c r="C862" s="70" t="s">
        <v>47</v>
      </c>
      <c r="D862" s="87">
        <v>0</v>
      </c>
      <c r="E862" s="72"/>
      <c r="F862" s="73">
        <v>0</v>
      </c>
      <c r="G862" s="73">
        <v>0</v>
      </c>
      <c r="H862" s="74" t="e">
        <f t="shared" si="233"/>
        <v>#DIV/0!</v>
      </c>
      <c r="I862" s="75" t="e">
        <f t="shared" si="234"/>
        <v>#DIV/0!</v>
      </c>
      <c r="J862" s="76" t="e">
        <f t="shared" si="235"/>
        <v>#DIV/0!</v>
      </c>
      <c r="K862" s="87">
        <v>0</v>
      </c>
      <c r="L862" s="73">
        <v>0</v>
      </c>
      <c r="M862" s="73">
        <v>0</v>
      </c>
      <c r="N862" s="88">
        <v>0</v>
      </c>
      <c r="O862" s="79" t="e">
        <f t="shared" si="264"/>
        <v>#DIV/0!</v>
      </c>
      <c r="P862" s="80" t="e">
        <f t="shared" si="236"/>
        <v>#DIV/0!</v>
      </c>
      <c r="Q862" s="79" t="e">
        <f t="shared" si="237"/>
        <v>#DIV/0!</v>
      </c>
      <c r="R862" s="81" t="e">
        <f t="shared" si="238"/>
        <v>#DIV/0!</v>
      </c>
      <c r="S862" s="82">
        <f t="shared" si="263"/>
        <v>0</v>
      </c>
      <c r="T862" s="83" t="e">
        <f t="shared" si="239"/>
        <v>#DIV/0!</v>
      </c>
      <c r="U862" s="84"/>
      <c r="V862" s="84"/>
      <c r="W862" s="84"/>
      <c r="X862" s="84"/>
      <c r="Y862" s="85"/>
      <c r="Z862" s="68"/>
      <c r="AA862" s="68"/>
    </row>
    <row r="863" spans="1:27" ht="12.75" hidden="1" outlineLevel="1" x14ac:dyDescent="0.2">
      <c r="A863" s="68"/>
      <c r="B863" s="86"/>
      <c r="C863" s="70" t="s">
        <v>48</v>
      </c>
      <c r="D863" s="102">
        <v>4339.1099999999997</v>
      </c>
      <c r="E863" s="72"/>
      <c r="F863" s="73">
        <v>17</v>
      </c>
      <c r="G863" s="73">
        <v>18</v>
      </c>
      <c r="H863" s="74">
        <f t="shared" si="233"/>
        <v>0.94444444444444442</v>
      </c>
      <c r="I863" s="75">
        <f t="shared" si="234"/>
        <v>255.24176470588233</v>
      </c>
      <c r="J863" s="76">
        <f t="shared" si="235"/>
        <v>270.25598615916954</v>
      </c>
      <c r="K863" s="102">
        <v>464.98</v>
      </c>
      <c r="L863" s="73">
        <v>29954</v>
      </c>
      <c r="M863" s="73">
        <v>5</v>
      </c>
      <c r="N863" s="103">
        <v>1299.75</v>
      </c>
      <c r="O863" s="79">
        <f t="shared" si="264"/>
        <v>0.35774572033083285</v>
      </c>
      <c r="P863" s="80">
        <f t="shared" si="236"/>
        <v>2.7952815174846228</v>
      </c>
      <c r="Q863" s="79">
        <f t="shared" si="237"/>
        <v>0.10716022410125579</v>
      </c>
      <c r="R863" s="81">
        <f t="shared" si="238"/>
        <v>0.29954299383975058</v>
      </c>
      <c r="S863" s="82">
        <f t="shared" si="263"/>
        <v>3039.3599999999997</v>
      </c>
      <c r="T863" s="83">
        <f t="shared" si="239"/>
        <v>92.996000000000009</v>
      </c>
      <c r="U863" s="84"/>
      <c r="V863" s="84"/>
      <c r="W863" s="84"/>
      <c r="X863" s="84"/>
      <c r="Y863" s="85"/>
      <c r="Z863" s="68"/>
      <c r="AA863" s="68"/>
    </row>
    <row r="864" spans="1:27" ht="12.75" hidden="1" outlineLevel="1" x14ac:dyDescent="0.2">
      <c r="A864" s="118" t="str">
        <f t="shared" ref="A864:A865" si="265">IFERROR(IF(B864&gt;0,MONTH(B864)&amp;"-"&amp;YEAR(B864),B864),)</f>
        <v>11-2025</v>
      </c>
      <c r="B864" s="69">
        <v>45983</v>
      </c>
      <c r="C864" s="70" t="s">
        <v>49</v>
      </c>
      <c r="D864" s="116">
        <v>192</v>
      </c>
      <c r="E864" s="72"/>
      <c r="F864" s="73">
        <v>2</v>
      </c>
      <c r="G864" s="73">
        <v>2</v>
      </c>
      <c r="H864" s="74">
        <f t="shared" si="233"/>
        <v>1</v>
      </c>
      <c r="I864" s="75">
        <f t="shared" si="234"/>
        <v>96</v>
      </c>
      <c r="J864" s="76">
        <f t="shared" si="235"/>
        <v>96</v>
      </c>
      <c r="K864" s="116">
        <v>10.34</v>
      </c>
      <c r="L864" s="73">
        <v>9702</v>
      </c>
      <c r="M864" s="73">
        <v>0</v>
      </c>
      <c r="N864" s="117">
        <v>0</v>
      </c>
      <c r="O864" s="79" t="e">
        <f t="shared" si="264"/>
        <v>#DIV/0!</v>
      </c>
      <c r="P864" s="80">
        <f t="shared" si="236"/>
        <v>0</v>
      </c>
      <c r="Q864" s="79">
        <f t="shared" si="237"/>
        <v>5.3854166666666668E-2</v>
      </c>
      <c r="R864" s="81">
        <f t="shared" si="238"/>
        <v>0</v>
      </c>
      <c r="S864" s="82">
        <f t="shared" si="263"/>
        <v>192</v>
      </c>
      <c r="T864" s="83" t="e">
        <f t="shared" si="239"/>
        <v>#DIV/0!</v>
      </c>
      <c r="U864" s="84"/>
      <c r="V864" s="84"/>
      <c r="W864" s="84"/>
      <c r="X864" s="84"/>
      <c r="Y864" s="85"/>
      <c r="Z864" s="68"/>
      <c r="AA864" s="68"/>
    </row>
    <row r="865" spans="1:27" ht="12.75" collapsed="1" x14ac:dyDescent="0.2">
      <c r="A865" s="68">
        <f t="shared" si="265"/>
        <v>0</v>
      </c>
      <c r="B865" s="52" t="s">
        <v>105</v>
      </c>
      <c r="C865" s="120"/>
      <c r="D865" s="121">
        <f>SUM(D848:D864)</f>
        <v>22161.110000000004</v>
      </c>
      <c r="E865" s="122"/>
      <c r="F865" s="123">
        <f t="shared" ref="F865:G865" si="266">SUM(F848:F864)</f>
        <v>179</v>
      </c>
      <c r="G865" s="123">
        <f t="shared" si="266"/>
        <v>172</v>
      </c>
      <c r="H865" s="124">
        <f t="shared" si="233"/>
        <v>1.0406976744186047</v>
      </c>
      <c r="I865" s="125">
        <f t="shared" si="234"/>
        <v>123.80508379888271</v>
      </c>
      <c r="J865" s="126">
        <f t="shared" si="235"/>
        <v>118.96354420898226</v>
      </c>
      <c r="K865" s="121">
        <f t="shared" ref="K865:N865" si="267">SUM(K848:K864)</f>
        <v>4580.4699999999993</v>
      </c>
      <c r="L865" s="123">
        <f t="shared" si="267"/>
        <v>1737929</v>
      </c>
      <c r="M865" s="123">
        <f t="shared" si="267"/>
        <v>63</v>
      </c>
      <c r="N865" s="127">
        <f t="shared" si="267"/>
        <v>5516.9</v>
      </c>
      <c r="O865" s="128">
        <f t="shared" si="264"/>
        <v>0.83026155993402084</v>
      </c>
      <c r="P865" s="129">
        <f t="shared" si="236"/>
        <v>1.2044397190681306</v>
      </c>
      <c r="Q865" s="128">
        <f t="shared" si="237"/>
        <v>0.20668955661516947</v>
      </c>
      <c r="R865" s="130">
        <f t="shared" si="238"/>
        <v>0.2489451115038912</v>
      </c>
      <c r="S865" s="131">
        <f>SUM(S848:S864)</f>
        <v>16644.21</v>
      </c>
      <c r="T865" s="132">
        <f t="shared" si="239"/>
        <v>72.70587301587301</v>
      </c>
      <c r="U865" s="133">
        <f>IFERROR((D865-D246)/D865,)</f>
        <v>0.657899807365245</v>
      </c>
      <c r="V865" s="133">
        <f>IFERROR((F865-F246)/F865,)</f>
        <v>0.47486033519553073</v>
      </c>
      <c r="W865" s="134">
        <f>IFERROR((D865-[1]monthly_reporting_2021!E656)/D865, )</f>
        <v>0</v>
      </c>
      <c r="X865" s="134">
        <f>IFERROR((F865-[1]monthly_reporting_2021!F656)/F865, )</f>
        <v>0</v>
      </c>
      <c r="Y865" s="68"/>
      <c r="Z865" s="68"/>
      <c r="AA865" s="68"/>
    </row>
    <row r="866" spans="1:27" ht="12.75" hidden="1" outlineLevel="1" x14ac:dyDescent="0.2">
      <c r="A866" s="68"/>
      <c r="B866" s="69">
        <v>45984</v>
      </c>
      <c r="C866" s="70" t="s">
        <v>32</v>
      </c>
      <c r="D866" s="71">
        <v>16063.07</v>
      </c>
      <c r="E866" s="72"/>
      <c r="F866" s="73">
        <v>57</v>
      </c>
      <c r="G866" s="73">
        <v>61</v>
      </c>
      <c r="H866" s="74">
        <f t="shared" si="233"/>
        <v>0.93442622950819676</v>
      </c>
      <c r="I866" s="75">
        <f t="shared" si="234"/>
        <v>281.80824561403506</v>
      </c>
      <c r="J866" s="76">
        <f t="shared" si="235"/>
        <v>301.58426285010768</v>
      </c>
      <c r="K866" s="77">
        <v>3476.06</v>
      </c>
      <c r="L866" s="73">
        <v>789555</v>
      </c>
      <c r="M866" s="73">
        <v>25</v>
      </c>
      <c r="N866" s="78">
        <v>5744.61</v>
      </c>
      <c r="O866" s="79">
        <f t="shared" si="264"/>
        <v>0.6050993888183881</v>
      </c>
      <c r="P866" s="80">
        <f t="shared" si="236"/>
        <v>1.6526210709826643</v>
      </c>
      <c r="Q866" s="79">
        <f t="shared" si="237"/>
        <v>0.21640072539060093</v>
      </c>
      <c r="R866" s="81">
        <f t="shared" si="238"/>
        <v>0.3576283985564403</v>
      </c>
      <c r="S866" s="82">
        <f t="shared" ref="S866:S882" si="268">D866-N866</f>
        <v>10318.459999999999</v>
      </c>
      <c r="T866" s="83">
        <f t="shared" si="239"/>
        <v>139.04239999999999</v>
      </c>
      <c r="U866" s="84"/>
      <c r="V866" s="84"/>
      <c r="W866" s="84"/>
      <c r="X866" s="84"/>
      <c r="Y866" s="85"/>
      <c r="Z866" s="68"/>
      <c r="AA866" s="68"/>
    </row>
    <row r="867" spans="1:27" ht="12.75" hidden="1" outlineLevel="1" x14ac:dyDescent="0.2">
      <c r="A867" s="68"/>
      <c r="B867" s="86"/>
      <c r="C867" s="70" t="s">
        <v>33</v>
      </c>
      <c r="D867" s="87">
        <v>54500.36</v>
      </c>
      <c r="E867" s="72"/>
      <c r="F867" s="73">
        <v>199</v>
      </c>
      <c r="G867" s="73">
        <v>200</v>
      </c>
      <c r="H867" s="74">
        <f t="shared" si="233"/>
        <v>0.995</v>
      </c>
      <c r="I867" s="75">
        <f t="shared" si="234"/>
        <v>273.87115577889449</v>
      </c>
      <c r="J867" s="76">
        <f t="shared" si="235"/>
        <v>275.24739274260753</v>
      </c>
      <c r="K867" s="87">
        <v>1711.79</v>
      </c>
      <c r="L867" s="73">
        <v>2002846</v>
      </c>
      <c r="M867" s="73">
        <v>63</v>
      </c>
      <c r="N867" s="88">
        <v>8752.7800000000007</v>
      </c>
      <c r="O867" s="79">
        <f t="shared" si="264"/>
        <v>0.1955710071542984</v>
      </c>
      <c r="P867" s="80">
        <f t="shared" si="236"/>
        <v>5.1132323474257948</v>
      </c>
      <c r="Q867" s="79">
        <f t="shared" si="237"/>
        <v>3.1408783354825547E-2</v>
      </c>
      <c r="R867" s="81">
        <f t="shared" si="238"/>
        <v>0.16060040704318285</v>
      </c>
      <c r="S867" s="89">
        <f t="shared" si="268"/>
        <v>45747.58</v>
      </c>
      <c r="T867" s="83">
        <f t="shared" si="239"/>
        <v>27.17126984126984</v>
      </c>
      <c r="U867" s="84"/>
      <c r="V867" s="84"/>
      <c r="W867" s="84"/>
      <c r="X867" s="84"/>
      <c r="Y867" s="85"/>
      <c r="Z867" s="68"/>
      <c r="AA867" s="68"/>
    </row>
    <row r="868" spans="1:27" ht="12.75" hidden="1" outlineLevel="1" x14ac:dyDescent="0.2">
      <c r="A868" s="68"/>
      <c r="B868" s="86"/>
      <c r="C868" s="70" t="s">
        <v>34</v>
      </c>
      <c r="D868" s="90">
        <v>0</v>
      </c>
      <c r="E868" s="72"/>
      <c r="F868" s="73">
        <v>0</v>
      </c>
      <c r="G868" s="73">
        <v>0</v>
      </c>
      <c r="H868" s="74" t="e">
        <f t="shared" si="233"/>
        <v>#DIV/0!</v>
      </c>
      <c r="I868" s="75" t="e">
        <f t="shared" si="234"/>
        <v>#DIV/0!</v>
      </c>
      <c r="J868" s="76" t="e">
        <f t="shared" si="235"/>
        <v>#DIV/0!</v>
      </c>
      <c r="K868" s="90">
        <v>0</v>
      </c>
      <c r="L868" s="73">
        <v>229</v>
      </c>
      <c r="M868" s="73">
        <v>0</v>
      </c>
      <c r="N868" s="91">
        <v>0</v>
      </c>
      <c r="O868" s="79" t="e">
        <f>(K868/N868)</f>
        <v>#DIV/0!</v>
      </c>
      <c r="P868" s="80" t="e">
        <f t="shared" si="236"/>
        <v>#DIV/0!</v>
      </c>
      <c r="Q868" s="79" t="e">
        <f t="shared" si="237"/>
        <v>#DIV/0!</v>
      </c>
      <c r="R868" s="81" t="e">
        <f t="shared" si="238"/>
        <v>#DIV/0!</v>
      </c>
      <c r="S868" s="92">
        <f t="shared" si="268"/>
        <v>0</v>
      </c>
      <c r="T868" s="83" t="e">
        <f t="shared" si="239"/>
        <v>#DIV/0!</v>
      </c>
      <c r="U868" s="84"/>
      <c r="V868" s="84"/>
      <c r="W868" s="84"/>
      <c r="X868" s="84"/>
      <c r="Y868" s="85"/>
      <c r="Z868" s="68"/>
      <c r="AA868" s="68"/>
    </row>
    <row r="869" spans="1:27" ht="12.75" hidden="1" outlineLevel="1" x14ac:dyDescent="0.2">
      <c r="A869" s="68"/>
      <c r="B869" s="86"/>
      <c r="C869" s="70" t="s">
        <v>35</v>
      </c>
      <c r="D869" s="90">
        <v>1404.04</v>
      </c>
      <c r="E869" s="72"/>
      <c r="F869" s="73">
        <v>38</v>
      </c>
      <c r="G869" s="73">
        <v>29</v>
      </c>
      <c r="H869" s="74">
        <f t="shared" si="233"/>
        <v>1.3103448275862069</v>
      </c>
      <c r="I869" s="75">
        <f t="shared" si="234"/>
        <v>36.948421052631581</v>
      </c>
      <c r="J869" s="76">
        <f t="shared" si="235"/>
        <v>28.197479224376732</v>
      </c>
      <c r="K869" s="90">
        <v>258.76</v>
      </c>
      <c r="L869" s="73">
        <v>17785</v>
      </c>
      <c r="M869" s="73">
        <v>17</v>
      </c>
      <c r="N869" s="91">
        <v>635.47</v>
      </c>
      <c r="O869" s="79">
        <f t="shared" ref="O869:O885" si="269">K869/N869</f>
        <v>0.40719467480762267</v>
      </c>
      <c r="P869" s="80">
        <f t="shared" si="236"/>
        <v>2.4558277940949145</v>
      </c>
      <c r="Q869" s="79">
        <f t="shared" si="237"/>
        <v>0.18429674368251617</v>
      </c>
      <c r="R869" s="81">
        <f t="shared" si="238"/>
        <v>0.45260106549670953</v>
      </c>
      <c r="S869" s="92">
        <f t="shared" si="268"/>
        <v>768.56999999999994</v>
      </c>
      <c r="T869" s="83">
        <f t="shared" si="239"/>
        <v>15.221176470588235</v>
      </c>
      <c r="U869" s="84"/>
      <c r="V869" s="84"/>
      <c r="W869" s="84"/>
      <c r="X869" s="84"/>
      <c r="Y869" s="85"/>
      <c r="Z869" s="68"/>
      <c r="AA869" s="68"/>
    </row>
    <row r="870" spans="1:27" ht="12.75" hidden="1" outlineLevel="1" x14ac:dyDescent="0.2">
      <c r="A870" s="68"/>
      <c r="B870" s="86"/>
      <c r="C870" s="70" t="s">
        <v>36</v>
      </c>
      <c r="D870" s="90">
        <v>551.55999999999995</v>
      </c>
      <c r="E870" s="72"/>
      <c r="F870" s="73">
        <v>14</v>
      </c>
      <c r="G870" s="73">
        <v>11</v>
      </c>
      <c r="H870" s="74">
        <f t="shared" si="233"/>
        <v>1.2727272727272727</v>
      </c>
      <c r="I870" s="75">
        <f t="shared" si="234"/>
        <v>39.397142857142853</v>
      </c>
      <c r="J870" s="76">
        <f t="shared" si="235"/>
        <v>30.954897959183672</v>
      </c>
      <c r="K870" s="90">
        <v>41.14</v>
      </c>
      <c r="L870" s="73">
        <v>11966</v>
      </c>
      <c r="M870" s="73">
        <v>3</v>
      </c>
      <c r="N870" s="91">
        <v>119.91</v>
      </c>
      <c r="O870" s="79">
        <f t="shared" si="269"/>
        <v>0.3430906513218247</v>
      </c>
      <c r="P870" s="80">
        <f t="shared" si="236"/>
        <v>2.9146815751093826</v>
      </c>
      <c r="Q870" s="79">
        <f t="shared" si="237"/>
        <v>7.4588440060918137E-2</v>
      </c>
      <c r="R870" s="81">
        <f t="shared" si="238"/>
        <v>0.21740155196170863</v>
      </c>
      <c r="S870" s="92">
        <f t="shared" si="268"/>
        <v>431.65</v>
      </c>
      <c r="T870" s="83">
        <f t="shared" si="239"/>
        <v>13.713333333333333</v>
      </c>
      <c r="U870" s="84"/>
      <c r="V870" s="84"/>
      <c r="W870" s="84"/>
      <c r="X870" s="84"/>
      <c r="Y870" s="85"/>
      <c r="Z870" s="68"/>
      <c r="AA870" s="68"/>
    </row>
    <row r="871" spans="1:27" ht="12.75" hidden="1" outlineLevel="1" x14ac:dyDescent="0.2">
      <c r="A871" s="68"/>
      <c r="B871" s="69" t="s">
        <v>37</v>
      </c>
      <c r="C871" s="70" t="s">
        <v>38</v>
      </c>
      <c r="D871" s="93">
        <v>654.41</v>
      </c>
      <c r="E871" s="72"/>
      <c r="F871" s="73">
        <v>16</v>
      </c>
      <c r="G871" s="73">
        <v>17</v>
      </c>
      <c r="H871" s="74">
        <f t="shared" si="233"/>
        <v>0.94117647058823528</v>
      </c>
      <c r="I871" s="75">
        <f t="shared" si="234"/>
        <v>40.900624999999998</v>
      </c>
      <c r="J871" s="76">
        <f t="shared" si="235"/>
        <v>43.456914062499997</v>
      </c>
      <c r="K871" s="93">
        <v>49.76</v>
      </c>
      <c r="L871" s="73">
        <v>12426</v>
      </c>
      <c r="M871" s="73">
        <v>4</v>
      </c>
      <c r="N871" s="94">
        <v>89.92</v>
      </c>
      <c r="O871" s="79">
        <f t="shared" si="269"/>
        <v>0.55338078291814941</v>
      </c>
      <c r="P871" s="80">
        <f t="shared" si="236"/>
        <v>1.807073954983923</v>
      </c>
      <c r="Q871" s="79">
        <f t="shared" si="237"/>
        <v>7.6037957855167246E-2</v>
      </c>
      <c r="R871" s="81">
        <f t="shared" si="238"/>
        <v>0.13740621323023794</v>
      </c>
      <c r="S871" s="95">
        <f t="shared" si="268"/>
        <v>564.49</v>
      </c>
      <c r="T871" s="83">
        <f t="shared" si="239"/>
        <v>12.44</v>
      </c>
      <c r="U871" s="84"/>
      <c r="V871" s="84"/>
      <c r="W871" s="84"/>
      <c r="X871" s="84"/>
      <c r="Y871" s="85"/>
      <c r="Z871" s="68"/>
      <c r="AA871" s="68"/>
    </row>
    <row r="872" spans="1:27" ht="12.75" hidden="1" outlineLevel="1" x14ac:dyDescent="0.2">
      <c r="A872" s="68"/>
      <c r="B872" s="86"/>
      <c r="C872" s="70" t="s">
        <v>39</v>
      </c>
      <c r="D872" s="96">
        <v>0</v>
      </c>
      <c r="E872" s="72"/>
      <c r="F872" s="73">
        <v>0</v>
      </c>
      <c r="G872" s="73">
        <v>0</v>
      </c>
      <c r="H872" s="74" t="e">
        <f t="shared" si="233"/>
        <v>#DIV/0!</v>
      </c>
      <c r="I872" s="75" t="e">
        <f t="shared" si="234"/>
        <v>#DIV/0!</v>
      </c>
      <c r="J872" s="76" t="e">
        <f t="shared" si="235"/>
        <v>#DIV/0!</v>
      </c>
      <c r="K872" s="96">
        <v>0</v>
      </c>
      <c r="L872" s="73">
        <v>0</v>
      </c>
      <c r="M872" s="73">
        <v>0</v>
      </c>
      <c r="N872" s="97">
        <v>0</v>
      </c>
      <c r="O872" s="79" t="e">
        <f t="shared" si="269"/>
        <v>#DIV/0!</v>
      </c>
      <c r="P872" s="80" t="e">
        <f t="shared" si="236"/>
        <v>#DIV/0!</v>
      </c>
      <c r="Q872" s="79" t="e">
        <f t="shared" si="237"/>
        <v>#DIV/0!</v>
      </c>
      <c r="R872" s="81" t="e">
        <f t="shared" si="238"/>
        <v>#DIV/0!</v>
      </c>
      <c r="S872" s="98">
        <f t="shared" si="268"/>
        <v>0</v>
      </c>
      <c r="T872" s="83" t="e">
        <f t="shared" si="239"/>
        <v>#DIV/0!</v>
      </c>
      <c r="U872" s="84"/>
      <c r="V872" s="84"/>
      <c r="W872" s="84"/>
      <c r="X872" s="84"/>
      <c r="Y872" s="85"/>
      <c r="Z872" s="68"/>
      <c r="AA872" s="68"/>
    </row>
    <row r="873" spans="1:27" ht="12.75" hidden="1" outlineLevel="1" x14ac:dyDescent="0.2">
      <c r="A873" s="68"/>
      <c r="B873" s="86"/>
      <c r="C873" s="70" t="s">
        <v>40</v>
      </c>
      <c r="D873" s="99">
        <v>0</v>
      </c>
      <c r="E873" s="72"/>
      <c r="F873" s="73">
        <v>0</v>
      </c>
      <c r="G873" s="73">
        <v>0</v>
      </c>
      <c r="H873" s="74" t="e">
        <f t="shared" si="233"/>
        <v>#DIV/0!</v>
      </c>
      <c r="I873" s="75" t="e">
        <f t="shared" si="234"/>
        <v>#DIV/0!</v>
      </c>
      <c r="J873" s="76" t="e">
        <f t="shared" si="235"/>
        <v>#DIV/0!</v>
      </c>
      <c r="K873" s="99">
        <v>0</v>
      </c>
      <c r="L873" s="73">
        <v>0</v>
      </c>
      <c r="M873" s="73">
        <v>0</v>
      </c>
      <c r="N873" s="100">
        <v>0</v>
      </c>
      <c r="O873" s="79" t="e">
        <f t="shared" si="269"/>
        <v>#DIV/0!</v>
      </c>
      <c r="P873" s="80" t="e">
        <f t="shared" si="236"/>
        <v>#DIV/0!</v>
      </c>
      <c r="Q873" s="79" t="e">
        <f t="shared" si="237"/>
        <v>#DIV/0!</v>
      </c>
      <c r="R873" s="81" t="e">
        <f t="shared" si="238"/>
        <v>#DIV/0!</v>
      </c>
      <c r="S873" s="101">
        <f t="shared" si="268"/>
        <v>0</v>
      </c>
      <c r="T873" s="83" t="e">
        <f t="shared" si="239"/>
        <v>#DIV/0!</v>
      </c>
      <c r="U873" s="84"/>
      <c r="V873" s="84"/>
      <c r="W873" s="84"/>
      <c r="X873" s="84"/>
      <c r="Y873" s="85"/>
      <c r="Z873" s="68"/>
      <c r="AA873" s="68"/>
    </row>
    <row r="874" spans="1:27" ht="12.75" hidden="1" outlineLevel="1" x14ac:dyDescent="0.2">
      <c r="A874" s="68"/>
      <c r="B874" s="86"/>
      <c r="C874" s="70" t="s">
        <v>41</v>
      </c>
      <c r="D874" s="102">
        <v>3504.03</v>
      </c>
      <c r="E874" s="72"/>
      <c r="F874" s="73">
        <v>79</v>
      </c>
      <c r="G874" s="73">
        <v>58</v>
      </c>
      <c r="H874" s="74">
        <f t="shared" si="233"/>
        <v>1.3620689655172413</v>
      </c>
      <c r="I874" s="75">
        <f t="shared" si="234"/>
        <v>44.354810126582279</v>
      </c>
      <c r="J874" s="76">
        <f t="shared" si="235"/>
        <v>32.564290979009776</v>
      </c>
      <c r="K874" s="102">
        <v>586.67999999999995</v>
      </c>
      <c r="L874" s="73">
        <v>37948</v>
      </c>
      <c r="M874" s="73">
        <v>25</v>
      </c>
      <c r="N874" s="103">
        <v>1499.48</v>
      </c>
      <c r="O874" s="79">
        <f t="shared" si="269"/>
        <v>0.39125563528689944</v>
      </c>
      <c r="P874" s="80">
        <f t="shared" si="236"/>
        <v>2.5558737301424972</v>
      </c>
      <c r="Q874" s="79">
        <f t="shared" si="237"/>
        <v>0.16743007337265944</v>
      </c>
      <c r="R874" s="81">
        <f t="shared" si="238"/>
        <v>0.4279301261690111</v>
      </c>
      <c r="S874" s="104">
        <f t="shared" si="268"/>
        <v>2004.5500000000002</v>
      </c>
      <c r="T874" s="83">
        <f t="shared" si="239"/>
        <v>23.467199999999998</v>
      </c>
      <c r="U874" s="84"/>
      <c r="V874" s="84"/>
      <c r="W874" s="84"/>
      <c r="X874" s="84"/>
      <c r="Y874" s="85"/>
      <c r="Z874" s="68"/>
      <c r="AA874" s="68"/>
    </row>
    <row r="875" spans="1:27" ht="12.75" hidden="1" outlineLevel="1" x14ac:dyDescent="0.2">
      <c r="A875" s="68"/>
      <c r="B875" s="86"/>
      <c r="C875" s="70" t="s">
        <v>42</v>
      </c>
      <c r="D875" s="90">
        <v>69.92</v>
      </c>
      <c r="E875" s="72"/>
      <c r="F875" s="73">
        <v>4</v>
      </c>
      <c r="G875" s="73">
        <v>4</v>
      </c>
      <c r="H875" s="74">
        <f t="shared" si="233"/>
        <v>1</v>
      </c>
      <c r="I875" s="75">
        <f t="shared" si="234"/>
        <v>17.48</v>
      </c>
      <c r="J875" s="76">
        <f t="shared" si="235"/>
        <v>17.48</v>
      </c>
      <c r="K875" s="90">
        <v>107.2</v>
      </c>
      <c r="L875" s="73">
        <v>37986</v>
      </c>
      <c r="M875" s="73">
        <v>3</v>
      </c>
      <c r="N875" s="91">
        <v>59.97</v>
      </c>
      <c r="O875" s="79">
        <f t="shared" si="269"/>
        <v>1.7875604468901118</v>
      </c>
      <c r="P875" s="80">
        <f t="shared" si="236"/>
        <v>0.5594216417910447</v>
      </c>
      <c r="Q875" s="79">
        <f t="shared" si="237"/>
        <v>1.5331807780320366</v>
      </c>
      <c r="R875" s="81">
        <f t="shared" si="238"/>
        <v>0.85769450800915326</v>
      </c>
      <c r="S875" s="92">
        <f t="shared" si="268"/>
        <v>9.9500000000000028</v>
      </c>
      <c r="T875" s="83">
        <f t="shared" si="239"/>
        <v>35.733333333333334</v>
      </c>
      <c r="U875" s="84"/>
      <c r="V875" s="84"/>
      <c r="W875" s="84"/>
      <c r="X875" s="84"/>
      <c r="Y875" s="85"/>
      <c r="Z875" s="68"/>
      <c r="AA875" s="68"/>
    </row>
    <row r="876" spans="1:27" ht="12.75" hidden="1" outlineLevel="1" x14ac:dyDescent="0.2">
      <c r="A876" s="68"/>
      <c r="B876" s="86"/>
      <c r="C876" s="70" t="s">
        <v>43</v>
      </c>
      <c r="D876" s="105">
        <v>4789.59</v>
      </c>
      <c r="E876" s="72"/>
      <c r="F876" s="73">
        <v>43</v>
      </c>
      <c r="G876" s="73">
        <v>42</v>
      </c>
      <c r="H876" s="74">
        <f t="shared" si="233"/>
        <v>1.0238095238095237</v>
      </c>
      <c r="I876" s="75">
        <f t="shared" si="234"/>
        <v>111.38581395348838</v>
      </c>
      <c r="J876" s="76">
        <f t="shared" si="235"/>
        <v>108.79544618712819</v>
      </c>
      <c r="K876" s="105">
        <v>77.52</v>
      </c>
      <c r="L876" s="73">
        <v>15141</v>
      </c>
      <c r="M876" s="73">
        <v>3</v>
      </c>
      <c r="N876" s="106">
        <v>146.22</v>
      </c>
      <c r="O876" s="79">
        <f t="shared" si="269"/>
        <v>0.53016003282724655</v>
      </c>
      <c r="P876" s="80">
        <f t="shared" si="236"/>
        <v>1.8862229102167183</v>
      </c>
      <c r="Q876" s="79">
        <f t="shared" si="237"/>
        <v>1.6185101438745277E-2</v>
      </c>
      <c r="R876" s="81">
        <f t="shared" si="238"/>
        <v>3.0528709137942912E-2</v>
      </c>
      <c r="S876" s="107">
        <f t="shared" si="268"/>
        <v>4643.37</v>
      </c>
      <c r="T876" s="83">
        <f t="shared" si="239"/>
        <v>25.84</v>
      </c>
      <c r="U876" s="84"/>
      <c r="V876" s="84"/>
      <c r="W876" s="84"/>
      <c r="X876" s="84"/>
      <c r="Y876" s="85"/>
      <c r="Z876" s="68"/>
      <c r="AA876" s="68"/>
    </row>
    <row r="877" spans="1:27" ht="12.75" hidden="1" outlineLevel="1" x14ac:dyDescent="0.2">
      <c r="A877" s="68"/>
      <c r="B877" s="86"/>
      <c r="C877" s="70" t="s">
        <v>44</v>
      </c>
      <c r="D877" s="108">
        <v>317.77</v>
      </c>
      <c r="E877" s="72"/>
      <c r="F877" s="73">
        <v>9</v>
      </c>
      <c r="G877" s="73">
        <v>8</v>
      </c>
      <c r="H877" s="74">
        <f t="shared" si="233"/>
        <v>1.125</v>
      </c>
      <c r="I877" s="75">
        <f t="shared" si="234"/>
        <v>35.307777777777773</v>
      </c>
      <c r="J877" s="76">
        <f t="shared" si="235"/>
        <v>31.384691358024686</v>
      </c>
      <c r="K877" s="108">
        <v>92.06</v>
      </c>
      <c r="L877" s="73">
        <v>31307</v>
      </c>
      <c r="M877" s="73">
        <v>3</v>
      </c>
      <c r="N877" s="109">
        <v>128.91999999999999</v>
      </c>
      <c r="O877" s="79">
        <f t="shared" si="269"/>
        <v>0.7140862550418865</v>
      </c>
      <c r="P877" s="80">
        <f t="shared" si="236"/>
        <v>1.4003910493156635</v>
      </c>
      <c r="Q877" s="79">
        <f t="shared" si="237"/>
        <v>0.28970639141517451</v>
      </c>
      <c r="R877" s="81">
        <f t="shared" si="238"/>
        <v>0.40570223746735057</v>
      </c>
      <c r="S877" s="110">
        <f t="shared" si="268"/>
        <v>188.85</v>
      </c>
      <c r="T877" s="83">
        <f t="shared" si="239"/>
        <v>30.686666666666667</v>
      </c>
      <c r="U877" s="84"/>
      <c r="V877" s="84"/>
      <c r="W877" s="84"/>
      <c r="X877" s="84"/>
      <c r="Y877" s="85"/>
      <c r="Z877" s="68"/>
      <c r="AA877" s="68"/>
    </row>
    <row r="878" spans="1:27" ht="12.75" hidden="1" outlineLevel="1" x14ac:dyDescent="0.2">
      <c r="A878" s="111"/>
      <c r="B878" s="86"/>
      <c r="C878" s="112" t="s">
        <v>45</v>
      </c>
      <c r="D878" s="71">
        <v>0</v>
      </c>
      <c r="E878" s="72"/>
      <c r="F878" s="73">
        <v>0</v>
      </c>
      <c r="G878" s="73">
        <v>0</v>
      </c>
      <c r="H878" s="74" t="e">
        <f t="shared" si="233"/>
        <v>#DIV/0!</v>
      </c>
      <c r="I878" s="75" t="e">
        <f t="shared" si="234"/>
        <v>#DIV/0!</v>
      </c>
      <c r="J878" s="76" t="e">
        <f t="shared" si="235"/>
        <v>#DIV/0!</v>
      </c>
      <c r="K878" s="71">
        <v>0</v>
      </c>
      <c r="L878" s="73">
        <v>0</v>
      </c>
      <c r="M878" s="73">
        <v>0</v>
      </c>
      <c r="N878" s="78">
        <v>0</v>
      </c>
      <c r="O878" s="79" t="e">
        <f t="shared" si="269"/>
        <v>#DIV/0!</v>
      </c>
      <c r="P878" s="80" t="e">
        <f t="shared" si="236"/>
        <v>#DIV/0!</v>
      </c>
      <c r="Q878" s="79" t="e">
        <f t="shared" si="237"/>
        <v>#DIV/0!</v>
      </c>
      <c r="R878" s="81" t="e">
        <f t="shared" si="238"/>
        <v>#DIV/0!</v>
      </c>
      <c r="S878" s="82">
        <f t="shared" si="268"/>
        <v>0</v>
      </c>
      <c r="T878" s="83" t="e">
        <f t="shared" si="239"/>
        <v>#DIV/0!</v>
      </c>
      <c r="U878" s="113"/>
      <c r="V878" s="113"/>
      <c r="W878" s="113"/>
      <c r="X878" s="114"/>
      <c r="Y878" s="115"/>
      <c r="Z878" s="68"/>
      <c r="AA878" s="68"/>
    </row>
    <row r="879" spans="1:27" ht="12.75" hidden="1" outlineLevel="1" x14ac:dyDescent="0.2">
      <c r="A879" s="68"/>
      <c r="B879" s="86"/>
      <c r="C879" s="70" t="s">
        <v>46</v>
      </c>
      <c r="D879" s="116">
        <v>2299.1999999999998</v>
      </c>
      <c r="E879" s="72"/>
      <c r="F879" s="73">
        <v>66</v>
      </c>
      <c r="G879" s="73">
        <v>63</v>
      </c>
      <c r="H879" s="74">
        <f t="shared" si="233"/>
        <v>1.0476190476190477</v>
      </c>
      <c r="I879" s="75">
        <f t="shared" si="234"/>
        <v>34.836363636363636</v>
      </c>
      <c r="J879" s="76">
        <f t="shared" si="235"/>
        <v>33.252892561983472</v>
      </c>
      <c r="K879" s="116">
        <v>177.1</v>
      </c>
      <c r="L879" s="73">
        <v>25398</v>
      </c>
      <c r="M879" s="73">
        <v>21</v>
      </c>
      <c r="N879" s="117">
        <v>579.74</v>
      </c>
      <c r="O879" s="79">
        <f t="shared" si="269"/>
        <v>0.30548176768896401</v>
      </c>
      <c r="P879" s="80">
        <f t="shared" si="236"/>
        <v>3.273517786561265</v>
      </c>
      <c r="Q879" s="79">
        <f t="shared" si="237"/>
        <v>7.7026791927627E-2</v>
      </c>
      <c r="R879" s="81">
        <f t="shared" si="238"/>
        <v>0.25214857341684066</v>
      </c>
      <c r="S879" s="82">
        <f t="shared" si="268"/>
        <v>1719.4599999999998</v>
      </c>
      <c r="T879" s="83">
        <f t="shared" si="239"/>
        <v>8.4333333333333336</v>
      </c>
      <c r="U879" s="84"/>
      <c r="V879" s="84"/>
      <c r="W879" s="84"/>
      <c r="X879" s="84"/>
      <c r="Y879" s="85"/>
      <c r="Z879" s="68"/>
      <c r="AA879" s="68"/>
    </row>
    <row r="880" spans="1:27" ht="12.75" hidden="1" outlineLevel="1" x14ac:dyDescent="0.2">
      <c r="A880" s="68"/>
      <c r="B880" s="86"/>
      <c r="C880" s="70" t="s">
        <v>47</v>
      </c>
      <c r="D880" s="87">
        <v>149.75</v>
      </c>
      <c r="E880" s="72"/>
      <c r="F880" s="73">
        <v>5</v>
      </c>
      <c r="G880" s="73">
        <v>2</v>
      </c>
      <c r="H880" s="74">
        <f t="shared" si="233"/>
        <v>2.5</v>
      </c>
      <c r="I880" s="75">
        <f t="shared" si="234"/>
        <v>29.95</v>
      </c>
      <c r="J880" s="76">
        <f t="shared" si="235"/>
        <v>11.98</v>
      </c>
      <c r="K880" s="87">
        <v>0</v>
      </c>
      <c r="L880" s="73">
        <v>0</v>
      </c>
      <c r="M880" s="73">
        <v>0</v>
      </c>
      <c r="N880" s="88">
        <v>0</v>
      </c>
      <c r="O880" s="79" t="e">
        <f t="shared" si="269"/>
        <v>#DIV/0!</v>
      </c>
      <c r="P880" s="80" t="e">
        <f t="shared" si="236"/>
        <v>#DIV/0!</v>
      </c>
      <c r="Q880" s="79">
        <f t="shared" si="237"/>
        <v>0</v>
      </c>
      <c r="R880" s="81">
        <f t="shared" si="238"/>
        <v>0</v>
      </c>
      <c r="S880" s="82">
        <f t="shared" si="268"/>
        <v>149.75</v>
      </c>
      <c r="T880" s="83" t="e">
        <f t="shared" si="239"/>
        <v>#DIV/0!</v>
      </c>
      <c r="U880" s="84"/>
      <c r="V880" s="84"/>
      <c r="W880" s="84"/>
      <c r="X880" s="84"/>
      <c r="Y880" s="85"/>
      <c r="Z880" s="68"/>
      <c r="AA880" s="68"/>
    </row>
    <row r="881" spans="1:27" ht="12.75" hidden="1" outlineLevel="1" x14ac:dyDescent="0.2">
      <c r="A881" s="68"/>
      <c r="B881" s="86"/>
      <c r="C881" s="70" t="s">
        <v>48</v>
      </c>
      <c r="D881" s="102">
        <v>6311.75</v>
      </c>
      <c r="E881" s="72"/>
      <c r="F881" s="73">
        <v>43</v>
      </c>
      <c r="G881" s="73">
        <v>43</v>
      </c>
      <c r="H881" s="74">
        <f t="shared" si="233"/>
        <v>1</v>
      </c>
      <c r="I881" s="75">
        <f t="shared" si="234"/>
        <v>146.78488372093022</v>
      </c>
      <c r="J881" s="76">
        <f t="shared" si="235"/>
        <v>146.78488372093022</v>
      </c>
      <c r="K881" s="102">
        <v>718.92</v>
      </c>
      <c r="L881" s="73">
        <v>39216</v>
      </c>
      <c r="M881" s="73">
        <v>15</v>
      </c>
      <c r="N881" s="103">
        <v>2033.55</v>
      </c>
      <c r="O881" s="79">
        <f t="shared" si="269"/>
        <v>0.35352954193405617</v>
      </c>
      <c r="P881" s="80">
        <f t="shared" si="236"/>
        <v>2.8286179268903355</v>
      </c>
      <c r="Q881" s="79">
        <f t="shared" si="237"/>
        <v>0.11390184972471976</v>
      </c>
      <c r="R881" s="81">
        <f t="shared" si="238"/>
        <v>0.32218481403731136</v>
      </c>
      <c r="S881" s="82">
        <f t="shared" si="268"/>
        <v>4278.2</v>
      </c>
      <c r="T881" s="83">
        <f t="shared" si="239"/>
        <v>47.927999999999997</v>
      </c>
      <c r="U881" s="84"/>
      <c r="V881" s="84"/>
      <c r="W881" s="84"/>
      <c r="X881" s="84"/>
      <c r="Y881" s="85"/>
      <c r="Z881" s="68"/>
      <c r="AA881" s="68"/>
    </row>
    <row r="882" spans="1:27" ht="12.75" hidden="1" outlineLevel="1" x14ac:dyDescent="0.2">
      <c r="A882" s="118" t="str">
        <f t="shared" ref="A882:A883" si="270">IFERROR(IF(B882&gt;0,MONTH(B882)&amp;"-"&amp;YEAR(B882),B882),)</f>
        <v>11-2025</v>
      </c>
      <c r="B882" s="69">
        <v>45990</v>
      </c>
      <c r="C882" s="70" t="s">
        <v>49</v>
      </c>
      <c r="D882" s="116">
        <v>81.75</v>
      </c>
      <c r="E882" s="72"/>
      <c r="F882" s="73">
        <v>1</v>
      </c>
      <c r="G882" s="73">
        <v>1</v>
      </c>
      <c r="H882" s="74">
        <f t="shared" si="233"/>
        <v>1</v>
      </c>
      <c r="I882" s="75">
        <f t="shared" si="234"/>
        <v>81.75</v>
      </c>
      <c r="J882" s="76">
        <f t="shared" si="235"/>
        <v>81.75</v>
      </c>
      <c r="K882" s="116">
        <v>15.9</v>
      </c>
      <c r="L882" s="73">
        <v>9569</v>
      </c>
      <c r="M882" s="73">
        <v>0</v>
      </c>
      <c r="N882" s="117">
        <v>0</v>
      </c>
      <c r="O882" s="79" t="e">
        <f t="shared" si="269"/>
        <v>#DIV/0!</v>
      </c>
      <c r="P882" s="80">
        <f t="shared" si="236"/>
        <v>0</v>
      </c>
      <c r="Q882" s="79">
        <f t="shared" si="237"/>
        <v>0.19449541284403671</v>
      </c>
      <c r="R882" s="81">
        <f t="shared" si="238"/>
        <v>0</v>
      </c>
      <c r="S882" s="82">
        <f t="shared" si="268"/>
        <v>81.75</v>
      </c>
      <c r="T882" s="83" t="e">
        <f t="shared" si="239"/>
        <v>#DIV/0!</v>
      </c>
      <c r="U882" s="84"/>
      <c r="V882" s="84"/>
      <c r="W882" s="84"/>
      <c r="X882" s="84"/>
      <c r="Y882" s="85"/>
      <c r="Z882" s="68"/>
      <c r="AA882" s="68"/>
    </row>
    <row r="883" spans="1:27" ht="12.75" collapsed="1" x14ac:dyDescent="0.2">
      <c r="A883" s="68">
        <f t="shared" si="270"/>
        <v>0</v>
      </c>
      <c r="B883" s="52" t="s">
        <v>106</v>
      </c>
      <c r="C883" s="120"/>
      <c r="D883" s="121">
        <f>SUM(D866:D882)</f>
        <v>90697.199999999983</v>
      </c>
      <c r="E883" s="122"/>
      <c r="F883" s="123">
        <f t="shared" ref="F883:G883" si="271">SUM(F866:F882)</f>
        <v>574</v>
      </c>
      <c r="G883" s="123">
        <f t="shared" si="271"/>
        <v>539</v>
      </c>
      <c r="H883" s="124">
        <f t="shared" si="233"/>
        <v>1.0649350649350648</v>
      </c>
      <c r="I883" s="125">
        <f t="shared" si="234"/>
        <v>158.00905923344945</v>
      </c>
      <c r="J883" s="126">
        <f t="shared" si="235"/>
        <v>148.37436049970253</v>
      </c>
      <c r="K883" s="121">
        <f t="shared" ref="K883:N883" si="272">SUM(K866:K882)</f>
        <v>7312.8900000000021</v>
      </c>
      <c r="L883" s="123">
        <f t="shared" si="272"/>
        <v>3031372</v>
      </c>
      <c r="M883" s="123">
        <f t="shared" si="272"/>
        <v>182</v>
      </c>
      <c r="N883" s="127">
        <f t="shared" si="272"/>
        <v>19790.57</v>
      </c>
      <c r="O883" s="128">
        <f t="shared" si="269"/>
        <v>0.36951386443139345</v>
      </c>
      <c r="P883" s="129">
        <f t="shared" si="236"/>
        <v>2.7062584012613335</v>
      </c>
      <c r="Q883" s="128">
        <f t="shared" si="237"/>
        <v>8.062972175546769E-2</v>
      </c>
      <c r="R883" s="130">
        <f t="shared" si="238"/>
        <v>0.21820486189209815</v>
      </c>
      <c r="S883" s="131">
        <f>SUM(S866:S882)</f>
        <v>70906.63</v>
      </c>
      <c r="T883" s="132">
        <f t="shared" si="239"/>
        <v>40.180714285714295</v>
      </c>
      <c r="U883" s="133">
        <f>IFERROR((D883-D246)/D883,)</f>
        <v>0.9164106499428869</v>
      </c>
      <c r="V883" s="133">
        <f>IFERROR((F883-F246)/F883,)</f>
        <v>0.83623693379790942</v>
      </c>
      <c r="W883" s="134">
        <f>IFERROR((D883-[1]monthly_reporting_2021!E674)/D883, )</f>
        <v>0</v>
      </c>
      <c r="X883" s="134">
        <f>IFERROR((F883-[1]monthly_reporting_2021!F674)/F883, )</f>
        <v>0</v>
      </c>
      <c r="Y883" s="68"/>
      <c r="Z883" s="68"/>
      <c r="AA883" s="68"/>
    </row>
    <row r="884" spans="1:27" ht="12.75" outlineLevel="1" x14ac:dyDescent="0.2">
      <c r="A884" s="68"/>
      <c r="B884" s="69">
        <v>45991</v>
      </c>
      <c r="C884" s="70" t="s">
        <v>32</v>
      </c>
      <c r="D884" s="71">
        <v>13062.62</v>
      </c>
      <c r="E884" s="72"/>
      <c r="F884" s="73">
        <v>52</v>
      </c>
      <c r="G884" s="73">
        <v>48</v>
      </c>
      <c r="H884" s="74">
        <f t="shared" si="233"/>
        <v>1.0833333333333333</v>
      </c>
      <c r="I884" s="75">
        <f t="shared" si="234"/>
        <v>251.20423076923078</v>
      </c>
      <c r="J884" s="76">
        <f t="shared" si="235"/>
        <v>231.88082840236689</v>
      </c>
      <c r="K884" s="77">
        <v>3476.06</v>
      </c>
      <c r="L884" s="73">
        <v>789555</v>
      </c>
      <c r="M884" s="73">
        <v>25</v>
      </c>
      <c r="N884" s="78">
        <v>5744.61</v>
      </c>
      <c r="O884" s="79">
        <f t="shared" si="269"/>
        <v>0.6050993888183881</v>
      </c>
      <c r="P884" s="80">
        <f t="shared" si="236"/>
        <v>1.6526210709826643</v>
      </c>
      <c r="Q884" s="79">
        <f t="shared" si="237"/>
        <v>0.26610741183621661</v>
      </c>
      <c r="R884" s="81">
        <f t="shared" si="238"/>
        <v>0.43977471594519318</v>
      </c>
      <c r="S884" s="82">
        <f t="shared" ref="S884:S900" si="273">D884-N884</f>
        <v>7318.0100000000011</v>
      </c>
      <c r="T884" s="83">
        <f t="shared" si="239"/>
        <v>139.04239999999999</v>
      </c>
      <c r="U884" s="84"/>
      <c r="V884" s="84"/>
      <c r="W884" s="84"/>
      <c r="X884" s="84"/>
      <c r="Y884" s="85"/>
      <c r="Z884" s="68"/>
      <c r="AA884" s="68"/>
    </row>
    <row r="885" spans="1:27" ht="12.75" outlineLevel="1" x14ac:dyDescent="0.2">
      <c r="A885" s="68"/>
      <c r="B885" s="86"/>
      <c r="C885" s="70" t="s">
        <v>33</v>
      </c>
      <c r="D885" s="87">
        <v>46091.89</v>
      </c>
      <c r="E885" s="72"/>
      <c r="F885" s="73">
        <v>185</v>
      </c>
      <c r="G885" s="73">
        <v>189</v>
      </c>
      <c r="H885" s="74">
        <f t="shared" si="233"/>
        <v>0.97883597883597884</v>
      </c>
      <c r="I885" s="75">
        <f t="shared" si="234"/>
        <v>249.14535135135134</v>
      </c>
      <c r="J885" s="76">
        <f t="shared" si="235"/>
        <v>254.53227786705622</v>
      </c>
      <c r="K885" s="87">
        <v>1711.79</v>
      </c>
      <c r="L885" s="73">
        <v>2002846</v>
      </c>
      <c r="M885" s="73">
        <v>63</v>
      </c>
      <c r="N885" s="88">
        <v>8752.7800000000007</v>
      </c>
      <c r="O885" s="79">
        <f t="shared" si="269"/>
        <v>0.1955710071542984</v>
      </c>
      <c r="P885" s="80">
        <f t="shared" si="236"/>
        <v>5.1132323474257948</v>
      </c>
      <c r="Q885" s="79">
        <f t="shared" si="237"/>
        <v>3.7138637621499139E-2</v>
      </c>
      <c r="R885" s="81">
        <f t="shared" si="238"/>
        <v>0.18989848322557398</v>
      </c>
      <c r="S885" s="89">
        <f t="shared" si="273"/>
        <v>37339.11</v>
      </c>
      <c r="T885" s="83">
        <f t="shared" si="239"/>
        <v>27.17126984126984</v>
      </c>
      <c r="U885" s="84"/>
      <c r="V885" s="84"/>
      <c r="W885" s="84"/>
      <c r="X885" s="84"/>
      <c r="Y885" s="85"/>
      <c r="Z885" s="68"/>
      <c r="AA885" s="68"/>
    </row>
    <row r="886" spans="1:27" ht="12.75" outlineLevel="1" x14ac:dyDescent="0.2">
      <c r="A886" s="68"/>
      <c r="B886" s="86"/>
      <c r="C886" s="70" t="s">
        <v>34</v>
      </c>
      <c r="D886" s="90">
        <v>69.95</v>
      </c>
      <c r="E886" s="72"/>
      <c r="F886" s="73">
        <v>1</v>
      </c>
      <c r="G886" s="73">
        <v>1</v>
      </c>
      <c r="H886" s="74">
        <f t="shared" si="233"/>
        <v>1</v>
      </c>
      <c r="I886" s="75">
        <f t="shared" si="234"/>
        <v>69.95</v>
      </c>
      <c r="J886" s="76">
        <f t="shared" si="235"/>
        <v>69.95</v>
      </c>
      <c r="K886" s="90">
        <v>0</v>
      </c>
      <c r="L886" s="73">
        <v>229</v>
      </c>
      <c r="M886" s="73">
        <v>0</v>
      </c>
      <c r="N886" s="91">
        <v>0</v>
      </c>
      <c r="O886" s="79" t="e">
        <f>(K886/N886)</f>
        <v>#DIV/0!</v>
      </c>
      <c r="P886" s="80" t="e">
        <f t="shared" si="236"/>
        <v>#DIV/0!</v>
      </c>
      <c r="Q886" s="79">
        <f t="shared" si="237"/>
        <v>0</v>
      </c>
      <c r="R886" s="81">
        <f t="shared" si="238"/>
        <v>0</v>
      </c>
      <c r="S886" s="92">
        <f t="shared" si="273"/>
        <v>69.95</v>
      </c>
      <c r="T886" s="83" t="e">
        <f t="shared" si="239"/>
        <v>#DIV/0!</v>
      </c>
      <c r="U886" s="84"/>
      <c r="V886" s="84"/>
      <c r="W886" s="84"/>
      <c r="X886" s="84"/>
      <c r="Y886" s="85"/>
      <c r="Z886" s="68"/>
      <c r="AA886" s="68"/>
    </row>
    <row r="887" spans="1:27" ht="12.75" outlineLevel="1" x14ac:dyDescent="0.2">
      <c r="A887" s="68"/>
      <c r="B887" s="86"/>
      <c r="C887" s="70" t="s">
        <v>35</v>
      </c>
      <c r="D887" s="90">
        <v>926.27</v>
      </c>
      <c r="E887" s="72"/>
      <c r="F887" s="73">
        <v>19</v>
      </c>
      <c r="G887" s="73">
        <v>15</v>
      </c>
      <c r="H887" s="74">
        <f t="shared" si="233"/>
        <v>1.2666666666666666</v>
      </c>
      <c r="I887" s="75">
        <f t="shared" si="234"/>
        <v>48.751052631578943</v>
      </c>
      <c r="J887" s="76">
        <f t="shared" si="235"/>
        <v>38.487673130193905</v>
      </c>
      <c r="K887" s="90">
        <v>258.76</v>
      </c>
      <c r="L887" s="73">
        <v>17785</v>
      </c>
      <c r="M887" s="73">
        <v>17</v>
      </c>
      <c r="N887" s="91">
        <v>635.47</v>
      </c>
      <c r="O887" s="79">
        <f t="shared" ref="O887:O903" si="274">K887/N887</f>
        <v>0.40719467480762267</v>
      </c>
      <c r="P887" s="80">
        <f t="shared" si="236"/>
        <v>2.4558277940949145</v>
      </c>
      <c r="Q887" s="79">
        <f t="shared" si="237"/>
        <v>0.27935699094216587</v>
      </c>
      <c r="R887" s="81">
        <f t="shared" si="238"/>
        <v>0.68605266283049227</v>
      </c>
      <c r="S887" s="92">
        <f t="shared" si="273"/>
        <v>290.79999999999995</v>
      </c>
      <c r="T887" s="83">
        <f t="shared" si="239"/>
        <v>15.221176470588235</v>
      </c>
      <c r="U887" s="84"/>
      <c r="V887" s="84"/>
      <c r="W887" s="84"/>
      <c r="X887" s="84"/>
      <c r="Y887" s="85"/>
      <c r="Z887" s="68"/>
      <c r="AA887" s="68"/>
    </row>
    <row r="888" spans="1:27" ht="12.75" outlineLevel="1" x14ac:dyDescent="0.2">
      <c r="A888" s="68"/>
      <c r="B888" s="86"/>
      <c r="C888" s="70" t="s">
        <v>36</v>
      </c>
      <c r="D888" s="90">
        <v>688.46</v>
      </c>
      <c r="E888" s="72"/>
      <c r="F888" s="73">
        <v>14</v>
      </c>
      <c r="G888" s="73">
        <v>13</v>
      </c>
      <c r="H888" s="74">
        <f t="shared" si="233"/>
        <v>1.0769230769230769</v>
      </c>
      <c r="I888" s="75">
        <f t="shared" si="234"/>
        <v>49.175714285714285</v>
      </c>
      <c r="J888" s="76">
        <f t="shared" si="235"/>
        <v>45.663163265306125</v>
      </c>
      <c r="K888" s="90">
        <v>41.14</v>
      </c>
      <c r="L888" s="73">
        <v>11966</v>
      </c>
      <c r="M888" s="73">
        <v>3</v>
      </c>
      <c r="N888" s="91">
        <v>119.91</v>
      </c>
      <c r="O888" s="79">
        <f t="shared" si="274"/>
        <v>0.3430906513218247</v>
      </c>
      <c r="P888" s="80">
        <f t="shared" si="236"/>
        <v>2.9146815751093826</v>
      </c>
      <c r="Q888" s="79">
        <f t="shared" si="237"/>
        <v>5.9756558115213666E-2</v>
      </c>
      <c r="R888" s="81">
        <f t="shared" si="238"/>
        <v>0.17417133893036632</v>
      </c>
      <c r="S888" s="92">
        <f t="shared" si="273"/>
        <v>568.55000000000007</v>
      </c>
      <c r="T888" s="83">
        <f t="shared" si="239"/>
        <v>13.713333333333333</v>
      </c>
      <c r="U888" s="84"/>
      <c r="V888" s="84"/>
      <c r="W888" s="84"/>
      <c r="X888" s="84"/>
      <c r="Y888" s="85"/>
      <c r="Z888" s="68"/>
      <c r="AA888" s="68"/>
    </row>
    <row r="889" spans="1:27" ht="12.75" outlineLevel="1" x14ac:dyDescent="0.2">
      <c r="A889" s="68"/>
      <c r="B889" s="69" t="s">
        <v>37</v>
      </c>
      <c r="C889" s="70" t="s">
        <v>38</v>
      </c>
      <c r="D889" s="93">
        <v>919.9</v>
      </c>
      <c r="E889" s="72"/>
      <c r="F889" s="73">
        <v>21</v>
      </c>
      <c r="G889" s="73">
        <v>20</v>
      </c>
      <c r="H889" s="74">
        <f t="shared" si="233"/>
        <v>1.05</v>
      </c>
      <c r="I889" s="75">
        <f t="shared" si="234"/>
        <v>43.804761904761904</v>
      </c>
      <c r="J889" s="76">
        <f t="shared" si="235"/>
        <v>41.718820861678005</v>
      </c>
      <c r="K889" s="93">
        <v>49.76</v>
      </c>
      <c r="L889" s="73">
        <v>12426</v>
      </c>
      <c r="M889" s="73">
        <v>4</v>
      </c>
      <c r="N889" s="94">
        <v>89.92</v>
      </c>
      <c r="O889" s="79">
        <f t="shared" si="274"/>
        <v>0.55338078291814941</v>
      </c>
      <c r="P889" s="80">
        <f t="shared" si="236"/>
        <v>1.807073954983923</v>
      </c>
      <c r="Q889" s="79">
        <f t="shared" si="237"/>
        <v>5.4092836177845417E-2</v>
      </c>
      <c r="R889" s="81">
        <f t="shared" si="238"/>
        <v>9.7749755408196554E-2</v>
      </c>
      <c r="S889" s="95">
        <f t="shared" si="273"/>
        <v>829.98</v>
      </c>
      <c r="T889" s="83">
        <f t="shared" si="239"/>
        <v>12.44</v>
      </c>
      <c r="U889" s="84"/>
      <c r="V889" s="84"/>
      <c r="W889" s="84"/>
      <c r="X889" s="84"/>
      <c r="Y889" s="85"/>
      <c r="Z889" s="68"/>
      <c r="AA889" s="68"/>
    </row>
    <row r="890" spans="1:27" ht="12.75" outlineLevel="1" x14ac:dyDescent="0.2">
      <c r="A890" s="68"/>
      <c r="B890" s="86"/>
      <c r="C890" s="70" t="s">
        <v>39</v>
      </c>
      <c r="D890" s="96">
        <v>0</v>
      </c>
      <c r="E890" s="72"/>
      <c r="F890" s="73">
        <v>0</v>
      </c>
      <c r="G890" s="73">
        <v>0</v>
      </c>
      <c r="H890" s="74" t="e">
        <f t="shared" si="233"/>
        <v>#DIV/0!</v>
      </c>
      <c r="I890" s="75" t="e">
        <f t="shared" si="234"/>
        <v>#DIV/0!</v>
      </c>
      <c r="J890" s="76" t="e">
        <f t="shared" si="235"/>
        <v>#DIV/0!</v>
      </c>
      <c r="K890" s="96">
        <v>0</v>
      </c>
      <c r="L890" s="73">
        <v>0</v>
      </c>
      <c r="M890" s="73">
        <v>0</v>
      </c>
      <c r="N890" s="97">
        <v>0</v>
      </c>
      <c r="O890" s="79" t="e">
        <f t="shared" si="274"/>
        <v>#DIV/0!</v>
      </c>
      <c r="P890" s="80" t="e">
        <f t="shared" si="236"/>
        <v>#DIV/0!</v>
      </c>
      <c r="Q890" s="79" t="e">
        <f t="shared" si="237"/>
        <v>#DIV/0!</v>
      </c>
      <c r="R890" s="81" t="e">
        <f t="shared" si="238"/>
        <v>#DIV/0!</v>
      </c>
      <c r="S890" s="98">
        <f t="shared" si="273"/>
        <v>0</v>
      </c>
      <c r="T890" s="83" t="e">
        <f t="shared" si="239"/>
        <v>#DIV/0!</v>
      </c>
      <c r="U890" s="84"/>
      <c r="V890" s="84"/>
      <c r="W890" s="84"/>
      <c r="X890" s="84"/>
      <c r="Y890" s="85"/>
      <c r="Z890" s="68"/>
      <c r="AA890" s="68"/>
    </row>
    <row r="891" spans="1:27" ht="12.75" outlineLevel="1" x14ac:dyDescent="0.2">
      <c r="A891" s="68"/>
      <c r="B891" s="86"/>
      <c r="C891" s="70" t="s">
        <v>40</v>
      </c>
      <c r="D891" s="99">
        <v>0</v>
      </c>
      <c r="E891" s="72"/>
      <c r="F891" s="73">
        <v>0</v>
      </c>
      <c r="G891" s="73">
        <v>0</v>
      </c>
      <c r="H891" s="74" t="e">
        <f t="shared" si="233"/>
        <v>#DIV/0!</v>
      </c>
      <c r="I891" s="75" t="e">
        <f t="shared" si="234"/>
        <v>#DIV/0!</v>
      </c>
      <c r="J891" s="76" t="e">
        <f t="shared" si="235"/>
        <v>#DIV/0!</v>
      </c>
      <c r="K891" s="99">
        <v>0</v>
      </c>
      <c r="L891" s="73">
        <v>0</v>
      </c>
      <c r="M891" s="73">
        <v>0</v>
      </c>
      <c r="N891" s="100">
        <v>0</v>
      </c>
      <c r="O891" s="79" t="e">
        <f t="shared" si="274"/>
        <v>#DIV/0!</v>
      </c>
      <c r="P891" s="80" t="e">
        <f t="shared" si="236"/>
        <v>#DIV/0!</v>
      </c>
      <c r="Q891" s="79" t="e">
        <f t="shared" si="237"/>
        <v>#DIV/0!</v>
      </c>
      <c r="R891" s="81" t="e">
        <f t="shared" si="238"/>
        <v>#DIV/0!</v>
      </c>
      <c r="S891" s="101">
        <f t="shared" si="273"/>
        <v>0</v>
      </c>
      <c r="T891" s="83" t="e">
        <f t="shared" si="239"/>
        <v>#DIV/0!</v>
      </c>
      <c r="U891" s="84"/>
      <c r="V891" s="84"/>
      <c r="W891" s="84"/>
      <c r="X891" s="84"/>
      <c r="Y891" s="85"/>
      <c r="Z891" s="68"/>
      <c r="AA891" s="68"/>
    </row>
    <row r="892" spans="1:27" ht="12.75" outlineLevel="1" x14ac:dyDescent="0.2">
      <c r="A892" s="68"/>
      <c r="B892" s="86"/>
      <c r="C892" s="70" t="s">
        <v>41</v>
      </c>
      <c r="D892" s="102">
        <v>2863.55</v>
      </c>
      <c r="E892" s="72"/>
      <c r="F892" s="73">
        <v>59</v>
      </c>
      <c r="G892" s="73">
        <v>46</v>
      </c>
      <c r="H892" s="74">
        <f t="shared" si="233"/>
        <v>1.2826086956521738</v>
      </c>
      <c r="I892" s="75">
        <f t="shared" si="234"/>
        <v>48.534745762711864</v>
      </c>
      <c r="J892" s="76">
        <f t="shared" si="235"/>
        <v>37.840649238724509</v>
      </c>
      <c r="K892" s="102">
        <v>586.67999999999995</v>
      </c>
      <c r="L892" s="73">
        <v>37948</v>
      </c>
      <c r="M892" s="73">
        <v>25</v>
      </c>
      <c r="N892" s="103">
        <v>1499.48</v>
      </c>
      <c r="O892" s="79">
        <f t="shared" si="274"/>
        <v>0.39125563528689944</v>
      </c>
      <c r="P892" s="80">
        <f t="shared" si="236"/>
        <v>2.5558737301424972</v>
      </c>
      <c r="Q892" s="79">
        <f t="shared" si="237"/>
        <v>0.20487855982958214</v>
      </c>
      <c r="R892" s="81">
        <f t="shared" si="238"/>
        <v>0.52364372893785682</v>
      </c>
      <c r="S892" s="104">
        <f t="shared" si="273"/>
        <v>1364.0700000000002</v>
      </c>
      <c r="T892" s="83">
        <f t="shared" si="239"/>
        <v>23.467199999999998</v>
      </c>
      <c r="U892" s="84"/>
      <c r="V892" s="84"/>
      <c r="W892" s="84"/>
      <c r="X892" s="84"/>
      <c r="Y892" s="85"/>
      <c r="Z892" s="68"/>
      <c r="AA892" s="68"/>
    </row>
    <row r="893" spans="1:27" ht="12.75" outlineLevel="1" x14ac:dyDescent="0.2">
      <c r="A893" s="68"/>
      <c r="B893" s="86"/>
      <c r="C893" s="70" t="s">
        <v>42</v>
      </c>
      <c r="D893" s="90">
        <v>259.77999999999997</v>
      </c>
      <c r="E893" s="72"/>
      <c r="F893" s="73">
        <v>14</v>
      </c>
      <c r="G893" s="73">
        <v>8</v>
      </c>
      <c r="H893" s="74">
        <f t="shared" si="233"/>
        <v>1.75</v>
      </c>
      <c r="I893" s="75">
        <f t="shared" si="234"/>
        <v>18.555714285714284</v>
      </c>
      <c r="J893" s="76">
        <f t="shared" si="235"/>
        <v>10.603265306122449</v>
      </c>
      <c r="K893" s="90">
        <v>107.2</v>
      </c>
      <c r="L893" s="73">
        <v>37986</v>
      </c>
      <c r="M893" s="73">
        <v>3</v>
      </c>
      <c r="N893" s="91">
        <v>59.97</v>
      </c>
      <c r="O893" s="79">
        <f t="shared" si="274"/>
        <v>1.7875604468901118</v>
      </c>
      <c r="P893" s="80">
        <f t="shared" si="236"/>
        <v>0.5594216417910447</v>
      </c>
      <c r="Q893" s="79">
        <f t="shared" si="237"/>
        <v>0.41265686349988456</v>
      </c>
      <c r="R893" s="81">
        <f t="shared" si="238"/>
        <v>0.23084918007544847</v>
      </c>
      <c r="S893" s="92">
        <f t="shared" si="273"/>
        <v>199.80999999999997</v>
      </c>
      <c r="T893" s="83">
        <f t="shared" si="239"/>
        <v>35.733333333333334</v>
      </c>
      <c r="U893" s="84"/>
      <c r="V893" s="84"/>
      <c r="W893" s="84"/>
      <c r="X893" s="84"/>
      <c r="Y893" s="85"/>
      <c r="Z893" s="68"/>
      <c r="AA893" s="68"/>
    </row>
    <row r="894" spans="1:27" ht="12.75" outlineLevel="1" x14ac:dyDescent="0.2">
      <c r="A894" s="68"/>
      <c r="B894" s="86"/>
      <c r="C894" s="70" t="s">
        <v>43</v>
      </c>
      <c r="D894" s="105">
        <v>3401.36</v>
      </c>
      <c r="E894" s="72"/>
      <c r="F894" s="73">
        <v>28</v>
      </c>
      <c r="G894" s="73">
        <v>29</v>
      </c>
      <c r="H894" s="74">
        <f t="shared" si="233"/>
        <v>0.96551724137931039</v>
      </c>
      <c r="I894" s="75">
        <f t="shared" si="234"/>
        <v>121.47714285714287</v>
      </c>
      <c r="J894" s="76">
        <f t="shared" si="235"/>
        <v>125.81561224489796</v>
      </c>
      <c r="K894" s="105">
        <v>77.52</v>
      </c>
      <c r="L894" s="73">
        <v>15141</v>
      </c>
      <c r="M894" s="73">
        <v>3</v>
      </c>
      <c r="N894" s="106">
        <v>146.22</v>
      </c>
      <c r="O894" s="79">
        <f t="shared" si="274"/>
        <v>0.53016003282724655</v>
      </c>
      <c r="P894" s="80">
        <f t="shared" si="236"/>
        <v>1.8862229102167183</v>
      </c>
      <c r="Q894" s="79">
        <f t="shared" si="237"/>
        <v>2.2790883646541381E-2</v>
      </c>
      <c r="R894" s="81">
        <f t="shared" si="238"/>
        <v>4.2988686878189901E-2</v>
      </c>
      <c r="S894" s="107">
        <f t="shared" si="273"/>
        <v>3255.1400000000003</v>
      </c>
      <c r="T894" s="83">
        <f t="shared" si="239"/>
        <v>25.84</v>
      </c>
      <c r="U894" s="84"/>
      <c r="V894" s="84"/>
      <c r="W894" s="84"/>
      <c r="X894" s="84"/>
      <c r="Y894" s="85"/>
      <c r="Z894" s="68"/>
      <c r="AA894" s="68"/>
    </row>
    <row r="895" spans="1:27" ht="12.75" outlineLevel="1" x14ac:dyDescent="0.2">
      <c r="A895" s="68"/>
      <c r="B895" s="86"/>
      <c r="C895" s="70" t="s">
        <v>44</v>
      </c>
      <c r="D895" s="108">
        <v>36.950000000000003</v>
      </c>
      <c r="E895" s="72"/>
      <c r="F895" s="73">
        <v>2</v>
      </c>
      <c r="G895" s="73">
        <v>3</v>
      </c>
      <c r="H895" s="74">
        <f t="shared" si="233"/>
        <v>0.66666666666666663</v>
      </c>
      <c r="I895" s="75">
        <f t="shared" si="234"/>
        <v>18.475000000000001</v>
      </c>
      <c r="J895" s="76">
        <f t="shared" si="235"/>
        <v>27.712500000000002</v>
      </c>
      <c r="K895" s="108">
        <v>92.06</v>
      </c>
      <c r="L895" s="73">
        <v>31307</v>
      </c>
      <c r="M895" s="73">
        <v>3</v>
      </c>
      <c r="N895" s="109">
        <v>128.91999999999999</v>
      </c>
      <c r="O895" s="79">
        <f t="shared" si="274"/>
        <v>0.7140862550418865</v>
      </c>
      <c r="P895" s="80">
        <f t="shared" si="236"/>
        <v>1.4003910493156635</v>
      </c>
      <c r="Q895" s="79">
        <f t="shared" si="237"/>
        <v>2.4914749661705007</v>
      </c>
      <c r="R895" s="81">
        <f t="shared" si="238"/>
        <v>3.4890392422192145</v>
      </c>
      <c r="S895" s="110">
        <f t="shared" si="273"/>
        <v>-91.969999999999985</v>
      </c>
      <c r="T895" s="83">
        <f t="shared" si="239"/>
        <v>30.686666666666667</v>
      </c>
      <c r="U895" s="84"/>
      <c r="V895" s="84"/>
      <c r="W895" s="84"/>
      <c r="X895" s="84"/>
      <c r="Y895" s="85"/>
      <c r="Z895" s="68"/>
      <c r="AA895" s="68"/>
    </row>
    <row r="896" spans="1:27" ht="12.75" outlineLevel="1" x14ac:dyDescent="0.2">
      <c r="A896" s="111"/>
      <c r="B896" s="86"/>
      <c r="C896" s="112" t="s">
        <v>45</v>
      </c>
      <c r="D896" s="71">
        <v>0</v>
      </c>
      <c r="E896" s="72"/>
      <c r="F896" s="73">
        <v>0</v>
      </c>
      <c r="G896" s="73">
        <v>0</v>
      </c>
      <c r="H896" s="74" t="e">
        <f t="shared" si="233"/>
        <v>#DIV/0!</v>
      </c>
      <c r="I896" s="75" t="e">
        <f t="shared" si="234"/>
        <v>#DIV/0!</v>
      </c>
      <c r="J896" s="76" t="e">
        <f t="shared" si="235"/>
        <v>#DIV/0!</v>
      </c>
      <c r="K896" s="71">
        <v>0</v>
      </c>
      <c r="L896" s="73">
        <v>0</v>
      </c>
      <c r="M896" s="73">
        <v>0</v>
      </c>
      <c r="N896" s="78">
        <v>0</v>
      </c>
      <c r="O896" s="79" t="e">
        <f t="shared" si="274"/>
        <v>#DIV/0!</v>
      </c>
      <c r="P896" s="80" t="e">
        <f t="shared" si="236"/>
        <v>#DIV/0!</v>
      </c>
      <c r="Q896" s="79" t="e">
        <f t="shared" si="237"/>
        <v>#DIV/0!</v>
      </c>
      <c r="R896" s="81" t="e">
        <f t="shared" si="238"/>
        <v>#DIV/0!</v>
      </c>
      <c r="S896" s="82">
        <f t="shared" si="273"/>
        <v>0</v>
      </c>
      <c r="T896" s="83" t="e">
        <f t="shared" si="239"/>
        <v>#DIV/0!</v>
      </c>
      <c r="U896" s="113"/>
      <c r="V896" s="113"/>
      <c r="W896" s="113"/>
      <c r="X896" s="114"/>
      <c r="Y896" s="115"/>
      <c r="Z896" s="68"/>
      <c r="AA896" s="68"/>
    </row>
    <row r="897" spans="1:27" ht="12.75" outlineLevel="1" x14ac:dyDescent="0.2">
      <c r="A897" s="68"/>
      <c r="B897" s="86"/>
      <c r="C897" s="70" t="s">
        <v>46</v>
      </c>
      <c r="D897" s="116">
        <v>1933.96</v>
      </c>
      <c r="E897" s="72"/>
      <c r="F897" s="73">
        <v>51</v>
      </c>
      <c r="G897" s="73">
        <v>53</v>
      </c>
      <c r="H897" s="74">
        <f t="shared" si="233"/>
        <v>0.96226415094339623</v>
      </c>
      <c r="I897" s="75">
        <f t="shared" si="234"/>
        <v>37.920784313725491</v>
      </c>
      <c r="J897" s="76">
        <f t="shared" si="235"/>
        <v>39.4078738946559</v>
      </c>
      <c r="K897" s="116">
        <v>177.1</v>
      </c>
      <c r="L897" s="73">
        <v>25398</v>
      </c>
      <c r="M897" s="73">
        <v>21</v>
      </c>
      <c r="N897" s="117">
        <v>579.74</v>
      </c>
      <c r="O897" s="79">
        <f t="shared" si="274"/>
        <v>0.30548176768896401</v>
      </c>
      <c r="P897" s="80">
        <f t="shared" si="236"/>
        <v>3.273517786561265</v>
      </c>
      <c r="Q897" s="79">
        <f t="shared" si="237"/>
        <v>9.1573765744896479E-2</v>
      </c>
      <c r="R897" s="81">
        <f t="shared" si="238"/>
        <v>0.29976835094831328</v>
      </c>
      <c r="S897" s="82">
        <f t="shared" si="273"/>
        <v>1354.22</v>
      </c>
      <c r="T897" s="83">
        <f t="shared" si="239"/>
        <v>8.4333333333333336</v>
      </c>
      <c r="U897" s="84"/>
      <c r="V897" s="84"/>
      <c r="W897" s="84"/>
      <c r="X897" s="84"/>
      <c r="Y897" s="85"/>
      <c r="Z897" s="68"/>
      <c r="AA897" s="68"/>
    </row>
    <row r="898" spans="1:27" ht="12.75" outlineLevel="1" x14ac:dyDescent="0.2">
      <c r="A898" s="68"/>
      <c r="B898" s="86"/>
      <c r="C898" s="70" t="s">
        <v>47</v>
      </c>
      <c r="D898" s="87">
        <v>0</v>
      </c>
      <c r="E898" s="72"/>
      <c r="F898" s="73">
        <v>0</v>
      </c>
      <c r="G898" s="73">
        <v>0</v>
      </c>
      <c r="H898" s="74" t="e">
        <f t="shared" si="233"/>
        <v>#DIV/0!</v>
      </c>
      <c r="I898" s="75" t="e">
        <f t="shared" si="234"/>
        <v>#DIV/0!</v>
      </c>
      <c r="J898" s="76" t="e">
        <f t="shared" si="235"/>
        <v>#DIV/0!</v>
      </c>
      <c r="K898" s="87">
        <v>0</v>
      </c>
      <c r="L898" s="73">
        <v>0</v>
      </c>
      <c r="M898" s="73">
        <v>0</v>
      </c>
      <c r="N898" s="88">
        <v>0</v>
      </c>
      <c r="O898" s="79" t="e">
        <f t="shared" si="274"/>
        <v>#DIV/0!</v>
      </c>
      <c r="P898" s="80" t="e">
        <f t="shared" si="236"/>
        <v>#DIV/0!</v>
      </c>
      <c r="Q898" s="79" t="e">
        <f t="shared" si="237"/>
        <v>#DIV/0!</v>
      </c>
      <c r="R898" s="81" t="e">
        <f t="shared" si="238"/>
        <v>#DIV/0!</v>
      </c>
      <c r="S898" s="82">
        <f t="shared" si="273"/>
        <v>0</v>
      </c>
      <c r="T898" s="83" t="e">
        <f t="shared" si="239"/>
        <v>#DIV/0!</v>
      </c>
      <c r="U898" s="84"/>
      <c r="V898" s="84"/>
      <c r="W898" s="84"/>
      <c r="X898" s="84"/>
      <c r="Y898" s="85"/>
      <c r="Z898" s="68"/>
      <c r="AA898" s="68"/>
    </row>
    <row r="899" spans="1:27" ht="12.75" outlineLevel="1" x14ac:dyDescent="0.2">
      <c r="A899" s="68"/>
      <c r="B899" s="86"/>
      <c r="C899" s="70" t="s">
        <v>48</v>
      </c>
      <c r="D899" s="102">
        <v>8398.25</v>
      </c>
      <c r="E899" s="72"/>
      <c r="F899" s="73">
        <v>35</v>
      </c>
      <c r="G899" s="73">
        <v>34</v>
      </c>
      <c r="H899" s="74">
        <f t="shared" si="233"/>
        <v>1.0294117647058822</v>
      </c>
      <c r="I899" s="75">
        <f t="shared" si="234"/>
        <v>239.95</v>
      </c>
      <c r="J899" s="76">
        <f t="shared" si="235"/>
        <v>233.09428571428572</v>
      </c>
      <c r="K899" s="102">
        <v>718.92</v>
      </c>
      <c r="L899" s="73">
        <v>39216</v>
      </c>
      <c r="M899" s="73">
        <v>15</v>
      </c>
      <c r="N899" s="103">
        <v>2033.55</v>
      </c>
      <c r="O899" s="79">
        <f t="shared" si="274"/>
        <v>0.35352954193405617</v>
      </c>
      <c r="P899" s="80">
        <f t="shared" si="236"/>
        <v>2.8286179268903355</v>
      </c>
      <c r="Q899" s="79">
        <f t="shared" si="237"/>
        <v>8.5603548358288928E-2</v>
      </c>
      <c r="R899" s="81">
        <f t="shared" si="238"/>
        <v>0.2421397314916798</v>
      </c>
      <c r="S899" s="82">
        <f t="shared" si="273"/>
        <v>6364.7</v>
      </c>
      <c r="T899" s="83">
        <f t="shared" si="239"/>
        <v>47.927999999999997</v>
      </c>
      <c r="U899" s="84"/>
      <c r="V899" s="84"/>
      <c r="W899" s="84"/>
      <c r="X899" s="84"/>
      <c r="Y899" s="85"/>
      <c r="Z899" s="68"/>
      <c r="AA899" s="68"/>
    </row>
    <row r="900" spans="1:27" ht="12.75" outlineLevel="1" x14ac:dyDescent="0.2">
      <c r="A900" s="118" t="str">
        <f t="shared" ref="A900:A901" si="275">IFERROR(IF(B900&gt;0,MONTH(B900)&amp;"-"&amp;YEAR(B900),B900),)</f>
        <v>12-2025</v>
      </c>
      <c r="B900" s="69">
        <v>45997</v>
      </c>
      <c r="C900" s="70" t="s">
        <v>49</v>
      </c>
      <c r="D900" s="116">
        <v>27</v>
      </c>
      <c r="E900" s="72"/>
      <c r="F900" s="73">
        <v>1</v>
      </c>
      <c r="G900" s="73">
        <v>2</v>
      </c>
      <c r="H900" s="74">
        <f t="shared" si="233"/>
        <v>0.5</v>
      </c>
      <c r="I900" s="75">
        <f t="shared" si="234"/>
        <v>27</v>
      </c>
      <c r="J900" s="76">
        <f t="shared" si="235"/>
        <v>54</v>
      </c>
      <c r="K900" s="116">
        <v>15.9</v>
      </c>
      <c r="L900" s="73">
        <v>9569</v>
      </c>
      <c r="M900" s="73">
        <v>0</v>
      </c>
      <c r="N900" s="117">
        <v>0</v>
      </c>
      <c r="O900" s="79" t="e">
        <f t="shared" si="274"/>
        <v>#DIV/0!</v>
      </c>
      <c r="P900" s="80">
        <f t="shared" si="236"/>
        <v>0</v>
      </c>
      <c r="Q900" s="79">
        <f t="shared" si="237"/>
        <v>0.58888888888888891</v>
      </c>
      <c r="R900" s="81">
        <f t="shared" si="238"/>
        <v>0</v>
      </c>
      <c r="S900" s="82">
        <f t="shared" si="273"/>
        <v>27</v>
      </c>
      <c r="T900" s="83" t="e">
        <f t="shared" si="239"/>
        <v>#DIV/0!</v>
      </c>
      <c r="U900" s="84"/>
      <c r="V900" s="84"/>
      <c r="W900" s="84"/>
      <c r="X900" s="84"/>
      <c r="Y900" s="85"/>
      <c r="Z900" s="68"/>
      <c r="AA900" s="68"/>
    </row>
    <row r="901" spans="1:27" ht="12.75" x14ac:dyDescent="0.2">
      <c r="A901" s="68">
        <f t="shared" si="275"/>
        <v>0</v>
      </c>
      <c r="B901" s="52" t="s">
        <v>107</v>
      </c>
      <c r="C901" s="120"/>
      <c r="D901" s="121">
        <f>SUM(D884:D900)</f>
        <v>78679.94</v>
      </c>
      <c r="E901" s="122"/>
      <c r="F901" s="123">
        <f t="shared" ref="F901:G901" si="276">SUM(F884:F900)</f>
        <v>482</v>
      </c>
      <c r="G901" s="123">
        <f t="shared" si="276"/>
        <v>461</v>
      </c>
      <c r="H901" s="124">
        <f t="shared" si="233"/>
        <v>1.0455531453362257</v>
      </c>
      <c r="I901" s="125">
        <f t="shared" si="234"/>
        <v>163.23639004149379</v>
      </c>
      <c r="J901" s="126">
        <f t="shared" si="235"/>
        <v>156.12443113927102</v>
      </c>
      <c r="K901" s="121">
        <f t="shared" ref="K901:N901" si="277">SUM(K884:K900)</f>
        <v>7312.8900000000021</v>
      </c>
      <c r="L901" s="123">
        <f t="shared" si="277"/>
        <v>3031372</v>
      </c>
      <c r="M901" s="123">
        <f t="shared" si="277"/>
        <v>182</v>
      </c>
      <c r="N901" s="127">
        <f t="shared" si="277"/>
        <v>19790.57</v>
      </c>
      <c r="O901" s="128">
        <f t="shared" si="274"/>
        <v>0.36951386443139345</v>
      </c>
      <c r="P901" s="129">
        <f t="shared" si="236"/>
        <v>2.7062584012613335</v>
      </c>
      <c r="Q901" s="128">
        <f t="shared" si="237"/>
        <v>9.2944783638625073E-2</v>
      </c>
      <c r="R901" s="130">
        <f t="shared" si="238"/>
        <v>0.25153260157544605</v>
      </c>
      <c r="S901" s="131">
        <f>SUM(S884:S900)</f>
        <v>58889.37</v>
      </c>
      <c r="T901" s="132">
        <f t="shared" si="239"/>
        <v>40.180714285714295</v>
      </c>
      <c r="U901" s="133">
        <f>IFERROR((D901-D246)/D901,)</f>
        <v>0.90364354624571408</v>
      </c>
      <c r="V901" s="133">
        <f>IFERROR((F901-F246)/F901,)</f>
        <v>0.80497925311203322</v>
      </c>
      <c r="W901" s="134">
        <f>IFERROR((D901-[1]monthly_reporting_2021!E692)/D901, )</f>
        <v>0</v>
      </c>
      <c r="X901" s="134">
        <f>IFERROR((F901-[1]monthly_reporting_2021!F692)/F901, )</f>
        <v>0</v>
      </c>
      <c r="Y901" s="68"/>
      <c r="Z901" s="68"/>
      <c r="AA901" s="68"/>
    </row>
    <row r="902" spans="1:27" ht="12.75" hidden="1" outlineLevel="1" x14ac:dyDescent="0.2">
      <c r="A902" s="68"/>
      <c r="B902" s="69">
        <v>45998</v>
      </c>
      <c r="C902" s="70" t="s">
        <v>32</v>
      </c>
      <c r="D902" s="71">
        <v>2779.06</v>
      </c>
      <c r="E902" s="72"/>
      <c r="F902" s="73">
        <v>18</v>
      </c>
      <c r="G902" s="73">
        <v>22</v>
      </c>
      <c r="H902" s="74">
        <f t="shared" si="233"/>
        <v>0.81818181818181823</v>
      </c>
      <c r="I902" s="75">
        <f t="shared" si="234"/>
        <v>154.39222222222222</v>
      </c>
      <c r="J902" s="76">
        <f t="shared" si="235"/>
        <v>188.70160493827157</v>
      </c>
      <c r="K902" s="77">
        <v>1515.86</v>
      </c>
      <c r="L902" s="73">
        <v>442990</v>
      </c>
      <c r="M902" s="73">
        <v>10</v>
      </c>
      <c r="N902" s="78">
        <v>2537</v>
      </c>
      <c r="O902" s="79">
        <f t="shared" si="274"/>
        <v>0.5975009854158454</v>
      </c>
      <c r="P902" s="80">
        <f t="shared" si="236"/>
        <v>1.6736374071484175</v>
      </c>
      <c r="Q902" s="79">
        <f t="shared" si="237"/>
        <v>0.54545781667182425</v>
      </c>
      <c r="R902" s="81">
        <f t="shared" si="238"/>
        <v>0.91289860600346884</v>
      </c>
      <c r="S902" s="82">
        <f t="shared" ref="S902:S918" si="278">D902-N902</f>
        <v>242.05999999999995</v>
      </c>
      <c r="T902" s="83">
        <f t="shared" si="239"/>
        <v>151.58599999999998</v>
      </c>
      <c r="U902" s="84"/>
      <c r="V902" s="84"/>
      <c r="W902" s="84"/>
      <c r="X902" s="84"/>
      <c r="Y902" s="85"/>
      <c r="Z902" s="68"/>
      <c r="AA902" s="68"/>
    </row>
    <row r="903" spans="1:27" ht="12.75" hidden="1" outlineLevel="1" x14ac:dyDescent="0.2">
      <c r="A903" s="68"/>
      <c r="B903" s="86"/>
      <c r="C903" s="70" t="s">
        <v>33</v>
      </c>
      <c r="D903" s="87">
        <v>10333.4</v>
      </c>
      <c r="E903" s="72"/>
      <c r="F903" s="73">
        <v>56</v>
      </c>
      <c r="G903" s="73">
        <v>63</v>
      </c>
      <c r="H903" s="74">
        <f t="shared" si="233"/>
        <v>0.88888888888888884</v>
      </c>
      <c r="I903" s="75">
        <f t="shared" si="234"/>
        <v>184.52500000000001</v>
      </c>
      <c r="J903" s="76">
        <f t="shared" si="235"/>
        <v>207.59062500000002</v>
      </c>
      <c r="K903" s="87">
        <v>903.95</v>
      </c>
      <c r="L903" s="73">
        <v>1948034</v>
      </c>
      <c r="M903" s="73">
        <v>19</v>
      </c>
      <c r="N903" s="88">
        <v>4442</v>
      </c>
      <c r="O903" s="79">
        <f t="shared" si="274"/>
        <v>0.2035006753714543</v>
      </c>
      <c r="P903" s="80">
        <f t="shared" si="236"/>
        <v>4.9139886055644668</v>
      </c>
      <c r="Q903" s="79">
        <f t="shared" si="237"/>
        <v>8.7478467880852395E-2</v>
      </c>
      <c r="R903" s="81">
        <f t="shared" si="238"/>
        <v>0.42986819439874585</v>
      </c>
      <c r="S903" s="89">
        <f t="shared" si="278"/>
        <v>5891.4</v>
      </c>
      <c r="T903" s="83">
        <f t="shared" si="239"/>
        <v>47.576315789473689</v>
      </c>
      <c r="U903" s="84"/>
      <c r="V903" s="84"/>
      <c r="W903" s="84"/>
      <c r="X903" s="84"/>
      <c r="Y903" s="85"/>
      <c r="Z903" s="68"/>
      <c r="AA903" s="68"/>
    </row>
    <row r="904" spans="1:27" ht="12.75" hidden="1" outlineLevel="1" x14ac:dyDescent="0.2">
      <c r="A904" s="68"/>
      <c r="B904" s="86"/>
      <c r="C904" s="70" t="s">
        <v>34</v>
      </c>
      <c r="D904" s="90">
        <v>0</v>
      </c>
      <c r="E904" s="72"/>
      <c r="F904" s="73">
        <v>0</v>
      </c>
      <c r="G904" s="73">
        <v>0</v>
      </c>
      <c r="H904" s="74" t="e">
        <f t="shared" si="233"/>
        <v>#DIV/0!</v>
      </c>
      <c r="I904" s="75" t="e">
        <f t="shared" si="234"/>
        <v>#DIV/0!</v>
      </c>
      <c r="J904" s="76" t="e">
        <f t="shared" si="235"/>
        <v>#DIV/0!</v>
      </c>
      <c r="K904" s="90">
        <v>15</v>
      </c>
      <c r="L904" s="73">
        <v>262</v>
      </c>
      <c r="M904" s="73">
        <v>0</v>
      </c>
      <c r="N904" s="91">
        <v>0</v>
      </c>
      <c r="O904" s="79" t="e">
        <f>(K904/N904)</f>
        <v>#DIV/0!</v>
      </c>
      <c r="P904" s="80">
        <f t="shared" si="236"/>
        <v>0</v>
      </c>
      <c r="Q904" s="79" t="e">
        <f t="shared" si="237"/>
        <v>#DIV/0!</v>
      </c>
      <c r="R904" s="81" t="e">
        <f t="shared" si="238"/>
        <v>#DIV/0!</v>
      </c>
      <c r="S904" s="92">
        <f t="shared" si="278"/>
        <v>0</v>
      </c>
      <c r="T904" s="83" t="e">
        <f t="shared" si="239"/>
        <v>#DIV/0!</v>
      </c>
      <c r="U904" s="84"/>
      <c r="V904" s="84"/>
      <c r="W904" s="84"/>
      <c r="X904" s="84"/>
      <c r="Y904" s="85"/>
      <c r="Z904" s="68"/>
      <c r="AA904" s="68"/>
    </row>
    <row r="905" spans="1:27" ht="12.75" hidden="1" outlineLevel="1" x14ac:dyDescent="0.2">
      <c r="A905" s="68"/>
      <c r="B905" s="86"/>
      <c r="C905" s="70" t="s">
        <v>35</v>
      </c>
      <c r="D905" s="90">
        <v>368.7</v>
      </c>
      <c r="E905" s="72"/>
      <c r="F905" s="73">
        <v>6</v>
      </c>
      <c r="G905" s="73">
        <v>7</v>
      </c>
      <c r="H905" s="74">
        <f t="shared" si="233"/>
        <v>0.8571428571428571</v>
      </c>
      <c r="I905" s="75">
        <f t="shared" si="234"/>
        <v>61.449999999999996</v>
      </c>
      <c r="J905" s="76">
        <f t="shared" si="235"/>
        <v>71.691666666666663</v>
      </c>
      <c r="K905" s="90">
        <v>70.569999999999993</v>
      </c>
      <c r="L905" s="73">
        <v>6350</v>
      </c>
      <c r="M905" s="73">
        <v>2</v>
      </c>
      <c r="N905" s="91">
        <v>119.9</v>
      </c>
      <c r="O905" s="79">
        <f t="shared" ref="O905:O921" si="279">K905/N905</f>
        <v>0.5885738115095912</v>
      </c>
      <c r="P905" s="80">
        <f t="shared" si="236"/>
        <v>1.6990222474139156</v>
      </c>
      <c r="Q905" s="79">
        <f t="shared" si="237"/>
        <v>0.19140222403037699</v>
      </c>
      <c r="R905" s="81">
        <f t="shared" si="238"/>
        <v>0.32519663683211286</v>
      </c>
      <c r="S905" s="92">
        <f t="shared" si="278"/>
        <v>248.79999999999998</v>
      </c>
      <c r="T905" s="83">
        <f t="shared" si="239"/>
        <v>35.284999999999997</v>
      </c>
      <c r="U905" s="84"/>
      <c r="V905" s="84"/>
      <c r="W905" s="84"/>
      <c r="X905" s="84"/>
      <c r="Y905" s="85"/>
      <c r="Z905" s="68"/>
      <c r="AA905" s="68"/>
    </row>
    <row r="906" spans="1:27" ht="12.75" hidden="1" outlineLevel="1" x14ac:dyDescent="0.2">
      <c r="A906" s="68"/>
      <c r="B906" s="86"/>
      <c r="C906" s="70" t="s">
        <v>36</v>
      </c>
      <c r="D906" s="90">
        <v>429.65</v>
      </c>
      <c r="E906" s="72"/>
      <c r="F906" s="73">
        <v>7</v>
      </c>
      <c r="G906" s="73">
        <v>7</v>
      </c>
      <c r="H906" s="74">
        <f t="shared" si="233"/>
        <v>1</v>
      </c>
      <c r="I906" s="75">
        <f t="shared" si="234"/>
        <v>61.378571428571426</v>
      </c>
      <c r="J906" s="76">
        <f t="shared" si="235"/>
        <v>61.378571428571426</v>
      </c>
      <c r="K906" s="90">
        <v>69.17</v>
      </c>
      <c r="L906" s="73">
        <v>14933</v>
      </c>
      <c r="M906" s="73">
        <v>3</v>
      </c>
      <c r="N906" s="91">
        <v>189.85</v>
      </c>
      <c r="O906" s="79">
        <f t="shared" si="279"/>
        <v>0.36434026863313146</v>
      </c>
      <c r="P906" s="80">
        <f t="shared" si="236"/>
        <v>2.744687003035998</v>
      </c>
      <c r="Q906" s="79">
        <f t="shared" si="237"/>
        <v>0.16099150471313861</v>
      </c>
      <c r="R906" s="81">
        <f t="shared" si="238"/>
        <v>0.44187129058536018</v>
      </c>
      <c r="S906" s="92">
        <f t="shared" si="278"/>
        <v>239.79999999999998</v>
      </c>
      <c r="T906" s="83">
        <f t="shared" si="239"/>
        <v>23.056666666666668</v>
      </c>
      <c r="U906" s="84"/>
      <c r="V906" s="84"/>
      <c r="W906" s="84"/>
      <c r="X906" s="84"/>
      <c r="Y906" s="85"/>
      <c r="Z906" s="68"/>
      <c r="AA906" s="68"/>
    </row>
    <row r="907" spans="1:27" ht="12.75" hidden="1" outlineLevel="1" x14ac:dyDescent="0.2">
      <c r="A907" s="68"/>
      <c r="B907" s="69" t="s">
        <v>37</v>
      </c>
      <c r="C907" s="70" t="s">
        <v>38</v>
      </c>
      <c r="D907" s="93">
        <v>292.08999999999997</v>
      </c>
      <c r="E907" s="72"/>
      <c r="F907" s="73">
        <v>8</v>
      </c>
      <c r="G907" s="73">
        <v>9</v>
      </c>
      <c r="H907" s="74">
        <f t="shared" si="233"/>
        <v>0.88888888888888884</v>
      </c>
      <c r="I907" s="75">
        <f t="shared" si="234"/>
        <v>36.511249999999997</v>
      </c>
      <c r="J907" s="76">
        <f t="shared" si="235"/>
        <v>41.075156249999999</v>
      </c>
      <c r="K907" s="93">
        <v>45.94</v>
      </c>
      <c r="L907" s="73">
        <v>8435</v>
      </c>
      <c r="M907" s="73">
        <v>1</v>
      </c>
      <c r="N907" s="94">
        <v>29.95</v>
      </c>
      <c r="O907" s="79">
        <f t="shared" si="279"/>
        <v>1.533889816360601</v>
      </c>
      <c r="P907" s="80">
        <f t="shared" si="236"/>
        <v>0.65193730953417506</v>
      </c>
      <c r="Q907" s="79">
        <f t="shared" si="237"/>
        <v>0.15728029032147625</v>
      </c>
      <c r="R907" s="81">
        <f t="shared" si="238"/>
        <v>0.10253688931493718</v>
      </c>
      <c r="S907" s="95">
        <f t="shared" si="278"/>
        <v>262.14</v>
      </c>
      <c r="T907" s="83">
        <f t="shared" si="239"/>
        <v>45.94</v>
      </c>
      <c r="U907" s="84"/>
      <c r="V907" s="84"/>
      <c r="W907" s="84"/>
      <c r="X907" s="84"/>
      <c r="Y907" s="85"/>
      <c r="Z907" s="68"/>
      <c r="AA907" s="68"/>
    </row>
    <row r="908" spans="1:27" ht="12.75" hidden="1" outlineLevel="1" x14ac:dyDescent="0.2">
      <c r="A908" s="68"/>
      <c r="B908" s="86"/>
      <c r="C908" s="70" t="s">
        <v>39</v>
      </c>
      <c r="D908" s="96">
        <v>0</v>
      </c>
      <c r="E908" s="72"/>
      <c r="F908" s="73">
        <v>0</v>
      </c>
      <c r="G908" s="73">
        <v>0</v>
      </c>
      <c r="H908" s="74" t="e">
        <f t="shared" si="233"/>
        <v>#DIV/0!</v>
      </c>
      <c r="I908" s="75" t="e">
        <f t="shared" si="234"/>
        <v>#DIV/0!</v>
      </c>
      <c r="J908" s="76" t="e">
        <f t="shared" si="235"/>
        <v>#DIV/0!</v>
      </c>
      <c r="K908" s="96">
        <v>0</v>
      </c>
      <c r="L908" s="73">
        <v>0</v>
      </c>
      <c r="M908" s="73">
        <v>0</v>
      </c>
      <c r="N908" s="97">
        <v>0</v>
      </c>
      <c r="O908" s="79" t="e">
        <f t="shared" si="279"/>
        <v>#DIV/0!</v>
      </c>
      <c r="P908" s="80" t="e">
        <f t="shared" si="236"/>
        <v>#DIV/0!</v>
      </c>
      <c r="Q908" s="79" t="e">
        <f t="shared" si="237"/>
        <v>#DIV/0!</v>
      </c>
      <c r="R908" s="81" t="e">
        <f t="shared" si="238"/>
        <v>#DIV/0!</v>
      </c>
      <c r="S908" s="98">
        <f t="shared" si="278"/>
        <v>0</v>
      </c>
      <c r="T908" s="83" t="e">
        <f t="shared" si="239"/>
        <v>#DIV/0!</v>
      </c>
      <c r="U908" s="84"/>
      <c r="V908" s="84"/>
      <c r="W908" s="84"/>
      <c r="X908" s="84"/>
      <c r="Y908" s="85"/>
      <c r="Z908" s="68"/>
      <c r="AA908" s="68"/>
    </row>
    <row r="909" spans="1:27" ht="12.75" hidden="1" outlineLevel="1" x14ac:dyDescent="0.2">
      <c r="A909" s="68"/>
      <c r="B909" s="86"/>
      <c r="C909" s="70" t="s">
        <v>40</v>
      </c>
      <c r="D909" s="99">
        <v>0</v>
      </c>
      <c r="E909" s="72"/>
      <c r="F909" s="73">
        <v>0</v>
      </c>
      <c r="G909" s="73">
        <v>0</v>
      </c>
      <c r="H909" s="74" t="e">
        <f t="shared" si="233"/>
        <v>#DIV/0!</v>
      </c>
      <c r="I909" s="75" t="e">
        <f t="shared" si="234"/>
        <v>#DIV/0!</v>
      </c>
      <c r="J909" s="76" t="e">
        <f t="shared" si="235"/>
        <v>#DIV/0!</v>
      </c>
      <c r="K909" s="99">
        <v>0</v>
      </c>
      <c r="L909" s="73">
        <v>0</v>
      </c>
      <c r="M909" s="73">
        <v>0</v>
      </c>
      <c r="N909" s="100">
        <v>0</v>
      </c>
      <c r="O909" s="79" t="e">
        <f t="shared" si="279"/>
        <v>#DIV/0!</v>
      </c>
      <c r="P909" s="80" t="e">
        <f t="shared" si="236"/>
        <v>#DIV/0!</v>
      </c>
      <c r="Q909" s="79" t="e">
        <f t="shared" si="237"/>
        <v>#DIV/0!</v>
      </c>
      <c r="R909" s="81" t="e">
        <f t="shared" si="238"/>
        <v>#DIV/0!</v>
      </c>
      <c r="S909" s="101">
        <f t="shared" si="278"/>
        <v>0</v>
      </c>
      <c r="T909" s="83" t="e">
        <f t="shared" si="239"/>
        <v>#DIV/0!</v>
      </c>
      <c r="U909" s="84"/>
      <c r="V909" s="84"/>
      <c r="W909" s="84"/>
      <c r="X909" s="84"/>
      <c r="Y909" s="85"/>
      <c r="Z909" s="68"/>
      <c r="AA909" s="68"/>
    </row>
    <row r="910" spans="1:27" ht="12.75" hidden="1" outlineLevel="1" x14ac:dyDescent="0.2">
      <c r="A910" s="68"/>
      <c r="B910" s="86"/>
      <c r="C910" s="70" t="s">
        <v>41</v>
      </c>
      <c r="D910" s="102">
        <v>1725.85</v>
      </c>
      <c r="E910" s="72"/>
      <c r="F910" s="73">
        <v>20</v>
      </c>
      <c r="G910" s="73">
        <v>18</v>
      </c>
      <c r="H910" s="74">
        <f t="shared" si="233"/>
        <v>1.1111111111111112</v>
      </c>
      <c r="I910" s="75">
        <f t="shared" si="234"/>
        <v>86.29249999999999</v>
      </c>
      <c r="J910" s="76">
        <f t="shared" si="235"/>
        <v>77.663249999999991</v>
      </c>
      <c r="K910" s="102">
        <v>265.5</v>
      </c>
      <c r="L910" s="73">
        <v>24715</v>
      </c>
      <c r="M910" s="73">
        <v>8</v>
      </c>
      <c r="N910" s="103">
        <v>632.95000000000005</v>
      </c>
      <c r="O910" s="79">
        <f t="shared" si="279"/>
        <v>0.41946441267082707</v>
      </c>
      <c r="P910" s="80">
        <f t="shared" si="236"/>
        <v>2.3839924670433148</v>
      </c>
      <c r="Q910" s="79">
        <f t="shared" si="237"/>
        <v>0.1538372396210563</v>
      </c>
      <c r="R910" s="81">
        <f t="shared" si="238"/>
        <v>0.36674682040733558</v>
      </c>
      <c r="S910" s="104">
        <f t="shared" si="278"/>
        <v>1092.8999999999999</v>
      </c>
      <c r="T910" s="83">
        <f t="shared" si="239"/>
        <v>33.1875</v>
      </c>
      <c r="U910" s="84"/>
      <c r="V910" s="84"/>
      <c r="W910" s="84"/>
      <c r="X910" s="84"/>
      <c r="Y910" s="85"/>
      <c r="Z910" s="68"/>
      <c r="AA910" s="68"/>
    </row>
    <row r="911" spans="1:27" ht="12.75" hidden="1" outlineLevel="1" x14ac:dyDescent="0.2">
      <c r="A911" s="68"/>
      <c r="B911" s="86"/>
      <c r="C911" s="70" t="s">
        <v>42</v>
      </c>
      <c r="D911" s="90">
        <v>-19.989999999999998</v>
      </c>
      <c r="E911" s="72"/>
      <c r="F911" s="73">
        <v>-1</v>
      </c>
      <c r="G911" s="73">
        <v>2</v>
      </c>
      <c r="H911" s="74">
        <f t="shared" si="233"/>
        <v>-0.5</v>
      </c>
      <c r="I911" s="75">
        <f t="shared" si="234"/>
        <v>19.989999999999998</v>
      </c>
      <c r="J911" s="76">
        <f t="shared" si="235"/>
        <v>-39.979999999999997</v>
      </c>
      <c r="K911" s="90">
        <v>99.45</v>
      </c>
      <c r="L911" s="73">
        <v>51883</v>
      </c>
      <c r="M911" s="73">
        <v>2</v>
      </c>
      <c r="N911" s="91">
        <v>39.979999999999997</v>
      </c>
      <c r="O911" s="79">
        <f t="shared" si="279"/>
        <v>2.4874937468734371</v>
      </c>
      <c r="P911" s="80">
        <f t="shared" si="236"/>
        <v>0.40201106083459021</v>
      </c>
      <c r="Q911" s="79">
        <f t="shared" si="237"/>
        <v>-4.9749874937468741</v>
      </c>
      <c r="R911" s="81">
        <f t="shared" si="238"/>
        <v>-2</v>
      </c>
      <c r="S911" s="92">
        <f t="shared" si="278"/>
        <v>-59.97</v>
      </c>
      <c r="T911" s="83">
        <f t="shared" si="239"/>
        <v>49.725000000000001</v>
      </c>
      <c r="U911" s="84"/>
      <c r="V911" s="84"/>
      <c r="W911" s="84"/>
      <c r="X911" s="84"/>
      <c r="Y911" s="85"/>
      <c r="Z911" s="68"/>
      <c r="AA911" s="68"/>
    </row>
    <row r="912" spans="1:27" ht="12.75" hidden="1" outlineLevel="1" x14ac:dyDescent="0.2">
      <c r="A912" s="68"/>
      <c r="B912" s="86"/>
      <c r="C912" s="70" t="s">
        <v>43</v>
      </c>
      <c r="D912" s="105">
        <v>2338.9699999999998</v>
      </c>
      <c r="E912" s="72"/>
      <c r="F912" s="73">
        <v>19</v>
      </c>
      <c r="G912" s="73">
        <v>20</v>
      </c>
      <c r="H912" s="74">
        <f t="shared" si="233"/>
        <v>0.95</v>
      </c>
      <c r="I912" s="75">
        <f t="shared" si="234"/>
        <v>123.10368421052631</v>
      </c>
      <c r="J912" s="76">
        <f t="shared" si="235"/>
        <v>129.58282548476456</v>
      </c>
      <c r="K912" s="105">
        <v>49.88</v>
      </c>
      <c r="L912" s="73">
        <v>12418</v>
      </c>
      <c r="M912" s="73">
        <v>1</v>
      </c>
      <c r="N912" s="106">
        <v>0</v>
      </c>
      <c r="O912" s="79" t="e">
        <f t="shared" si="279"/>
        <v>#DIV/0!</v>
      </c>
      <c r="P912" s="80">
        <f t="shared" si="236"/>
        <v>0</v>
      </c>
      <c r="Q912" s="79">
        <f t="shared" si="237"/>
        <v>2.1325626237189876E-2</v>
      </c>
      <c r="R912" s="81">
        <f t="shared" si="238"/>
        <v>0</v>
      </c>
      <c r="S912" s="107">
        <f t="shared" si="278"/>
        <v>2338.9699999999998</v>
      </c>
      <c r="T912" s="83">
        <f t="shared" si="239"/>
        <v>49.88</v>
      </c>
      <c r="U912" s="84"/>
      <c r="V912" s="84"/>
      <c r="W912" s="84"/>
      <c r="X912" s="84"/>
      <c r="Y912" s="85"/>
      <c r="Z912" s="68"/>
      <c r="AA912" s="68"/>
    </row>
    <row r="913" spans="1:27" ht="12.75" hidden="1" outlineLevel="1" x14ac:dyDescent="0.2">
      <c r="A913" s="68"/>
      <c r="B913" s="86"/>
      <c r="C913" s="70" t="s">
        <v>44</v>
      </c>
      <c r="D913" s="108">
        <v>169.88</v>
      </c>
      <c r="E913" s="72"/>
      <c r="F913" s="73">
        <v>2</v>
      </c>
      <c r="G913" s="73">
        <v>3</v>
      </c>
      <c r="H913" s="74">
        <f t="shared" si="233"/>
        <v>0.66666666666666663</v>
      </c>
      <c r="I913" s="75">
        <f t="shared" si="234"/>
        <v>84.94</v>
      </c>
      <c r="J913" s="76">
        <f t="shared" si="235"/>
        <v>127.41</v>
      </c>
      <c r="K913" s="108">
        <v>79.81</v>
      </c>
      <c r="L913" s="73">
        <v>46887</v>
      </c>
      <c r="M913" s="73">
        <v>0</v>
      </c>
      <c r="N913" s="109">
        <v>0</v>
      </c>
      <c r="O913" s="79" t="e">
        <f t="shared" si="279"/>
        <v>#DIV/0!</v>
      </c>
      <c r="P913" s="80">
        <f t="shared" si="236"/>
        <v>0</v>
      </c>
      <c r="Q913" s="79">
        <f t="shared" si="237"/>
        <v>0.46980221332705441</v>
      </c>
      <c r="R913" s="81">
        <f t="shared" si="238"/>
        <v>0</v>
      </c>
      <c r="S913" s="110">
        <f t="shared" si="278"/>
        <v>169.88</v>
      </c>
      <c r="T913" s="83" t="e">
        <f t="shared" si="239"/>
        <v>#DIV/0!</v>
      </c>
      <c r="U913" s="84"/>
      <c r="V913" s="84"/>
      <c r="W913" s="84"/>
      <c r="X913" s="84"/>
      <c r="Y913" s="85"/>
      <c r="Z913" s="68"/>
      <c r="AA913" s="68"/>
    </row>
    <row r="914" spans="1:27" ht="12.75" hidden="1" outlineLevel="1" x14ac:dyDescent="0.2">
      <c r="A914" s="111"/>
      <c r="B914" s="86"/>
      <c r="C914" s="112" t="s">
        <v>45</v>
      </c>
      <c r="D914" s="71">
        <v>0</v>
      </c>
      <c r="E914" s="72"/>
      <c r="F914" s="73">
        <v>0</v>
      </c>
      <c r="G914" s="73">
        <v>0</v>
      </c>
      <c r="H914" s="74" t="e">
        <f t="shared" si="233"/>
        <v>#DIV/0!</v>
      </c>
      <c r="I914" s="75" t="e">
        <f t="shared" si="234"/>
        <v>#DIV/0!</v>
      </c>
      <c r="J914" s="76" t="e">
        <f t="shared" si="235"/>
        <v>#DIV/0!</v>
      </c>
      <c r="K914" s="71">
        <v>0</v>
      </c>
      <c r="L914" s="73">
        <v>0</v>
      </c>
      <c r="M914" s="73">
        <v>0</v>
      </c>
      <c r="N914" s="78">
        <v>0</v>
      </c>
      <c r="O914" s="79" t="e">
        <f t="shared" si="279"/>
        <v>#DIV/0!</v>
      </c>
      <c r="P914" s="80" t="e">
        <f t="shared" si="236"/>
        <v>#DIV/0!</v>
      </c>
      <c r="Q914" s="79" t="e">
        <f t="shared" si="237"/>
        <v>#DIV/0!</v>
      </c>
      <c r="R914" s="81" t="e">
        <f t="shared" si="238"/>
        <v>#DIV/0!</v>
      </c>
      <c r="S914" s="82">
        <f t="shared" si="278"/>
        <v>0</v>
      </c>
      <c r="T914" s="83" t="e">
        <f t="shared" si="239"/>
        <v>#DIV/0!</v>
      </c>
      <c r="U914" s="113"/>
      <c r="V914" s="113"/>
      <c r="W914" s="113"/>
      <c r="X914" s="114"/>
      <c r="Y914" s="115"/>
      <c r="Z914" s="68"/>
      <c r="AA914" s="68"/>
    </row>
    <row r="915" spans="1:27" ht="12.75" hidden="1" outlineLevel="1" x14ac:dyDescent="0.2">
      <c r="A915" s="68"/>
      <c r="B915" s="86"/>
      <c r="C915" s="70" t="s">
        <v>46</v>
      </c>
      <c r="D915" s="116">
        <v>1597.15</v>
      </c>
      <c r="E915" s="72"/>
      <c r="F915" s="73">
        <v>37</v>
      </c>
      <c r="G915" s="73">
        <v>31</v>
      </c>
      <c r="H915" s="74">
        <f t="shared" si="233"/>
        <v>1.1935483870967742</v>
      </c>
      <c r="I915" s="75">
        <f t="shared" si="234"/>
        <v>43.16621621621622</v>
      </c>
      <c r="J915" s="76">
        <f t="shared" si="235"/>
        <v>36.16628926223521</v>
      </c>
      <c r="K915" s="116">
        <v>267.49</v>
      </c>
      <c r="L915" s="73">
        <v>56359</v>
      </c>
      <c r="M915" s="73">
        <v>9</v>
      </c>
      <c r="N915" s="117">
        <v>390.55</v>
      </c>
      <c r="O915" s="79">
        <f t="shared" si="279"/>
        <v>0.68490590193317114</v>
      </c>
      <c r="P915" s="80">
        <f t="shared" si="236"/>
        <v>1.4600545814796815</v>
      </c>
      <c r="Q915" s="79">
        <f t="shared" si="237"/>
        <v>0.16747957298938734</v>
      </c>
      <c r="R915" s="81">
        <f t="shared" si="238"/>
        <v>0.24452931784741569</v>
      </c>
      <c r="S915" s="82">
        <f t="shared" si="278"/>
        <v>1206.6000000000001</v>
      </c>
      <c r="T915" s="83">
        <f t="shared" si="239"/>
        <v>29.721111111111114</v>
      </c>
      <c r="U915" s="84"/>
      <c r="V915" s="84"/>
      <c r="W915" s="84"/>
      <c r="X915" s="84"/>
      <c r="Y915" s="85"/>
      <c r="Z915" s="68"/>
      <c r="AA915" s="68"/>
    </row>
    <row r="916" spans="1:27" ht="12.75" hidden="1" outlineLevel="1" x14ac:dyDescent="0.2">
      <c r="A916" s="68"/>
      <c r="B916" s="86"/>
      <c r="C916" s="70" t="s">
        <v>47</v>
      </c>
      <c r="D916" s="87">
        <v>0</v>
      </c>
      <c r="E916" s="72"/>
      <c r="F916" s="73">
        <v>0</v>
      </c>
      <c r="G916" s="73">
        <v>0</v>
      </c>
      <c r="H916" s="74" t="e">
        <f t="shared" si="233"/>
        <v>#DIV/0!</v>
      </c>
      <c r="I916" s="75" t="e">
        <f t="shared" si="234"/>
        <v>#DIV/0!</v>
      </c>
      <c r="J916" s="76" t="e">
        <f t="shared" si="235"/>
        <v>#DIV/0!</v>
      </c>
      <c r="K916" s="87">
        <v>0</v>
      </c>
      <c r="L916" s="73">
        <v>0</v>
      </c>
      <c r="M916" s="73">
        <v>0</v>
      </c>
      <c r="N916" s="88">
        <v>0</v>
      </c>
      <c r="O916" s="79" t="e">
        <f t="shared" si="279"/>
        <v>#DIV/0!</v>
      </c>
      <c r="P916" s="80" t="e">
        <f t="shared" si="236"/>
        <v>#DIV/0!</v>
      </c>
      <c r="Q916" s="79" t="e">
        <f t="shared" si="237"/>
        <v>#DIV/0!</v>
      </c>
      <c r="R916" s="81" t="e">
        <f t="shared" si="238"/>
        <v>#DIV/0!</v>
      </c>
      <c r="S916" s="82">
        <f t="shared" si="278"/>
        <v>0</v>
      </c>
      <c r="T916" s="83" t="e">
        <f t="shared" si="239"/>
        <v>#DIV/0!</v>
      </c>
      <c r="U916" s="84"/>
      <c r="V916" s="84"/>
      <c r="W916" s="84"/>
      <c r="X916" s="84"/>
      <c r="Y916" s="85"/>
      <c r="Z916" s="68"/>
      <c r="AA916" s="68"/>
    </row>
    <row r="917" spans="1:27" ht="12.75" hidden="1" outlineLevel="1" x14ac:dyDescent="0.2">
      <c r="A917" s="68"/>
      <c r="B917" s="86"/>
      <c r="C917" s="70" t="s">
        <v>48</v>
      </c>
      <c r="D917" s="102">
        <v>4980.3999999999996</v>
      </c>
      <c r="E917" s="72"/>
      <c r="F917" s="73">
        <v>21</v>
      </c>
      <c r="G917" s="73">
        <v>21</v>
      </c>
      <c r="H917" s="74">
        <f t="shared" si="233"/>
        <v>1</v>
      </c>
      <c r="I917" s="75">
        <f t="shared" si="234"/>
        <v>237.16190476190474</v>
      </c>
      <c r="J917" s="76">
        <f t="shared" si="235"/>
        <v>237.16190476190474</v>
      </c>
      <c r="K917" s="102">
        <v>435.99</v>
      </c>
      <c r="L917" s="73">
        <v>30871</v>
      </c>
      <c r="M917" s="73">
        <v>13</v>
      </c>
      <c r="N917" s="103">
        <v>2459.4</v>
      </c>
      <c r="O917" s="79">
        <f t="shared" si="279"/>
        <v>0.17727494510856306</v>
      </c>
      <c r="P917" s="80">
        <f t="shared" si="236"/>
        <v>5.6409550677767841</v>
      </c>
      <c r="Q917" s="79">
        <f t="shared" si="237"/>
        <v>8.7541161352501812E-2</v>
      </c>
      <c r="R917" s="81">
        <f t="shared" si="238"/>
        <v>0.49381575777046027</v>
      </c>
      <c r="S917" s="82">
        <f t="shared" si="278"/>
        <v>2520.9999999999995</v>
      </c>
      <c r="T917" s="83">
        <f t="shared" si="239"/>
        <v>33.537692307692311</v>
      </c>
      <c r="U917" s="84"/>
      <c r="V917" s="84"/>
      <c r="W917" s="84"/>
      <c r="X917" s="84"/>
      <c r="Y917" s="85"/>
      <c r="Z917" s="68"/>
      <c r="AA917" s="68"/>
    </row>
    <row r="918" spans="1:27" ht="12.75" hidden="1" outlineLevel="1" x14ac:dyDescent="0.2">
      <c r="A918" s="118" t="str">
        <f t="shared" ref="A918:A919" si="280">IFERROR(IF(B918&gt;0,MONTH(B918)&amp;"-"&amp;YEAR(B918),B918),)</f>
        <v>12-2025</v>
      </c>
      <c r="B918" s="69">
        <v>46004</v>
      </c>
      <c r="C918" s="70" t="s">
        <v>49</v>
      </c>
      <c r="D918" s="116">
        <v>0</v>
      </c>
      <c r="E918" s="72"/>
      <c r="F918" s="73">
        <v>0</v>
      </c>
      <c r="G918" s="73">
        <v>0</v>
      </c>
      <c r="H918" s="74" t="e">
        <f t="shared" si="233"/>
        <v>#DIV/0!</v>
      </c>
      <c r="I918" s="75" t="e">
        <f t="shared" si="234"/>
        <v>#DIV/0!</v>
      </c>
      <c r="J918" s="76" t="e">
        <f t="shared" si="235"/>
        <v>#DIV/0!</v>
      </c>
      <c r="K918" s="116">
        <v>5.88</v>
      </c>
      <c r="L918" s="73">
        <v>14559</v>
      </c>
      <c r="M918" s="73">
        <v>0</v>
      </c>
      <c r="N918" s="117">
        <v>0</v>
      </c>
      <c r="O918" s="79" t="e">
        <f t="shared" si="279"/>
        <v>#DIV/0!</v>
      </c>
      <c r="P918" s="80">
        <f t="shared" si="236"/>
        <v>0</v>
      </c>
      <c r="Q918" s="79" t="e">
        <f t="shared" si="237"/>
        <v>#DIV/0!</v>
      </c>
      <c r="R918" s="81" t="e">
        <f t="shared" si="238"/>
        <v>#DIV/0!</v>
      </c>
      <c r="S918" s="82">
        <f t="shared" si="278"/>
        <v>0</v>
      </c>
      <c r="T918" s="83" t="e">
        <f t="shared" si="239"/>
        <v>#DIV/0!</v>
      </c>
      <c r="U918" s="84"/>
      <c r="V918" s="84"/>
      <c r="W918" s="84"/>
      <c r="X918" s="84"/>
      <c r="Y918" s="85"/>
      <c r="Z918" s="68"/>
      <c r="AA918" s="68"/>
    </row>
    <row r="919" spans="1:27" ht="12.75" collapsed="1" x14ac:dyDescent="0.2">
      <c r="A919" s="68">
        <f t="shared" si="280"/>
        <v>0</v>
      </c>
      <c r="B919" s="52" t="s">
        <v>108</v>
      </c>
      <c r="C919" s="120"/>
      <c r="D919" s="121">
        <f>SUM(D902:D918)</f>
        <v>24995.160000000003</v>
      </c>
      <c r="E919" s="122"/>
      <c r="F919" s="123">
        <f t="shared" ref="F919:G919" si="281">SUM(F902:F918)</f>
        <v>193</v>
      </c>
      <c r="G919" s="123">
        <f t="shared" si="281"/>
        <v>203</v>
      </c>
      <c r="H919" s="124">
        <f t="shared" si="233"/>
        <v>0.95073891625615758</v>
      </c>
      <c r="I919" s="125">
        <f t="shared" si="234"/>
        <v>129.50860103626945</v>
      </c>
      <c r="J919" s="126">
        <f t="shared" si="235"/>
        <v>136.2188912454026</v>
      </c>
      <c r="K919" s="121">
        <f t="shared" ref="K919:N919" si="282">SUM(K902:K918)</f>
        <v>3824.49</v>
      </c>
      <c r="L919" s="123">
        <f t="shared" si="282"/>
        <v>2658696</v>
      </c>
      <c r="M919" s="123">
        <f t="shared" si="282"/>
        <v>68</v>
      </c>
      <c r="N919" s="127">
        <f t="shared" si="282"/>
        <v>10841.579999999998</v>
      </c>
      <c r="O919" s="128">
        <f t="shared" si="279"/>
        <v>0.35276131338790107</v>
      </c>
      <c r="P919" s="129">
        <f t="shared" si="236"/>
        <v>2.8347779703960523</v>
      </c>
      <c r="Q919" s="128">
        <f t="shared" si="237"/>
        <v>0.15300922258549252</v>
      </c>
      <c r="R919" s="130">
        <f t="shared" si="238"/>
        <v>0.4337471734527803</v>
      </c>
      <c r="S919" s="131">
        <f>SUM(S902:S918)</f>
        <v>14153.579999999998</v>
      </c>
      <c r="T919" s="132">
        <f t="shared" si="239"/>
        <v>56.2425</v>
      </c>
      <c r="U919" s="133">
        <f>IFERROR((D919-D246)/D919,)</f>
        <v>0.69668847888951302</v>
      </c>
      <c r="V919" s="133">
        <f>IFERROR((F919-F246)/F919,)</f>
        <v>0.51295336787564771</v>
      </c>
      <c r="W919" s="134">
        <f>IFERROR((D919-[1]monthly_reporting_2021!E710)/D919, )</f>
        <v>0</v>
      </c>
      <c r="X919" s="134">
        <f>IFERROR((F919-[1]monthly_reporting_2021!F710)/F919, )</f>
        <v>0</v>
      </c>
      <c r="Y919" s="68"/>
      <c r="Z919" s="68"/>
      <c r="AA919" s="68"/>
    </row>
    <row r="920" spans="1:27" ht="12.75" hidden="1" outlineLevel="1" x14ac:dyDescent="0.2">
      <c r="A920" s="68"/>
      <c r="B920" s="69">
        <v>46005</v>
      </c>
      <c r="C920" s="70" t="s">
        <v>32</v>
      </c>
      <c r="D920" s="71">
        <v>15879.79</v>
      </c>
      <c r="E920" s="72"/>
      <c r="F920" s="73">
        <v>46</v>
      </c>
      <c r="G920" s="73">
        <v>43</v>
      </c>
      <c r="H920" s="74">
        <f t="shared" si="233"/>
        <v>1.069767441860465</v>
      </c>
      <c r="I920" s="75">
        <f t="shared" si="234"/>
        <v>345.21282608695657</v>
      </c>
      <c r="J920" s="76">
        <f t="shared" si="235"/>
        <v>322.69894612476378</v>
      </c>
      <c r="K920" s="77">
        <v>1935.87</v>
      </c>
      <c r="L920" s="73">
        <v>307514</v>
      </c>
      <c r="M920" s="73">
        <v>24</v>
      </c>
      <c r="N920" s="78">
        <v>3946.46</v>
      </c>
      <c r="O920" s="79">
        <f t="shared" si="279"/>
        <v>0.49053328806069235</v>
      </c>
      <c r="P920" s="80">
        <f t="shared" si="236"/>
        <v>2.0385976331055291</v>
      </c>
      <c r="Q920" s="79">
        <f t="shared" si="237"/>
        <v>0.12190778341527185</v>
      </c>
      <c r="R920" s="81">
        <f t="shared" si="238"/>
        <v>0.24852091872751464</v>
      </c>
      <c r="S920" s="82">
        <f t="shared" ref="S920:S936" si="283">D920-N920</f>
        <v>11933.330000000002</v>
      </c>
      <c r="T920" s="83">
        <f t="shared" si="239"/>
        <v>80.661249999999995</v>
      </c>
      <c r="U920" s="84"/>
      <c r="V920" s="84"/>
      <c r="W920" s="84"/>
      <c r="X920" s="84"/>
      <c r="Y920" s="85"/>
      <c r="Z920" s="68"/>
      <c r="AA920" s="68"/>
    </row>
    <row r="921" spans="1:27" ht="12.75" hidden="1" outlineLevel="1" x14ac:dyDescent="0.2">
      <c r="A921" s="68"/>
      <c r="B921" s="86"/>
      <c r="C921" s="70" t="s">
        <v>33</v>
      </c>
      <c r="D921" s="87">
        <v>30591.79</v>
      </c>
      <c r="E921" s="72"/>
      <c r="F921" s="73">
        <v>135</v>
      </c>
      <c r="G921" s="73">
        <v>141</v>
      </c>
      <c r="H921" s="74">
        <f t="shared" si="233"/>
        <v>0.95744680851063835</v>
      </c>
      <c r="I921" s="75">
        <f t="shared" si="234"/>
        <v>226.60585185185187</v>
      </c>
      <c r="J921" s="76">
        <f t="shared" si="235"/>
        <v>236.67722304526748</v>
      </c>
      <c r="K921" s="87">
        <v>1009.3</v>
      </c>
      <c r="L921" s="73">
        <v>394188</v>
      </c>
      <c r="M921" s="73">
        <v>47</v>
      </c>
      <c r="N921" s="88">
        <v>7893.63</v>
      </c>
      <c r="O921" s="79">
        <f t="shared" si="279"/>
        <v>0.12786259300220557</v>
      </c>
      <c r="P921" s="80">
        <f t="shared" si="236"/>
        <v>7.8208956702665215</v>
      </c>
      <c r="Q921" s="79">
        <f t="shared" si="237"/>
        <v>3.2992512043263894E-2</v>
      </c>
      <c r="R921" s="81">
        <f t="shared" si="238"/>
        <v>0.25803099459037865</v>
      </c>
      <c r="S921" s="89">
        <f t="shared" si="283"/>
        <v>22698.16</v>
      </c>
      <c r="T921" s="83">
        <f t="shared" si="239"/>
        <v>21.47446808510638</v>
      </c>
      <c r="U921" s="84"/>
      <c r="V921" s="84"/>
      <c r="W921" s="84"/>
      <c r="X921" s="84"/>
      <c r="Y921" s="85"/>
      <c r="Z921" s="68"/>
      <c r="AA921" s="68"/>
    </row>
    <row r="922" spans="1:27" ht="12.75" hidden="1" outlineLevel="1" x14ac:dyDescent="0.2">
      <c r="A922" s="68"/>
      <c r="B922" s="86"/>
      <c r="C922" s="70" t="s">
        <v>34</v>
      </c>
      <c r="D922" s="90">
        <v>0</v>
      </c>
      <c r="E922" s="72"/>
      <c r="F922" s="73">
        <v>0</v>
      </c>
      <c r="G922" s="73">
        <v>0</v>
      </c>
      <c r="H922" s="74" t="e">
        <f t="shared" si="233"/>
        <v>#DIV/0!</v>
      </c>
      <c r="I922" s="75" t="e">
        <f t="shared" si="234"/>
        <v>#DIV/0!</v>
      </c>
      <c r="J922" s="76" t="e">
        <f t="shared" si="235"/>
        <v>#DIV/0!</v>
      </c>
      <c r="K922" s="90">
        <v>0</v>
      </c>
      <c r="L922" s="73">
        <v>273</v>
      </c>
      <c r="M922" s="73">
        <v>0</v>
      </c>
      <c r="N922" s="91">
        <v>0</v>
      </c>
      <c r="O922" s="79" t="e">
        <f>(K922/N922)</f>
        <v>#DIV/0!</v>
      </c>
      <c r="P922" s="80" t="e">
        <f t="shared" si="236"/>
        <v>#DIV/0!</v>
      </c>
      <c r="Q922" s="79" t="e">
        <f t="shared" si="237"/>
        <v>#DIV/0!</v>
      </c>
      <c r="R922" s="81" t="e">
        <f t="shared" si="238"/>
        <v>#DIV/0!</v>
      </c>
      <c r="S922" s="92">
        <f t="shared" si="283"/>
        <v>0</v>
      </c>
      <c r="T922" s="83" t="e">
        <f t="shared" si="239"/>
        <v>#DIV/0!</v>
      </c>
      <c r="U922" s="84"/>
      <c r="V922" s="84"/>
      <c r="W922" s="84"/>
      <c r="X922" s="84"/>
      <c r="Y922" s="85"/>
      <c r="Z922" s="68"/>
      <c r="AA922" s="68"/>
    </row>
    <row r="923" spans="1:27" ht="12.75" hidden="1" outlineLevel="1" x14ac:dyDescent="0.2">
      <c r="A923" s="68"/>
      <c r="B923" s="86"/>
      <c r="C923" s="70" t="s">
        <v>35</v>
      </c>
      <c r="D923" s="90">
        <v>125.9</v>
      </c>
      <c r="E923" s="72"/>
      <c r="F923" s="73">
        <v>2</v>
      </c>
      <c r="G923" s="73">
        <v>2</v>
      </c>
      <c r="H923" s="74">
        <f t="shared" si="233"/>
        <v>1</v>
      </c>
      <c r="I923" s="75">
        <f t="shared" si="234"/>
        <v>62.95</v>
      </c>
      <c r="J923" s="76">
        <f t="shared" si="235"/>
        <v>62.95</v>
      </c>
      <c r="K923" s="90">
        <v>0</v>
      </c>
      <c r="L923" s="73">
        <v>13</v>
      </c>
      <c r="M923" s="73">
        <v>0</v>
      </c>
      <c r="N923" s="91">
        <v>0</v>
      </c>
      <c r="O923" s="79" t="e">
        <f t="shared" ref="O923:O939" si="284">K923/N923</f>
        <v>#DIV/0!</v>
      </c>
      <c r="P923" s="80" t="e">
        <f t="shared" si="236"/>
        <v>#DIV/0!</v>
      </c>
      <c r="Q923" s="79">
        <f t="shared" si="237"/>
        <v>0</v>
      </c>
      <c r="R923" s="81">
        <f t="shared" si="238"/>
        <v>0</v>
      </c>
      <c r="S923" s="92">
        <f t="shared" si="283"/>
        <v>125.9</v>
      </c>
      <c r="T923" s="83" t="e">
        <f t="shared" si="239"/>
        <v>#DIV/0!</v>
      </c>
      <c r="U923" s="84"/>
      <c r="V923" s="84"/>
      <c r="W923" s="84"/>
      <c r="X923" s="84"/>
      <c r="Y923" s="85"/>
      <c r="Z923" s="68"/>
      <c r="AA923" s="68"/>
    </row>
    <row r="924" spans="1:27" ht="12.75" hidden="1" outlineLevel="1" x14ac:dyDescent="0.2">
      <c r="A924" s="68"/>
      <c r="B924" s="86"/>
      <c r="C924" s="70" t="s">
        <v>36</v>
      </c>
      <c r="D924" s="90">
        <v>729.4</v>
      </c>
      <c r="E924" s="72"/>
      <c r="F924" s="73">
        <v>12</v>
      </c>
      <c r="G924" s="73">
        <v>10</v>
      </c>
      <c r="H924" s="74">
        <f t="shared" si="233"/>
        <v>1.2</v>
      </c>
      <c r="I924" s="75">
        <f t="shared" si="234"/>
        <v>60.783333333333331</v>
      </c>
      <c r="J924" s="76">
        <f t="shared" si="235"/>
        <v>50.652777777777779</v>
      </c>
      <c r="K924" s="90">
        <v>69.069999999999993</v>
      </c>
      <c r="L924" s="73">
        <v>19238</v>
      </c>
      <c r="M924" s="73">
        <v>3</v>
      </c>
      <c r="N924" s="91">
        <v>199.85</v>
      </c>
      <c r="O924" s="79">
        <f t="shared" si="284"/>
        <v>0.34560920690517888</v>
      </c>
      <c r="P924" s="80">
        <f t="shared" si="236"/>
        <v>2.8934414362241205</v>
      </c>
      <c r="Q924" s="79">
        <f t="shared" si="237"/>
        <v>9.4694269262407454E-2</v>
      </c>
      <c r="R924" s="81">
        <f t="shared" si="238"/>
        <v>0.27399232245681382</v>
      </c>
      <c r="S924" s="92">
        <f t="shared" si="283"/>
        <v>529.54999999999995</v>
      </c>
      <c r="T924" s="83">
        <f t="shared" si="239"/>
        <v>23.02333333333333</v>
      </c>
      <c r="U924" s="84"/>
      <c r="V924" s="84"/>
      <c r="W924" s="84"/>
      <c r="X924" s="84"/>
      <c r="Y924" s="85"/>
      <c r="Z924" s="68"/>
      <c r="AA924" s="68"/>
    </row>
    <row r="925" spans="1:27" ht="12.75" hidden="1" outlineLevel="1" x14ac:dyDescent="0.2">
      <c r="A925" s="68"/>
      <c r="B925" s="69" t="s">
        <v>37</v>
      </c>
      <c r="C925" s="70" t="s">
        <v>38</v>
      </c>
      <c r="D925" s="93">
        <v>328.09</v>
      </c>
      <c r="E925" s="72"/>
      <c r="F925" s="73">
        <v>9</v>
      </c>
      <c r="G925" s="73">
        <v>10</v>
      </c>
      <c r="H925" s="74">
        <f t="shared" si="233"/>
        <v>0.9</v>
      </c>
      <c r="I925" s="75">
        <f t="shared" si="234"/>
        <v>36.454444444444441</v>
      </c>
      <c r="J925" s="76">
        <f t="shared" si="235"/>
        <v>40.504938271604935</v>
      </c>
      <c r="K925" s="93">
        <v>62.78</v>
      </c>
      <c r="L925" s="73">
        <v>10619</v>
      </c>
      <c r="M925" s="73">
        <v>3</v>
      </c>
      <c r="N925" s="94">
        <v>99.85</v>
      </c>
      <c r="O925" s="79">
        <f t="shared" si="284"/>
        <v>0.62874311467200805</v>
      </c>
      <c r="P925" s="80">
        <f t="shared" si="236"/>
        <v>1.5904746734628861</v>
      </c>
      <c r="Q925" s="79">
        <f t="shared" si="237"/>
        <v>0.19134993446920054</v>
      </c>
      <c r="R925" s="81">
        <f t="shared" si="238"/>
        <v>0.30433722454204637</v>
      </c>
      <c r="S925" s="95">
        <f t="shared" si="283"/>
        <v>228.23999999999998</v>
      </c>
      <c r="T925" s="83">
        <f t="shared" si="239"/>
        <v>20.926666666666666</v>
      </c>
      <c r="U925" s="84"/>
      <c r="V925" s="84"/>
      <c r="W925" s="84"/>
      <c r="X925" s="84"/>
      <c r="Y925" s="85"/>
      <c r="Z925" s="68"/>
      <c r="AA925" s="68"/>
    </row>
    <row r="926" spans="1:27" ht="12.75" hidden="1" outlineLevel="1" x14ac:dyDescent="0.2">
      <c r="A926" s="68"/>
      <c r="B926" s="86"/>
      <c r="C926" s="70" t="s">
        <v>39</v>
      </c>
      <c r="D926" s="96">
        <v>0</v>
      </c>
      <c r="E926" s="72"/>
      <c r="F926" s="73">
        <v>0</v>
      </c>
      <c r="G926" s="73">
        <v>0</v>
      </c>
      <c r="H926" s="74" t="e">
        <f t="shared" si="233"/>
        <v>#DIV/0!</v>
      </c>
      <c r="I926" s="75" t="e">
        <f t="shared" si="234"/>
        <v>#DIV/0!</v>
      </c>
      <c r="J926" s="76" t="e">
        <f t="shared" si="235"/>
        <v>#DIV/0!</v>
      </c>
      <c r="K926" s="96">
        <v>0</v>
      </c>
      <c r="L926" s="73">
        <v>0</v>
      </c>
      <c r="M926" s="73">
        <v>0</v>
      </c>
      <c r="N926" s="97">
        <v>0</v>
      </c>
      <c r="O926" s="79" t="e">
        <f t="shared" si="284"/>
        <v>#DIV/0!</v>
      </c>
      <c r="P926" s="80" t="e">
        <f t="shared" si="236"/>
        <v>#DIV/0!</v>
      </c>
      <c r="Q926" s="79" t="e">
        <f t="shared" si="237"/>
        <v>#DIV/0!</v>
      </c>
      <c r="R926" s="81" t="e">
        <f t="shared" si="238"/>
        <v>#DIV/0!</v>
      </c>
      <c r="S926" s="98">
        <f t="shared" si="283"/>
        <v>0</v>
      </c>
      <c r="T926" s="83" t="e">
        <f t="shared" si="239"/>
        <v>#DIV/0!</v>
      </c>
      <c r="U926" s="84"/>
      <c r="V926" s="84"/>
      <c r="W926" s="84"/>
      <c r="X926" s="84"/>
      <c r="Y926" s="85"/>
      <c r="Z926" s="68"/>
      <c r="AA926" s="68"/>
    </row>
    <row r="927" spans="1:27" ht="12.75" hidden="1" outlineLevel="1" x14ac:dyDescent="0.2">
      <c r="A927" s="68"/>
      <c r="B927" s="86"/>
      <c r="C927" s="70" t="s">
        <v>40</v>
      </c>
      <c r="D927" s="99">
        <v>0</v>
      </c>
      <c r="E927" s="72"/>
      <c r="F927" s="73">
        <v>0</v>
      </c>
      <c r="G927" s="73">
        <v>0</v>
      </c>
      <c r="H927" s="74" t="e">
        <f t="shared" si="233"/>
        <v>#DIV/0!</v>
      </c>
      <c r="I927" s="75" t="e">
        <f t="shared" si="234"/>
        <v>#DIV/0!</v>
      </c>
      <c r="J927" s="76" t="e">
        <f t="shared" si="235"/>
        <v>#DIV/0!</v>
      </c>
      <c r="K927" s="99">
        <v>0</v>
      </c>
      <c r="L927" s="73">
        <v>0</v>
      </c>
      <c r="M927" s="73">
        <v>0</v>
      </c>
      <c r="N927" s="100">
        <v>0</v>
      </c>
      <c r="O927" s="79" t="e">
        <f t="shared" si="284"/>
        <v>#DIV/0!</v>
      </c>
      <c r="P927" s="80" t="e">
        <f t="shared" si="236"/>
        <v>#DIV/0!</v>
      </c>
      <c r="Q927" s="79" t="e">
        <f t="shared" si="237"/>
        <v>#DIV/0!</v>
      </c>
      <c r="R927" s="81" t="e">
        <f t="shared" si="238"/>
        <v>#DIV/0!</v>
      </c>
      <c r="S927" s="101">
        <f t="shared" si="283"/>
        <v>0</v>
      </c>
      <c r="T927" s="83" t="e">
        <f t="shared" si="239"/>
        <v>#DIV/0!</v>
      </c>
      <c r="U927" s="84"/>
      <c r="V927" s="84"/>
      <c r="W927" s="84"/>
      <c r="X927" s="84"/>
      <c r="Y927" s="85"/>
      <c r="Z927" s="68"/>
      <c r="AA927" s="68"/>
    </row>
    <row r="928" spans="1:27" ht="12.75" hidden="1" outlineLevel="1" x14ac:dyDescent="0.2">
      <c r="A928" s="68"/>
      <c r="B928" s="86"/>
      <c r="C928" s="70" t="s">
        <v>41</v>
      </c>
      <c r="D928" s="102">
        <v>1334.56</v>
      </c>
      <c r="E928" s="72"/>
      <c r="F928" s="73">
        <v>16</v>
      </c>
      <c r="G928" s="73">
        <v>15</v>
      </c>
      <c r="H928" s="74">
        <f t="shared" si="233"/>
        <v>1.0666666666666667</v>
      </c>
      <c r="I928" s="75">
        <f t="shared" si="234"/>
        <v>83.41</v>
      </c>
      <c r="J928" s="76">
        <f t="shared" si="235"/>
        <v>78.196874999999991</v>
      </c>
      <c r="K928" s="102">
        <v>562.41999999999996</v>
      </c>
      <c r="L928" s="73">
        <v>34705</v>
      </c>
      <c r="M928" s="73">
        <v>9</v>
      </c>
      <c r="N928" s="103">
        <v>874.63</v>
      </c>
      <c r="O928" s="79">
        <f t="shared" si="284"/>
        <v>0.64303762733956071</v>
      </c>
      <c r="P928" s="80">
        <f t="shared" si="236"/>
        <v>1.5551189502507023</v>
      </c>
      <c r="Q928" s="79">
        <f t="shared" si="237"/>
        <v>0.42142728689605563</v>
      </c>
      <c r="R928" s="81">
        <f t="shared" si="238"/>
        <v>0.65536956000479563</v>
      </c>
      <c r="S928" s="104">
        <f t="shared" si="283"/>
        <v>459.92999999999995</v>
      </c>
      <c r="T928" s="83">
        <f t="shared" si="239"/>
        <v>62.49111111111111</v>
      </c>
      <c r="U928" s="84"/>
      <c r="V928" s="84"/>
      <c r="W928" s="84"/>
      <c r="X928" s="84"/>
      <c r="Y928" s="85"/>
      <c r="Z928" s="68"/>
      <c r="AA928" s="68"/>
    </row>
    <row r="929" spans="1:27" ht="12.75" hidden="1" outlineLevel="1" x14ac:dyDescent="0.2">
      <c r="A929" s="68"/>
      <c r="B929" s="86"/>
      <c r="C929" s="70" t="s">
        <v>42</v>
      </c>
      <c r="D929" s="90">
        <v>99.95</v>
      </c>
      <c r="E929" s="72"/>
      <c r="F929" s="73">
        <v>5</v>
      </c>
      <c r="G929" s="73">
        <v>5</v>
      </c>
      <c r="H929" s="74">
        <f t="shared" si="233"/>
        <v>1</v>
      </c>
      <c r="I929" s="75">
        <f t="shared" si="234"/>
        <v>19.990000000000002</v>
      </c>
      <c r="J929" s="76">
        <f t="shared" si="235"/>
        <v>19.990000000000002</v>
      </c>
      <c r="K929" s="90">
        <v>115.07</v>
      </c>
      <c r="L929" s="73">
        <v>46481</v>
      </c>
      <c r="M929" s="73">
        <v>2</v>
      </c>
      <c r="N929" s="91">
        <v>39.979999999999997</v>
      </c>
      <c r="O929" s="79">
        <f t="shared" si="284"/>
        <v>2.8781890945472739</v>
      </c>
      <c r="P929" s="80">
        <f t="shared" si="236"/>
        <v>0.34744068827670116</v>
      </c>
      <c r="Q929" s="79">
        <f t="shared" si="237"/>
        <v>1.1512756378189093</v>
      </c>
      <c r="R929" s="81">
        <f t="shared" si="238"/>
        <v>0.39999999999999997</v>
      </c>
      <c r="S929" s="92">
        <f t="shared" si="283"/>
        <v>59.970000000000006</v>
      </c>
      <c r="T929" s="83">
        <f t="shared" si="239"/>
        <v>57.534999999999997</v>
      </c>
      <c r="U929" s="84"/>
      <c r="V929" s="84"/>
      <c r="W929" s="84"/>
      <c r="X929" s="84"/>
      <c r="Y929" s="85"/>
      <c r="Z929" s="68"/>
      <c r="AA929" s="68"/>
    </row>
    <row r="930" spans="1:27" ht="12.75" hidden="1" outlineLevel="1" x14ac:dyDescent="0.2">
      <c r="A930" s="68"/>
      <c r="B930" s="86"/>
      <c r="C930" s="70" t="s">
        <v>43</v>
      </c>
      <c r="D930" s="105">
        <v>-278.33999999999997</v>
      </c>
      <c r="E930" s="72"/>
      <c r="F930" s="73">
        <v>0</v>
      </c>
      <c r="G930" s="73">
        <v>2</v>
      </c>
      <c r="H930" s="74">
        <f t="shared" si="233"/>
        <v>0</v>
      </c>
      <c r="I930" s="75" t="e">
        <f t="shared" si="234"/>
        <v>#DIV/0!</v>
      </c>
      <c r="J930" s="76" t="e">
        <f t="shared" si="235"/>
        <v>#DIV/0!</v>
      </c>
      <c r="K930" s="105">
        <v>67.23</v>
      </c>
      <c r="L930" s="73">
        <v>11874</v>
      </c>
      <c r="M930" s="73">
        <v>0</v>
      </c>
      <c r="N930" s="106">
        <v>0</v>
      </c>
      <c r="O930" s="79" t="e">
        <f t="shared" si="284"/>
        <v>#DIV/0!</v>
      </c>
      <c r="P930" s="80">
        <f t="shared" si="236"/>
        <v>0</v>
      </c>
      <c r="Q930" s="79">
        <f t="shared" si="237"/>
        <v>-0.24153912481138179</v>
      </c>
      <c r="R930" s="81">
        <f t="shared" si="238"/>
        <v>0</v>
      </c>
      <c r="S930" s="107">
        <f t="shared" si="283"/>
        <v>-278.33999999999997</v>
      </c>
      <c r="T930" s="83" t="e">
        <f t="shared" si="239"/>
        <v>#DIV/0!</v>
      </c>
      <c r="U930" s="84"/>
      <c r="V930" s="84"/>
      <c r="W930" s="84"/>
      <c r="X930" s="84"/>
      <c r="Y930" s="85"/>
      <c r="Z930" s="68"/>
      <c r="AA930" s="68"/>
    </row>
    <row r="931" spans="1:27" ht="12.75" hidden="1" outlineLevel="1" x14ac:dyDescent="0.2">
      <c r="A931" s="68"/>
      <c r="B931" s="86"/>
      <c r="C931" s="70" t="s">
        <v>44</v>
      </c>
      <c r="D931" s="108">
        <v>-139.9</v>
      </c>
      <c r="E931" s="72"/>
      <c r="F931" s="73">
        <v>-2</v>
      </c>
      <c r="G931" s="73">
        <v>0</v>
      </c>
      <c r="H931" s="74" t="e">
        <f t="shared" si="233"/>
        <v>#DIV/0!</v>
      </c>
      <c r="I931" s="75">
        <f t="shared" si="234"/>
        <v>69.95</v>
      </c>
      <c r="J931" s="76" t="e">
        <f t="shared" si="235"/>
        <v>#DIV/0!</v>
      </c>
      <c r="K931" s="108">
        <v>91.08</v>
      </c>
      <c r="L931" s="73">
        <v>54140</v>
      </c>
      <c r="M931" s="73">
        <v>0</v>
      </c>
      <c r="N931" s="109">
        <v>0</v>
      </c>
      <c r="O931" s="79" t="e">
        <f t="shared" si="284"/>
        <v>#DIV/0!</v>
      </c>
      <c r="P931" s="80">
        <f t="shared" si="236"/>
        <v>0</v>
      </c>
      <c r="Q931" s="79">
        <f t="shared" si="237"/>
        <v>-0.65103645461043602</v>
      </c>
      <c r="R931" s="81">
        <f t="shared" si="238"/>
        <v>0</v>
      </c>
      <c r="S931" s="110">
        <f t="shared" si="283"/>
        <v>-139.9</v>
      </c>
      <c r="T931" s="83" t="e">
        <f t="shared" si="239"/>
        <v>#DIV/0!</v>
      </c>
      <c r="U931" s="84"/>
      <c r="V931" s="84"/>
      <c r="W931" s="84"/>
      <c r="X931" s="84"/>
      <c r="Y931" s="85"/>
      <c r="Z931" s="68"/>
      <c r="AA931" s="68"/>
    </row>
    <row r="932" spans="1:27" ht="12.75" hidden="1" outlineLevel="1" x14ac:dyDescent="0.2">
      <c r="A932" s="111"/>
      <c r="B932" s="86"/>
      <c r="C932" s="112" t="s">
        <v>45</v>
      </c>
      <c r="D932" s="71">
        <v>-191.84</v>
      </c>
      <c r="E932" s="72"/>
      <c r="F932" s="73">
        <v>-4</v>
      </c>
      <c r="G932" s="73">
        <v>1</v>
      </c>
      <c r="H932" s="74">
        <f t="shared" si="233"/>
        <v>-4</v>
      </c>
      <c r="I932" s="75">
        <f t="shared" si="234"/>
        <v>47.96</v>
      </c>
      <c r="J932" s="76">
        <f t="shared" si="235"/>
        <v>-11.99</v>
      </c>
      <c r="K932" s="71">
        <v>0</v>
      </c>
      <c r="L932" s="73">
        <v>0</v>
      </c>
      <c r="M932" s="73">
        <v>0</v>
      </c>
      <c r="N932" s="78">
        <v>0</v>
      </c>
      <c r="O932" s="79" t="e">
        <f t="shared" si="284"/>
        <v>#DIV/0!</v>
      </c>
      <c r="P932" s="80" t="e">
        <f t="shared" si="236"/>
        <v>#DIV/0!</v>
      </c>
      <c r="Q932" s="79">
        <f t="shared" si="237"/>
        <v>0</v>
      </c>
      <c r="R932" s="81">
        <f t="shared" si="238"/>
        <v>0</v>
      </c>
      <c r="S932" s="82">
        <f t="shared" si="283"/>
        <v>-191.84</v>
      </c>
      <c r="T932" s="83" t="e">
        <f t="shared" si="239"/>
        <v>#DIV/0!</v>
      </c>
      <c r="U932" s="113"/>
      <c r="V932" s="113"/>
      <c r="W932" s="113"/>
      <c r="X932" s="114"/>
      <c r="Y932" s="115"/>
      <c r="Z932" s="68"/>
      <c r="AA932" s="68"/>
    </row>
    <row r="933" spans="1:27" ht="12.75" hidden="1" outlineLevel="1" x14ac:dyDescent="0.2">
      <c r="A933" s="68"/>
      <c r="B933" s="86"/>
      <c r="C933" s="70" t="s">
        <v>46</v>
      </c>
      <c r="D933" s="116">
        <v>941.43</v>
      </c>
      <c r="E933" s="72"/>
      <c r="F933" s="73">
        <v>24</v>
      </c>
      <c r="G933" s="73">
        <v>28</v>
      </c>
      <c r="H933" s="74">
        <f t="shared" si="233"/>
        <v>0.8571428571428571</v>
      </c>
      <c r="I933" s="75">
        <f t="shared" si="234"/>
        <v>39.22625</v>
      </c>
      <c r="J933" s="76">
        <f t="shared" si="235"/>
        <v>45.763958333333335</v>
      </c>
      <c r="K933" s="116">
        <v>228.05</v>
      </c>
      <c r="L933" s="73">
        <v>64037</v>
      </c>
      <c r="M933" s="73">
        <v>13</v>
      </c>
      <c r="N933" s="117">
        <v>485.63</v>
      </c>
      <c r="O933" s="79">
        <f t="shared" si="284"/>
        <v>0.46959619463377472</v>
      </c>
      <c r="P933" s="80">
        <f t="shared" si="236"/>
        <v>2.12948914711686</v>
      </c>
      <c r="Q933" s="79">
        <f t="shared" si="237"/>
        <v>0.24223787217318338</v>
      </c>
      <c r="R933" s="81">
        <f t="shared" si="238"/>
        <v>0.5158429198134753</v>
      </c>
      <c r="S933" s="82">
        <f t="shared" si="283"/>
        <v>455.79999999999995</v>
      </c>
      <c r="T933" s="83">
        <f t="shared" si="239"/>
        <v>17.542307692307695</v>
      </c>
      <c r="U933" s="84"/>
      <c r="V933" s="84"/>
      <c r="W933" s="84"/>
      <c r="X933" s="84"/>
      <c r="Y933" s="85"/>
      <c r="Z933" s="68"/>
      <c r="AA933" s="68"/>
    </row>
    <row r="934" spans="1:27" ht="12.75" hidden="1" outlineLevel="1" x14ac:dyDescent="0.2">
      <c r="A934" s="68"/>
      <c r="B934" s="86"/>
      <c r="C934" s="70" t="s">
        <v>47</v>
      </c>
      <c r="D934" s="87">
        <v>0</v>
      </c>
      <c r="E934" s="72"/>
      <c r="F934" s="73">
        <v>0</v>
      </c>
      <c r="G934" s="73">
        <v>0</v>
      </c>
      <c r="H934" s="74" t="e">
        <f t="shared" si="233"/>
        <v>#DIV/0!</v>
      </c>
      <c r="I934" s="75" t="e">
        <f t="shared" si="234"/>
        <v>#DIV/0!</v>
      </c>
      <c r="J934" s="76" t="e">
        <f t="shared" si="235"/>
        <v>#DIV/0!</v>
      </c>
      <c r="K934" s="87">
        <v>0</v>
      </c>
      <c r="L934" s="73">
        <v>0</v>
      </c>
      <c r="M934" s="73">
        <v>0</v>
      </c>
      <c r="N934" s="88">
        <v>0</v>
      </c>
      <c r="O934" s="79" t="e">
        <f t="shared" si="284"/>
        <v>#DIV/0!</v>
      </c>
      <c r="P934" s="80" t="e">
        <f t="shared" si="236"/>
        <v>#DIV/0!</v>
      </c>
      <c r="Q934" s="79" t="e">
        <f t="shared" si="237"/>
        <v>#DIV/0!</v>
      </c>
      <c r="R934" s="81" t="e">
        <f t="shared" si="238"/>
        <v>#DIV/0!</v>
      </c>
      <c r="S934" s="82">
        <f t="shared" si="283"/>
        <v>0</v>
      </c>
      <c r="T934" s="83" t="e">
        <f t="shared" si="239"/>
        <v>#DIV/0!</v>
      </c>
      <c r="U934" s="84"/>
      <c r="V934" s="84"/>
      <c r="W934" s="84"/>
      <c r="X934" s="84"/>
      <c r="Y934" s="85"/>
      <c r="Z934" s="68"/>
      <c r="AA934" s="68"/>
    </row>
    <row r="935" spans="1:27" ht="12.75" hidden="1" outlineLevel="1" x14ac:dyDescent="0.2">
      <c r="A935" s="68"/>
      <c r="B935" s="86"/>
      <c r="C935" s="70" t="s">
        <v>48</v>
      </c>
      <c r="D935" s="102">
        <v>5272.8</v>
      </c>
      <c r="E935" s="72"/>
      <c r="F935" s="73">
        <v>31</v>
      </c>
      <c r="G935" s="73">
        <v>37</v>
      </c>
      <c r="H935" s="74">
        <f t="shared" si="233"/>
        <v>0.83783783783783783</v>
      </c>
      <c r="I935" s="75">
        <f t="shared" si="234"/>
        <v>170.09032258064516</v>
      </c>
      <c r="J935" s="76">
        <f t="shared" si="235"/>
        <v>203.01103017689906</v>
      </c>
      <c r="K935" s="102">
        <v>707.83</v>
      </c>
      <c r="L935" s="73">
        <v>42629</v>
      </c>
      <c r="M935" s="73">
        <v>17</v>
      </c>
      <c r="N935" s="103">
        <v>2600.61</v>
      </c>
      <c r="O935" s="79">
        <f t="shared" si="284"/>
        <v>0.27217845044047356</v>
      </c>
      <c r="P935" s="80">
        <f t="shared" si="236"/>
        <v>3.6740601556871</v>
      </c>
      <c r="Q935" s="79">
        <f t="shared" si="237"/>
        <v>0.1342417690790472</v>
      </c>
      <c r="R935" s="81">
        <f t="shared" si="238"/>
        <v>0.49321233500227585</v>
      </c>
      <c r="S935" s="82">
        <f t="shared" si="283"/>
        <v>2672.19</v>
      </c>
      <c r="T935" s="83">
        <f t="shared" si="239"/>
        <v>41.637058823529415</v>
      </c>
      <c r="U935" s="84"/>
      <c r="V935" s="84"/>
      <c r="W935" s="84"/>
      <c r="X935" s="84"/>
      <c r="Y935" s="85"/>
      <c r="Z935" s="68"/>
      <c r="AA935" s="68"/>
    </row>
    <row r="936" spans="1:27" ht="12.75" hidden="1" outlineLevel="1" x14ac:dyDescent="0.2">
      <c r="A936" s="118" t="str">
        <f t="shared" ref="A936:A937" si="285">IFERROR(IF(B936&gt;0,MONTH(B936)&amp;"-"&amp;YEAR(B936),B936),)</f>
        <v>12-2025</v>
      </c>
      <c r="B936" s="69">
        <v>46011</v>
      </c>
      <c r="C936" s="70" t="s">
        <v>49</v>
      </c>
      <c r="D936" s="116">
        <v>0</v>
      </c>
      <c r="E936" s="72"/>
      <c r="F936" s="73">
        <v>0</v>
      </c>
      <c r="G936" s="73">
        <v>0</v>
      </c>
      <c r="H936" s="74" t="e">
        <f t="shared" si="233"/>
        <v>#DIV/0!</v>
      </c>
      <c r="I936" s="75" t="e">
        <f t="shared" si="234"/>
        <v>#DIV/0!</v>
      </c>
      <c r="J936" s="76" t="e">
        <f t="shared" si="235"/>
        <v>#DIV/0!</v>
      </c>
      <c r="K936" s="116">
        <v>16.170000000000002</v>
      </c>
      <c r="L936" s="73">
        <v>18679</v>
      </c>
      <c r="M936" s="73">
        <v>0</v>
      </c>
      <c r="N936" s="117">
        <v>0</v>
      </c>
      <c r="O936" s="79" t="e">
        <f t="shared" si="284"/>
        <v>#DIV/0!</v>
      </c>
      <c r="P936" s="80">
        <f t="shared" si="236"/>
        <v>0</v>
      </c>
      <c r="Q936" s="79" t="e">
        <f t="shared" si="237"/>
        <v>#DIV/0!</v>
      </c>
      <c r="R936" s="81" t="e">
        <f t="shared" si="238"/>
        <v>#DIV/0!</v>
      </c>
      <c r="S936" s="82">
        <f t="shared" si="283"/>
        <v>0</v>
      </c>
      <c r="T936" s="83" t="e">
        <f t="shared" si="239"/>
        <v>#DIV/0!</v>
      </c>
      <c r="U936" s="84"/>
      <c r="V936" s="84"/>
      <c r="W936" s="84"/>
      <c r="X936" s="84"/>
      <c r="Y936" s="85"/>
      <c r="Z936" s="68"/>
      <c r="AA936" s="68"/>
    </row>
    <row r="937" spans="1:27" ht="12.75" collapsed="1" x14ac:dyDescent="0.2">
      <c r="A937" s="68">
        <f t="shared" si="285"/>
        <v>0</v>
      </c>
      <c r="B937" s="52" t="s">
        <v>109</v>
      </c>
      <c r="C937" s="120"/>
      <c r="D937" s="121">
        <f>SUM(D920:D936)</f>
        <v>54693.630000000005</v>
      </c>
      <c r="E937" s="122"/>
      <c r="F937" s="123">
        <f t="shared" ref="F937:G937" si="286">SUM(F920:F936)</f>
        <v>274</v>
      </c>
      <c r="G937" s="123">
        <f t="shared" si="286"/>
        <v>294</v>
      </c>
      <c r="H937" s="124">
        <f t="shared" si="233"/>
        <v>0.93197278911564629</v>
      </c>
      <c r="I937" s="125">
        <f t="shared" si="234"/>
        <v>199.61178832116789</v>
      </c>
      <c r="J937" s="126">
        <f t="shared" si="235"/>
        <v>214.18199184826042</v>
      </c>
      <c r="K937" s="121">
        <f t="shared" ref="K937:N937" si="287">SUM(K920:K936)</f>
        <v>4864.8700000000008</v>
      </c>
      <c r="L937" s="123">
        <f t="shared" si="287"/>
        <v>1004390</v>
      </c>
      <c r="M937" s="123">
        <f t="shared" si="287"/>
        <v>118</v>
      </c>
      <c r="N937" s="127">
        <f t="shared" si="287"/>
        <v>16140.64</v>
      </c>
      <c r="O937" s="128">
        <f t="shared" si="284"/>
        <v>0.30140502483172915</v>
      </c>
      <c r="P937" s="129">
        <f t="shared" si="236"/>
        <v>3.3177947201055726</v>
      </c>
      <c r="Q937" s="128">
        <f t="shared" si="237"/>
        <v>8.8947652587696241E-2</v>
      </c>
      <c r="R937" s="130">
        <f t="shared" si="238"/>
        <v>0.29511005212124336</v>
      </c>
      <c r="S937" s="131">
        <f>SUM(S920:S936)</f>
        <v>38552.99000000002</v>
      </c>
      <c r="T937" s="132">
        <f t="shared" si="239"/>
        <v>41.227711864406785</v>
      </c>
      <c r="U937" s="133">
        <f>IFERROR((D937-D246)/D937,)</f>
        <v>0.86138568604789989</v>
      </c>
      <c r="V937" s="133">
        <f>IFERROR((F937-F246)/F937,)</f>
        <v>0.65693430656934304</v>
      </c>
      <c r="W937" s="134">
        <f>IFERROR((D937-[1]monthly_reporting_2021!E728)/D937, )</f>
        <v>0</v>
      </c>
      <c r="X937" s="134">
        <f>IFERROR((F937-[1]monthly_reporting_2021!F728)/F937, )</f>
        <v>0</v>
      </c>
      <c r="Y937" s="68"/>
      <c r="Z937" s="68"/>
      <c r="AA937" s="68"/>
    </row>
    <row r="938" spans="1:27" ht="12.75" hidden="1" outlineLevel="1" x14ac:dyDescent="0.2">
      <c r="A938" s="50"/>
      <c r="B938" s="69">
        <v>46012</v>
      </c>
      <c r="C938" s="70" t="s">
        <v>32</v>
      </c>
      <c r="D938" s="71">
        <v>7936.51</v>
      </c>
      <c r="E938" s="75"/>
      <c r="F938" s="73">
        <v>30</v>
      </c>
      <c r="G938" s="73">
        <v>30</v>
      </c>
      <c r="H938" s="74">
        <f t="shared" si="233"/>
        <v>1</v>
      </c>
      <c r="I938" s="75">
        <f t="shared" si="234"/>
        <v>264.55033333333336</v>
      </c>
      <c r="J938" s="76">
        <f t="shared" si="235"/>
        <v>264.55033333333336</v>
      </c>
      <c r="K938" s="77">
        <v>1654.24</v>
      </c>
      <c r="L938" s="73">
        <v>263207</v>
      </c>
      <c r="M938" s="73">
        <v>16</v>
      </c>
      <c r="N938" s="78">
        <v>4466.7299999999996</v>
      </c>
      <c r="O938" s="79">
        <f t="shared" si="284"/>
        <v>0.37034698761733981</v>
      </c>
      <c r="P938" s="80">
        <f t="shared" si="236"/>
        <v>2.7001704710320142</v>
      </c>
      <c r="Q938" s="79">
        <f t="shared" si="237"/>
        <v>0.20843418580711168</v>
      </c>
      <c r="R938" s="81">
        <f t="shared" si="238"/>
        <v>0.56280783366996312</v>
      </c>
      <c r="S938" s="82">
        <f t="shared" ref="S938:S954" si="288">D938-N938</f>
        <v>3469.7800000000007</v>
      </c>
      <c r="T938" s="83">
        <f t="shared" si="239"/>
        <v>103.39</v>
      </c>
      <c r="U938" s="135"/>
      <c r="V938" s="135"/>
      <c r="W938" s="135"/>
      <c r="X938" s="135"/>
      <c r="Y938" s="136"/>
      <c r="Z938" s="50"/>
      <c r="AA938" s="50"/>
    </row>
    <row r="939" spans="1:27" ht="12.75" hidden="1" outlineLevel="1" x14ac:dyDescent="0.2">
      <c r="A939" s="50"/>
      <c r="B939" s="137"/>
      <c r="C939" s="70" t="s">
        <v>33</v>
      </c>
      <c r="D939" s="87">
        <v>19206.39</v>
      </c>
      <c r="E939" s="75"/>
      <c r="F939" s="73">
        <v>104</v>
      </c>
      <c r="G939" s="73">
        <v>119</v>
      </c>
      <c r="H939" s="74">
        <f t="shared" si="233"/>
        <v>0.87394957983193278</v>
      </c>
      <c r="I939" s="75">
        <f t="shared" si="234"/>
        <v>184.67682692307693</v>
      </c>
      <c r="J939" s="76">
        <f t="shared" si="235"/>
        <v>211.31290772928995</v>
      </c>
      <c r="K939" s="87">
        <v>1288.08</v>
      </c>
      <c r="L939" s="73">
        <v>442713</v>
      </c>
      <c r="M939" s="73">
        <v>37</v>
      </c>
      <c r="N939" s="88">
        <v>6713.65</v>
      </c>
      <c r="O939" s="79">
        <f t="shared" si="284"/>
        <v>0.19185986758320733</v>
      </c>
      <c r="P939" s="80">
        <f t="shared" si="236"/>
        <v>5.2121374448792004</v>
      </c>
      <c r="Q939" s="79">
        <f t="shared" si="237"/>
        <v>6.7065179869824576E-2</v>
      </c>
      <c r="R939" s="81">
        <f t="shared" si="238"/>
        <v>0.34955293524707143</v>
      </c>
      <c r="S939" s="89">
        <f t="shared" si="288"/>
        <v>12492.74</v>
      </c>
      <c r="T939" s="83">
        <f t="shared" si="239"/>
        <v>34.812972972972972</v>
      </c>
      <c r="U939" s="135"/>
      <c r="V939" s="135"/>
      <c r="W939" s="135"/>
      <c r="X939" s="135"/>
      <c r="Y939" s="136"/>
      <c r="Z939" s="50"/>
      <c r="AA939" s="50"/>
    </row>
    <row r="940" spans="1:27" ht="12.75" hidden="1" outlineLevel="1" x14ac:dyDescent="0.2">
      <c r="A940" s="50"/>
      <c r="B940" s="137"/>
      <c r="C940" s="70" t="s">
        <v>34</v>
      </c>
      <c r="D940" s="90">
        <v>0</v>
      </c>
      <c r="E940" s="75"/>
      <c r="F940" s="73">
        <v>0</v>
      </c>
      <c r="G940" s="73">
        <v>0</v>
      </c>
      <c r="H940" s="74" t="e">
        <f t="shared" si="233"/>
        <v>#DIV/0!</v>
      </c>
      <c r="I940" s="75" t="e">
        <f t="shared" si="234"/>
        <v>#DIV/0!</v>
      </c>
      <c r="J940" s="76" t="e">
        <f t="shared" si="235"/>
        <v>#DIV/0!</v>
      </c>
      <c r="K940" s="90">
        <v>7.5</v>
      </c>
      <c r="L940" s="73">
        <v>288</v>
      </c>
      <c r="M940" s="73">
        <v>0</v>
      </c>
      <c r="N940" s="91">
        <v>0</v>
      </c>
      <c r="O940" s="79" t="e">
        <f>(K940/N940)</f>
        <v>#DIV/0!</v>
      </c>
      <c r="P940" s="80">
        <f t="shared" si="236"/>
        <v>0</v>
      </c>
      <c r="Q940" s="79" t="e">
        <f t="shared" si="237"/>
        <v>#DIV/0!</v>
      </c>
      <c r="R940" s="81" t="e">
        <f t="shared" si="238"/>
        <v>#DIV/0!</v>
      </c>
      <c r="S940" s="92">
        <f t="shared" si="288"/>
        <v>0</v>
      </c>
      <c r="T940" s="83" t="e">
        <f t="shared" si="239"/>
        <v>#DIV/0!</v>
      </c>
      <c r="U940" s="135"/>
      <c r="V940" s="135"/>
      <c r="W940" s="135"/>
      <c r="X940" s="135"/>
      <c r="Y940" s="136"/>
      <c r="Z940" s="50"/>
      <c r="AA940" s="50"/>
    </row>
    <row r="941" spans="1:27" ht="12.75" hidden="1" outlineLevel="1" x14ac:dyDescent="0.2">
      <c r="A941" s="50"/>
      <c r="B941" s="137"/>
      <c r="C941" s="70" t="s">
        <v>35</v>
      </c>
      <c r="D941" s="90">
        <v>545.54999999999995</v>
      </c>
      <c r="E941" s="75"/>
      <c r="F941" s="73">
        <v>9</v>
      </c>
      <c r="G941" s="73">
        <v>10</v>
      </c>
      <c r="H941" s="74">
        <f t="shared" si="233"/>
        <v>0.9</v>
      </c>
      <c r="I941" s="75">
        <f t="shared" si="234"/>
        <v>60.61666666666666</v>
      </c>
      <c r="J941" s="76">
        <f t="shared" si="235"/>
        <v>67.351851851851848</v>
      </c>
      <c r="K941" s="90">
        <v>184.21</v>
      </c>
      <c r="L941" s="73">
        <v>16259</v>
      </c>
      <c r="M941" s="73">
        <v>1</v>
      </c>
      <c r="N941" s="91">
        <v>59.95</v>
      </c>
      <c r="O941" s="79">
        <f t="shared" ref="O941:O957" si="289">K941/N941</f>
        <v>3.0727272727272728</v>
      </c>
      <c r="P941" s="80">
        <f t="shared" si="236"/>
        <v>0.32544378698224852</v>
      </c>
      <c r="Q941" s="79">
        <f t="shared" si="237"/>
        <v>0.33765924296581434</v>
      </c>
      <c r="R941" s="81">
        <f t="shared" si="238"/>
        <v>0.10988910274035378</v>
      </c>
      <c r="S941" s="92">
        <f t="shared" si="288"/>
        <v>485.59999999999997</v>
      </c>
      <c r="T941" s="83">
        <f t="shared" si="239"/>
        <v>184.21</v>
      </c>
      <c r="U941" s="135"/>
      <c r="V941" s="135"/>
      <c r="W941" s="135"/>
      <c r="X941" s="135"/>
      <c r="Y941" s="136"/>
      <c r="Z941" s="50"/>
      <c r="AA941" s="50"/>
    </row>
    <row r="942" spans="1:27" ht="12.75" hidden="1" outlineLevel="1" x14ac:dyDescent="0.2">
      <c r="A942" s="50"/>
      <c r="B942" s="137"/>
      <c r="C942" s="70" t="s">
        <v>36</v>
      </c>
      <c r="D942" s="90">
        <v>589.54999999999995</v>
      </c>
      <c r="E942" s="75"/>
      <c r="F942" s="73">
        <v>9</v>
      </c>
      <c r="G942" s="73">
        <v>9</v>
      </c>
      <c r="H942" s="74">
        <f t="shared" si="233"/>
        <v>1</v>
      </c>
      <c r="I942" s="75">
        <f t="shared" si="234"/>
        <v>65.505555555555546</v>
      </c>
      <c r="J942" s="76">
        <f t="shared" si="235"/>
        <v>65.505555555555546</v>
      </c>
      <c r="K942" s="90">
        <v>52.21</v>
      </c>
      <c r="L942" s="73">
        <v>18056</v>
      </c>
      <c r="M942" s="73">
        <v>7</v>
      </c>
      <c r="N942" s="91">
        <v>479.65</v>
      </c>
      <c r="O942" s="79">
        <f t="shared" si="289"/>
        <v>0.10885020327322006</v>
      </c>
      <c r="P942" s="80">
        <f t="shared" si="236"/>
        <v>9.186937368320244</v>
      </c>
      <c r="Q942" s="79">
        <f t="shared" si="237"/>
        <v>8.8559070477482835E-2</v>
      </c>
      <c r="R942" s="81">
        <f t="shared" si="238"/>
        <v>0.81358663387329322</v>
      </c>
      <c r="S942" s="92">
        <f t="shared" si="288"/>
        <v>109.89999999999998</v>
      </c>
      <c r="T942" s="83">
        <f t="shared" si="239"/>
        <v>7.4585714285714291</v>
      </c>
      <c r="U942" s="135"/>
      <c r="V942" s="135"/>
      <c r="W942" s="135"/>
      <c r="X942" s="135"/>
      <c r="Y942" s="136"/>
      <c r="Z942" s="50"/>
      <c r="AA942" s="50"/>
    </row>
    <row r="943" spans="1:27" ht="12.75" hidden="1" outlineLevel="1" x14ac:dyDescent="0.2">
      <c r="A943" s="50"/>
      <c r="B943" s="138" t="s">
        <v>37</v>
      </c>
      <c r="C943" s="70" t="s">
        <v>38</v>
      </c>
      <c r="D943" s="93">
        <v>-70.63</v>
      </c>
      <c r="E943" s="75"/>
      <c r="F943" s="73">
        <v>-2</v>
      </c>
      <c r="G943" s="73">
        <v>1</v>
      </c>
      <c r="H943" s="74">
        <f t="shared" si="233"/>
        <v>-2</v>
      </c>
      <c r="I943" s="75">
        <f t="shared" si="234"/>
        <v>35.314999999999998</v>
      </c>
      <c r="J943" s="76">
        <f t="shared" si="235"/>
        <v>-17.657499999999999</v>
      </c>
      <c r="K943" s="93">
        <v>8.48</v>
      </c>
      <c r="L943" s="73">
        <v>697</v>
      </c>
      <c r="M943" s="73">
        <v>0</v>
      </c>
      <c r="N943" s="94">
        <v>0</v>
      </c>
      <c r="O943" s="79" t="e">
        <f t="shared" si="289"/>
        <v>#DIV/0!</v>
      </c>
      <c r="P943" s="80">
        <f t="shared" si="236"/>
        <v>0</v>
      </c>
      <c r="Q943" s="79">
        <f t="shared" si="237"/>
        <v>-0.12006229647458588</v>
      </c>
      <c r="R943" s="81">
        <f t="shared" si="238"/>
        <v>0</v>
      </c>
      <c r="S943" s="95">
        <f t="shared" si="288"/>
        <v>-70.63</v>
      </c>
      <c r="T943" s="83" t="e">
        <f t="shared" si="239"/>
        <v>#DIV/0!</v>
      </c>
      <c r="U943" s="135"/>
      <c r="V943" s="135"/>
      <c r="W943" s="135"/>
      <c r="X943" s="135"/>
      <c r="Y943" s="136"/>
      <c r="Z943" s="50"/>
      <c r="AA943" s="50"/>
    </row>
    <row r="944" spans="1:27" ht="12.75" hidden="1" outlineLevel="1" x14ac:dyDescent="0.2">
      <c r="A944" s="50"/>
      <c r="B944" s="137"/>
      <c r="C944" s="70" t="s">
        <v>39</v>
      </c>
      <c r="D944" s="96">
        <v>0</v>
      </c>
      <c r="E944" s="75"/>
      <c r="F944" s="73">
        <v>0</v>
      </c>
      <c r="G944" s="73">
        <v>0</v>
      </c>
      <c r="H944" s="74" t="e">
        <f t="shared" si="233"/>
        <v>#DIV/0!</v>
      </c>
      <c r="I944" s="75" t="e">
        <f t="shared" si="234"/>
        <v>#DIV/0!</v>
      </c>
      <c r="J944" s="76" t="e">
        <f t="shared" si="235"/>
        <v>#DIV/0!</v>
      </c>
      <c r="K944" s="96">
        <v>0</v>
      </c>
      <c r="L944" s="73">
        <v>0</v>
      </c>
      <c r="M944" s="73">
        <v>0</v>
      </c>
      <c r="N944" s="97">
        <v>0</v>
      </c>
      <c r="O944" s="79" t="e">
        <f t="shared" si="289"/>
        <v>#DIV/0!</v>
      </c>
      <c r="P944" s="80" t="e">
        <f t="shared" si="236"/>
        <v>#DIV/0!</v>
      </c>
      <c r="Q944" s="79" t="e">
        <f t="shared" si="237"/>
        <v>#DIV/0!</v>
      </c>
      <c r="R944" s="81" t="e">
        <f t="shared" si="238"/>
        <v>#DIV/0!</v>
      </c>
      <c r="S944" s="98">
        <f t="shared" si="288"/>
        <v>0</v>
      </c>
      <c r="T944" s="83" t="e">
        <f t="shared" si="239"/>
        <v>#DIV/0!</v>
      </c>
      <c r="U944" s="135"/>
      <c r="V944" s="135"/>
      <c r="W944" s="135"/>
      <c r="X944" s="135"/>
      <c r="Y944" s="136"/>
      <c r="Z944" s="50"/>
      <c r="AA944" s="50"/>
    </row>
    <row r="945" spans="1:27" ht="12.75" hidden="1" outlineLevel="1" x14ac:dyDescent="0.2">
      <c r="A945" s="50"/>
      <c r="B945" s="137"/>
      <c r="C945" s="70" t="s">
        <v>40</v>
      </c>
      <c r="D945" s="99">
        <v>0</v>
      </c>
      <c r="E945" s="75"/>
      <c r="F945" s="73">
        <v>0</v>
      </c>
      <c r="G945" s="73">
        <v>0</v>
      </c>
      <c r="H945" s="74" t="e">
        <f t="shared" si="233"/>
        <v>#DIV/0!</v>
      </c>
      <c r="I945" s="75" t="e">
        <f t="shared" si="234"/>
        <v>#DIV/0!</v>
      </c>
      <c r="J945" s="76" t="e">
        <f t="shared" si="235"/>
        <v>#DIV/0!</v>
      </c>
      <c r="K945" s="99">
        <v>0</v>
      </c>
      <c r="L945" s="73">
        <v>0</v>
      </c>
      <c r="M945" s="73">
        <v>0</v>
      </c>
      <c r="N945" s="100">
        <v>0</v>
      </c>
      <c r="O945" s="79" t="e">
        <f t="shared" si="289"/>
        <v>#DIV/0!</v>
      </c>
      <c r="P945" s="80" t="e">
        <f t="shared" si="236"/>
        <v>#DIV/0!</v>
      </c>
      <c r="Q945" s="79" t="e">
        <f t="shared" si="237"/>
        <v>#DIV/0!</v>
      </c>
      <c r="R945" s="81" t="e">
        <f t="shared" si="238"/>
        <v>#DIV/0!</v>
      </c>
      <c r="S945" s="101">
        <f t="shared" si="288"/>
        <v>0</v>
      </c>
      <c r="T945" s="83" t="e">
        <f t="shared" si="239"/>
        <v>#DIV/0!</v>
      </c>
      <c r="U945" s="135"/>
      <c r="V945" s="135"/>
      <c r="W945" s="135"/>
      <c r="X945" s="135"/>
      <c r="Y945" s="136"/>
      <c r="Z945" s="50"/>
      <c r="AA945" s="50"/>
    </row>
    <row r="946" spans="1:27" ht="12.75" hidden="1" outlineLevel="1" x14ac:dyDescent="0.2">
      <c r="A946" s="50"/>
      <c r="B946" s="137"/>
      <c r="C946" s="70" t="s">
        <v>41</v>
      </c>
      <c r="D946" s="102">
        <v>2629.8</v>
      </c>
      <c r="E946" s="75"/>
      <c r="F946" s="73">
        <v>29</v>
      </c>
      <c r="G946" s="73">
        <v>28</v>
      </c>
      <c r="H946" s="74">
        <f t="shared" si="233"/>
        <v>1.0357142857142858</v>
      </c>
      <c r="I946" s="75">
        <f t="shared" si="234"/>
        <v>90.682758620689668</v>
      </c>
      <c r="J946" s="76">
        <f t="shared" si="235"/>
        <v>87.555766944114154</v>
      </c>
      <c r="K946" s="102">
        <v>668.15</v>
      </c>
      <c r="L946" s="73">
        <v>36463</v>
      </c>
      <c r="M946" s="73">
        <v>17</v>
      </c>
      <c r="N946" s="103">
        <v>1466.87</v>
      </c>
      <c r="O946" s="79">
        <f t="shared" si="289"/>
        <v>0.4554936701957229</v>
      </c>
      <c r="P946" s="80">
        <f t="shared" si="236"/>
        <v>2.1954201900770784</v>
      </c>
      <c r="Q946" s="79">
        <f t="shared" si="237"/>
        <v>0.25406875047532129</v>
      </c>
      <c r="R946" s="81">
        <f t="shared" si="238"/>
        <v>0.55778766446117567</v>
      </c>
      <c r="S946" s="104">
        <f t="shared" si="288"/>
        <v>1162.9300000000003</v>
      </c>
      <c r="T946" s="83">
        <f t="shared" si="239"/>
        <v>39.30294117647059</v>
      </c>
      <c r="U946" s="135"/>
      <c r="V946" s="135"/>
      <c r="W946" s="135"/>
      <c r="X946" s="135"/>
      <c r="Y946" s="136"/>
      <c r="Z946" s="50"/>
      <c r="AA946" s="50"/>
    </row>
    <row r="947" spans="1:27" ht="12.75" hidden="1" outlineLevel="1" x14ac:dyDescent="0.2">
      <c r="A947" s="50"/>
      <c r="B947" s="137"/>
      <c r="C947" s="70" t="s">
        <v>42</v>
      </c>
      <c r="D947" s="90">
        <v>59.97</v>
      </c>
      <c r="E947" s="75"/>
      <c r="F947" s="73">
        <v>3</v>
      </c>
      <c r="G947" s="73">
        <v>4</v>
      </c>
      <c r="H947" s="74">
        <f t="shared" si="233"/>
        <v>0.75</v>
      </c>
      <c r="I947" s="75">
        <f t="shared" si="234"/>
        <v>19.989999999999998</v>
      </c>
      <c r="J947" s="76">
        <f t="shared" si="235"/>
        <v>26.653333333333332</v>
      </c>
      <c r="K947" s="90">
        <v>136.24</v>
      </c>
      <c r="L947" s="73">
        <v>47577</v>
      </c>
      <c r="M947" s="73">
        <v>2</v>
      </c>
      <c r="N947" s="91">
        <v>39.979999999999997</v>
      </c>
      <c r="O947" s="79">
        <f t="shared" si="289"/>
        <v>3.4077038519259633</v>
      </c>
      <c r="P947" s="80">
        <f t="shared" si="236"/>
        <v>0.2934527304756312</v>
      </c>
      <c r="Q947" s="79">
        <f t="shared" si="237"/>
        <v>2.2718025679506422</v>
      </c>
      <c r="R947" s="81">
        <f t="shared" si="238"/>
        <v>0.66666666666666663</v>
      </c>
      <c r="S947" s="92">
        <f t="shared" si="288"/>
        <v>19.990000000000002</v>
      </c>
      <c r="T947" s="83">
        <f t="shared" si="239"/>
        <v>68.12</v>
      </c>
      <c r="U947" s="135"/>
      <c r="V947" s="135"/>
      <c r="W947" s="135"/>
      <c r="X947" s="135"/>
      <c r="Y947" s="136"/>
      <c r="Z947" s="50"/>
      <c r="AA947" s="50"/>
    </row>
    <row r="948" spans="1:27" ht="12.75" hidden="1" outlineLevel="1" x14ac:dyDescent="0.2">
      <c r="A948" s="50"/>
      <c r="B948" s="137"/>
      <c r="C948" s="70" t="s">
        <v>43</v>
      </c>
      <c r="D948" s="105">
        <v>78.59</v>
      </c>
      <c r="E948" s="75"/>
      <c r="F948" s="73">
        <v>0</v>
      </c>
      <c r="G948" s="73">
        <v>2</v>
      </c>
      <c r="H948" s="74">
        <f t="shared" si="233"/>
        <v>0</v>
      </c>
      <c r="I948" s="75" t="e">
        <f t="shared" si="234"/>
        <v>#DIV/0!</v>
      </c>
      <c r="J948" s="76" t="e">
        <f t="shared" si="235"/>
        <v>#DIV/0!</v>
      </c>
      <c r="K948" s="105">
        <v>36.36</v>
      </c>
      <c r="L948" s="73">
        <v>10972</v>
      </c>
      <c r="M948" s="73">
        <v>1</v>
      </c>
      <c r="N948" s="106">
        <v>154.46</v>
      </c>
      <c r="O948" s="79">
        <f t="shared" si="289"/>
        <v>0.23540075100349603</v>
      </c>
      <c r="P948" s="80">
        <f t="shared" si="236"/>
        <v>4.2480748074807479</v>
      </c>
      <c r="Q948" s="79">
        <f t="shared" si="237"/>
        <v>0.46265428171523093</v>
      </c>
      <c r="R948" s="81">
        <f t="shared" si="238"/>
        <v>1.9653899987275736</v>
      </c>
      <c r="S948" s="107">
        <f t="shared" si="288"/>
        <v>-75.87</v>
      </c>
      <c r="T948" s="83">
        <f t="shared" si="239"/>
        <v>36.36</v>
      </c>
      <c r="U948" s="135"/>
      <c r="V948" s="135"/>
      <c r="W948" s="135"/>
      <c r="X948" s="135"/>
      <c r="Y948" s="136"/>
      <c r="Z948" s="50"/>
      <c r="AA948" s="50"/>
    </row>
    <row r="949" spans="1:27" ht="12.75" hidden="1" outlineLevel="1" x14ac:dyDescent="0.2">
      <c r="A949" s="50"/>
      <c r="B949" s="137"/>
      <c r="C949" s="70" t="s">
        <v>44</v>
      </c>
      <c r="D949" s="108">
        <v>190.8</v>
      </c>
      <c r="E949" s="75"/>
      <c r="F949" s="73">
        <v>4</v>
      </c>
      <c r="G949" s="73">
        <v>4</v>
      </c>
      <c r="H949" s="74">
        <f t="shared" si="233"/>
        <v>1</v>
      </c>
      <c r="I949" s="75">
        <f t="shared" si="234"/>
        <v>47.7</v>
      </c>
      <c r="J949" s="76">
        <f t="shared" si="235"/>
        <v>47.7</v>
      </c>
      <c r="K949" s="108">
        <v>80.52</v>
      </c>
      <c r="L949" s="73">
        <v>40401</v>
      </c>
      <c r="M949" s="73">
        <v>3</v>
      </c>
      <c r="N949" s="109">
        <v>134.85</v>
      </c>
      <c r="O949" s="79">
        <f t="shared" si="289"/>
        <v>0.59710789766407124</v>
      </c>
      <c r="P949" s="80">
        <f t="shared" si="236"/>
        <v>1.6747391952309985</v>
      </c>
      <c r="Q949" s="79">
        <f t="shared" si="237"/>
        <v>0.42201257861635216</v>
      </c>
      <c r="R949" s="81">
        <f t="shared" si="238"/>
        <v>0.70676100628930816</v>
      </c>
      <c r="S949" s="110">
        <f t="shared" si="288"/>
        <v>55.950000000000017</v>
      </c>
      <c r="T949" s="83">
        <f t="shared" si="239"/>
        <v>26.84</v>
      </c>
      <c r="U949" s="135"/>
      <c r="V949" s="135"/>
      <c r="W949" s="135"/>
      <c r="X949" s="135"/>
      <c r="Y949" s="136"/>
      <c r="Z949" s="50"/>
      <c r="AA949" s="50"/>
    </row>
    <row r="950" spans="1:27" ht="12.75" hidden="1" outlineLevel="1" x14ac:dyDescent="0.2">
      <c r="A950" s="139"/>
      <c r="B950" s="137"/>
      <c r="C950" s="112" t="s">
        <v>45</v>
      </c>
      <c r="D950" s="71">
        <v>0</v>
      </c>
      <c r="E950" s="75"/>
      <c r="F950" s="73">
        <v>0</v>
      </c>
      <c r="G950" s="73">
        <v>0</v>
      </c>
      <c r="H950" s="74" t="e">
        <f t="shared" si="233"/>
        <v>#DIV/0!</v>
      </c>
      <c r="I950" s="75" t="e">
        <f t="shared" si="234"/>
        <v>#DIV/0!</v>
      </c>
      <c r="J950" s="76" t="e">
        <f t="shared" si="235"/>
        <v>#DIV/0!</v>
      </c>
      <c r="K950" s="71">
        <v>0</v>
      </c>
      <c r="L950" s="73">
        <v>0</v>
      </c>
      <c r="M950" s="73">
        <v>0</v>
      </c>
      <c r="N950" s="78">
        <v>0</v>
      </c>
      <c r="O950" s="79" t="e">
        <f t="shared" si="289"/>
        <v>#DIV/0!</v>
      </c>
      <c r="P950" s="80" t="e">
        <f t="shared" si="236"/>
        <v>#DIV/0!</v>
      </c>
      <c r="Q950" s="79" t="e">
        <f t="shared" si="237"/>
        <v>#DIV/0!</v>
      </c>
      <c r="R950" s="81" t="e">
        <f t="shared" si="238"/>
        <v>#DIV/0!</v>
      </c>
      <c r="S950" s="82">
        <f t="shared" si="288"/>
        <v>0</v>
      </c>
      <c r="T950" s="83" t="e">
        <f t="shared" si="239"/>
        <v>#DIV/0!</v>
      </c>
      <c r="U950" s="140"/>
      <c r="V950" s="140"/>
      <c r="W950" s="140"/>
      <c r="X950" s="141"/>
      <c r="Y950" s="142"/>
      <c r="Z950" s="50"/>
      <c r="AA950" s="50"/>
    </row>
    <row r="951" spans="1:27" ht="12.75" hidden="1" outlineLevel="1" x14ac:dyDescent="0.2">
      <c r="A951" s="118"/>
      <c r="B951" s="69"/>
      <c r="C951" s="70" t="s">
        <v>46</v>
      </c>
      <c r="D951" s="116">
        <v>1312.67</v>
      </c>
      <c r="E951" s="75"/>
      <c r="F951" s="73">
        <v>34</v>
      </c>
      <c r="G951" s="73">
        <v>31</v>
      </c>
      <c r="H951" s="74">
        <f t="shared" si="233"/>
        <v>1.096774193548387</v>
      </c>
      <c r="I951" s="75">
        <f t="shared" si="234"/>
        <v>38.60794117647059</v>
      </c>
      <c r="J951" s="76">
        <f t="shared" si="235"/>
        <v>35.201358131487893</v>
      </c>
      <c r="K951" s="116">
        <v>269.35000000000002</v>
      </c>
      <c r="L951" s="73">
        <v>50705</v>
      </c>
      <c r="M951" s="73">
        <v>13</v>
      </c>
      <c r="N951" s="117">
        <v>403.73</v>
      </c>
      <c r="O951" s="79">
        <f t="shared" si="289"/>
        <v>0.66715379089985882</v>
      </c>
      <c r="P951" s="80">
        <f t="shared" si="236"/>
        <v>1.4989047707443846</v>
      </c>
      <c r="Q951" s="79">
        <f t="shared" si="237"/>
        <v>0.20519247030860766</v>
      </c>
      <c r="R951" s="81">
        <f t="shared" si="238"/>
        <v>0.30756397266639751</v>
      </c>
      <c r="S951" s="82">
        <f t="shared" si="288"/>
        <v>908.94</v>
      </c>
      <c r="T951" s="83">
        <f t="shared" si="239"/>
        <v>20.719230769230769</v>
      </c>
      <c r="U951" s="143"/>
      <c r="V951" s="143"/>
      <c r="W951" s="143"/>
      <c r="X951" s="143"/>
      <c r="Y951" s="144"/>
      <c r="Z951" s="118"/>
      <c r="AA951" s="118"/>
    </row>
    <row r="952" spans="1:27" ht="12.75" hidden="1" outlineLevel="1" x14ac:dyDescent="0.2">
      <c r="A952" s="50"/>
      <c r="B952" s="137"/>
      <c r="C952" s="70" t="s">
        <v>47</v>
      </c>
      <c r="D952" s="87">
        <v>-29.95</v>
      </c>
      <c r="E952" s="75"/>
      <c r="F952" s="73">
        <v>-1</v>
      </c>
      <c r="G952" s="73">
        <v>0</v>
      </c>
      <c r="H952" s="74" t="e">
        <f t="shared" si="233"/>
        <v>#DIV/0!</v>
      </c>
      <c r="I952" s="75">
        <f t="shared" si="234"/>
        <v>29.95</v>
      </c>
      <c r="J952" s="76" t="e">
        <f t="shared" si="235"/>
        <v>#DIV/0!</v>
      </c>
      <c r="K952" s="87">
        <v>0</v>
      </c>
      <c r="L952" s="73">
        <v>0</v>
      </c>
      <c r="M952" s="73">
        <v>0</v>
      </c>
      <c r="N952" s="88">
        <v>0</v>
      </c>
      <c r="O952" s="79" t="e">
        <f t="shared" si="289"/>
        <v>#DIV/0!</v>
      </c>
      <c r="P952" s="80" t="e">
        <f t="shared" si="236"/>
        <v>#DIV/0!</v>
      </c>
      <c r="Q952" s="79">
        <f t="shared" si="237"/>
        <v>0</v>
      </c>
      <c r="R952" s="81">
        <f t="shared" si="238"/>
        <v>0</v>
      </c>
      <c r="S952" s="82">
        <f t="shared" si="288"/>
        <v>-29.95</v>
      </c>
      <c r="T952" s="83" t="e">
        <f t="shared" si="239"/>
        <v>#DIV/0!</v>
      </c>
      <c r="U952" s="135"/>
      <c r="V952" s="135"/>
      <c r="W952" s="135"/>
      <c r="X952" s="135"/>
      <c r="Y952" s="136"/>
      <c r="Z952" s="50"/>
      <c r="AA952" s="50"/>
    </row>
    <row r="953" spans="1:27" ht="12.75" hidden="1" outlineLevel="1" x14ac:dyDescent="0.2">
      <c r="A953" s="50"/>
      <c r="B953" s="137"/>
      <c r="C953" s="70" t="s">
        <v>48</v>
      </c>
      <c r="D953" s="102">
        <v>4625.0600000000004</v>
      </c>
      <c r="E953" s="75"/>
      <c r="F953" s="73">
        <v>26</v>
      </c>
      <c r="G953" s="73">
        <v>28</v>
      </c>
      <c r="H953" s="74">
        <f t="shared" si="233"/>
        <v>0.9285714285714286</v>
      </c>
      <c r="I953" s="75">
        <f t="shared" si="234"/>
        <v>177.8869230769231</v>
      </c>
      <c r="J953" s="76">
        <f t="shared" si="235"/>
        <v>191.57053254437872</v>
      </c>
      <c r="K953" s="102">
        <v>692.49</v>
      </c>
      <c r="L953" s="73">
        <v>44157</v>
      </c>
      <c r="M953" s="73">
        <v>11</v>
      </c>
      <c r="N953" s="103">
        <v>1670.89</v>
      </c>
      <c r="O953" s="79">
        <f t="shared" si="289"/>
        <v>0.41444379941228926</v>
      </c>
      <c r="P953" s="80">
        <f t="shared" si="236"/>
        <v>2.4128723880489251</v>
      </c>
      <c r="Q953" s="79">
        <f t="shared" si="237"/>
        <v>0.14972562518107871</v>
      </c>
      <c r="R953" s="81">
        <f t="shared" si="238"/>
        <v>0.36126882678278766</v>
      </c>
      <c r="S953" s="82">
        <f t="shared" si="288"/>
        <v>2954.17</v>
      </c>
      <c r="T953" s="83">
        <f t="shared" si="239"/>
        <v>62.953636363636363</v>
      </c>
      <c r="U953" s="135"/>
      <c r="V953" s="135"/>
      <c r="W953" s="135"/>
      <c r="X953" s="135"/>
      <c r="Y953" s="136"/>
      <c r="Z953" s="50"/>
      <c r="AA953" s="50"/>
    </row>
    <row r="954" spans="1:27" ht="12.75" hidden="1" outlineLevel="1" x14ac:dyDescent="0.2">
      <c r="A954" s="118" t="str">
        <f t="shared" ref="A954:A955" si="290">IFERROR(IF(B954&gt;0,MONTH(B954)&amp;"-"&amp;YEAR(B954),B954),)</f>
        <v>12-2025</v>
      </c>
      <c r="B954" s="69">
        <v>46018</v>
      </c>
      <c r="C954" s="70" t="s">
        <v>49</v>
      </c>
      <c r="D954" s="116">
        <v>0</v>
      </c>
      <c r="E954" s="75"/>
      <c r="F954" s="73">
        <v>0</v>
      </c>
      <c r="G954" s="73">
        <v>0</v>
      </c>
      <c r="H954" s="74" t="e">
        <f t="shared" si="233"/>
        <v>#DIV/0!</v>
      </c>
      <c r="I954" s="75" t="e">
        <f t="shared" si="234"/>
        <v>#DIV/0!</v>
      </c>
      <c r="J954" s="76" t="e">
        <f t="shared" si="235"/>
        <v>#DIV/0!</v>
      </c>
      <c r="K954" s="116">
        <v>16.97</v>
      </c>
      <c r="L954" s="73">
        <v>17393</v>
      </c>
      <c r="M954" s="73">
        <v>0</v>
      </c>
      <c r="N954" s="117">
        <v>0</v>
      </c>
      <c r="O954" s="79" t="e">
        <f t="shared" si="289"/>
        <v>#DIV/0!</v>
      </c>
      <c r="P954" s="80">
        <f t="shared" si="236"/>
        <v>0</v>
      </c>
      <c r="Q954" s="79" t="e">
        <f t="shared" si="237"/>
        <v>#DIV/0!</v>
      </c>
      <c r="R954" s="81" t="e">
        <f t="shared" si="238"/>
        <v>#DIV/0!</v>
      </c>
      <c r="S954" s="82">
        <f t="shared" si="288"/>
        <v>0</v>
      </c>
      <c r="T954" s="83" t="e">
        <f t="shared" si="239"/>
        <v>#DIV/0!</v>
      </c>
      <c r="U954" s="135"/>
      <c r="V954" s="135"/>
      <c r="W954" s="135"/>
      <c r="X954" s="135"/>
      <c r="Y954" s="136"/>
      <c r="Z954" s="50"/>
      <c r="AA954" s="50"/>
    </row>
    <row r="955" spans="1:27" ht="16.5" customHeight="1" collapsed="1" x14ac:dyDescent="0.2">
      <c r="A955" s="50">
        <f t="shared" si="290"/>
        <v>0</v>
      </c>
      <c r="B955" s="119" t="s">
        <v>58</v>
      </c>
      <c r="C955" s="145"/>
      <c r="D955" s="121">
        <f>SUM(D938:D954)</f>
        <v>37074.31</v>
      </c>
      <c r="E955" s="125"/>
      <c r="F955" s="123">
        <f t="shared" ref="F955:G955" si="291">SUM(F938:F954)</f>
        <v>245</v>
      </c>
      <c r="G955" s="123">
        <f t="shared" si="291"/>
        <v>266</v>
      </c>
      <c r="H955" s="124">
        <f t="shared" si="233"/>
        <v>0.92105263157894735</v>
      </c>
      <c r="I955" s="125">
        <f t="shared" si="234"/>
        <v>151.32371428571429</v>
      </c>
      <c r="J955" s="126">
        <f t="shared" si="235"/>
        <v>164.29431836734693</v>
      </c>
      <c r="K955" s="121">
        <f t="shared" ref="K955:N955" si="292">SUM(K938:K954)</f>
        <v>5094.8</v>
      </c>
      <c r="L955" s="123">
        <f t="shared" si="292"/>
        <v>988888</v>
      </c>
      <c r="M955" s="123">
        <f t="shared" si="292"/>
        <v>108</v>
      </c>
      <c r="N955" s="127">
        <f t="shared" si="292"/>
        <v>15590.759999999997</v>
      </c>
      <c r="O955" s="128">
        <f t="shared" si="289"/>
        <v>0.32678329985196369</v>
      </c>
      <c r="P955" s="129">
        <f t="shared" si="236"/>
        <v>3.0601318991913318</v>
      </c>
      <c r="Q955" s="128">
        <f t="shared" si="237"/>
        <v>0.13742130332297486</v>
      </c>
      <c r="R955" s="130">
        <f t="shared" si="238"/>
        <v>0.42052731392708315</v>
      </c>
      <c r="S955" s="131">
        <f>SUM(S938:S954)</f>
        <v>21483.550000000003</v>
      </c>
      <c r="T955" s="132">
        <f t="shared" si="239"/>
        <v>47.174074074074078</v>
      </c>
      <c r="U955" s="133">
        <f>IFERROR((D955-D246)/D955,)</f>
        <v>0.79551015244788104</v>
      </c>
      <c r="V955" s="133">
        <f>IFERROR((F955-F246)/F955,)</f>
        <v>0.61632653061224485</v>
      </c>
      <c r="W955" s="133">
        <f>IFERROR((D955-[1]monthly_reporting_2021!E746)/D955, )</f>
        <v>0</v>
      </c>
      <c r="X955" s="133">
        <f>IFERROR((F955-[1]monthly_reporting_2021!F746)/F955, )</f>
        <v>0</v>
      </c>
      <c r="Y955" s="50"/>
      <c r="Z955" s="50"/>
      <c r="AA955" s="50"/>
    </row>
    <row r="956" spans="1:27" ht="12.75" outlineLevel="1" x14ac:dyDescent="0.2">
      <c r="A956" s="50"/>
      <c r="B956" s="69">
        <v>46019</v>
      </c>
      <c r="C956" s="70" t="s">
        <v>32</v>
      </c>
      <c r="D956" s="71">
        <v>13519.5</v>
      </c>
      <c r="E956" s="75"/>
      <c r="F956" s="73">
        <v>57</v>
      </c>
      <c r="G956" s="73">
        <v>57</v>
      </c>
      <c r="H956" s="74">
        <f t="shared" si="233"/>
        <v>1</v>
      </c>
      <c r="I956" s="75">
        <f t="shared" si="234"/>
        <v>237.18421052631578</v>
      </c>
      <c r="J956" s="76">
        <f t="shared" si="235"/>
        <v>237.18421052631578</v>
      </c>
      <c r="K956" s="77">
        <v>1867.63</v>
      </c>
      <c r="L956" s="73">
        <v>249548</v>
      </c>
      <c r="M956" s="73">
        <v>23</v>
      </c>
      <c r="N956" s="78">
        <v>5019.4399999999996</v>
      </c>
      <c r="O956" s="79">
        <f t="shared" si="289"/>
        <v>0.37207935546594845</v>
      </c>
      <c r="P956" s="80">
        <f t="shared" si="236"/>
        <v>2.6875987213741475</v>
      </c>
      <c r="Q956" s="79">
        <f t="shared" si="237"/>
        <v>0.13814342246384853</v>
      </c>
      <c r="R956" s="81">
        <f t="shared" si="238"/>
        <v>0.37127408558008801</v>
      </c>
      <c r="S956" s="82">
        <f t="shared" ref="S956:S972" si="293">D956-N956</f>
        <v>8500.0600000000013</v>
      </c>
      <c r="T956" s="83">
        <f t="shared" si="239"/>
        <v>81.201304347826095</v>
      </c>
      <c r="U956" s="135"/>
      <c r="V956" s="135"/>
      <c r="W956" s="135"/>
      <c r="X956" s="135"/>
      <c r="Y956" s="136"/>
      <c r="Z956" s="50"/>
      <c r="AA956" s="50"/>
    </row>
    <row r="957" spans="1:27" ht="12.75" outlineLevel="1" x14ac:dyDescent="0.2">
      <c r="A957" s="50"/>
      <c r="B957" s="137"/>
      <c r="C957" s="70" t="s">
        <v>33</v>
      </c>
      <c r="D957" s="87">
        <v>18767.79</v>
      </c>
      <c r="E957" s="75"/>
      <c r="F957" s="73">
        <v>145</v>
      </c>
      <c r="G957" s="73">
        <v>161</v>
      </c>
      <c r="H957" s="74">
        <f t="shared" si="233"/>
        <v>0.90062111801242239</v>
      </c>
      <c r="I957" s="75">
        <f t="shared" si="234"/>
        <v>129.43303448275861</v>
      </c>
      <c r="J957" s="76">
        <f t="shared" si="235"/>
        <v>143.71530035671819</v>
      </c>
      <c r="K957" s="87">
        <v>1072.07</v>
      </c>
      <c r="L957" s="73">
        <v>465644</v>
      </c>
      <c r="M957" s="73">
        <v>32</v>
      </c>
      <c r="N957" s="88">
        <v>3923.85</v>
      </c>
      <c r="O957" s="79">
        <f t="shared" si="289"/>
        <v>0.27321890490207323</v>
      </c>
      <c r="P957" s="80">
        <f t="shared" si="236"/>
        <v>3.6600688387885119</v>
      </c>
      <c r="Q957" s="79">
        <f t="shared" si="237"/>
        <v>5.7122868489044257E-2</v>
      </c>
      <c r="R957" s="81">
        <f t="shared" si="238"/>
        <v>0.20907363093896508</v>
      </c>
      <c r="S957" s="89">
        <f t="shared" si="293"/>
        <v>14843.94</v>
      </c>
      <c r="T957" s="83">
        <f t="shared" si="239"/>
        <v>33.502187499999998</v>
      </c>
      <c r="U957" s="135"/>
      <c r="V957" s="135"/>
      <c r="W957" s="135"/>
      <c r="X957" s="135"/>
      <c r="Y957" s="136"/>
      <c r="Z957" s="50"/>
      <c r="AA957" s="50"/>
    </row>
    <row r="958" spans="1:27" ht="12.75" outlineLevel="1" x14ac:dyDescent="0.2">
      <c r="A958" s="50"/>
      <c r="B958" s="137"/>
      <c r="C958" s="70" t="s">
        <v>34</v>
      </c>
      <c r="D958" s="90">
        <v>0</v>
      </c>
      <c r="E958" s="75"/>
      <c r="F958" s="73">
        <v>0</v>
      </c>
      <c r="G958" s="73">
        <v>0</v>
      </c>
      <c r="H958" s="74" t="e">
        <f t="shared" si="233"/>
        <v>#DIV/0!</v>
      </c>
      <c r="I958" s="75" t="e">
        <f t="shared" si="234"/>
        <v>#DIV/0!</v>
      </c>
      <c r="J958" s="76" t="e">
        <f t="shared" si="235"/>
        <v>#DIV/0!</v>
      </c>
      <c r="K958" s="90">
        <v>0</v>
      </c>
      <c r="L958" s="73">
        <v>376</v>
      </c>
      <c r="M958" s="73">
        <v>0</v>
      </c>
      <c r="N958" s="91">
        <v>0</v>
      </c>
      <c r="O958" s="79" t="e">
        <f>(K958/N958)</f>
        <v>#DIV/0!</v>
      </c>
      <c r="P958" s="80" t="e">
        <f t="shared" si="236"/>
        <v>#DIV/0!</v>
      </c>
      <c r="Q958" s="79" t="e">
        <f t="shared" si="237"/>
        <v>#DIV/0!</v>
      </c>
      <c r="R958" s="81" t="e">
        <f t="shared" si="238"/>
        <v>#DIV/0!</v>
      </c>
      <c r="S958" s="92">
        <f t="shared" si="293"/>
        <v>0</v>
      </c>
      <c r="T958" s="83" t="e">
        <f t="shared" si="239"/>
        <v>#DIV/0!</v>
      </c>
      <c r="U958" s="135"/>
      <c r="V958" s="135"/>
      <c r="W958" s="135"/>
      <c r="X958" s="135"/>
      <c r="Y958" s="136"/>
      <c r="Z958" s="50"/>
      <c r="AA958" s="50"/>
    </row>
    <row r="959" spans="1:27" ht="12.75" outlineLevel="1" x14ac:dyDescent="0.2">
      <c r="A959" s="50"/>
      <c r="B959" s="137"/>
      <c r="C959" s="70" t="s">
        <v>35</v>
      </c>
      <c r="D959" s="90">
        <v>125.9</v>
      </c>
      <c r="E959" s="75"/>
      <c r="F959" s="73">
        <v>2</v>
      </c>
      <c r="G959" s="73">
        <v>2</v>
      </c>
      <c r="H959" s="74">
        <f t="shared" si="233"/>
        <v>1</v>
      </c>
      <c r="I959" s="75">
        <f t="shared" si="234"/>
        <v>62.95</v>
      </c>
      <c r="J959" s="76">
        <f t="shared" si="235"/>
        <v>62.95</v>
      </c>
      <c r="K959" s="90">
        <v>298.8</v>
      </c>
      <c r="L959" s="73">
        <v>26455</v>
      </c>
      <c r="M959" s="73">
        <v>5</v>
      </c>
      <c r="N959" s="91">
        <v>299.75</v>
      </c>
      <c r="O959" s="79">
        <f t="shared" ref="O959:O973" si="294">K959/N959</f>
        <v>0.99683069224353626</v>
      </c>
      <c r="P959" s="80">
        <f t="shared" si="236"/>
        <v>1.0031793842034806</v>
      </c>
      <c r="Q959" s="79">
        <f t="shared" si="237"/>
        <v>2.3733121525019856</v>
      </c>
      <c r="R959" s="81">
        <f t="shared" si="238"/>
        <v>2.380857823669579</v>
      </c>
      <c r="S959" s="92">
        <f t="shared" si="293"/>
        <v>-173.85</v>
      </c>
      <c r="T959" s="83">
        <f t="shared" si="239"/>
        <v>59.760000000000005</v>
      </c>
      <c r="U959" s="135"/>
      <c r="V959" s="135"/>
      <c r="W959" s="135"/>
      <c r="X959" s="135"/>
      <c r="Y959" s="136"/>
      <c r="Z959" s="50"/>
      <c r="AA959" s="50"/>
    </row>
    <row r="960" spans="1:27" ht="12.75" outlineLevel="1" x14ac:dyDescent="0.2">
      <c r="A960" s="50"/>
      <c r="B960" s="137"/>
      <c r="C960" s="70" t="s">
        <v>36</v>
      </c>
      <c r="D960" s="90">
        <v>359.7</v>
      </c>
      <c r="E960" s="75"/>
      <c r="F960" s="73">
        <v>6</v>
      </c>
      <c r="G960" s="73">
        <v>6</v>
      </c>
      <c r="H960" s="74">
        <f t="shared" si="233"/>
        <v>1</v>
      </c>
      <c r="I960" s="75">
        <f t="shared" si="234"/>
        <v>59.949999999999996</v>
      </c>
      <c r="J960" s="76">
        <f t="shared" si="235"/>
        <v>59.949999999999996</v>
      </c>
      <c r="K960" s="90">
        <v>105.72</v>
      </c>
      <c r="L960" s="73">
        <v>27117</v>
      </c>
      <c r="M960" s="73">
        <v>2</v>
      </c>
      <c r="N960" s="91">
        <v>129.9</v>
      </c>
      <c r="O960" s="79">
        <f t="shared" si="294"/>
        <v>0.81385681293302536</v>
      </c>
      <c r="P960" s="80">
        <f t="shared" si="236"/>
        <v>1.2287173666288309</v>
      </c>
      <c r="Q960" s="79">
        <f t="shared" si="237"/>
        <v>0.29391159299416181</v>
      </c>
      <c r="R960" s="81">
        <f t="shared" si="238"/>
        <v>0.36113427856547126</v>
      </c>
      <c r="S960" s="92">
        <f t="shared" si="293"/>
        <v>229.79999999999998</v>
      </c>
      <c r="T960" s="83">
        <f t="shared" si="239"/>
        <v>52.86</v>
      </c>
      <c r="U960" s="135"/>
      <c r="V960" s="135"/>
      <c r="W960" s="135"/>
      <c r="X960" s="135"/>
      <c r="Y960" s="136"/>
      <c r="Z960" s="50"/>
      <c r="AA960" s="50"/>
    </row>
    <row r="961" spans="1:27" ht="12.75" outlineLevel="1" x14ac:dyDescent="0.2">
      <c r="A961" s="50"/>
      <c r="B961" s="138" t="s">
        <v>37</v>
      </c>
      <c r="C961" s="70" t="s">
        <v>38</v>
      </c>
      <c r="D961" s="93">
        <v>-60.73</v>
      </c>
      <c r="E961" s="75"/>
      <c r="F961" s="73">
        <v>0</v>
      </c>
      <c r="G961" s="73">
        <v>1</v>
      </c>
      <c r="H961" s="74">
        <f t="shared" si="233"/>
        <v>0</v>
      </c>
      <c r="I961" s="75" t="e">
        <f t="shared" si="234"/>
        <v>#DIV/0!</v>
      </c>
      <c r="J961" s="76" t="e">
        <f t="shared" si="235"/>
        <v>#DIV/0!</v>
      </c>
      <c r="K961" s="93">
        <v>83.88</v>
      </c>
      <c r="L961" s="73">
        <v>253679</v>
      </c>
      <c r="M961" s="73">
        <v>0</v>
      </c>
      <c r="N961" s="94">
        <v>0</v>
      </c>
      <c r="O961" s="79" t="e">
        <f t="shared" si="294"/>
        <v>#DIV/0!</v>
      </c>
      <c r="P961" s="80">
        <f t="shared" si="236"/>
        <v>0</v>
      </c>
      <c r="Q961" s="79">
        <f t="shared" si="237"/>
        <v>-1.3811954552939238</v>
      </c>
      <c r="R961" s="81">
        <f t="shared" si="238"/>
        <v>0</v>
      </c>
      <c r="S961" s="95">
        <f t="shared" si="293"/>
        <v>-60.73</v>
      </c>
      <c r="T961" s="83" t="e">
        <f t="shared" si="239"/>
        <v>#DIV/0!</v>
      </c>
      <c r="U961" s="135"/>
      <c r="V961" s="135"/>
      <c r="W961" s="135"/>
      <c r="X961" s="135"/>
      <c r="Y961" s="136"/>
      <c r="Z961" s="50"/>
      <c r="AA961" s="50"/>
    </row>
    <row r="962" spans="1:27" ht="12.75" outlineLevel="1" x14ac:dyDescent="0.2">
      <c r="A962" s="50"/>
      <c r="B962" s="137"/>
      <c r="C962" s="70" t="s">
        <v>39</v>
      </c>
      <c r="D962" s="96">
        <v>0</v>
      </c>
      <c r="E962" s="75"/>
      <c r="F962" s="73">
        <v>0</v>
      </c>
      <c r="G962" s="73">
        <v>0</v>
      </c>
      <c r="H962" s="74" t="e">
        <f t="shared" si="233"/>
        <v>#DIV/0!</v>
      </c>
      <c r="I962" s="75" t="e">
        <f t="shared" si="234"/>
        <v>#DIV/0!</v>
      </c>
      <c r="J962" s="76" t="e">
        <f t="shared" si="235"/>
        <v>#DIV/0!</v>
      </c>
      <c r="K962" s="96">
        <v>0</v>
      </c>
      <c r="L962" s="73">
        <v>0</v>
      </c>
      <c r="M962" s="73">
        <v>0</v>
      </c>
      <c r="N962" s="97">
        <v>0</v>
      </c>
      <c r="O962" s="79" t="e">
        <f t="shared" si="294"/>
        <v>#DIV/0!</v>
      </c>
      <c r="P962" s="80" t="e">
        <f t="shared" si="236"/>
        <v>#DIV/0!</v>
      </c>
      <c r="Q962" s="79" t="e">
        <f t="shared" si="237"/>
        <v>#DIV/0!</v>
      </c>
      <c r="R962" s="81" t="e">
        <f t="shared" si="238"/>
        <v>#DIV/0!</v>
      </c>
      <c r="S962" s="98">
        <f t="shared" si="293"/>
        <v>0</v>
      </c>
      <c r="T962" s="83" t="e">
        <f t="shared" si="239"/>
        <v>#DIV/0!</v>
      </c>
      <c r="U962" s="135"/>
      <c r="V962" s="135"/>
      <c r="W962" s="135"/>
      <c r="X962" s="135"/>
      <c r="Y962" s="136"/>
      <c r="Z962" s="50"/>
      <c r="AA962" s="50"/>
    </row>
    <row r="963" spans="1:27" ht="12.75" outlineLevel="1" x14ac:dyDescent="0.2">
      <c r="A963" s="50"/>
      <c r="B963" s="137"/>
      <c r="C963" s="70" t="s">
        <v>40</v>
      </c>
      <c r="D963" s="99">
        <v>0</v>
      </c>
      <c r="E963" s="75"/>
      <c r="F963" s="73">
        <v>0</v>
      </c>
      <c r="G963" s="73">
        <v>0</v>
      </c>
      <c r="H963" s="74" t="e">
        <f t="shared" si="233"/>
        <v>#DIV/0!</v>
      </c>
      <c r="I963" s="75" t="e">
        <f t="shared" si="234"/>
        <v>#DIV/0!</v>
      </c>
      <c r="J963" s="76" t="e">
        <f t="shared" si="235"/>
        <v>#DIV/0!</v>
      </c>
      <c r="K963" s="99">
        <v>0</v>
      </c>
      <c r="L963" s="73">
        <v>0</v>
      </c>
      <c r="M963" s="73">
        <v>0</v>
      </c>
      <c r="N963" s="100">
        <v>0</v>
      </c>
      <c r="O963" s="79" t="e">
        <f t="shared" si="294"/>
        <v>#DIV/0!</v>
      </c>
      <c r="P963" s="80" t="e">
        <f t="shared" si="236"/>
        <v>#DIV/0!</v>
      </c>
      <c r="Q963" s="79" t="e">
        <f t="shared" si="237"/>
        <v>#DIV/0!</v>
      </c>
      <c r="R963" s="81" t="e">
        <f t="shared" si="238"/>
        <v>#DIV/0!</v>
      </c>
      <c r="S963" s="101">
        <f t="shared" si="293"/>
        <v>0</v>
      </c>
      <c r="T963" s="83" t="e">
        <f t="shared" si="239"/>
        <v>#DIV/0!</v>
      </c>
      <c r="U963" s="135"/>
      <c r="V963" s="135"/>
      <c r="W963" s="135"/>
      <c r="X963" s="135"/>
      <c r="Y963" s="136"/>
      <c r="Z963" s="50"/>
      <c r="AA963" s="50"/>
    </row>
    <row r="964" spans="1:27" ht="12.75" outlineLevel="1" x14ac:dyDescent="0.2">
      <c r="A964" s="50"/>
      <c r="B964" s="137"/>
      <c r="C964" s="70" t="s">
        <v>41</v>
      </c>
      <c r="D964" s="102">
        <v>3534.27</v>
      </c>
      <c r="E964" s="75"/>
      <c r="F964" s="73">
        <v>49</v>
      </c>
      <c r="G964" s="73">
        <v>51</v>
      </c>
      <c r="H964" s="74">
        <f t="shared" si="233"/>
        <v>0.96078431372549022</v>
      </c>
      <c r="I964" s="75">
        <f t="shared" si="234"/>
        <v>72.127959183673468</v>
      </c>
      <c r="J964" s="76">
        <f t="shared" si="235"/>
        <v>75.071957517700952</v>
      </c>
      <c r="K964" s="102">
        <v>799.06</v>
      </c>
      <c r="L964" s="73">
        <v>59789</v>
      </c>
      <c r="M964" s="73">
        <v>14</v>
      </c>
      <c r="N964" s="103">
        <v>877.86</v>
      </c>
      <c r="O964" s="79">
        <f t="shared" si="294"/>
        <v>0.91023625635067085</v>
      </c>
      <c r="P964" s="80">
        <f t="shared" si="236"/>
        <v>1.0986158736515406</v>
      </c>
      <c r="Q964" s="79">
        <f t="shared" si="237"/>
        <v>0.22608912165737194</v>
      </c>
      <c r="R964" s="81">
        <f t="shared" si="238"/>
        <v>0.24838509791272315</v>
      </c>
      <c r="S964" s="104">
        <f t="shared" si="293"/>
        <v>2656.41</v>
      </c>
      <c r="T964" s="83">
        <f t="shared" si="239"/>
        <v>57.075714285714284</v>
      </c>
      <c r="U964" s="135"/>
      <c r="V964" s="135"/>
      <c r="W964" s="135"/>
      <c r="X964" s="135"/>
      <c r="Y964" s="136"/>
      <c r="Z964" s="50"/>
      <c r="AA964" s="50"/>
    </row>
    <row r="965" spans="1:27" ht="12.75" outlineLevel="1" x14ac:dyDescent="0.2">
      <c r="A965" s="50"/>
      <c r="B965" s="137"/>
      <c r="C965" s="70" t="s">
        <v>42</v>
      </c>
      <c r="D965" s="90">
        <v>59.97</v>
      </c>
      <c r="E965" s="75"/>
      <c r="F965" s="73">
        <v>3</v>
      </c>
      <c r="G965" s="73">
        <v>3</v>
      </c>
      <c r="H965" s="74">
        <f t="shared" si="233"/>
        <v>1</v>
      </c>
      <c r="I965" s="75">
        <f t="shared" si="234"/>
        <v>19.989999999999998</v>
      </c>
      <c r="J965" s="76">
        <f t="shared" si="235"/>
        <v>19.989999999999998</v>
      </c>
      <c r="K965" s="90">
        <v>356.37</v>
      </c>
      <c r="L965" s="73">
        <v>105893</v>
      </c>
      <c r="M965" s="73">
        <v>2</v>
      </c>
      <c r="N965" s="91">
        <v>39.979999999999997</v>
      </c>
      <c r="O965" s="79">
        <f t="shared" si="294"/>
        <v>8.9137068534267136</v>
      </c>
      <c r="P965" s="80">
        <f t="shared" si="236"/>
        <v>0.11218677217498665</v>
      </c>
      <c r="Q965" s="79">
        <f t="shared" si="237"/>
        <v>5.9424712356178091</v>
      </c>
      <c r="R965" s="81">
        <f t="shared" si="238"/>
        <v>0.66666666666666663</v>
      </c>
      <c r="S965" s="92">
        <f t="shared" si="293"/>
        <v>19.990000000000002</v>
      </c>
      <c r="T965" s="83">
        <f t="shared" si="239"/>
        <v>178.185</v>
      </c>
      <c r="U965" s="135"/>
      <c r="V965" s="135"/>
      <c r="W965" s="135"/>
      <c r="X965" s="135"/>
      <c r="Y965" s="136"/>
      <c r="Z965" s="50"/>
      <c r="AA965" s="50"/>
    </row>
    <row r="966" spans="1:27" ht="12.75" outlineLevel="1" x14ac:dyDescent="0.2">
      <c r="A966" s="50"/>
      <c r="B966" s="137"/>
      <c r="C966" s="70" t="s">
        <v>43</v>
      </c>
      <c r="D966" s="105">
        <v>1547.97</v>
      </c>
      <c r="E966" s="75"/>
      <c r="F966" s="73">
        <v>13</v>
      </c>
      <c r="G966" s="73">
        <v>13</v>
      </c>
      <c r="H966" s="74">
        <f t="shared" si="233"/>
        <v>1</v>
      </c>
      <c r="I966" s="75">
        <f t="shared" si="234"/>
        <v>119.07461538461538</v>
      </c>
      <c r="J966" s="76">
        <f t="shared" si="235"/>
        <v>119.07461538461538</v>
      </c>
      <c r="K966" s="105">
        <v>74.14</v>
      </c>
      <c r="L966" s="73">
        <v>10788</v>
      </c>
      <c r="M966" s="73">
        <v>1</v>
      </c>
      <c r="N966" s="106">
        <v>0</v>
      </c>
      <c r="O966" s="79" t="e">
        <f t="shared" si="294"/>
        <v>#DIV/0!</v>
      </c>
      <c r="P966" s="80">
        <f t="shared" si="236"/>
        <v>0</v>
      </c>
      <c r="Q966" s="79">
        <f t="shared" si="237"/>
        <v>4.7894985044929811E-2</v>
      </c>
      <c r="R966" s="81">
        <f t="shared" si="238"/>
        <v>0</v>
      </c>
      <c r="S966" s="107">
        <f t="shared" si="293"/>
        <v>1547.97</v>
      </c>
      <c r="T966" s="83">
        <f t="shared" si="239"/>
        <v>74.14</v>
      </c>
      <c r="U966" s="135"/>
      <c r="V966" s="135"/>
      <c r="W966" s="135"/>
      <c r="X966" s="135"/>
      <c r="Y966" s="136"/>
      <c r="Z966" s="50"/>
      <c r="AA966" s="50"/>
    </row>
    <row r="967" spans="1:27" ht="12.75" outlineLevel="1" x14ac:dyDescent="0.2">
      <c r="A967" s="50"/>
      <c r="B967" s="137"/>
      <c r="C967" s="70" t="s">
        <v>44</v>
      </c>
      <c r="D967" s="108">
        <v>209.8</v>
      </c>
      <c r="E967" s="75"/>
      <c r="F967" s="73">
        <v>4</v>
      </c>
      <c r="G967" s="73">
        <v>4</v>
      </c>
      <c r="H967" s="74">
        <f t="shared" si="233"/>
        <v>1</v>
      </c>
      <c r="I967" s="75">
        <f t="shared" si="234"/>
        <v>52.45</v>
      </c>
      <c r="J967" s="76">
        <f t="shared" si="235"/>
        <v>52.45</v>
      </c>
      <c r="K967" s="108">
        <v>72.7</v>
      </c>
      <c r="L967" s="73">
        <v>40190</v>
      </c>
      <c r="M967" s="73">
        <v>3</v>
      </c>
      <c r="N967" s="109">
        <v>164.85</v>
      </c>
      <c r="O967" s="79">
        <f t="shared" si="294"/>
        <v>0.44100697603882322</v>
      </c>
      <c r="P967" s="80">
        <f t="shared" si="236"/>
        <v>2.2675378266850066</v>
      </c>
      <c r="Q967" s="79">
        <f t="shared" si="237"/>
        <v>0.34652049571020016</v>
      </c>
      <c r="R967" s="81">
        <f t="shared" si="238"/>
        <v>0.78574833174451852</v>
      </c>
      <c r="S967" s="110">
        <f t="shared" si="293"/>
        <v>44.950000000000017</v>
      </c>
      <c r="T967" s="83">
        <f t="shared" si="239"/>
        <v>24.233333333333334</v>
      </c>
      <c r="U967" s="135"/>
      <c r="V967" s="135"/>
      <c r="W967" s="135"/>
      <c r="X967" s="135"/>
      <c r="Y967" s="136"/>
      <c r="Z967" s="50"/>
      <c r="AA967" s="50"/>
    </row>
    <row r="968" spans="1:27" ht="12.75" outlineLevel="1" x14ac:dyDescent="0.2">
      <c r="A968" s="139"/>
      <c r="B968" s="137"/>
      <c r="C968" s="112" t="s">
        <v>45</v>
      </c>
      <c r="D968" s="71">
        <v>0</v>
      </c>
      <c r="E968" s="75"/>
      <c r="F968" s="73">
        <v>0</v>
      </c>
      <c r="G968" s="73">
        <v>0</v>
      </c>
      <c r="H968" s="74" t="e">
        <f t="shared" si="233"/>
        <v>#DIV/0!</v>
      </c>
      <c r="I968" s="75" t="e">
        <f t="shared" si="234"/>
        <v>#DIV/0!</v>
      </c>
      <c r="J968" s="76" t="e">
        <f t="shared" si="235"/>
        <v>#DIV/0!</v>
      </c>
      <c r="K968" s="71">
        <v>0</v>
      </c>
      <c r="L968" s="73">
        <v>0</v>
      </c>
      <c r="M968" s="73">
        <v>0</v>
      </c>
      <c r="N968" s="78">
        <v>0</v>
      </c>
      <c r="O968" s="79" t="e">
        <f t="shared" si="294"/>
        <v>#DIV/0!</v>
      </c>
      <c r="P968" s="80" t="e">
        <f t="shared" si="236"/>
        <v>#DIV/0!</v>
      </c>
      <c r="Q968" s="79" t="e">
        <f t="shared" si="237"/>
        <v>#DIV/0!</v>
      </c>
      <c r="R968" s="81" t="e">
        <f t="shared" si="238"/>
        <v>#DIV/0!</v>
      </c>
      <c r="S968" s="82">
        <f t="shared" si="293"/>
        <v>0</v>
      </c>
      <c r="T968" s="83" t="e">
        <f t="shared" si="239"/>
        <v>#DIV/0!</v>
      </c>
      <c r="U968" s="140"/>
      <c r="V968" s="140"/>
      <c r="W968" s="140"/>
      <c r="X968" s="141"/>
      <c r="Y968" s="142"/>
      <c r="Z968" s="50"/>
      <c r="AA968" s="50"/>
    </row>
    <row r="969" spans="1:27" ht="12.75" outlineLevel="1" x14ac:dyDescent="0.2">
      <c r="A969" s="118"/>
      <c r="B969" s="69"/>
      <c r="C969" s="70" t="s">
        <v>46</v>
      </c>
      <c r="D969" s="116">
        <v>1218.3900000000001</v>
      </c>
      <c r="E969" s="75"/>
      <c r="F969" s="73">
        <v>31</v>
      </c>
      <c r="G969" s="73">
        <v>31</v>
      </c>
      <c r="H969" s="74">
        <f t="shared" si="233"/>
        <v>1</v>
      </c>
      <c r="I969" s="75">
        <f t="shared" si="234"/>
        <v>39.302903225806453</v>
      </c>
      <c r="J969" s="76">
        <f t="shared" si="235"/>
        <v>39.302903225806453</v>
      </c>
      <c r="K969" s="116">
        <v>258.05</v>
      </c>
      <c r="L969" s="73">
        <v>66414</v>
      </c>
      <c r="M969" s="73">
        <v>25</v>
      </c>
      <c r="N969" s="117">
        <v>985.26</v>
      </c>
      <c r="O969" s="79">
        <f t="shared" si="294"/>
        <v>0.26191056167915072</v>
      </c>
      <c r="P969" s="80">
        <f t="shared" si="236"/>
        <v>3.8180972679713232</v>
      </c>
      <c r="Q969" s="79">
        <f t="shared" si="237"/>
        <v>0.21179589458219453</v>
      </c>
      <c r="R969" s="81">
        <f t="shared" si="238"/>
        <v>0.80865732647181932</v>
      </c>
      <c r="S969" s="82">
        <f t="shared" si="293"/>
        <v>233.13000000000011</v>
      </c>
      <c r="T969" s="83">
        <f t="shared" si="239"/>
        <v>10.322000000000001</v>
      </c>
      <c r="U969" s="143"/>
      <c r="V969" s="143"/>
      <c r="W969" s="143"/>
      <c r="X969" s="143"/>
      <c r="Y969" s="144"/>
      <c r="Z969" s="118"/>
      <c r="AA969" s="118"/>
    </row>
    <row r="970" spans="1:27" ht="12.75" outlineLevel="1" x14ac:dyDescent="0.2">
      <c r="A970" s="50"/>
      <c r="B970" s="137"/>
      <c r="C970" s="70" t="s">
        <v>47</v>
      </c>
      <c r="D970" s="87">
        <v>59.9</v>
      </c>
      <c r="E970" s="75"/>
      <c r="F970" s="73">
        <v>2</v>
      </c>
      <c r="G970" s="73">
        <v>2</v>
      </c>
      <c r="H970" s="74">
        <f t="shared" si="233"/>
        <v>1</v>
      </c>
      <c r="I970" s="75">
        <f t="shared" si="234"/>
        <v>29.95</v>
      </c>
      <c r="J970" s="76">
        <f t="shared" si="235"/>
        <v>29.95</v>
      </c>
      <c r="K970" s="87">
        <v>0</v>
      </c>
      <c r="L970" s="73">
        <v>0</v>
      </c>
      <c r="M970" s="73">
        <v>0</v>
      </c>
      <c r="N970" s="88">
        <v>0</v>
      </c>
      <c r="O970" s="79" t="e">
        <f t="shared" si="294"/>
        <v>#DIV/0!</v>
      </c>
      <c r="P970" s="80" t="e">
        <f t="shared" si="236"/>
        <v>#DIV/0!</v>
      </c>
      <c r="Q970" s="79">
        <f t="shared" si="237"/>
        <v>0</v>
      </c>
      <c r="R970" s="81">
        <f t="shared" si="238"/>
        <v>0</v>
      </c>
      <c r="S970" s="82">
        <f t="shared" si="293"/>
        <v>59.9</v>
      </c>
      <c r="T970" s="83" t="e">
        <f t="shared" si="239"/>
        <v>#DIV/0!</v>
      </c>
      <c r="U970" s="135"/>
      <c r="V970" s="135"/>
      <c r="W970" s="135"/>
      <c r="X970" s="135"/>
      <c r="Y970" s="136"/>
      <c r="Z970" s="50"/>
      <c r="AA970" s="50"/>
    </row>
    <row r="971" spans="1:27" ht="12.75" outlineLevel="1" x14ac:dyDescent="0.2">
      <c r="A971" s="50"/>
      <c r="B971" s="137"/>
      <c r="C971" s="70" t="s">
        <v>48</v>
      </c>
      <c r="D971" s="102">
        <v>6535.42</v>
      </c>
      <c r="E971" s="75"/>
      <c r="F971" s="73">
        <v>31</v>
      </c>
      <c r="G971" s="73">
        <v>31</v>
      </c>
      <c r="H971" s="74">
        <f t="shared" si="233"/>
        <v>1</v>
      </c>
      <c r="I971" s="75">
        <f t="shared" si="234"/>
        <v>210.82</v>
      </c>
      <c r="J971" s="76">
        <f t="shared" si="235"/>
        <v>210.82</v>
      </c>
      <c r="K971" s="102">
        <v>807.83</v>
      </c>
      <c r="L971" s="73">
        <v>55281</v>
      </c>
      <c r="M971" s="73">
        <v>15</v>
      </c>
      <c r="N971" s="103">
        <v>2922.51</v>
      </c>
      <c r="O971" s="79">
        <f t="shared" si="294"/>
        <v>0.27641650499057319</v>
      </c>
      <c r="P971" s="80">
        <f t="shared" si="236"/>
        <v>3.6177289776314323</v>
      </c>
      <c r="Q971" s="79">
        <f t="shared" si="237"/>
        <v>0.12360797010750649</v>
      </c>
      <c r="R971" s="81">
        <f t="shared" si="238"/>
        <v>0.44718013532412609</v>
      </c>
      <c r="S971" s="82">
        <f t="shared" si="293"/>
        <v>3612.91</v>
      </c>
      <c r="T971" s="83">
        <f t="shared" si="239"/>
        <v>53.855333333333334</v>
      </c>
      <c r="U971" s="135"/>
      <c r="V971" s="135"/>
      <c r="W971" s="135"/>
      <c r="X971" s="135"/>
      <c r="Y971" s="136"/>
      <c r="Z971" s="50"/>
      <c r="AA971" s="50"/>
    </row>
    <row r="972" spans="1:27" ht="12.75" outlineLevel="1" x14ac:dyDescent="0.2">
      <c r="A972" s="118" t="str">
        <f t="shared" ref="A972:A973" si="295">IFERROR(IF(B972&gt;0,MONTH(B972)&amp;"-"&amp;YEAR(B972),B972),)</f>
        <v>1-2026</v>
      </c>
      <c r="B972" s="69">
        <v>46025</v>
      </c>
      <c r="C972" s="70" t="s">
        <v>49</v>
      </c>
      <c r="D972" s="116">
        <v>-27</v>
      </c>
      <c r="E972" s="75"/>
      <c r="F972" s="73">
        <v>-1</v>
      </c>
      <c r="G972" s="73">
        <v>0</v>
      </c>
      <c r="H972" s="74" t="e">
        <f t="shared" si="233"/>
        <v>#DIV/0!</v>
      </c>
      <c r="I972" s="75">
        <f t="shared" si="234"/>
        <v>27</v>
      </c>
      <c r="J972" s="76" t="e">
        <f t="shared" si="235"/>
        <v>#DIV/0!</v>
      </c>
      <c r="K972" s="116">
        <v>10.46</v>
      </c>
      <c r="L972" s="73">
        <v>14576</v>
      </c>
      <c r="M972" s="73">
        <v>0</v>
      </c>
      <c r="N972" s="117">
        <v>0</v>
      </c>
      <c r="O972" s="79" t="e">
        <f t="shared" si="294"/>
        <v>#DIV/0!</v>
      </c>
      <c r="P972" s="80">
        <f t="shared" si="236"/>
        <v>0</v>
      </c>
      <c r="Q972" s="79">
        <f t="shared" si="237"/>
        <v>-0.38740740740740742</v>
      </c>
      <c r="R972" s="81">
        <f t="shared" si="238"/>
        <v>0</v>
      </c>
      <c r="S972" s="82">
        <f t="shared" si="293"/>
        <v>-27</v>
      </c>
      <c r="T972" s="83" t="e">
        <f t="shared" si="239"/>
        <v>#DIV/0!</v>
      </c>
      <c r="U972" s="135"/>
      <c r="V972" s="135"/>
      <c r="W972" s="135"/>
      <c r="X972" s="135"/>
      <c r="Y972" s="136"/>
      <c r="Z972" s="50"/>
      <c r="AA972" s="50"/>
    </row>
    <row r="973" spans="1:27" ht="12.75" x14ac:dyDescent="0.2">
      <c r="A973" s="50">
        <f t="shared" si="295"/>
        <v>0</v>
      </c>
      <c r="B973" s="119" t="s">
        <v>59</v>
      </c>
      <c r="C973" s="145"/>
      <c r="D973" s="121">
        <f>SUM(D956:D972)</f>
        <v>45850.880000000005</v>
      </c>
      <c r="E973" s="125"/>
      <c r="F973" s="123">
        <f t="shared" ref="F973:G973" si="296">SUM(F956:F972)</f>
        <v>342</v>
      </c>
      <c r="G973" s="123">
        <f t="shared" si="296"/>
        <v>362</v>
      </c>
      <c r="H973" s="124">
        <f t="shared" si="233"/>
        <v>0.94475138121546964</v>
      </c>
      <c r="I973" s="125">
        <f t="shared" si="234"/>
        <v>134.06690058479535</v>
      </c>
      <c r="J973" s="126">
        <f t="shared" si="235"/>
        <v>141.90707020963717</v>
      </c>
      <c r="K973" s="121">
        <f t="shared" ref="K973:N973" si="297">SUM(K956:K972)</f>
        <v>5806.71</v>
      </c>
      <c r="L973" s="123">
        <f t="shared" si="297"/>
        <v>1375750</v>
      </c>
      <c r="M973" s="123">
        <f t="shared" si="297"/>
        <v>122</v>
      </c>
      <c r="N973" s="127">
        <f t="shared" si="297"/>
        <v>14363.4</v>
      </c>
      <c r="O973" s="128">
        <f t="shared" si="294"/>
        <v>0.40427127281841346</v>
      </c>
      <c r="P973" s="129">
        <f t="shared" si="236"/>
        <v>2.4735865920633198</v>
      </c>
      <c r="Q973" s="128">
        <f t="shared" si="237"/>
        <v>0.12664337085787666</v>
      </c>
      <c r="R973" s="130">
        <f t="shared" si="238"/>
        <v>0.31326334412774626</v>
      </c>
      <c r="S973" s="131">
        <f>SUM(S956:S972)</f>
        <v>31487.480000000007</v>
      </c>
      <c r="T973" s="132">
        <f t="shared" si="239"/>
        <v>47.595983606557375</v>
      </c>
      <c r="U973" s="133">
        <f>IFERROR((D973-D955)/D973,)</f>
        <v>0.1914155191786942</v>
      </c>
      <c r="V973" s="133">
        <f>IFERROR((F973-F955)/F973,)</f>
        <v>0.28362573099415206</v>
      </c>
      <c r="W973" s="133">
        <f>IFERROR((D973-[1]monthly_reporting_2021!E746)/D973, )</f>
        <v>0</v>
      </c>
      <c r="X973" s="133">
        <f>IFERROR((F973-[1]monthly_reporting_2021!F746)/F973, )</f>
        <v>0</v>
      </c>
      <c r="Y973" s="50"/>
      <c r="Z973" s="50"/>
      <c r="AA973" s="50"/>
    </row>
    <row r="974" spans="1:27" ht="12.75" x14ac:dyDescent="0.2">
      <c r="A974" s="50"/>
      <c r="B974" s="50"/>
      <c r="C974" s="50"/>
      <c r="D974" s="50"/>
      <c r="E974" s="146"/>
      <c r="F974" s="50"/>
      <c r="G974" s="50"/>
      <c r="H974" s="50"/>
      <c r="I974" s="50"/>
      <c r="J974" s="50"/>
      <c r="K974" s="50"/>
      <c r="L974" s="50"/>
      <c r="M974" s="50"/>
      <c r="N974" s="50"/>
      <c r="O974" s="50"/>
      <c r="P974" s="50"/>
      <c r="Q974" s="50"/>
      <c r="R974" s="50"/>
      <c r="S974" s="50"/>
      <c r="T974" s="50"/>
      <c r="U974" s="50"/>
      <c r="V974" s="50"/>
      <c r="W974" s="50"/>
      <c r="X974" s="50"/>
      <c r="Y974" s="50"/>
      <c r="Z974" s="50"/>
      <c r="AA974" s="50"/>
    </row>
    <row r="975" spans="1:27" ht="12.75" x14ac:dyDescent="0.2">
      <c r="A975" s="50"/>
      <c r="B975" s="50"/>
      <c r="C975" s="50"/>
      <c r="D975" s="50"/>
      <c r="E975" s="146"/>
      <c r="F975" s="50"/>
      <c r="G975" s="50"/>
      <c r="H975" s="50"/>
      <c r="I975" s="50"/>
      <c r="J975" s="50"/>
      <c r="K975" s="50"/>
      <c r="L975" s="50"/>
      <c r="M975" s="50"/>
      <c r="N975" s="50"/>
      <c r="O975" s="50"/>
      <c r="P975" s="50"/>
      <c r="Q975" s="50"/>
      <c r="R975" s="50"/>
      <c r="S975" s="50"/>
      <c r="T975" s="50"/>
      <c r="U975" s="50"/>
      <c r="V975" s="50"/>
      <c r="W975" s="50"/>
      <c r="X975" s="50"/>
      <c r="Y975" s="50"/>
      <c r="Z975" s="50"/>
      <c r="AA975" s="50"/>
    </row>
    <row r="976" spans="1:27" ht="12.75" hidden="1" outlineLevel="1" x14ac:dyDescent="0.2">
      <c r="A976" s="34"/>
      <c r="B976" s="147"/>
      <c r="C976" s="148" t="s">
        <v>60</v>
      </c>
      <c r="D976" s="149"/>
      <c r="E976" s="150"/>
      <c r="F976" s="151"/>
      <c r="G976" s="151"/>
      <c r="H976" s="152" t="e">
        <f t="shared" ref="H976:H981" si="298">F976/G976</f>
        <v>#DIV/0!</v>
      </c>
      <c r="I976" s="150" t="e">
        <f t="shared" ref="I976:I981" si="299">D976/F976</f>
        <v>#DIV/0!</v>
      </c>
      <c r="J976" s="150" t="e">
        <f t="shared" ref="J976:J981" si="300">I976/H976</f>
        <v>#DIV/0!</v>
      </c>
      <c r="K976" s="153"/>
      <c r="L976" s="151"/>
      <c r="M976" s="151"/>
      <c r="N976" s="154"/>
      <c r="O976" s="155" t="e">
        <f t="shared" ref="O976:O982" si="301">K976/N976</f>
        <v>#DIV/0!</v>
      </c>
      <c r="P976" s="156" t="e">
        <f t="shared" ref="P976:P982" si="302">N976/K976</f>
        <v>#DIV/0!</v>
      </c>
      <c r="Q976" s="155" t="e">
        <f t="shared" ref="Q976:Q982" si="303">K976/D976</f>
        <v>#DIV/0!</v>
      </c>
      <c r="R976" s="157" t="e">
        <f t="shared" ref="R976:R982" si="304">N976/D976</f>
        <v>#DIV/0!</v>
      </c>
      <c r="S976" s="158"/>
      <c r="T976" s="159" t="e">
        <f t="shared" ref="T976:T982" si="305">K976/M976</f>
        <v>#DIV/0!</v>
      </c>
      <c r="U976" s="160"/>
      <c r="V976" s="160"/>
      <c r="W976" s="160"/>
      <c r="X976" s="160"/>
      <c r="Y976" s="1"/>
      <c r="Z976" s="50"/>
      <c r="AA976" s="50"/>
    </row>
    <row r="977" spans="1:27" ht="12.75" hidden="1" outlineLevel="1" x14ac:dyDescent="0.2">
      <c r="A977" s="161"/>
      <c r="B977" s="147"/>
      <c r="C977" s="148" t="s">
        <v>35</v>
      </c>
      <c r="D977" s="162"/>
      <c r="E977" s="150"/>
      <c r="F977" s="151"/>
      <c r="G977" s="151"/>
      <c r="H977" s="152" t="e">
        <f t="shared" si="298"/>
        <v>#DIV/0!</v>
      </c>
      <c r="I977" s="150" t="e">
        <f t="shared" si="299"/>
        <v>#DIV/0!</v>
      </c>
      <c r="J977" s="150" t="e">
        <f t="shared" si="300"/>
        <v>#DIV/0!</v>
      </c>
      <c r="K977" s="153"/>
      <c r="L977" s="151"/>
      <c r="M977" s="151"/>
      <c r="N977" s="154"/>
      <c r="O977" s="155" t="e">
        <f t="shared" si="301"/>
        <v>#DIV/0!</v>
      </c>
      <c r="P977" s="156" t="e">
        <f t="shared" si="302"/>
        <v>#DIV/0!</v>
      </c>
      <c r="Q977" s="155" t="e">
        <f t="shared" si="303"/>
        <v>#DIV/0!</v>
      </c>
      <c r="R977" s="157" t="e">
        <f t="shared" si="304"/>
        <v>#DIV/0!</v>
      </c>
      <c r="S977" s="158"/>
      <c r="T977" s="159" t="e">
        <f t="shared" si="305"/>
        <v>#DIV/0!</v>
      </c>
      <c r="U977" s="160"/>
      <c r="V977" s="160"/>
      <c r="W977" s="160"/>
      <c r="X977" s="160"/>
      <c r="Y977" s="1"/>
      <c r="Z977" s="50"/>
      <c r="AA977" s="50"/>
    </row>
    <row r="978" spans="1:27" ht="12.75" hidden="1" outlineLevel="1" x14ac:dyDescent="0.2">
      <c r="A978" s="161"/>
      <c r="B978" s="147"/>
      <c r="C978" s="148" t="s">
        <v>61</v>
      </c>
      <c r="D978" s="163"/>
      <c r="E978" s="150"/>
      <c r="F978" s="151"/>
      <c r="G978" s="151"/>
      <c r="H978" s="152" t="e">
        <f t="shared" si="298"/>
        <v>#DIV/0!</v>
      </c>
      <c r="I978" s="150" t="e">
        <f t="shared" si="299"/>
        <v>#DIV/0!</v>
      </c>
      <c r="J978" s="150" t="e">
        <f t="shared" si="300"/>
        <v>#DIV/0!</v>
      </c>
      <c r="K978" s="153"/>
      <c r="L978" s="151"/>
      <c r="M978" s="151"/>
      <c r="N978" s="164"/>
      <c r="O978" s="155" t="e">
        <f t="shared" si="301"/>
        <v>#DIV/0!</v>
      </c>
      <c r="P978" s="156" t="e">
        <f t="shared" si="302"/>
        <v>#DIV/0!</v>
      </c>
      <c r="Q978" s="155" t="e">
        <f t="shared" si="303"/>
        <v>#DIV/0!</v>
      </c>
      <c r="R978" s="157" t="e">
        <f t="shared" si="304"/>
        <v>#DIV/0!</v>
      </c>
      <c r="S978" s="158"/>
      <c r="T978" s="159" t="e">
        <f t="shared" si="305"/>
        <v>#DIV/0!</v>
      </c>
      <c r="U978" s="160"/>
      <c r="V978" s="160"/>
      <c r="W978" s="160"/>
      <c r="X978" s="160"/>
      <c r="Y978" s="1"/>
      <c r="Z978" s="50"/>
      <c r="AA978" s="50"/>
    </row>
    <row r="979" spans="1:27" ht="12.75" hidden="1" outlineLevel="1" x14ac:dyDescent="0.2">
      <c r="A979" s="161"/>
      <c r="B979" s="147"/>
      <c r="C979" s="148" t="s">
        <v>36</v>
      </c>
      <c r="D979" s="165"/>
      <c r="E979" s="150"/>
      <c r="F979" s="151"/>
      <c r="G979" s="151"/>
      <c r="H979" s="152" t="e">
        <f t="shared" si="298"/>
        <v>#DIV/0!</v>
      </c>
      <c r="I979" s="150" t="e">
        <f t="shared" si="299"/>
        <v>#DIV/0!</v>
      </c>
      <c r="J979" s="150" t="e">
        <f t="shared" si="300"/>
        <v>#DIV/0!</v>
      </c>
      <c r="K979" s="153"/>
      <c r="L979" s="151"/>
      <c r="M979" s="151"/>
      <c r="N979" s="166"/>
      <c r="O979" s="155" t="e">
        <f t="shared" si="301"/>
        <v>#DIV/0!</v>
      </c>
      <c r="P979" s="156" t="e">
        <f t="shared" si="302"/>
        <v>#DIV/0!</v>
      </c>
      <c r="Q979" s="155" t="e">
        <f t="shared" si="303"/>
        <v>#DIV/0!</v>
      </c>
      <c r="R979" s="157" t="e">
        <f t="shared" si="304"/>
        <v>#DIV/0!</v>
      </c>
      <c r="S979" s="158"/>
      <c r="T979" s="159" t="e">
        <f t="shared" si="305"/>
        <v>#DIV/0!</v>
      </c>
      <c r="U979" s="160"/>
      <c r="V979" s="160"/>
      <c r="W979" s="160"/>
      <c r="X979" s="160"/>
      <c r="Y979" s="1"/>
      <c r="Z979" s="50"/>
      <c r="AA979" s="50"/>
    </row>
    <row r="980" spans="1:27" ht="12.75" hidden="1" outlineLevel="1" x14ac:dyDescent="0.2">
      <c r="A980" s="161"/>
      <c r="B980" s="147"/>
      <c r="C980" s="148" t="s">
        <v>41</v>
      </c>
      <c r="D980" s="165"/>
      <c r="E980" s="150"/>
      <c r="F980" s="151"/>
      <c r="G980" s="151"/>
      <c r="H980" s="152" t="e">
        <f t="shared" si="298"/>
        <v>#DIV/0!</v>
      </c>
      <c r="I980" s="150" t="e">
        <f t="shared" si="299"/>
        <v>#DIV/0!</v>
      </c>
      <c r="J980" s="150" t="e">
        <f t="shared" si="300"/>
        <v>#DIV/0!</v>
      </c>
      <c r="K980" s="153"/>
      <c r="L980" s="151"/>
      <c r="M980" s="151"/>
      <c r="N980" s="166"/>
      <c r="O980" s="155" t="e">
        <f t="shared" si="301"/>
        <v>#DIV/0!</v>
      </c>
      <c r="P980" s="156" t="e">
        <f t="shared" si="302"/>
        <v>#DIV/0!</v>
      </c>
      <c r="Q980" s="155" t="e">
        <f t="shared" si="303"/>
        <v>#DIV/0!</v>
      </c>
      <c r="R980" s="157" t="e">
        <f t="shared" si="304"/>
        <v>#DIV/0!</v>
      </c>
      <c r="S980" s="158"/>
      <c r="T980" s="159" t="e">
        <f t="shared" si="305"/>
        <v>#DIV/0!</v>
      </c>
      <c r="U980" s="160"/>
      <c r="V980" s="160"/>
      <c r="W980" s="160"/>
      <c r="X980" s="160"/>
      <c r="Y980" s="1"/>
      <c r="Z980" s="50"/>
      <c r="AA980" s="50"/>
    </row>
    <row r="981" spans="1:27" ht="12.75" hidden="1" outlineLevel="1" x14ac:dyDescent="0.2">
      <c r="A981" s="161"/>
      <c r="B981" s="147"/>
      <c r="C981" s="148" t="s">
        <v>62</v>
      </c>
      <c r="D981" s="167"/>
      <c r="E981" s="150"/>
      <c r="F981" s="151"/>
      <c r="G981" s="151"/>
      <c r="H981" s="152" t="e">
        <f t="shared" si="298"/>
        <v>#DIV/0!</v>
      </c>
      <c r="I981" s="150" t="e">
        <f t="shared" si="299"/>
        <v>#DIV/0!</v>
      </c>
      <c r="J981" s="150" t="e">
        <f t="shared" si="300"/>
        <v>#DIV/0!</v>
      </c>
      <c r="K981" s="153"/>
      <c r="L981" s="151"/>
      <c r="M981" s="151"/>
      <c r="N981" s="168"/>
      <c r="O981" s="155" t="e">
        <f t="shared" si="301"/>
        <v>#DIV/0!</v>
      </c>
      <c r="P981" s="156" t="e">
        <f t="shared" si="302"/>
        <v>#DIV/0!</v>
      </c>
      <c r="Q981" s="155" t="e">
        <f t="shared" si="303"/>
        <v>#DIV/0!</v>
      </c>
      <c r="R981" s="157" t="e">
        <f t="shared" si="304"/>
        <v>#DIV/0!</v>
      </c>
      <c r="S981" s="158"/>
      <c r="T981" s="159" t="e">
        <f t="shared" si="305"/>
        <v>#DIV/0!</v>
      </c>
      <c r="U981" s="160"/>
      <c r="V981" s="160"/>
      <c r="W981" s="160"/>
      <c r="X981" s="160"/>
      <c r="Y981" s="1"/>
      <c r="Z981" s="50"/>
      <c r="AA981" s="50"/>
    </row>
    <row r="982" spans="1:27" ht="12.75" hidden="1" outlineLevel="1" x14ac:dyDescent="0.2">
      <c r="A982" s="34">
        <f>IFERROR(IF(B982&gt;0,MONTH(B982)&amp;"-"&amp;YEAR(B982),B982),)</f>
        <v>0</v>
      </c>
      <c r="B982" s="52"/>
      <c r="C982" s="53"/>
      <c r="D982" s="54">
        <f>SUM(D976:D981)</f>
        <v>0</v>
      </c>
      <c r="E982" s="169"/>
      <c r="F982" s="54">
        <f t="shared" ref="F982:N982" si="306">SUM(F976:F981)</f>
        <v>0</v>
      </c>
      <c r="G982" s="54">
        <f t="shared" si="306"/>
        <v>0</v>
      </c>
      <c r="H982" s="54" t="e">
        <f t="shared" si="306"/>
        <v>#DIV/0!</v>
      </c>
      <c r="I982" s="54" t="e">
        <f t="shared" si="306"/>
        <v>#DIV/0!</v>
      </c>
      <c r="J982" s="54" t="e">
        <f t="shared" si="306"/>
        <v>#DIV/0!</v>
      </c>
      <c r="K982" s="54">
        <f t="shared" si="306"/>
        <v>0</v>
      </c>
      <c r="L982" s="53">
        <f t="shared" si="306"/>
        <v>0</v>
      </c>
      <c r="M982" s="54">
        <f t="shared" si="306"/>
        <v>0</v>
      </c>
      <c r="N982" s="54">
        <f t="shared" si="306"/>
        <v>0</v>
      </c>
      <c r="O982" s="60" t="e">
        <f t="shared" si="301"/>
        <v>#DIV/0!</v>
      </c>
      <c r="P982" s="61" t="e">
        <f t="shared" si="302"/>
        <v>#DIV/0!</v>
      </c>
      <c r="Q982" s="60" t="e">
        <f t="shared" si="303"/>
        <v>#DIV/0!</v>
      </c>
      <c r="R982" s="170" t="e">
        <f t="shared" si="304"/>
        <v>#DIV/0!</v>
      </c>
      <c r="S982" s="171">
        <f>SUM(S976:S981)</f>
        <v>0</v>
      </c>
      <c r="T982" s="172" t="e">
        <f t="shared" si="305"/>
        <v>#DIV/0!</v>
      </c>
      <c r="U982" s="65">
        <f>IFERROR((D982-D245)/D982,)</f>
        <v>0</v>
      </c>
      <c r="V982" s="65">
        <f>IFERROR((F982-F245)/F982,)</f>
        <v>0</v>
      </c>
      <c r="W982" s="66">
        <f>IFERROR((D982-[1]monthly_reporting_2021!E790)/D982, )</f>
        <v>0</v>
      </c>
      <c r="X982" s="66">
        <f>IFERROR((F982-[1]monthly_reporting_2021!F790)/F982, )</f>
        <v>0</v>
      </c>
      <c r="Y982" s="67"/>
      <c r="Z982" s="50"/>
      <c r="AA982" s="50"/>
    </row>
    <row r="983" spans="1:27" ht="12.75" collapsed="1" x14ac:dyDescent="0.2">
      <c r="A983" s="34"/>
      <c r="B983" s="173"/>
      <c r="C983" s="173"/>
      <c r="D983" s="174"/>
      <c r="E983" s="175"/>
      <c r="F983" s="173"/>
      <c r="G983" s="173"/>
      <c r="H983" s="176"/>
      <c r="I983" s="174"/>
      <c r="J983" s="174"/>
      <c r="K983" s="174"/>
      <c r="L983" s="173"/>
      <c r="M983" s="173"/>
      <c r="N983" s="174"/>
      <c r="O983" s="177"/>
      <c r="P983" s="176"/>
      <c r="Q983" s="177"/>
      <c r="R983" s="178"/>
      <c r="S983" s="179"/>
      <c r="T983" s="177"/>
      <c r="U983" s="180"/>
      <c r="V983" s="180"/>
      <c r="W983" s="177"/>
      <c r="X983" s="177"/>
      <c r="Y983" s="67"/>
      <c r="Z983" s="50"/>
      <c r="AA983" s="50"/>
    </row>
    <row r="984" spans="1:27" ht="12.75" x14ac:dyDescent="0.2">
      <c r="A984" s="34"/>
      <c r="B984" s="173"/>
      <c r="C984" s="173"/>
      <c r="D984" s="174"/>
      <c r="E984" s="175"/>
      <c r="F984" s="173"/>
      <c r="G984" s="173"/>
      <c r="H984" s="176"/>
      <c r="I984" s="174"/>
      <c r="J984" s="174"/>
      <c r="K984" s="174"/>
      <c r="L984" s="173"/>
      <c r="M984" s="173"/>
      <c r="N984" s="174"/>
      <c r="O984" s="177"/>
      <c r="P984" s="176"/>
      <c r="Q984" s="177"/>
      <c r="R984" s="178"/>
      <c r="S984" s="179"/>
      <c r="T984" s="177"/>
      <c r="U984" s="180"/>
      <c r="V984" s="180"/>
      <c r="W984" s="177"/>
      <c r="X984" s="177"/>
      <c r="Y984" s="67"/>
      <c r="Z984" s="50"/>
      <c r="AA984" s="50"/>
    </row>
    <row r="985" spans="1:27" ht="12.75" x14ac:dyDescent="0.2">
      <c r="A985" s="34"/>
      <c r="B985" s="173"/>
      <c r="C985" s="173"/>
      <c r="D985" s="174"/>
      <c r="E985" s="175"/>
      <c r="F985" s="173"/>
      <c r="G985" s="173"/>
      <c r="H985" s="176"/>
      <c r="I985" s="174"/>
      <c r="J985" s="174"/>
      <c r="K985" s="174"/>
      <c r="L985" s="173"/>
      <c r="M985" s="173"/>
      <c r="N985" s="174"/>
      <c r="O985" s="177"/>
      <c r="P985" s="176"/>
      <c r="Q985" s="177"/>
      <c r="R985" s="178"/>
      <c r="S985" s="179"/>
      <c r="T985" s="177"/>
      <c r="U985" s="180"/>
      <c r="V985" s="180"/>
      <c r="W985" s="177"/>
      <c r="X985" s="177"/>
      <c r="Y985" s="67"/>
      <c r="Z985" s="50"/>
      <c r="AA985" s="50"/>
    </row>
    <row r="986" spans="1:27" ht="12.75" x14ac:dyDescent="0.2">
      <c r="A986" s="34"/>
      <c r="B986" s="173"/>
      <c r="C986" s="173"/>
      <c r="D986" s="174"/>
      <c r="E986" s="175"/>
      <c r="F986" s="173"/>
      <c r="G986" s="173"/>
      <c r="H986" s="176"/>
      <c r="I986" s="174"/>
      <c r="J986" s="174"/>
      <c r="K986" s="174"/>
      <c r="L986" s="173"/>
      <c r="M986" s="173"/>
      <c r="N986" s="174"/>
      <c r="O986" s="177"/>
      <c r="P986" s="176"/>
      <c r="Q986" s="177"/>
      <c r="R986" s="178"/>
      <c r="S986" s="179"/>
      <c r="T986" s="177"/>
      <c r="U986" s="180"/>
      <c r="V986" s="180"/>
      <c r="W986" s="177"/>
      <c r="X986" s="177"/>
      <c r="Y986" s="67"/>
      <c r="Z986" s="50"/>
      <c r="AA986" s="50"/>
    </row>
    <row r="987" spans="1:27" ht="12.75" x14ac:dyDescent="0.2">
      <c r="A987" s="34"/>
      <c r="B987" s="173"/>
      <c r="C987" s="173"/>
      <c r="D987" s="174"/>
      <c r="E987" s="175"/>
      <c r="F987" s="173"/>
      <c r="G987" s="173"/>
      <c r="H987" s="176"/>
      <c r="I987" s="174"/>
      <c r="J987" s="50"/>
      <c r="K987" s="174"/>
      <c r="L987" s="173"/>
      <c r="M987" s="173"/>
      <c r="N987" s="174"/>
      <c r="O987" s="177"/>
      <c r="P987" s="176"/>
      <c r="Q987" s="177"/>
      <c r="R987" s="178"/>
      <c r="S987" s="179"/>
      <c r="T987" s="177"/>
      <c r="U987" s="180"/>
      <c r="V987" s="180"/>
      <c r="W987" s="177"/>
      <c r="X987" s="177"/>
      <c r="Y987" s="67"/>
      <c r="Z987" s="50"/>
      <c r="AA987" s="50"/>
    </row>
  </sheetData>
  <mergeCells count="19">
    <mergeCell ref="W10:X10"/>
    <mergeCell ref="Y10:Z10"/>
    <mergeCell ref="G5:J5"/>
    <mergeCell ref="L5:O5"/>
    <mergeCell ref="G7:J7"/>
    <mergeCell ref="L7:O7"/>
    <mergeCell ref="G8:I8"/>
    <mergeCell ref="L8:N8"/>
    <mergeCell ref="L9:O9"/>
    <mergeCell ref="G4:I4"/>
    <mergeCell ref="L4:N4"/>
    <mergeCell ref="G9:J9"/>
    <mergeCell ref="D10:J10"/>
    <mergeCell ref="M10:T10"/>
    <mergeCell ref="A1:B1"/>
    <mergeCell ref="A2:B2"/>
    <mergeCell ref="C2:X2"/>
    <mergeCell ref="G3:J3"/>
    <mergeCell ref="L3:O3"/>
  </mergeCells>
  <conditionalFormatting sqref="C5 G5:J5 L5:O5 C9">
    <cfRule type="cellIs" dxfId="23" priority="1" operator="greaterThanOrEqual">
      <formula>0</formula>
    </cfRule>
    <cfRule type="cellIs" dxfId="22" priority="2" operator="lessThanOrEqual">
      <formula>0</formula>
    </cfRule>
  </conditionalFormatting>
  <conditionalFormatting sqref="G9:O9">
    <cfRule type="cellIs" dxfId="21" priority="3" operator="lessThanOrEqual">
      <formula>0</formula>
    </cfRule>
    <cfRule type="cellIs" dxfId="20" priority="4" operator="greaterThanOrEqual">
      <formula>0</formula>
    </cfRule>
  </conditionalFormatting>
  <conditionalFormatting sqref="U12:Z987">
    <cfRule type="cellIs" dxfId="19" priority="5" operator="greaterThanOrEqual">
      <formula>0</formula>
    </cfRule>
    <cfRule type="cellIs" dxfId="18" priority="6" operator="lessThan">
      <formula>0</formula>
    </cfRule>
  </conditionalFormatting>
  <conditionalFormatting sqref="W12:X987">
    <cfRule type="cellIs" dxfId="17" priority="7" operator="greaterThanOrEqual">
      <formula>0</formula>
    </cfRule>
    <cfRule type="cellIs" dxfId="16" priority="8" operator="lessThan">
      <formula>0</formula>
    </cfRule>
  </conditionalFormatting>
  <dataValidations count="1">
    <dataValidation type="list" allowBlank="1" sqref="B12 B30 B48 B66 B84 B102 B120 B138 B156 B174 B192 B210 B228 B246 B264 B282 B300 B318 B336 B354 B372 B390 B408 B426 B444 B462 B480 B498 B516 B534 B552 B570 B588 B604 B620 B636 B652 B668 B684 B700 B716 B732 B748 B764 B780 B796 B812 B829 B847 B865 B883 B901 B919 B937 B955 B973 B982" xr:uid="{00000000-0002-0000-0400-000000000000}">
      <formula1>"Previous Week,Current Week"</formula1>
    </dataValidation>
  </dataValidations>
  <hyperlinks>
    <hyperlink ref="A1"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Right="0"/>
  </sheetPr>
  <dimension ref="A1:Z561"/>
  <sheetViews>
    <sheetView workbookViewId="0">
      <pane ySplit="11" topLeftCell="A12" activePane="bottomLeft" state="frozen"/>
      <selection pane="bottomLeft" activeCell="B13" sqref="B13"/>
    </sheetView>
  </sheetViews>
  <sheetFormatPr defaultColWidth="12.5703125" defaultRowHeight="15.75" customHeight="1" outlineLevelRow="1" x14ac:dyDescent="0.2"/>
  <cols>
    <col min="3" max="3" width="40" customWidth="1"/>
    <col min="4" max="9" width="12.5703125" hidden="1"/>
  </cols>
  <sheetData>
    <row r="1" spans="1:26" ht="93.75" customHeight="1" x14ac:dyDescent="0.2">
      <c r="A1" s="315" t="s">
        <v>137</v>
      </c>
      <c r="B1" s="316"/>
      <c r="C1" s="1"/>
      <c r="D1" s="2"/>
      <c r="E1" s="2"/>
      <c r="F1" s="2"/>
      <c r="G1" s="2"/>
      <c r="H1" s="2"/>
      <c r="I1" s="2"/>
      <c r="J1" s="2"/>
      <c r="K1" s="2"/>
      <c r="L1" s="3"/>
      <c r="M1" s="2"/>
      <c r="N1" s="2"/>
      <c r="O1" s="2"/>
      <c r="P1" s="2"/>
      <c r="Q1" s="2"/>
      <c r="R1" s="2"/>
      <c r="S1" s="2"/>
      <c r="T1" s="4"/>
      <c r="U1" s="4"/>
      <c r="V1" s="2"/>
      <c r="W1" s="2"/>
      <c r="X1" s="2"/>
      <c r="Y1" s="2"/>
      <c r="Z1" s="2"/>
    </row>
    <row r="2" spans="1:26" ht="12.75" x14ac:dyDescent="0.2">
      <c r="A2" s="317"/>
      <c r="B2" s="318"/>
      <c r="C2" s="319" t="s">
        <v>1</v>
      </c>
      <c r="D2" s="320"/>
      <c r="E2" s="320"/>
      <c r="F2" s="320"/>
      <c r="G2" s="320"/>
      <c r="H2" s="320"/>
      <c r="I2" s="320"/>
      <c r="J2" s="320"/>
      <c r="K2" s="320"/>
      <c r="L2" s="320"/>
      <c r="M2" s="320"/>
      <c r="N2" s="320"/>
      <c r="O2" s="320"/>
      <c r="P2" s="320"/>
      <c r="Q2" s="320"/>
      <c r="R2" s="320"/>
      <c r="S2" s="320"/>
      <c r="T2" s="320"/>
      <c r="U2" s="320"/>
      <c r="V2" s="320"/>
      <c r="W2" s="318"/>
      <c r="X2" s="5" t="e">
        <f>(#REF!+#REF!+#REF!+#REF!)-([1]monthly_reporting_2021!D17+[1]monthly_reporting_2021!D23+[1]monthly_reporting_2021!D29+[1]monthly_reporting_2021!D35)</f>
        <v>#REF!</v>
      </c>
      <c r="Y2" s="6" t="e">
        <f>((#REF!+#REF!+#REF!+#REF!)-([1]monthly_reporting_2021!E17+[1]monthly_reporting_2021!E23+[1]monthly_reporting_2021!E29+[1]monthly_reporting_2021!E35))/(#REF!+#REF!+#REF!+#REF!)</f>
        <v>#REF!</v>
      </c>
      <c r="Z2" s="1"/>
    </row>
    <row r="3" spans="1:26" ht="21" customHeight="1" x14ac:dyDescent="0.3">
      <c r="A3" s="7"/>
      <c r="B3" s="8"/>
      <c r="C3" s="9"/>
      <c r="D3" s="10"/>
      <c r="E3" s="10"/>
      <c r="F3" s="321"/>
      <c r="G3" s="320"/>
      <c r="H3" s="320"/>
      <c r="I3" s="318"/>
      <c r="J3" s="10"/>
      <c r="K3" s="9" t="s">
        <v>2</v>
      </c>
      <c r="L3" s="10"/>
      <c r="M3" s="10"/>
      <c r="N3" s="321" t="s">
        <v>3</v>
      </c>
      <c r="O3" s="320"/>
      <c r="P3" s="320"/>
      <c r="Q3" s="318"/>
      <c r="R3" s="10"/>
      <c r="S3" s="322" t="s">
        <v>4</v>
      </c>
      <c r="T3" s="320"/>
      <c r="U3" s="320"/>
      <c r="V3" s="318"/>
      <c r="W3" s="12"/>
      <c r="X3" s="12"/>
      <c r="Y3" s="12"/>
      <c r="Z3" s="12"/>
    </row>
    <row r="4" spans="1:26" ht="21" customHeight="1" x14ac:dyDescent="0.3">
      <c r="A4" s="14"/>
      <c r="B4" s="15"/>
      <c r="C4" s="16"/>
      <c r="D4" s="17"/>
      <c r="E4" s="17"/>
      <c r="F4" s="323"/>
      <c r="G4" s="320"/>
      <c r="H4" s="318"/>
      <c r="I4" s="19"/>
      <c r="J4" s="17"/>
      <c r="K4" s="16">
        <f>VLOOKUP("Current Week",$B$11:$X$570,MATCH("SALES",$B$11:$X$11,0),FALSE)</f>
        <v>0</v>
      </c>
      <c r="L4" s="17"/>
      <c r="M4" s="17"/>
      <c r="N4" s="323">
        <f>VLOOKUP("Current Week",$B$11:$X$570,MATCH("Units Sold",$B$11:$X$11,0),FALSE)</f>
        <v>0</v>
      </c>
      <c r="O4" s="320"/>
      <c r="P4" s="318"/>
      <c r="Q4" s="19"/>
      <c r="R4" s="17"/>
      <c r="S4" s="323">
        <f>VLOOKUP("Current Week",$B$11:$X$570,MATCH("Ordered Items",$B$11:$X$11,0),FALSE)</f>
        <v>0</v>
      </c>
      <c r="T4" s="320"/>
      <c r="U4" s="318"/>
      <c r="V4" s="19"/>
      <c r="W4" s="19"/>
      <c r="X4" s="19"/>
      <c r="Y4" s="19"/>
      <c r="Z4" s="19"/>
    </row>
    <row r="5" spans="1:26" ht="17.25" x14ac:dyDescent="0.3">
      <c r="A5" s="21"/>
      <c r="B5" s="22"/>
      <c r="C5" s="187"/>
      <c r="D5" s="195"/>
      <c r="E5" s="195"/>
      <c r="F5" s="341"/>
      <c r="G5" s="320"/>
      <c r="H5" s="320"/>
      <c r="I5" s="318"/>
      <c r="J5" s="195"/>
      <c r="K5" s="187" t="e">
        <f>(K4-(VLOOKUP("Previous Week",$B$11:$X$575,MATCH("SALES",$B$11:$X$11,0),FALSE)))/K4</f>
        <v>#DIV/0!</v>
      </c>
      <c r="L5" s="195"/>
      <c r="M5" s="195"/>
      <c r="N5" s="341" t="e">
        <f>(N4-(VLOOKUP("Previous Week",$B$11:$X$575,MATCH("Units Sold",$B$11:$X$11,0),FALSE)))/N4</f>
        <v>#DIV/0!</v>
      </c>
      <c r="O5" s="320"/>
      <c r="P5" s="320"/>
      <c r="Q5" s="318"/>
      <c r="R5" s="195"/>
      <c r="S5" s="341" t="e">
        <f>(S4-(VLOOKUP("Previous Week",$B$11:$X$575,MATCH("Ordered Items",$B$11:$X$11,0),FALSE)))/S4</f>
        <v>#DIV/0!</v>
      </c>
      <c r="T5" s="320"/>
      <c r="U5" s="320"/>
      <c r="V5" s="318"/>
      <c r="W5" s="26"/>
      <c r="X5" s="26"/>
      <c r="Y5" s="26"/>
      <c r="Z5" s="26"/>
    </row>
    <row r="6" spans="1:26" ht="6" customHeight="1" x14ac:dyDescent="0.3">
      <c r="A6" s="14"/>
      <c r="B6" s="15"/>
      <c r="C6" s="27"/>
      <c r="D6" s="17"/>
      <c r="E6" s="17"/>
      <c r="F6" s="19"/>
      <c r="G6" s="19"/>
      <c r="H6" s="19"/>
      <c r="I6" s="19"/>
      <c r="J6" s="17"/>
      <c r="K6" s="27"/>
      <c r="L6" s="17"/>
      <c r="M6" s="17"/>
      <c r="N6" s="19"/>
      <c r="O6" s="19"/>
      <c r="P6" s="19"/>
      <c r="Q6" s="19"/>
      <c r="R6" s="17"/>
      <c r="S6" s="19"/>
      <c r="T6" s="19"/>
      <c r="U6" s="19"/>
      <c r="V6" s="19"/>
      <c r="W6" s="19"/>
      <c r="X6" s="19"/>
      <c r="Y6" s="19"/>
      <c r="Z6" s="19"/>
    </row>
    <row r="7" spans="1:26" ht="22.5" customHeight="1" x14ac:dyDescent="0.3">
      <c r="A7" s="7"/>
      <c r="B7" s="8"/>
      <c r="C7" s="9"/>
      <c r="D7" s="10"/>
      <c r="E7" s="10"/>
      <c r="F7" s="322"/>
      <c r="G7" s="320"/>
      <c r="H7" s="320"/>
      <c r="I7" s="318"/>
      <c r="J7" s="10"/>
      <c r="K7" s="9" t="s">
        <v>5</v>
      </c>
      <c r="L7" s="10"/>
      <c r="M7" s="10"/>
      <c r="N7" s="322" t="s">
        <v>6</v>
      </c>
      <c r="O7" s="320"/>
      <c r="P7" s="320"/>
      <c r="Q7" s="318"/>
      <c r="R7" s="10"/>
      <c r="S7" s="322" t="s">
        <v>7</v>
      </c>
      <c r="T7" s="320"/>
      <c r="U7" s="320"/>
      <c r="V7" s="318"/>
      <c r="W7" s="12"/>
      <c r="X7" s="12"/>
      <c r="Y7" s="12"/>
      <c r="Z7" s="12"/>
    </row>
    <row r="8" spans="1:26" ht="21" customHeight="1" x14ac:dyDescent="0.3">
      <c r="A8" s="14"/>
      <c r="B8" s="15"/>
      <c r="C8" s="16"/>
      <c r="D8" s="17"/>
      <c r="E8" s="17"/>
      <c r="F8" s="333"/>
      <c r="G8" s="320"/>
      <c r="H8" s="318"/>
      <c r="I8" s="19"/>
      <c r="J8" s="17"/>
      <c r="K8" s="16">
        <f>VLOOKUP("Current Week",$B$11:$X$570,MATCH("AD SALES",$B$11:$X$11,0),FALSE)</f>
        <v>18214</v>
      </c>
      <c r="L8" s="17"/>
      <c r="M8" s="17"/>
      <c r="N8" s="333">
        <f>VLOOKUP("Current Week",$B$11:$X$570,MATCH("SP AD SPEND",$B$11:$X$11,0),FALSE)</f>
        <v>4879.8900000000003</v>
      </c>
      <c r="O8" s="320"/>
      <c r="P8" s="318"/>
      <c r="Q8" s="19"/>
      <c r="R8" s="17"/>
      <c r="S8" s="334">
        <f>N8/K8</f>
        <v>0.26791973207422864</v>
      </c>
      <c r="T8" s="320"/>
      <c r="U8" s="318"/>
      <c r="V8" s="19"/>
      <c r="W8" s="19"/>
      <c r="X8" s="19"/>
      <c r="Y8" s="19"/>
      <c r="Z8" s="19"/>
    </row>
    <row r="9" spans="1:26" ht="19.5" customHeight="1" x14ac:dyDescent="0.3">
      <c r="A9" s="28"/>
      <c r="B9" s="29"/>
      <c r="C9" s="194"/>
      <c r="D9" s="195"/>
      <c r="E9" s="195"/>
      <c r="F9" s="339"/>
      <c r="G9" s="325"/>
      <c r="H9" s="325"/>
      <c r="I9" s="326"/>
      <c r="J9" s="195"/>
      <c r="K9" s="194">
        <f>(K8-(VLOOKUP("Previous Week",$B$11:$X$575,MATCH("AD SALES",$B$11:$X$11,0),FALSE)))/K8</f>
        <v>-3.7093444603052542E-2</v>
      </c>
      <c r="L9" s="195"/>
      <c r="M9" s="195"/>
      <c r="N9" s="339">
        <f>(N8-(VLOOKUP("Previous Week",$B$11:$X$575,MATCH("SP AD SPEND",$B$11:$X$11,0),FALSE)))/N8</f>
        <v>-0.36364549200904123</v>
      </c>
      <c r="O9" s="325"/>
      <c r="P9" s="325"/>
      <c r="Q9" s="326"/>
      <c r="R9" s="195"/>
      <c r="S9" s="344">
        <f>(S8-(VLOOKUP("Previous Week",$B$11:$X$575,MATCH("ACOS",$B$11:$X$11,0),FALSE)))/S8</f>
        <v>-0.31487234742957648</v>
      </c>
      <c r="T9" s="325"/>
      <c r="U9" s="325"/>
      <c r="V9" s="326"/>
      <c r="W9" s="31"/>
      <c r="X9" s="31"/>
      <c r="Y9" s="31"/>
      <c r="Z9" s="33"/>
    </row>
    <row r="10" spans="1:26" ht="15" customHeight="1" x14ac:dyDescent="0.2">
      <c r="A10" s="34"/>
      <c r="B10" s="35"/>
      <c r="C10" s="36"/>
      <c r="D10" s="327" t="s">
        <v>8</v>
      </c>
      <c r="E10" s="328"/>
      <c r="F10" s="328"/>
      <c r="G10" s="328"/>
      <c r="H10" s="328"/>
      <c r="I10" s="329"/>
      <c r="J10" s="37"/>
      <c r="K10" s="38"/>
      <c r="L10" s="330" t="s">
        <v>9</v>
      </c>
      <c r="M10" s="328"/>
      <c r="N10" s="328"/>
      <c r="O10" s="328"/>
      <c r="P10" s="328"/>
      <c r="Q10" s="328"/>
      <c r="R10" s="328"/>
      <c r="S10" s="329"/>
      <c r="T10" s="39"/>
      <c r="U10" s="40"/>
      <c r="V10" s="331" t="s">
        <v>10</v>
      </c>
      <c r="W10" s="329"/>
      <c r="X10" s="327" t="s">
        <v>11</v>
      </c>
      <c r="Y10" s="329"/>
      <c r="Z10" s="1"/>
    </row>
    <row r="11" spans="1:26" ht="37.5" customHeight="1" x14ac:dyDescent="0.2">
      <c r="A11" s="41" t="s">
        <v>12</v>
      </c>
      <c r="B11" s="42" t="s">
        <v>13</v>
      </c>
      <c r="C11" s="43" t="s">
        <v>111</v>
      </c>
      <c r="D11" s="43" t="s">
        <v>15</v>
      </c>
      <c r="E11" s="45" t="s">
        <v>17</v>
      </c>
      <c r="F11" s="45" t="s">
        <v>18</v>
      </c>
      <c r="G11" s="45" t="s">
        <v>19</v>
      </c>
      <c r="H11" s="45" t="s">
        <v>20</v>
      </c>
      <c r="I11" s="41" t="s">
        <v>21</v>
      </c>
      <c r="J11" s="46" t="s">
        <v>22</v>
      </c>
      <c r="K11" s="45" t="s">
        <v>23</v>
      </c>
      <c r="L11" s="45" t="s">
        <v>24</v>
      </c>
      <c r="M11" s="45" t="s">
        <v>25</v>
      </c>
      <c r="N11" s="45" t="s">
        <v>7</v>
      </c>
      <c r="O11" s="45" t="s">
        <v>26</v>
      </c>
      <c r="P11" s="41" t="s">
        <v>27</v>
      </c>
      <c r="Q11" s="47" t="s">
        <v>28</v>
      </c>
      <c r="R11" s="48" t="s">
        <v>29</v>
      </c>
      <c r="S11" s="41" t="s">
        <v>30</v>
      </c>
      <c r="T11" s="49" t="s">
        <v>15</v>
      </c>
      <c r="U11" s="47" t="s">
        <v>31</v>
      </c>
      <c r="V11" s="49" t="s">
        <v>15</v>
      </c>
      <c r="W11" s="47" t="s">
        <v>31</v>
      </c>
      <c r="X11" s="45"/>
    </row>
    <row r="12" spans="1:26" ht="12.75" x14ac:dyDescent="0.2">
      <c r="A12" s="51"/>
      <c r="B12" s="52"/>
      <c r="C12" s="53"/>
      <c r="D12" s="54"/>
      <c r="E12" s="56"/>
      <c r="F12" s="56"/>
      <c r="G12" s="57"/>
      <c r="H12" s="55"/>
      <c r="I12" s="58"/>
      <c r="J12" s="54"/>
      <c r="K12" s="56"/>
      <c r="L12" s="56"/>
      <c r="M12" s="59"/>
      <c r="N12" s="60"/>
      <c r="O12" s="61"/>
      <c r="P12" s="60"/>
      <c r="Q12" s="62"/>
      <c r="R12" s="63"/>
      <c r="S12" s="64"/>
      <c r="T12" s="65"/>
      <c r="U12" s="65"/>
      <c r="V12" s="66"/>
      <c r="W12" s="66"/>
      <c r="X12" s="67"/>
    </row>
    <row r="13" spans="1:26" ht="12.75" hidden="1" outlineLevel="1" x14ac:dyDescent="0.2">
      <c r="A13" s="68"/>
      <c r="B13" s="69">
        <v>45711</v>
      </c>
      <c r="C13" s="70" t="s">
        <v>112</v>
      </c>
      <c r="D13" s="71"/>
      <c r="E13" s="73"/>
      <c r="F13" s="73"/>
      <c r="G13" s="74" t="e">
        <f t="shared" ref="G13:G267" si="0">E13/F13</f>
        <v>#DIV/0!</v>
      </c>
      <c r="H13" s="75" t="e">
        <f t="shared" ref="H13:H267" si="1">D13/E13</f>
        <v>#DIV/0!</v>
      </c>
      <c r="I13" s="76" t="e">
        <f t="shared" ref="I13:I267" si="2">H13/G13</f>
        <v>#DIV/0!</v>
      </c>
      <c r="J13" s="77">
        <v>0</v>
      </c>
      <c r="K13" s="73">
        <v>0</v>
      </c>
      <c r="L13" s="73"/>
      <c r="M13" s="78">
        <v>0</v>
      </c>
      <c r="N13" s="79" t="e">
        <f t="shared" ref="N13:N14" si="3">J13/M13</f>
        <v>#DIV/0!</v>
      </c>
      <c r="O13" s="80" t="e">
        <f t="shared" ref="O13:O267" si="4">M13/J13</f>
        <v>#DIV/0!</v>
      </c>
      <c r="P13" s="79" t="e">
        <f t="shared" ref="P13:P267" si="5">J13/D13</f>
        <v>#DIV/0!</v>
      </c>
      <c r="Q13" s="81" t="e">
        <f t="shared" ref="Q13:Q267" si="6">M13/D13</f>
        <v>#DIV/0!</v>
      </c>
      <c r="R13" s="82">
        <f t="shared" ref="R13:R23" si="7">D13-M13</f>
        <v>0</v>
      </c>
      <c r="S13" s="83" t="e">
        <f t="shared" ref="S13:S267" si="8">J13/L13</f>
        <v>#DIV/0!</v>
      </c>
      <c r="T13" s="84"/>
      <c r="U13" s="84"/>
      <c r="V13" s="84"/>
      <c r="W13" s="84"/>
      <c r="X13" s="85"/>
      <c r="Y13" s="68"/>
      <c r="Z13" s="68"/>
    </row>
    <row r="14" spans="1:26" ht="12.75" hidden="1" outlineLevel="1" x14ac:dyDescent="0.2">
      <c r="A14" s="68"/>
      <c r="B14" s="86"/>
      <c r="C14" s="70" t="s">
        <v>113</v>
      </c>
      <c r="D14" s="87"/>
      <c r="E14" s="73"/>
      <c r="F14" s="73"/>
      <c r="G14" s="74" t="e">
        <f t="shared" si="0"/>
        <v>#DIV/0!</v>
      </c>
      <c r="H14" s="75" t="e">
        <f t="shared" si="1"/>
        <v>#DIV/0!</v>
      </c>
      <c r="I14" s="76" t="e">
        <f t="shared" si="2"/>
        <v>#DIV/0!</v>
      </c>
      <c r="J14" s="87">
        <v>0</v>
      </c>
      <c r="K14" s="73">
        <v>0</v>
      </c>
      <c r="L14" s="73"/>
      <c r="M14" s="88">
        <v>0</v>
      </c>
      <c r="N14" s="79" t="e">
        <f t="shared" si="3"/>
        <v>#DIV/0!</v>
      </c>
      <c r="O14" s="80" t="e">
        <f t="shared" si="4"/>
        <v>#DIV/0!</v>
      </c>
      <c r="P14" s="79" t="e">
        <f t="shared" si="5"/>
        <v>#DIV/0!</v>
      </c>
      <c r="Q14" s="81" t="e">
        <f t="shared" si="6"/>
        <v>#DIV/0!</v>
      </c>
      <c r="R14" s="89">
        <f t="shared" si="7"/>
        <v>0</v>
      </c>
      <c r="S14" s="83" t="e">
        <f t="shared" si="8"/>
        <v>#DIV/0!</v>
      </c>
      <c r="T14" s="84"/>
      <c r="U14" s="84"/>
      <c r="V14" s="84"/>
      <c r="W14" s="84"/>
      <c r="X14" s="85"/>
      <c r="Y14" s="68"/>
      <c r="Z14" s="68"/>
    </row>
    <row r="15" spans="1:26" ht="12.75" hidden="1" outlineLevel="1" x14ac:dyDescent="0.2">
      <c r="A15" s="68"/>
      <c r="B15" s="86"/>
      <c r="C15" s="70" t="s">
        <v>114</v>
      </c>
      <c r="D15" s="90"/>
      <c r="E15" s="73"/>
      <c r="F15" s="73"/>
      <c r="G15" s="74" t="e">
        <f t="shared" si="0"/>
        <v>#DIV/0!</v>
      </c>
      <c r="H15" s="75" t="e">
        <f t="shared" si="1"/>
        <v>#DIV/0!</v>
      </c>
      <c r="I15" s="76" t="e">
        <f t="shared" si="2"/>
        <v>#DIV/0!</v>
      </c>
      <c r="J15" s="90">
        <v>5.26</v>
      </c>
      <c r="K15" s="199">
        <v>1761</v>
      </c>
      <c r="L15" s="73"/>
      <c r="M15" s="91">
        <v>0</v>
      </c>
      <c r="N15" s="79" t="e">
        <f>(J15/M15)</f>
        <v>#DIV/0!</v>
      </c>
      <c r="O15" s="80">
        <f t="shared" si="4"/>
        <v>0</v>
      </c>
      <c r="P15" s="79" t="e">
        <f t="shared" si="5"/>
        <v>#DIV/0!</v>
      </c>
      <c r="Q15" s="81" t="e">
        <f t="shared" si="6"/>
        <v>#DIV/0!</v>
      </c>
      <c r="R15" s="92">
        <f t="shared" si="7"/>
        <v>0</v>
      </c>
      <c r="S15" s="83" t="e">
        <f t="shared" si="8"/>
        <v>#DIV/0!</v>
      </c>
      <c r="T15" s="84"/>
      <c r="U15" s="84"/>
      <c r="V15" s="84"/>
      <c r="W15" s="84"/>
      <c r="X15" s="85"/>
      <c r="Y15" s="68"/>
      <c r="Z15" s="68"/>
    </row>
    <row r="16" spans="1:26" ht="12.75" hidden="1" outlineLevel="1" x14ac:dyDescent="0.2">
      <c r="A16" s="68"/>
      <c r="B16" s="86"/>
      <c r="C16" s="70" t="s">
        <v>115</v>
      </c>
      <c r="D16" s="90"/>
      <c r="E16" s="73"/>
      <c r="F16" s="73"/>
      <c r="G16" s="74" t="e">
        <f t="shared" si="0"/>
        <v>#DIV/0!</v>
      </c>
      <c r="H16" s="75" t="e">
        <f t="shared" si="1"/>
        <v>#DIV/0!</v>
      </c>
      <c r="I16" s="76" t="e">
        <f t="shared" si="2"/>
        <v>#DIV/0!</v>
      </c>
      <c r="J16" s="90">
        <v>0</v>
      </c>
      <c r="K16" s="73">
        <v>0</v>
      </c>
      <c r="L16" s="73"/>
      <c r="M16" s="91">
        <v>0</v>
      </c>
      <c r="N16" s="79" t="e">
        <f t="shared" ref="N16:N26" si="9">J16/M16</f>
        <v>#DIV/0!</v>
      </c>
      <c r="O16" s="80" t="e">
        <f t="shared" si="4"/>
        <v>#DIV/0!</v>
      </c>
      <c r="P16" s="79" t="e">
        <f t="shared" si="5"/>
        <v>#DIV/0!</v>
      </c>
      <c r="Q16" s="81" t="e">
        <f t="shared" si="6"/>
        <v>#DIV/0!</v>
      </c>
      <c r="R16" s="92">
        <f t="shared" si="7"/>
        <v>0</v>
      </c>
      <c r="S16" s="83" t="e">
        <f t="shared" si="8"/>
        <v>#DIV/0!</v>
      </c>
      <c r="T16" s="84"/>
      <c r="U16" s="84"/>
      <c r="V16" s="84"/>
      <c r="W16" s="84"/>
      <c r="X16" s="85"/>
      <c r="Y16" s="68"/>
      <c r="Z16" s="68"/>
    </row>
    <row r="17" spans="1:26" ht="12.75" hidden="1" outlineLevel="1" x14ac:dyDescent="0.2">
      <c r="A17" s="68"/>
      <c r="B17" s="86"/>
      <c r="C17" s="70" t="s">
        <v>116</v>
      </c>
      <c r="D17" s="200"/>
      <c r="E17" s="73"/>
      <c r="F17" s="73"/>
      <c r="G17" s="74" t="e">
        <f t="shared" si="0"/>
        <v>#DIV/0!</v>
      </c>
      <c r="H17" s="75" t="e">
        <f t="shared" si="1"/>
        <v>#DIV/0!</v>
      </c>
      <c r="I17" s="76" t="e">
        <f t="shared" si="2"/>
        <v>#DIV/0!</v>
      </c>
      <c r="J17" s="200">
        <v>14.46</v>
      </c>
      <c r="K17" s="199">
        <v>1394</v>
      </c>
      <c r="L17" s="73"/>
      <c r="M17" s="200">
        <v>0</v>
      </c>
      <c r="N17" s="79" t="e">
        <f t="shared" si="9"/>
        <v>#DIV/0!</v>
      </c>
      <c r="O17" s="80">
        <f t="shared" si="4"/>
        <v>0</v>
      </c>
      <c r="P17" s="79" t="e">
        <f t="shared" si="5"/>
        <v>#DIV/0!</v>
      </c>
      <c r="Q17" s="81" t="e">
        <f t="shared" si="6"/>
        <v>#DIV/0!</v>
      </c>
      <c r="R17" s="92">
        <f t="shared" si="7"/>
        <v>0</v>
      </c>
      <c r="S17" s="83" t="e">
        <f t="shared" si="8"/>
        <v>#DIV/0!</v>
      </c>
      <c r="T17" s="84"/>
      <c r="U17" s="84"/>
      <c r="V17" s="84"/>
      <c r="W17" s="84"/>
      <c r="X17" s="85"/>
      <c r="Y17" s="68"/>
      <c r="Z17" s="68"/>
    </row>
    <row r="18" spans="1:26" ht="12.75" hidden="1" outlineLevel="1" x14ac:dyDescent="0.2">
      <c r="A18" s="68"/>
      <c r="B18" s="86"/>
      <c r="C18" s="70" t="s">
        <v>117</v>
      </c>
      <c r="D18" s="201"/>
      <c r="E18" s="73"/>
      <c r="F18" s="73"/>
      <c r="G18" s="74" t="e">
        <f t="shared" si="0"/>
        <v>#DIV/0!</v>
      </c>
      <c r="H18" s="75" t="e">
        <f t="shared" si="1"/>
        <v>#DIV/0!</v>
      </c>
      <c r="I18" s="76" t="e">
        <f t="shared" si="2"/>
        <v>#DIV/0!</v>
      </c>
      <c r="J18" s="201">
        <v>0</v>
      </c>
      <c r="K18" s="73">
        <v>0</v>
      </c>
      <c r="L18" s="73"/>
      <c r="M18" s="202">
        <v>0</v>
      </c>
      <c r="N18" s="79" t="e">
        <f t="shared" si="9"/>
        <v>#DIV/0!</v>
      </c>
      <c r="O18" s="80" t="e">
        <f t="shared" si="4"/>
        <v>#DIV/0!</v>
      </c>
      <c r="P18" s="79" t="e">
        <f t="shared" si="5"/>
        <v>#DIV/0!</v>
      </c>
      <c r="Q18" s="81" t="e">
        <f t="shared" si="6"/>
        <v>#DIV/0!</v>
      </c>
      <c r="R18" s="203">
        <f t="shared" si="7"/>
        <v>0</v>
      </c>
      <c r="S18" s="83" t="e">
        <f t="shared" si="8"/>
        <v>#DIV/0!</v>
      </c>
      <c r="T18" s="84"/>
      <c r="U18" s="84"/>
      <c r="V18" s="84"/>
      <c r="W18" s="84"/>
      <c r="X18" s="85"/>
      <c r="Y18" s="68"/>
      <c r="Z18" s="68"/>
    </row>
    <row r="19" spans="1:26" ht="12.75" hidden="1" outlineLevel="1" x14ac:dyDescent="0.2">
      <c r="A19" s="68"/>
      <c r="B19" s="86"/>
      <c r="C19" s="70" t="s">
        <v>118</v>
      </c>
      <c r="D19" s="90"/>
      <c r="E19" s="73"/>
      <c r="F19" s="73"/>
      <c r="G19" s="74" t="e">
        <f t="shared" si="0"/>
        <v>#DIV/0!</v>
      </c>
      <c r="H19" s="75" t="e">
        <f t="shared" si="1"/>
        <v>#DIV/0!</v>
      </c>
      <c r="I19" s="76" t="e">
        <f t="shared" si="2"/>
        <v>#DIV/0!</v>
      </c>
      <c r="J19" s="90">
        <v>0</v>
      </c>
      <c r="K19" s="73">
        <v>0</v>
      </c>
      <c r="L19" s="73"/>
      <c r="M19" s="91">
        <v>0</v>
      </c>
      <c r="N19" s="79" t="e">
        <f t="shared" si="9"/>
        <v>#DIV/0!</v>
      </c>
      <c r="O19" s="80" t="e">
        <f t="shared" si="4"/>
        <v>#DIV/0!</v>
      </c>
      <c r="P19" s="79" t="e">
        <f t="shared" si="5"/>
        <v>#DIV/0!</v>
      </c>
      <c r="Q19" s="81" t="e">
        <f t="shared" si="6"/>
        <v>#DIV/0!</v>
      </c>
      <c r="R19" s="92">
        <f t="shared" si="7"/>
        <v>0</v>
      </c>
      <c r="S19" s="83" t="e">
        <f t="shared" si="8"/>
        <v>#DIV/0!</v>
      </c>
      <c r="T19" s="84"/>
      <c r="U19" s="84"/>
      <c r="V19" s="84"/>
      <c r="W19" s="84"/>
      <c r="X19" s="85"/>
      <c r="Y19" s="68"/>
      <c r="Z19" s="68"/>
    </row>
    <row r="20" spans="1:26" ht="12.75" hidden="1" outlineLevel="1" x14ac:dyDescent="0.2">
      <c r="A20" s="68"/>
      <c r="B20" s="69" t="s">
        <v>37</v>
      </c>
      <c r="C20" s="70" t="s">
        <v>119</v>
      </c>
      <c r="D20" s="93"/>
      <c r="E20" s="73"/>
      <c r="F20" s="73"/>
      <c r="G20" s="74" t="e">
        <f t="shared" si="0"/>
        <v>#DIV/0!</v>
      </c>
      <c r="H20" s="75" t="e">
        <f t="shared" si="1"/>
        <v>#DIV/0!</v>
      </c>
      <c r="I20" s="76" t="e">
        <f t="shared" si="2"/>
        <v>#DIV/0!</v>
      </c>
      <c r="J20" s="93">
        <v>0</v>
      </c>
      <c r="K20" s="73">
        <v>0</v>
      </c>
      <c r="L20" s="73"/>
      <c r="M20" s="94">
        <v>0</v>
      </c>
      <c r="N20" s="79" t="e">
        <f t="shared" si="9"/>
        <v>#DIV/0!</v>
      </c>
      <c r="O20" s="80" t="e">
        <f t="shared" si="4"/>
        <v>#DIV/0!</v>
      </c>
      <c r="P20" s="79" t="e">
        <f t="shared" si="5"/>
        <v>#DIV/0!</v>
      </c>
      <c r="Q20" s="81" t="e">
        <f t="shared" si="6"/>
        <v>#DIV/0!</v>
      </c>
      <c r="R20" s="95">
        <f t="shared" si="7"/>
        <v>0</v>
      </c>
      <c r="S20" s="83" t="e">
        <f t="shared" si="8"/>
        <v>#DIV/0!</v>
      </c>
      <c r="T20" s="84"/>
      <c r="U20" s="84"/>
      <c r="V20" s="84"/>
      <c r="W20" s="84"/>
      <c r="X20" s="85"/>
      <c r="Y20" s="68"/>
      <c r="Z20" s="68"/>
    </row>
    <row r="21" spans="1:26" ht="12.75" hidden="1" outlineLevel="1" x14ac:dyDescent="0.2">
      <c r="A21" s="68"/>
      <c r="B21" s="86"/>
      <c r="C21" s="70" t="s">
        <v>120</v>
      </c>
      <c r="D21" s="96"/>
      <c r="E21" s="73"/>
      <c r="F21" s="73"/>
      <c r="G21" s="74" t="e">
        <f t="shared" si="0"/>
        <v>#DIV/0!</v>
      </c>
      <c r="H21" s="75" t="e">
        <f t="shared" si="1"/>
        <v>#DIV/0!</v>
      </c>
      <c r="I21" s="76" t="e">
        <f t="shared" si="2"/>
        <v>#DIV/0!</v>
      </c>
      <c r="J21" s="96">
        <v>0</v>
      </c>
      <c r="K21" s="73">
        <v>0</v>
      </c>
      <c r="L21" s="73"/>
      <c r="M21" s="97">
        <v>0</v>
      </c>
      <c r="N21" s="79" t="e">
        <f t="shared" si="9"/>
        <v>#DIV/0!</v>
      </c>
      <c r="O21" s="80" t="e">
        <f t="shared" si="4"/>
        <v>#DIV/0!</v>
      </c>
      <c r="P21" s="79" t="e">
        <f t="shared" si="5"/>
        <v>#DIV/0!</v>
      </c>
      <c r="Q21" s="81" t="e">
        <f t="shared" si="6"/>
        <v>#DIV/0!</v>
      </c>
      <c r="R21" s="98">
        <f t="shared" si="7"/>
        <v>0</v>
      </c>
      <c r="S21" s="83" t="e">
        <f t="shared" si="8"/>
        <v>#DIV/0!</v>
      </c>
      <c r="T21" s="84"/>
      <c r="U21" s="84"/>
      <c r="V21" s="84"/>
      <c r="W21" s="84"/>
      <c r="X21" s="85"/>
      <c r="Y21" s="68"/>
      <c r="Z21" s="68"/>
    </row>
    <row r="22" spans="1:26" ht="12.75" hidden="1" outlineLevel="1" x14ac:dyDescent="0.2">
      <c r="A22" s="68"/>
      <c r="B22" s="86"/>
      <c r="C22" s="70" t="s">
        <v>121</v>
      </c>
      <c r="D22" s="99"/>
      <c r="E22" s="73"/>
      <c r="F22" s="73"/>
      <c r="G22" s="74" t="e">
        <f t="shared" si="0"/>
        <v>#DIV/0!</v>
      </c>
      <c r="H22" s="75" t="e">
        <f t="shared" si="1"/>
        <v>#DIV/0!</v>
      </c>
      <c r="I22" s="76" t="e">
        <f t="shared" si="2"/>
        <v>#DIV/0!</v>
      </c>
      <c r="J22" s="99">
        <v>2.76</v>
      </c>
      <c r="K22" s="73">
        <v>256</v>
      </c>
      <c r="L22" s="73"/>
      <c r="M22" s="100">
        <v>0</v>
      </c>
      <c r="N22" s="79" t="e">
        <f t="shared" si="9"/>
        <v>#DIV/0!</v>
      </c>
      <c r="O22" s="80">
        <f t="shared" si="4"/>
        <v>0</v>
      </c>
      <c r="P22" s="79" t="e">
        <f t="shared" si="5"/>
        <v>#DIV/0!</v>
      </c>
      <c r="Q22" s="81" t="e">
        <f t="shared" si="6"/>
        <v>#DIV/0!</v>
      </c>
      <c r="R22" s="101">
        <f t="shared" si="7"/>
        <v>0</v>
      </c>
      <c r="S22" s="83" t="e">
        <f t="shared" si="8"/>
        <v>#DIV/0!</v>
      </c>
      <c r="T22" s="84"/>
      <c r="U22" s="84"/>
      <c r="V22" s="84"/>
      <c r="W22" s="84"/>
      <c r="X22" s="85"/>
      <c r="Y22" s="68"/>
      <c r="Z22" s="68"/>
    </row>
    <row r="23" spans="1:26" ht="12.75" hidden="1" outlineLevel="1" x14ac:dyDescent="0.2">
      <c r="A23" s="118" t="str">
        <f t="shared" ref="A23:A24" si="10">IFERROR(IF(B23&gt;0,MONTH(B23)&amp;"-"&amp;YEAR(B23),B23),)</f>
        <v>3-2025</v>
      </c>
      <c r="B23" s="69">
        <v>45717</v>
      </c>
      <c r="C23" s="70" t="s">
        <v>123</v>
      </c>
      <c r="D23" s="116"/>
      <c r="E23" s="73"/>
      <c r="F23" s="73"/>
      <c r="G23" s="74" t="e">
        <f t="shared" si="0"/>
        <v>#DIV/0!</v>
      </c>
      <c r="H23" s="75" t="e">
        <f t="shared" si="1"/>
        <v>#DIV/0!</v>
      </c>
      <c r="I23" s="76" t="e">
        <f t="shared" si="2"/>
        <v>#DIV/0!</v>
      </c>
      <c r="J23" s="87">
        <v>0</v>
      </c>
      <c r="K23" s="73">
        <v>0</v>
      </c>
      <c r="L23" s="73"/>
      <c r="M23" s="88">
        <v>0</v>
      </c>
      <c r="N23" s="79" t="e">
        <f t="shared" si="9"/>
        <v>#DIV/0!</v>
      </c>
      <c r="O23" s="80" t="e">
        <f t="shared" si="4"/>
        <v>#DIV/0!</v>
      </c>
      <c r="P23" s="79" t="e">
        <f t="shared" si="5"/>
        <v>#DIV/0!</v>
      </c>
      <c r="Q23" s="81" t="e">
        <f t="shared" si="6"/>
        <v>#DIV/0!</v>
      </c>
      <c r="R23" s="82">
        <f t="shared" si="7"/>
        <v>0</v>
      </c>
      <c r="S23" s="83" t="e">
        <f t="shared" si="8"/>
        <v>#DIV/0!</v>
      </c>
      <c r="T23" s="84"/>
      <c r="U23" s="84"/>
      <c r="V23" s="84"/>
      <c r="W23" s="84"/>
      <c r="X23" s="85"/>
      <c r="Y23" s="68"/>
      <c r="Z23" s="68"/>
    </row>
    <row r="24" spans="1:26" ht="12.75" collapsed="1" x14ac:dyDescent="0.2">
      <c r="A24" s="111">
        <f t="shared" si="10"/>
        <v>0</v>
      </c>
      <c r="B24" s="206" t="s">
        <v>67</v>
      </c>
      <c r="C24" s="299"/>
      <c r="D24" s="208">
        <f t="shared" ref="D24:F24" si="11">SUM(D13:D23)</f>
        <v>0</v>
      </c>
      <c r="E24" s="209">
        <f t="shared" si="11"/>
        <v>0</v>
      </c>
      <c r="F24" s="209">
        <f t="shared" si="11"/>
        <v>0</v>
      </c>
      <c r="G24" s="210" t="e">
        <f t="shared" si="0"/>
        <v>#DIV/0!</v>
      </c>
      <c r="H24" s="211" t="e">
        <f t="shared" si="1"/>
        <v>#DIV/0!</v>
      </c>
      <c r="I24" s="212" t="e">
        <f t="shared" si="2"/>
        <v>#DIV/0!</v>
      </c>
      <c r="J24" s="213">
        <f t="shared" ref="J24:M24" si="12">SUM(J13:J23)</f>
        <v>22.479999999999997</v>
      </c>
      <c r="K24" s="209">
        <f t="shared" si="12"/>
        <v>3411</v>
      </c>
      <c r="L24" s="209">
        <f t="shared" si="12"/>
        <v>0</v>
      </c>
      <c r="M24" s="208">
        <f t="shared" si="12"/>
        <v>0</v>
      </c>
      <c r="N24" s="214" t="e">
        <f t="shared" si="9"/>
        <v>#DIV/0!</v>
      </c>
      <c r="O24" s="215">
        <f t="shared" si="4"/>
        <v>0</v>
      </c>
      <c r="P24" s="214" t="e">
        <f t="shared" si="5"/>
        <v>#DIV/0!</v>
      </c>
      <c r="Q24" s="216" t="e">
        <f t="shared" si="6"/>
        <v>#DIV/0!</v>
      </c>
      <c r="R24" s="217">
        <f>SUM(R13:R23)</f>
        <v>0</v>
      </c>
      <c r="S24" s="218" t="e">
        <f t="shared" si="8"/>
        <v>#DIV/0!</v>
      </c>
      <c r="T24" s="300">
        <f t="shared" ref="T24:U24" si="13">IFERROR((D24-#REF!)/D24,)</f>
        <v>0</v>
      </c>
      <c r="U24" s="300">
        <f t="shared" si="13"/>
        <v>0</v>
      </c>
      <c r="V24" s="220">
        <f t="shared" ref="V24:W24" si="14">IFERROR((D24-#REF!)/D24, )</f>
        <v>0</v>
      </c>
      <c r="W24" s="221">
        <f t="shared" si="14"/>
        <v>0</v>
      </c>
      <c r="X24" s="68"/>
      <c r="Y24" s="68"/>
      <c r="Z24" s="68"/>
    </row>
    <row r="25" spans="1:26" ht="12.75" hidden="1" outlineLevel="1" x14ac:dyDescent="0.2">
      <c r="A25" s="34"/>
      <c r="B25" s="147">
        <v>45718</v>
      </c>
      <c r="C25" s="70" t="s">
        <v>112</v>
      </c>
      <c r="D25" s="71"/>
      <c r="E25" s="73"/>
      <c r="F25" s="73"/>
      <c r="G25" s="74" t="e">
        <f t="shared" si="0"/>
        <v>#DIV/0!</v>
      </c>
      <c r="H25" s="75" t="e">
        <f t="shared" si="1"/>
        <v>#DIV/0!</v>
      </c>
      <c r="I25" s="76" t="e">
        <f t="shared" si="2"/>
        <v>#DIV/0!</v>
      </c>
      <c r="J25" s="77">
        <v>0</v>
      </c>
      <c r="K25" s="73">
        <v>0</v>
      </c>
      <c r="L25" s="73"/>
      <c r="M25" s="78">
        <v>0</v>
      </c>
      <c r="N25" s="155" t="e">
        <f t="shared" si="9"/>
        <v>#DIV/0!</v>
      </c>
      <c r="O25" s="156" t="e">
        <f t="shared" si="4"/>
        <v>#DIV/0!</v>
      </c>
      <c r="P25" s="155" t="e">
        <f t="shared" si="5"/>
        <v>#DIV/0!</v>
      </c>
      <c r="Q25" s="225" t="e">
        <f t="shared" si="6"/>
        <v>#DIV/0!</v>
      </c>
      <c r="R25" s="226">
        <f t="shared" ref="R25:R35" si="15">D25-M25</f>
        <v>0</v>
      </c>
      <c r="S25" s="227" t="e">
        <f t="shared" si="8"/>
        <v>#DIV/0!</v>
      </c>
      <c r="T25" s="160"/>
      <c r="U25" s="160"/>
      <c r="V25" s="160"/>
      <c r="W25" s="160"/>
      <c r="X25" s="1"/>
    </row>
    <row r="26" spans="1:26" ht="12.75" hidden="1" outlineLevel="1" x14ac:dyDescent="0.2">
      <c r="A26" s="34"/>
      <c r="B26" s="147"/>
      <c r="C26" s="70" t="s">
        <v>113</v>
      </c>
      <c r="D26" s="87"/>
      <c r="E26" s="73"/>
      <c r="F26" s="73"/>
      <c r="G26" s="74" t="e">
        <f t="shared" si="0"/>
        <v>#DIV/0!</v>
      </c>
      <c r="H26" s="75" t="e">
        <f t="shared" si="1"/>
        <v>#DIV/0!</v>
      </c>
      <c r="I26" s="76" t="e">
        <f t="shared" si="2"/>
        <v>#DIV/0!</v>
      </c>
      <c r="J26" s="87">
        <v>3.12</v>
      </c>
      <c r="K26" s="199">
        <v>1138</v>
      </c>
      <c r="L26" s="73"/>
      <c r="M26" s="88">
        <v>0</v>
      </c>
      <c r="N26" s="155" t="e">
        <f t="shared" si="9"/>
        <v>#DIV/0!</v>
      </c>
      <c r="O26" s="156">
        <f t="shared" si="4"/>
        <v>0</v>
      </c>
      <c r="P26" s="155" t="e">
        <f t="shared" si="5"/>
        <v>#DIV/0!</v>
      </c>
      <c r="Q26" s="225" t="e">
        <f t="shared" si="6"/>
        <v>#DIV/0!</v>
      </c>
      <c r="R26" s="228">
        <f t="shared" si="15"/>
        <v>0</v>
      </c>
      <c r="S26" s="227" t="e">
        <f t="shared" si="8"/>
        <v>#DIV/0!</v>
      </c>
      <c r="T26" s="160"/>
      <c r="U26" s="160"/>
      <c r="V26" s="160"/>
      <c r="W26" s="160"/>
      <c r="X26" s="1"/>
    </row>
    <row r="27" spans="1:26" ht="12.75" hidden="1" outlineLevel="1" x14ac:dyDescent="0.2">
      <c r="A27" s="34"/>
      <c r="B27" s="147"/>
      <c r="C27" s="70" t="s">
        <v>114</v>
      </c>
      <c r="D27" s="90"/>
      <c r="E27" s="73"/>
      <c r="F27" s="73"/>
      <c r="G27" s="74" t="e">
        <f t="shared" si="0"/>
        <v>#DIV/0!</v>
      </c>
      <c r="H27" s="75" t="e">
        <f t="shared" si="1"/>
        <v>#DIV/0!</v>
      </c>
      <c r="I27" s="76" t="e">
        <f t="shared" si="2"/>
        <v>#DIV/0!</v>
      </c>
      <c r="J27" s="90">
        <v>6.03</v>
      </c>
      <c r="K27" s="199">
        <v>2153</v>
      </c>
      <c r="L27" s="73"/>
      <c r="M27" s="91">
        <v>0</v>
      </c>
      <c r="N27" s="155" t="e">
        <f>(J27/M27)</f>
        <v>#DIV/0!</v>
      </c>
      <c r="O27" s="156">
        <f t="shared" si="4"/>
        <v>0</v>
      </c>
      <c r="P27" s="155" t="e">
        <f t="shared" si="5"/>
        <v>#DIV/0!</v>
      </c>
      <c r="Q27" s="225" t="e">
        <f t="shared" si="6"/>
        <v>#DIV/0!</v>
      </c>
      <c r="R27" s="231">
        <f t="shared" si="15"/>
        <v>0</v>
      </c>
      <c r="S27" s="227" t="e">
        <f t="shared" si="8"/>
        <v>#DIV/0!</v>
      </c>
      <c r="T27" s="160"/>
      <c r="U27" s="160"/>
      <c r="V27" s="160"/>
      <c r="W27" s="160"/>
      <c r="X27" s="1"/>
    </row>
    <row r="28" spans="1:26" ht="12.75" hidden="1" outlineLevel="1" x14ac:dyDescent="0.2">
      <c r="A28" s="34"/>
      <c r="B28" s="147"/>
      <c r="C28" s="70" t="s">
        <v>115</v>
      </c>
      <c r="D28" s="90"/>
      <c r="E28" s="73"/>
      <c r="F28" s="73"/>
      <c r="G28" s="74" t="e">
        <f t="shared" si="0"/>
        <v>#DIV/0!</v>
      </c>
      <c r="H28" s="75" t="e">
        <f t="shared" si="1"/>
        <v>#DIV/0!</v>
      </c>
      <c r="I28" s="76" t="e">
        <f t="shared" si="2"/>
        <v>#DIV/0!</v>
      </c>
      <c r="J28" s="90">
        <v>0</v>
      </c>
      <c r="K28" s="73">
        <v>0</v>
      </c>
      <c r="L28" s="73"/>
      <c r="M28" s="91">
        <v>0</v>
      </c>
      <c r="N28" s="155" t="e">
        <f t="shared" ref="N28:N38" si="16">J28/M28</f>
        <v>#DIV/0!</v>
      </c>
      <c r="O28" s="156" t="e">
        <f t="shared" si="4"/>
        <v>#DIV/0!</v>
      </c>
      <c r="P28" s="155" t="e">
        <f t="shared" si="5"/>
        <v>#DIV/0!</v>
      </c>
      <c r="Q28" s="225" t="e">
        <f t="shared" si="6"/>
        <v>#DIV/0!</v>
      </c>
      <c r="R28" s="231">
        <f t="shared" si="15"/>
        <v>0</v>
      </c>
      <c r="S28" s="227" t="e">
        <f t="shared" si="8"/>
        <v>#DIV/0!</v>
      </c>
      <c r="T28" s="160"/>
      <c r="U28" s="160"/>
      <c r="V28" s="160"/>
      <c r="W28" s="160"/>
      <c r="X28" s="1"/>
    </row>
    <row r="29" spans="1:26" ht="12.75" hidden="1" outlineLevel="1" x14ac:dyDescent="0.2">
      <c r="A29" s="34"/>
      <c r="B29" s="147"/>
      <c r="C29" s="70" t="s">
        <v>116</v>
      </c>
      <c r="D29" s="200"/>
      <c r="E29" s="73"/>
      <c r="F29" s="73"/>
      <c r="G29" s="74" t="e">
        <f t="shared" si="0"/>
        <v>#DIV/0!</v>
      </c>
      <c r="H29" s="75" t="e">
        <f t="shared" si="1"/>
        <v>#DIV/0!</v>
      </c>
      <c r="I29" s="76" t="e">
        <f t="shared" si="2"/>
        <v>#DIV/0!</v>
      </c>
      <c r="J29" s="200">
        <v>0</v>
      </c>
      <c r="K29" s="73">
        <v>0</v>
      </c>
      <c r="L29" s="73"/>
      <c r="M29" s="200">
        <v>0</v>
      </c>
      <c r="N29" s="155" t="e">
        <f t="shared" si="16"/>
        <v>#DIV/0!</v>
      </c>
      <c r="O29" s="156" t="e">
        <f t="shared" si="4"/>
        <v>#DIV/0!</v>
      </c>
      <c r="P29" s="155" t="e">
        <f t="shared" si="5"/>
        <v>#DIV/0!</v>
      </c>
      <c r="Q29" s="225" t="e">
        <f t="shared" si="6"/>
        <v>#DIV/0!</v>
      </c>
      <c r="R29" s="231">
        <f t="shared" si="15"/>
        <v>0</v>
      </c>
      <c r="S29" s="227" t="e">
        <f t="shared" si="8"/>
        <v>#DIV/0!</v>
      </c>
      <c r="T29" s="160"/>
      <c r="U29" s="160"/>
      <c r="V29" s="160"/>
      <c r="W29" s="160"/>
      <c r="X29" s="1"/>
    </row>
    <row r="30" spans="1:26" ht="12.75" hidden="1" outlineLevel="1" x14ac:dyDescent="0.2">
      <c r="A30" s="34"/>
      <c r="B30" s="147"/>
      <c r="C30" s="70" t="s">
        <v>117</v>
      </c>
      <c r="D30" s="201"/>
      <c r="E30" s="73"/>
      <c r="F30" s="73"/>
      <c r="G30" s="74" t="e">
        <f t="shared" si="0"/>
        <v>#DIV/0!</v>
      </c>
      <c r="H30" s="75" t="e">
        <f t="shared" si="1"/>
        <v>#DIV/0!</v>
      </c>
      <c r="I30" s="76" t="e">
        <f t="shared" si="2"/>
        <v>#DIV/0!</v>
      </c>
      <c r="J30" s="201">
        <v>0</v>
      </c>
      <c r="K30" s="73">
        <v>0</v>
      </c>
      <c r="L30" s="73"/>
      <c r="M30" s="202">
        <v>0</v>
      </c>
      <c r="N30" s="155" t="e">
        <f t="shared" si="16"/>
        <v>#DIV/0!</v>
      </c>
      <c r="O30" s="156" t="e">
        <f t="shared" si="4"/>
        <v>#DIV/0!</v>
      </c>
      <c r="P30" s="155" t="e">
        <f t="shared" si="5"/>
        <v>#DIV/0!</v>
      </c>
      <c r="Q30" s="225" t="e">
        <f t="shared" si="6"/>
        <v>#DIV/0!</v>
      </c>
      <c r="R30" s="234">
        <f t="shared" si="15"/>
        <v>0</v>
      </c>
      <c r="S30" s="227" t="e">
        <f t="shared" si="8"/>
        <v>#DIV/0!</v>
      </c>
      <c r="T30" s="160"/>
      <c r="U30" s="160"/>
      <c r="V30" s="160"/>
      <c r="W30" s="160"/>
      <c r="X30" s="1"/>
    </row>
    <row r="31" spans="1:26" ht="12.75" hidden="1" outlineLevel="1" x14ac:dyDescent="0.2">
      <c r="A31" s="34"/>
      <c r="B31" s="147"/>
      <c r="C31" s="70" t="s">
        <v>118</v>
      </c>
      <c r="D31" s="90"/>
      <c r="E31" s="73"/>
      <c r="F31" s="73"/>
      <c r="G31" s="74" t="e">
        <f t="shared" si="0"/>
        <v>#DIV/0!</v>
      </c>
      <c r="H31" s="75" t="e">
        <f t="shared" si="1"/>
        <v>#DIV/0!</v>
      </c>
      <c r="I31" s="76" t="e">
        <f t="shared" si="2"/>
        <v>#DIV/0!</v>
      </c>
      <c r="J31" s="90">
        <v>65.17</v>
      </c>
      <c r="K31" s="199">
        <v>8142</v>
      </c>
      <c r="L31" s="73"/>
      <c r="M31" s="91">
        <v>0</v>
      </c>
      <c r="N31" s="155" t="e">
        <f t="shared" si="16"/>
        <v>#DIV/0!</v>
      </c>
      <c r="O31" s="156">
        <f t="shared" si="4"/>
        <v>0</v>
      </c>
      <c r="P31" s="155" t="e">
        <f t="shared" si="5"/>
        <v>#DIV/0!</v>
      </c>
      <c r="Q31" s="225" t="e">
        <f t="shared" si="6"/>
        <v>#DIV/0!</v>
      </c>
      <c r="R31" s="231">
        <f t="shared" si="15"/>
        <v>0</v>
      </c>
      <c r="S31" s="227" t="e">
        <f t="shared" si="8"/>
        <v>#DIV/0!</v>
      </c>
      <c r="T31" s="160"/>
      <c r="U31" s="160"/>
      <c r="V31" s="160"/>
      <c r="W31" s="160"/>
      <c r="X31" s="1"/>
    </row>
    <row r="32" spans="1:26" ht="12.75" hidden="1" outlineLevel="1" x14ac:dyDescent="0.2">
      <c r="A32" s="34"/>
      <c r="B32" s="235" t="s">
        <v>37</v>
      </c>
      <c r="C32" s="70" t="s">
        <v>119</v>
      </c>
      <c r="D32" s="93"/>
      <c r="E32" s="73"/>
      <c r="F32" s="73"/>
      <c r="G32" s="74" t="e">
        <f t="shared" si="0"/>
        <v>#DIV/0!</v>
      </c>
      <c r="H32" s="75" t="e">
        <f t="shared" si="1"/>
        <v>#DIV/0!</v>
      </c>
      <c r="I32" s="76" t="e">
        <f t="shared" si="2"/>
        <v>#DIV/0!</v>
      </c>
      <c r="J32" s="93">
        <v>0</v>
      </c>
      <c r="K32" s="73">
        <v>0</v>
      </c>
      <c r="L32" s="73"/>
      <c r="M32" s="94">
        <v>0</v>
      </c>
      <c r="N32" s="155" t="e">
        <f t="shared" si="16"/>
        <v>#DIV/0!</v>
      </c>
      <c r="O32" s="156" t="e">
        <f t="shared" si="4"/>
        <v>#DIV/0!</v>
      </c>
      <c r="P32" s="155" t="e">
        <f t="shared" si="5"/>
        <v>#DIV/0!</v>
      </c>
      <c r="Q32" s="225" t="e">
        <f t="shared" si="6"/>
        <v>#DIV/0!</v>
      </c>
      <c r="R32" s="238">
        <f t="shared" si="15"/>
        <v>0</v>
      </c>
      <c r="S32" s="227" t="e">
        <f t="shared" si="8"/>
        <v>#DIV/0!</v>
      </c>
      <c r="T32" s="160"/>
      <c r="U32" s="160"/>
      <c r="V32" s="160"/>
      <c r="W32" s="160"/>
      <c r="X32" s="1"/>
    </row>
    <row r="33" spans="1:24" ht="12.75" hidden="1" outlineLevel="1" x14ac:dyDescent="0.2">
      <c r="A33" s="34"/>
      <c r="B33" s="147"/>
      <c r="C33" s="70" t="s">
        <v>120</v>
      </c>
      <c r="D33" s="96"/>
      <c r="E33" s="73"/>
      <c r="F33" s="73"/>
      <c r="G33" s="74" t="e">
        <f t="shared" si="0"/>
        <v>#DIV/0!</v>
      </c>
      <c r="H33" s="75" t="e">
        <f t="shared" si="1"/>
        <v>#DIV/0!</v>
      </c>
      <c r="I33" s="76" t="e">
        <f t="shared" si="2"/>
        <v>#DIV/0!</v>
      </c>
      <c r="J33" s="96">
        <v>0</v>
      </c>
      <c r="K33" s="73">
        <v>0</v>
      </c>
      <c r="L33" s="73"/>
      <c r="M33" s="97">
        <v>0</v>
      </c>
      <c r="N33" s="155" t="e">
        <f t="shared" si="16"/>
        <v>#DIV/0!</v>
      </c>
      <c r="O33" s="156" t="e">
        <f t="shared" si="4"/>
        <v>#DIV/0!</v>
      </c>
      <c r="P33" s="155" t="e">
        <f t="shared" si="5"/>
        <v>#DIV/0!</v>
      </c>
      <c r="Q33" s="225" t="e">
        <f t="shared" si="6"/>
        <v>#DIV/0!</v>
      </c>
      <c r="R33" s="241">
        <f t="shared" si="15"/>
        <v>0</v>
      </c>
      <c r="S33" s="227" t="e">
        <f t="shared" si="8"/>
        <v>#DIV/0!</v>
      </c>
      <c r="T33" s="160"/>
      <c r="U33" s="160"/>
      <c r="V33" s="160"/>
      <c r="W33" s="160"/>
      <c r="X33" s="1"/>
    </row>
    <row r="34" spans="1:24" ht="12.75" hidden="1" outlineLevel="1" x14ac:dyDescent="0.2">
      <c r="A34" s="34"/>
      <c r="B34" s="147"/>
      <c r="C34" s="70" t="s">
        <v>121</v>
      </c>
      <c r="D34" s="99"/>
      <c r="E34" s="73"/>
      <c r="F34" s="73"/>
      <c r="G34" s="74" t="e">
        <f t="shared" si="0"/>
        <v>#DIV/0!</v>
      </c>
      <c r="H34" s="75" t="e">
        <f t="shared" si="1"/>
        <v>#DIV/0!</v>
      </c>
      <c r="I34" s="76" t="e">
        <f t="shared" si="2"/>
        <v>#DIV/0!</v>
      </c>
      <c r="J34" s="99">
        <v>40.369999999999997</v>
      </c>
      <c r="K34" s="199">
        <v>5478</v>
      </c>
      <c r="L34" s="73"/>
      <c r="M34" s="100">
        <v>54.79</v>
      </c>
      <c r="N34" s="155">
        <f t="shared" si="16"/>
        <v>0.73681328709618543</v>
      </c>
      <c r="O34" s="156">
        <f t="shared" si="4"/>
        <v>1.357195937577409</v>
      </c>
      <c r="P34" s="155" t="e">
        <f t="shared" si="5"/>
        <v>#DIV/0!</v>
      </c>
      <c r="Q34" s="225" t="e">
        <f t="shared" si="6"/>
        <v>#DIV/0!</v>
      </c>
      <c r="R34" s="244">
        <f t="shared" si="15"/>
        <v>-54.79</v>
      </c>
      <c r="S34" s="227" t="e">
        <f t="shared" si="8"/>
        <v>#DIV/0!</v>
      </c>
      <c r="T34" s="160"/>
      <c r="U34" s="160"/>
      <c r="V34" s="160"/>
      <c r="W34" s="160"/>
      <c r="X34" s="1"/>
    </row>
    <row r="35" spans="1:24" ht="12.75" hidden="1" outlineLevel="1" x14ac:dyDescent="0.2">
      <c r="A35" s="34" t="str">
        <f t="shared" ref="A35:A36" si="17">IFERROR(IF(B35&gt;0,MONTH(B35)&amp;"-"&amp;YEAR(B35),B35),)</f>
        <v>3-2025</v>
      </c>
      <c r="B35" s="147">
        <v>45724</v>
      </c>
      <c r="C35" s="70" t="s">
        <v>123</v>
      </c>
      <c r="D35" s="251"/>
      <c r="E35" s="151"/>
      <c r="F35" s="151"/>
      <c r="G35" s="152" t="e">
        <f t="shared" si="0"/>
        <v>#DIV/0!</v>
      </c>
      <c r="H35" s="150" t="e">
        <f t="shared" si="1"/>
        <v>#DIV/0!</v>
      </c>
      <c r="I35" s="222" t="e">
        <f t="shared" si="2"/>
        <v>#DIV/0!</v>
      </c>
      <c r="J35" s="87">
        <v>0</v>
      </c>
      <c r="K35" s="73">
        <v>0</v>
      </c>
      <c r="L35" s="73"/>
      <c r="M35" s="88">
        <v>0</v>
      </c>
      <c r="N35" s="155" t="e">
        <f t="shared" si="16"/>
        <v>#DIV/0!</v>
      </c>
      <c r="O35" s="156" t="e">
        <f t="shared" si="4"/>
        <v>#DIV/0!</v>
      </c>
      <c r="P35" s="155" t="e">
        <f t="shared" si="5"/>
        <v>#DIV/0!</v>
      </c>
      <c r="Q35" s="225" t="e">
        <f t="shared" si="6"/>
        <v>#DIV/0!</v>
      </c>
      <c r="R35" s="226">
        <f t="shared" si="15"/>
        <v>0</v>
      </c>
      <c r="S35" s="227" t="e">
        <f t="shared" si="8"/>
        <v>#DIV/0!</v>
      </c>
      <c r="T35" s="160"/>
      <c r="U35" s="160"/>
      <c r="V35" s="160"/>
      <c r="W35" s="160"/>
      <c r="X35" s="1"/>
    </row>
    <row r="36" spans="1:24" ht="12.75" collapsed="1" x14ac:dyDescent="0.2">
      <c r="A36" s="255">
        <f t="shared" si="17"/>
        <v>0</v>
      </c>
      <c r="B36" s="256" t="s">
        <v>68</v>
      </c>
      <c r="C36" s="257"/>
      <c r="D36" s="258">
        <f t="shared" ref="D36:F36" si="18">SUM(D25:D35)</f>
        <v>0</v>
      </c>
      <c r="E36" s="259">
        <f t="shared" si="18"/>
        <v>0</v>
      </c>
      <c r="F36" s="259">
        <f t="shared" si="18"/>
        <v>0</v>
      </c>
      <c r="G36" s="260" t="e">
        <f t="shared" si="0"/>
        <v>#DIV/0!</v>
      </c>
      <c r="H36" s="261" t="e">
        <f t="shared" si="1"/>
        <v>#DIV/0!</v>
      </c>
      <c r="I36" s="262" t="e">
        <f t="shared" si="2"/>
        <v>#DIV/0!</v>
      </c>
      <c r="J36" s="263">
        <f t="shared" ref="J36:M36" si="19">SUM(J25:J35)</f>
        <v>114.69</v>
      </c>
      <c r="K36" s="259">
        <f t="shared" si="19"/>
        <v>16911</v>
      </c>
      <c r="L36" s="259">
        <f t="shared" si="19"/>
        <v>0</v>
      </c>
      <c r="M36" s="258">
        <f t="shared" si="19"/>
        <v>54.79</v>
      </c>
      <c r="N36" s="264">
        <f t="shared" si="16"/>
        <v>2.0932651943785361</v>
      </c>
      <c r="O36" s="265">
        <f t="shared" si="4"/>
        <v>0.477722556456535</v>
      </c>
      <c r="P36" s="264" t="e">
        <f t="shared" si="5"/>
        <v>#DIV/0!</v>
      </c>
      <c r="Q36" s="266" t="e">
        <f t="shared" si="6"/>
        <v>#DIV/0!</v>
      </c>
      <c r="R36" s="267">
        <f>SUM(R25:R35)</f>
        <v>-54.79</v>
      </c>
      <c r="S36" s="268" t="e">
        <f t="shared" si="8"/>
        <v>#DIV/0!</v>
      </c>
      <c r="T36" s="269">
        <f t="shared" ref="T36:U36" si="20">IFERROR((D36-#REF!)/D36,)</f>
        <v>0</v>
      </c>
      <c r="U36" s="269">
        <f t="shared" si="20"/>
        <v>0</v>
      </c>
      <c r="V36" s="269">
        <f t="shared" ref="V36:W36" si="21">IFERROR((D36-#REF!)/D36, )</f>
        <v>0</v>
      </c>
      <c r="W36" s="270">
        <f t="shared" si="21"/>
        <v>0</v>
      </c>
      <c r="X36" s="67"/>
    </row>
    <row r="37" spans="1:24" ht="12.75" hidden="1" outlineLevel="1" x14ac:dyDescent="0.2">
      <c r="A37" s="34"/>
      <c r="B37" s="147">
        <v>45725</v>
      </c>
      <c r="C37" s="70" t="s">
        <v>112</v>
      </c>
      <c r="D37" s="71"/>
      <c r="E37" s="73"/>
      <c r="F37" s="73"/>
      <c r="G37" s="74" t="e">
        <f t="shared" si="0"/>
        <v>#DIV/0!</v>
      </c>
      <c r="H37" s="75" t="e">
        <f t="shared" si="1"/>
        <v>#DIV/0!</v>
      </c>
      <c r="I37" s="76" t="e">
        <f t="shared" si="2"/>
        <v>#DIV/0!</v>
      </c>
      <c r="J37" s="77">
        <v>50</v>
      </c>
      <c r="K37" s="199">
        <v>4272</v>
      </c>
      <c r="L37" s="73"/>
      <c r="M37" s="78">
        <v>0</v>
      </c>
      <c r="N37" s="155" t="e">
        <f t="shared" si="16"/>
        <v>#DIV/0!</v>
      </c>
      <c r="O37" s="156">
        <f t="shared" si="4"/>
        <v>0</v>
      </c>
      <c r="P37" s="155" t="e">
        <f t="shared" si="5"/>
        <v>#DIV/0!</v>
      </c>
      <c r="Q37" s="225" t="e">
        <f t="shared" si="6"/>
        <v>#DIV/0!</v>
      </c>
      <c r="R37" s="226">
        <f t="shared" ref="R37:R47" si="22">D37-M37</f>
        <v>0</v>
      </c>
      <c r="S37" s="227" t="e">
        <f t="shared" si="8"/>
        <v>#DIV/0!</v>
      </c>
      <c r="T37" s="160"/>
      <c r="U37" s="160"/>
      <c r="V37" s="160"/>
      <c r="W37" s="160"/>
      <c r="X37" s="1"/>
    </row>
    <row r="38" spans="1:24" ht="12.75" hidden="1" outlineLevel="1" x14ac:dyDescent="0.2">
      <c r="A38" s="34"/>
      <c r="B38" s="147"/>
      <c r="C38" s="70" t="s">
        <v>113</v>
      </c>
      <c r="D38" s="87"/>
      <c r="E38" s="73"/>
      <c r="F38" s="73"/>
      <c r="G38" s="74" t="e">
        <f t="shared" si="0"/>
        <v>#DIV/0!</v>
      </c>
      <c r="H38" s="75" t="e">
        <f t="shared" si="1"/>
        <v>#DIV/0!</v>
      </c>
      <c r="I38" s="76" t="e">
        <f t="shared" si="2"/>
        <v>#DIV/0!</v>
      </c>
      <c r="J38" s="87">
        <v>4.24</v>
      </c>
      <c r="K38" s="199">
        <v>1961</v>
      </c>
      <c r="L38" s="73"/>
      <c r="M38" s="88">
        <v>59.95</v>
      </c>
      <c r="N38" s="155">
        <f t="shared" si="16"/>
        <v>7.07256046705588E-2</v>
      </c>
      <c r="O38" s="156">
        <f t="shared" si="4"/>
        <v>14.139150943396226</v>
      </c>
      <c r="P38" s="155" t="e">
        <f t="shared" si="5"/>
        <v>#DIV/0!</v>
      </c>
      <c r="Q38" s="225" t="e">
        <f t="shared" si="6"/>
        <v>#DIV/0!</v>
      </c>
      <c r="R38" s="228">
        <f t="shared" si="22"/>
        <v>-59.95</v>
      </c>
      <c r="S38" s="227" t="e">
        <f t="shared" si="8"/>
        <v>#DIV/0!</v>
      </c>
      <c r="T38" s="160"/>
      <c r="U38" s="160"/>
      <c r="V38" s="160"/>
      <c r="W38" s="160"/>
      <c r="X38" s="1"/>
    </row>
    <row r="39" spans="1:24" ht="12.75" hidden="1" outlineLevel="1" x14ac:dyDescent="0.2">
      <c r="A39" s="34"/>
      <c r="B39" s="147"/>
      <c r="C39" s="70" t="s">
        <v>114</v>
      </c>
      <c r="D39" s="90"/>
      <c r="E39" s="73"/>
      <c r="F39" s="73"/>
      <c r="G39" s="74" t="e">
        <f t="shared" si="0"/>
        <v>#DIV/0!</v>
      </c>
      <c r="H39" s="75" t="e">
        <f t="shared" si="1"/>
        <v>#DIV/0!</v>
      </c>
      <c r="I39" s="76" t="e">
        <f t="shared" si="2"/>
        <v>#DIV/0!</v>
      </c>
      <c r="J39" s="90">
        <v>6.99</v>
      </c>
      <c r="K39" s="199">
        <v>1978</v>
      </c>
      <c r="L39" s="73"/>
      <c r="M39" s="91">
        <v>0</v>
      </c>
      <c r="N39" s="155" t="e">
        <f>(J39/M39)</f>
        <v>#DIV/0!</v>
      </c>
      <c r="O39" s="156">
        <f t="shared" si="4"/>
        <v>0</v>
      </c>
      <c r="P39" s="155" t="e">
        <f t="shared" si="5"/>
        <v>#DIV/0!</v>
      </c>
      <c r="Q39" s="225" t="e">
        <f t="shared" si="6"/>
        <v>#DIV/0!</v>
      </c>
      <c r="R39" s="231">
        <f t="shared" si="22"/>
        <v>0</v>
      </c>
      <c r="S39" s="227" t="e">
        <f t="shared" si="8"/>
        <v>#DIV/0!</v>
      </c>
      <c r="T39" s="160"/>
      <c r="U39" s="160"/>
      <c r="V39" s="160"/>
      <c r="W39" s="160"/>
      <c r="X39" s="1"/>
    </row>
    <row r="40" spans="1:24" ht="12.75" hidden="1" outlineLevel="1" x14ac:dyDescent="0.2">
      <c r="A40" s="34"/>
      <c r="B40" s="147"/>
      <c r="C40" s="70" t="s">
        <v>115</v>
      </c>
      <c r="D40" s="90"/>
      <c r="E40" s="73"/>
      <c r="F40" s="73"/>
      <c r="G40" s="74" t="e">
        <f t="shared" si="0"/>
        <v>#DIV/0!</v>
      </c>
      <c r="H40" s="75" t="e">
        <f t="shared" si="1"/>
        <v>#DIV/0!</v>
      </c>
      <c r="I40" s="76" t="e">
        <f t="shared" si="2"/>
        <v>#DIV/0!</v>
      </c>
      <c r="J40" s="90">
        <v>4.2699999999999996</v>
      </c>
      <c r="K40" s="199">
        <v>1321</v>
      </c>
      <c r="L40" s="73"/>
      <c r="M40" s="91">
        <v>59.95</v>
      </c>
      <c r="N40" s="155">
        <f t="shared" ref="N40:N50" si="23">J40/M40</f>
        <v>7.1226021684737267E-2</v>
      </c>
      <c r="O40" s="156">
        <f t="shared" si="4"/>
        <v>14.039812646370025</v>
      </c>
      <c r="P40" s="155" t="e">
        <f t="shared" si="5"/>
        <v>#DIV/0!</v>
      </c>
      <c r="Q40" s="225" t="e">
        <f t="shared" si="6"/>
        <v>#DIV/0!</v>
      </c>
      <c r="R40" s="231">
        <f t="shared" si="22"/>
        <v>-59.95</v>
      </c>
      <c r="S40" s="227" t="e">
        <f t="shared" si="8"/>
        <v>#DIV/0!</v>
      </c>
      <c r="T40" s="160"/>
      <c r="U40" s="160"/>
      <c r="V40" s="160"/>
      <c r="W40" s="160"/>
      <c r="X40" s="1"/>
    </row>
    <row r="41" spans="1:24" ht="12.75" hidden="1" outlineLevel="1" x14ac:dyDescent="0.2">
      <c r="A41" s="34"/>
      <c r="B41" s="147"/>
      <c r="C41" s="70" t="s">
        <v>116</v>
      </c>
      <c r="D41" s="200"/>
      <c r="E41" s="73"/>
      <c r="F41" s="73"/>
      <c r="G41" s="74" t="e">
        <f t="shared" si="0"/>
        <v>#DIV/0!</v>
      </c>
      <c r="H41" s="75" t="e">
        <f t="shared" si="1"/>
        <v>#DIV/0!</v>
      </c>
      <c r="I41" s="76" t="e">
        <f t="shared" si="2"/>
        <v>#DIV/0!</v>
      </c>
      <c r="J41" s="200">
        <v>0</v>
      </c>
      <c r="K41" s="199">
        <v>0</v>
      </c>
      <c r="L41" s="73"/>
      <c r="M41" s="200">
        <v>0</v>
      </c>
      <c r="N41" s="155" t="e">
        <f t="shared" si="23"/>
        <v>#DIV/0!</v>
      </c>
      <c r="O41" s="156" t="e">
        <f t="shared" si="4"/>
        <v>#DIV/0!</v>
      </c>
      <c r="P41" s="155" t="e">
        <f t="shared" si="5"/>
        <v>#DIV/0!</v>
      </c>
      <c r="Q41" s="225" t="e">
        <f t="shared" si="6"/>
        <v>#DIV/0!</v>
      </c>
      <c r="R41" s="231">
        <f t="shared" si="22"/>
        <v>0</v>
      </c>
      <c r="S41" s="227" t="e">
        <f t="shared" si="8"/>
        <v>#DIV/0!</v>
      </c>
      <c r="T41" s="160"/>
      <c r="U41" s="160"/>
      <c r="V41" s="160"/>
      <c r="W41" s="160"/>
      <c r="X41" s="1"/>
    </row>
    <row r="42" spans="1:24" ht="12.75" hidden="1" outlineLevel="1" x14ac:dyDescent="0.2">
      <c r="A42" s="34"/>
      <c r="B42" s="147"/>
      <c r="C42" s="70" t="s">
        <v>117</v>
      </c>
      <c r="D42" s="201"/>
      <c r="E42" s="73"/>
      <c r="F42" s="73"/>
      <c r="G42" s="74" t="e">
        <f t="shared" si="0"/>
        <v>#DIV/0!</v>
      </c>
      <c r="H42" s="75" t="e">
        <f t="shared" si="1"/>
        <v>#DIV/0!</v>
      </c>
      <c r="I42" s="76" t="e">
        <f t="shared" si="2"/>
        <v>#DIV/0!</v>
      </c>
      <c r="J42" s="201">
        <v>0</v>
      </c>
      <c r="K42" s="199">
        <v>0</v>
      </c>
      <c r="L42" s="73"/>
      <c r="M42" s="202">
        <v>0</v>
      </c>
      <c r="N42" s="155" t="e">
        <f t="shared" si="23"/>
        <v>#DIV/0!</v>
      </c>
      <c r="O42" s="156" t="e">
        <f t="shared" si="4"/>
        <v>#DIV/0!</v>
      </c>
      <c r="P42" s="155" t="e">
        <f t="shared" si="5"/>
        <v>#DIV/0!</v>
      </c>
      <c r="Q42" s="225" t="e">
        <f t="shared" si="6"/>
        <v>#DIV/0!</v>
      </c>
      <c r="R42" s="234">
        <f t="shared" si="22"/>
        <v>0</v>
      </c>
      <c r="S42" s="227" t="e">
        <f t="shared" si="8"/>
        <v>#DIV/0!</v>
      </c>
      <c r="T42" s="160"/>
      <c r="U42" s="160"/>
      <c r="V42" s="160"/>
      <c r="W42" s="160"/>
      <c r="X42" s="1"/>
    </row>
    <row r="43" spans="1:24" ht="12.75" hidden="1" outlineLevel="1" x14ac:dyDescent="0.2">
      <c r="A43" s="34"/>
      <c r="B43" s="147"/>
      <c r="C43" s="70" t="s">
        <v>118</v>
      </c>
      <c r="D43" s="90"/>
      <c r="E43" s="73"/>
      <c r="F43" s="73"/>
      <c r="G43" s="74" t="e">
        <f t="shared" si="0"/>
        <v>#DIV/0!</v>
      </c>
      <c r="H43" s="75" t="e">
        <f t="shared" si="1"/>
        <v>#DIV/0!</v>
      </c>
      <c r="I43" s="76" t="e">
        <f t="shared" si="2"/>
        <v>#DIV/0!</v>
      </c>
      <c r="J43" s="90">
        <v>20.37</v>
      </c>
      <c r="K43" s="199">
        <v>3504</v>
      </c>
      <c r="L43" s="73"/>
      <c r="M43" s="91">
        <v>899</v>
      </c>
      <c r="N43" s="155">
        <f t="shared" si="23"/>
        <v>2.2658509454949946E-2</v>
      </c>
      <c r="O43" s="156">
        <f t="shared" si="4"/>
        <v>44.133529700540009</v>
      </c>
      <c r="P43" s="155" t="e">
        <f t="shared" si="5"/>
        <v>#DIV/0!</v>
      </c>
      <c r="Q43" s="225" t="e">
        <f t="shared" si="6"/>
        <v>#DIV/0!</v>
      </c>
      <c r="R43" s="231">
        <f t="shared" si="22"/>
        <v>-899</v>
      </c>
      <c r="S43" s="227" t="e">
        <f t="shared" si="8"/>
        <v>#DIV/0!</v>
      </c>
      <c r="T43" s="160"/>
      <c r="U43" s="160"/>
      <c r="V43" s="160"/>
      <c r="W43" s="160"/>
      <c r="X43" s="1"/>
    </row>
    <row r="44" spans="1:24" ht="12.75" hidden="1" outlineLevel="1" x14ac:dyDescent="0.2">
      <c r="A44" s="34"/>
      <c r="B44" s="235" t="s">
        <v>37</v>
      </c>
      <c r="C44" s="70" t="s">
        <v>119</v>
      </c>
      <c r="D44" s="93"/>
      <c r="E44" s="73"/>
      <c r="F44" s="73"/>
      <c r="G44" s="74" t="e">
        <f t="shared" si="0"/>
        <v>#DIV/0!</v>
      </c>
      <c r="H44" s="75" t="e">
        <f t="shared" si="1"/>
        <v>#DIV/0!</v>
      </c>
      <c r="I44" s="76" t="e">
        <f t="shared" si="2"/>
        <v>#DIV/0!</v>
      </c>
      <c r="J44" s="93">
        <v>0</v>
      </c>
      <c r="K44" s="73">
        <v>0</v>
      </c>
      <c r="L44" s="73"/>
      <c r="M44" s="94">
        <v>0</v>
      </c>
      <c r="N44" s="155" t="e">
        <f t="shared" si="23"/>
        <v>#DIV/0!</v>
      </c>
      <c r="O44" s="156" t="e">
        <f t="shared" si="4"/>
        <v>#DIV/0!</v>
      </c>
      <c r="P44" s="155" t="e">
        <f t="shared" si="5"/>
        <v>#DIV/0!</v>
      </c>
      <c r="Q44" s="225" t="e">
        <f t="shared" si="6"/>
        <v>#DIV/0!</v>
      </c>
      <c r="R44" s="238">
        <f t="shared" si="22"/>
        <v>0</v>
      </c>
      <c r="S44" s="227" t="e">
        <f t="shared" si="8"/>
        <v>#DIV/0!</v>
      </c>
      <c r="T44" s="160"/>
      <c r="U44" s="160"/>
      <c r="V44" s="160"/>
      <c r="W44" s="160"/>
      <c r="X44" s="1"/>
    </row>
    <row r="45" spans="1:24" ht="12.75" hidden="1" outlineLevel="1" x14ac:dyDescent="0.2">
      <c r="A45" s="34"/>
      <c r="B45" s="147"/>
      <c r="C45" s="70" t="s">
        <v>120</v>
      </c>
      <c r="D45" s="96"/>
      <c r="E45" s="73"/>
      <c r="F45" s="73"/>
      <c r="G45" s="74" t="e">
        <f t="shared" si="0"/>
        <v>#DIV/0!</v>
      </c>
      <c r="H45" s="75" t="e">
        <f t="shared" si="1"/>
        <v>#DIV/0!</v>
      </c>
      <c r="I45" s="76" t="e">
        <f t="shared" si="2"/>
        <v>#DIV/0!</v>
      </c>
      <c r="J45" s="96">
        <v>0</v>
      </c>
      <c r="K45" s="73">
        <v>0</v>
      </c>
      <c r="L45" s="73"/>
      <c r="M45" s="97">
        <v>0</v>
      </c>
      <c r="N45" s="155" t="e">
        <f t="shared" si="23"/>
        <v>#DIV/0!</v>
      </c>
      <c r="O45" s="156" t="e">
        <f t="shared" si="4"/>
        <v>#DIV/0!</v>
      </c>
      <c r="P45" s="155" t="e">
        <f t="shared" si="5"/>
        <v>#DIV/0!</v>
      </c>
      <c r="Q45" s="225" t="e">
        <f t="shared" si="6"/>
        <v>#DIV/0!</v>
      </c>
      <c r="R45" s="241">
        <f t="shared" si="22"/>
        <v>0</v>
      </c>
      <c r="S45" s="227" t="e">
        <f t="shared" si="8"/>
        <v>#DIV/0!</v>
      </c>
      <c r="T45" s="160"/>
      <c r="U45" s="160"/>
      <c r="V45" s="160"/>
      <c r="W45" s="160"/>
      <c r="X45" s="1"/>
    </row>
    <row r="46" spans="1:24" ht="12.75" hidden="1" outlineLevel="1" x14ac:dyDescent="0.2">
      <c r="A46" s="34"/>
      <c r="B46" s="147"/>
      <c r="C46" s="70" t="s">
        <v>121</v>
      </c>
      <c r="D46" s="99"/>
      <c r="E46" s="73"/>
      <c r="F46" s="73"/>
      <c r="G46" s="74" t="e">
        <f t="shared" si="0"/>
        <v>#DIV/0!</v>
      </c>
      <c r="H46" s="75" t="e">
        <f t="shared" si="1"/>
        <v>#DIV/0!</v>
      </c>
      <c r="I46" s="76" t="e">
        <f t="shared" si="2"/>
        <v>#DIV/0!</v>
      </c>
      <c r="J46" s="99">
        <v>6.87</v>
      </c>
      <c r="K46" s="199">
        <v>1025</v>
      </c>
      <c r="L46" s="73"/>
      <c r="M46" s="100">
        <v>0</v>
      </c>
      <c r="N46" s="155" t="e">
        <f t="shared" si="23"/>
        <v>#DIV/0!</v>
      </c>
      <c r="O46" s="156">
        <f t="shared" si="4"/>
        <v>0</v>
      </c>
      <c r="P46" s="155" t="e">
        <f t="shared" si="5"/>
        <v>#DIV/0!</v>
      </c>
      <c r="Q46" s="225" t="e">
        <f t="shared" si="6"/>
        <v>#DIV/0!</v>
      </c>
      <c r="R46" s="244">
        <f t="shared" si="22"/>
        <v>0</v>
      </c>
      <c r="S46" s="227" t="e">
        <f t="shared" si="8"/>
        <v>#DIV/0!</v>
      </c>
      <c r="T46" s="160"/>
      <c r="U46" s="160"/>
      <c r="V46" s="160"/>
      <c r="W46" s="160"/>
      <c r="X46" s="1"/>
    </row>
    <row r="47" spans="1:24" ht="12.75" hidden="1" outlineLevel="1" x14ac:dyDescent="0.2">
      <c r="A47" s="34" t="str">
        <f t="shared" ref="A47:A48" si="24">IFERROR(IF(B47&gt;0,MONTH(B47)&amp;"-"&amp;YEAR(B47),B47),)</f>
        <v>3-2025</v>
      </c>
      <c r="B47" s="147">
        <v>45731</v>
      </c>
      <c r="C47" s="70" t="s">
        <v>123</v>
      </c>
      <c r="D47" s="251"/>
      <c r="E47" s="151"/>
      <c r="F47" s="151"/>
      <c r="G47" s="152" t="e">
        <f t="shared" si="0"/>
        <v>#DIV/0!</v>
      </c>
      <c r="H47" s="150" t="e">
        <f t="shared" si="1"/>
        <v>#DIV/0!</v>
      </c>
      <c r="I47" s="222" t="e">
        <f t="shared" si="2"/>
        <v>#DIV/0!</v>
      </c>
      <c r="J47" s="87">
        <v>0</v>
      </c>
      <c r="K47" s="73">
        <v>0</v>
      </c>
      <c r="L47" s="73"/>
      <c r="M47" s="88">
        <v>0</v>
      </c>
      <c r="N47" s="155" t="e">
        <f t="shared" si="23"/>
        <v>#DIV/0!</v>
      </c>
      <c r="O47" s="156" t="e">
        <f t="shared" si="4"/>
        <v>#DIV/0!</v>
      </c>
      <c r="P47" s="155" t="e">
        <f t="shared" si="5"/>
        <v>#DIV/0!</v>
      </c>
      <c r="Q47" s="225" t="e">
        <f t="shared" si="6"/>
        <v>#DIV/0!</v>
      </c>
      <c r="R47" s="226">
        <f t="shared" si="22"/>
        <v>0</v>
      </c>
      <c r="S47" s="227" t="e">
        <f t="shared" si="8"/>
        <v>#DIV/0!</v>
      </c>
      <c r="T47" s="160"/>
      <c r="U47" s="160"/>
      <c r="V47" s="160"/>
      <c r="W47" s="160"/>
      <c r="X47" s="1"/>
    </row>
    <row r="48" spans="1:24" ht="12.75" collapsed="1" x14ac:dyDescent="0.2">
      <c r="A48" s="34">
        <f t="shared" si="24"/>
        <v>0</v>
      </c>
      <c r="B48" s="52" t="s">
        <v>69</v>
      </c>
      <c r="C48" s="53"/>
      <c r="D48" s="54">
        <f t="shared" ref="D48:F48" si="25">SUM(D37:D47)</f>
        <v>0</v>
      </c>
      <c r="E48" s="56">
        <f t="shared" si="25"/>
        <v>0</v>
      </c>
      <c r="F48" s="56">
        <f t="shared" si="25"/>
        <v>0</v>
      </c>
      <c r="G48" s="57" t="e">
        <f t="shared" si="0"/>
        <v>#DIV/0!</v>
      </c>
      <c r="H48" s="55" t="e">
        <f t="shared" si="1"/>
        <v>#DIV/0!</v>
      </c>
      <c r="I48" s="58" t="e">
        <f t="shared" si="2"/>
        <v>#DIV/0!</v>
      </c>
      <c r="J48" s="54">
        <f t="shared" ref="J48:M48" si="26">SUM(J37:J47)</f>
        <v>92.740000000000009</v>
      </c>
      <c r="K48" s="301">
        <f t="shared" si="26"/>
        <v>14061</v>
      </c>
      <c r="L48" s="56">
        <f t="shared" si="26"/>
        <v>0</v>
      </c>
      <c r="M48" s="59">
        <f t="shared" si="26"/>
        <v>1018.9</v>
      </c>
      <c r="N48" s="60">
        <f t="shared" si="23"/>
        <v>9.1019727156737673E-2</v>
      </c>
      <c r="O48" s="61">
        <f t="shared" si="4"/>
        <v>10.986629286176406</v>
      </c>
      <c r="P48" s="60" t="e">
        <f t="shared" si="5"/>
        <v>#DIV/0!</v>
      </c>
      <c r="Q48" s="62" t="e">
        <f t="shared" si="6"/>
        <v>#DIV/0!</v>
      </c>
      <c r="R48" s="171">
        <f>SUM(R37:R47)</f>
        <v>-1018.9</v>
      </c>
      <c r="S48" s="64" t="e">
        <f t="shared" si="8"/>
        <v>#DIV/0!</v>
      </c>
      <c r="T48" s="65">
        <f t="shared" ref="T48:U48" si="27">IFERROR((D48-D36)/D48,)</f>
        <v>0</v>
      </c>
      <c r="U48" s="65">
        <f t="shared" si="27"/>
        <v>0</v>
      </c>
      <c r="V48" s="66">
        <f t="shared" ref="V48:W48" si="28">IFERROR((D48-#REF!)/D48, )</f>
        <v>0</v>
      </c>
      <c r="W48" s="66">
        <f t="shared" si="28"/>
        <v>0</v>
      </c>
      <c r="X48" s="67"/>
    </row>
    <row r="49" spans="1:26" ht="12.75" hidden="1" outlineLevel="1" x14ac:dyDescent="0.2">
      <c r="A49" s="34"/>
      <c r="B49" s="147">
        <v>45732</v>
      </c>
      <c r="C49" s="70" t="s">
        <v>112</v>
      </c>
      <c r="D49" s="71"/>
      <c r="E49" s="73"/>
      <c r="F49" s="73"/>
      <c r="G49" s="74" t="e">
        <f t="shared" si="0"/>
        <v>#DIV/0!</v>
      </c>
      <c r="H49" s="75" t="e">
        <f t="shared" si="1"/>
        <v>#DIV/0!</v>
      </c>
      <c r="I49" s="76" t="e">
        <f t="shared" si="2"/>
        <v>#DIV/0!</v>
      </c>
      <c r="J49" s="77">
        <v>9.5299999999999994</v>
      </c>
      <c r="K49" s="199">
        <v>4368</v>
      </c>
      <c r="L49" s="73"/>
      <c r="M49" s="78">
        <v>0</v>
      </c>
      <c r="N49" s="155" t="e">
        <f t="shared" si="23"/>
        <v>#DIV/0!</v>
      </c>
      <c r="O49" s="156">
        <f t="shared" si="4"/>
        <v>0</v>
      </c>
      <c r="P49" s="155" t="e">
        <f t="shared" si="5"/>
        <v>#DIV/0!</v>
      </c>
      <c r="Q49" s="225" t="e">
        <f t="shared" si="6"/>
        <v>#DIV/0!</v>
      </c>
      <c r="R49" s="226">
        <f t="shared" ref="R49:R59" si="29">D49-M49</f>
        <v>0</v>
      </c>
      <c r="S49" s="227" t="e">
        <f t="shared" si="8"/>
        <v>#DIV/0!</v>
      </c>
      <c r="T49" s="160"/>
      <c r="U49" s="160"/>
      <c r="V49" s="160"/>
      <c r="W49" s="160"/>
      <c r="X49" s="1"/>
    </row>
    <row r="50" spans="1:26" ht="12.75" hidden="1" outlineLevel="1" x14ac:dyDescent="0.2">
      <c r="A50" s="34"/>
      <c r="B50" s="147"/>
      <c r="C50" s="70" t="s">
        <v>113</v>
      </c>
      <c r="D50" s="87"/>
      <c r="E50" s="73"/>
      <c r="F50" s="73"/>
      <c r="G50" s="74" t="e">
        <f t="shared" si="0"/>
        <v>#DIV/0!</v>
      </c>
      <c r="H50" s="75" t="e">
        <f t="shared" si="1"/>
        <v>#DIV/0!</v>
      </c>
      <c r="I50" s="76" t="e">
        <f t="shared" si="2"/>
        <v>#DIV/0!</v>
      </c>
      <c r="J50" s="87">
        <v>6.77</v>
      </c>
      <c r="K50" s="199">
        <v>1236</v>
      </c>
      <c r="L50" s="73"/>
      <c r="M50" s="88">
        <v>59.95</v>
      </c>
      <c r="N50" s="155">
        <f t="shared" si="23"/>
        <v>0.11292743953294411</v>
      </c>
      <c r="O50" s="156">
        <f t="shared" si="4"/>
        <v>8.8552437223042837</v>
      </c>
      <c r="P50" s="155" t="e">
        <f t="shared" si="5"/>
        <v>#DIV/0!</v>
      </c>
      <c r="Q50" s="225" t="e">
        <f t="shared" si="6"/>
        <v>#DIV/0!</v>
      </c>
      <c r="R50" s="228">
        <f t="shared" si="29"/>
        <v>-59.95</v>
      </c>
      <c r="S50" s="227" t="e">
        <f t="shared" si="8"/>
        <v>#DIV/0!</v>
      </c>
      <c r="T50" s="160"/>
      <c r="U50" s="160"/>
      <c r="V50" s="160"/>
      <c r="W50" s="160"/>
      <c r="X50" s="1"/>
    </row>
    <row r="51" spans="1:26" ht="12.75" hidden="1" outlineLevel="1" x14ac:dyDescent="0.2">
      <c r="A51" s="34"/>
      <c r="B51" s="147"/>
      <c r="C51" s="70" t="s">
        <v>114</v>
      </c>
      <c r="D51" s="90"/>
      <c r="E51" s="73"/>
      <c r="F51" s="73"/>
      <c r="G51" s="74" t="e">
        <f t="shared" si="0"/>
        <v>#DIV/0!</v>
      </c>
      <c r="H51" s="75" t="e">
        <f t="shared" si="1"/>
        <v>#DIV/0!</v>
      </c>
      <c r="I51" s="76" t="e">
        <f t="shared" si="2"/>
        <v>#DIV/0!</v>
      </c>
      <c r="J51" s="90">
        <v>31.72</v>
      </c>
      <c r="K51" s="199">
        <v>3015</v>
      </c>
      <c r="L51" s="73"/>
      <c r="M51" s="91">
        <v>4.0599999999999996</v>
      </c>
      <c r="N51" s="155">
        <f>(J51/M51)</f>
        <v>7.8128078817733995</v>
      </c>
      <c r="O51" s="156">
        <f t="shared" si="4"/>
        <v>0.12799495586380832</v>
      </c>
      <c r="P51" s="155" t="e">
        <f t="shared" si="5"/>
        <v>#DIV/0!</v>
      </c>
      <c r="Q51" s="225" t="e">
        <f t="shared" si="6"/>
        <v>#DIV/0!</v>
      </c>
      <c r="R51" s="231">
        <f t="shared" si="29"/>
        <v>-4.0599999999999996</v>
      </c>
      <c r="S51" s="227" t="e">
        <f t="shared" si="8"/>
        <v>#DIV/0!</v>
      </c>
      <c r="T51" s="160"/>
      <c r="U51" s="160"/>
      <c r="V51" s="160"/>
      <c r="W51" s="160"/>
      <c r="X51" s="1"/>
    </row>
    <row r="52" spans="1:26" ht="12.75" hidden="1" outlineLevel="1" x14ac:dyDescent="0.2">
      <c r="A52" s="34"/>
      <c r="B52" s="147"/>
      <c r="C52" s="70" t="s">
        <v>115</v>
      </c>
      <c r="D52" s="90"/>
      <c r="E52" s="73"/>
      <c r="F52" s="73"/>
      <c r="G52" s="74" t="e">
        <f t="shared" si="0"/>
        <v>#DIV/0!</v>
      </c>
      <c r="H52" s="75" t="e">
        <f t="shared" si="1"/>
        <v>#DIV/0!</v>
      </c>
      <c r="I52" s="76" t="e">
        <f t="shared" si="2"/>
        <v>#DIV/0!</v>
      </c>
      <c r="J52" s="90">
        <v>20.73</v>
      </c>
      <c r="K52" s="199">
        <v>4270</v>
      </c>
      <c r="L52" s="73"/>
      <c r="M52" s="91">
        <v>0</v>
      </c>
      <c r="N52" s="155" t="e">
        <f t="shared" ref="N52:N62" si="30">J52/M52</f>
        <v>#DIV/0!</v>
      </c>
      <c r="O52" s="156">
        <f t="shared" si="4"/>
        <v>0</v>
      </c>
      <c r="P52" s="155" t="e">
        <f t="shared" si="5"/>
        <v>#DIV/0!</v>
      </c>
      <c r="Q52" s="225" t="e">
        <f t="shared" si="6"/>
        <v>#DIV/0!</v>
      </c>
      <c r="R52" s="231">
        <f t="shared" si="29"/>
        <v>0</v>
      </c>
      <c r="S52" s="227" t="e">
        <f t="shared" si="8"/>
        <v>#DIV/0!</v>
      </c>
      <c r="T52" s="160"/>
      <c r="U52" s="160"/>
      <c r="V52" s="160"/>
      <c r="W52" s="160"/>
      <c r="X52" s="1"/>
    </row>
    <row r="53" spans="1:26" ht="12.75" hidden="1" outlineLevel="1" x14ac:dyDescent="0.2">
      <c r="A53" s="34"/>
      <c r="B53" s="147"/>
      <c r="C53" s="70" t="s">
        <v>116</v>
      </c>
      <c r="D53" s="200"/>
      <c r="E53" s="73"/>
      <c r="F53" s="73"/>
      <c r="G53" s="74" t="e">
        <f t="shared" si="0"/>
        <v>#DIV/0!</v>
      </c>
      <c r="H53" s="75" t="e">
        <f t="shared" si="1"/>
        <v>#DIV/0!</v>
      </c>
      <c r="I53" s="76" t="e">
        <f t="shared" si="2"/>
        <v>#DIV/0!</v>
      </c>
      <c r="J53" s="200">
        <v>0</v>
      </c>
      <c r="K53" s="73">
        <v>0</v>
      </c>
      <c r="L53" s="73"/>
      <c r="M53" s="200">
        <v>0</v>
      </c>
      <c r="N53" s="155" t="e">
        <f t="shared" si="30"/>
        <v>#DIV/0!</v>
      </c>
      <c r="O53" s="156" t="e">
        <f t="shared" si="4"/>
        <v>#DIV/0!</v>
      </c>
      <c r="P53" s="155" t="e">
        <f t="shared" si="5"/>
        <v>#DIV/0!</v>
      </c>
      <c r="Q53" s="225" t="e">
        <f t="shared" si="6"/>
        <v>#DIV/0!</v>
      </c>
      <c r="R53" s="231">
        <f t="shared" si="29"/>
        <v>0</v>
      </c>
      <c r="S53" s="227" t="e">
        <f t="shared" si="8"/>
        <v>#DIV/0!</v>
      </c>
      <c r="T53" s="160"/>
      <c r="U53" s="160"/>
      <c r="V53" s="160"/>
      <c r="W53" s="160"/>
      <c r="X53" s="1"/>
    </row>
    <row r="54" spans="1:26" ht="12.75" hidden="1" outlineLevel="1" x14ac:dyDescent="0.2">
      <c r="A54" s="34"/>
      <c r="B54" s="147"/>
      <c r="C54" s="70" t="s">
        <v>117</v>
      </c>
      <c r="D54" s="201"/>
      <c r="E54" s="73"/>
      <c r="F54" s="73"/>
      <c r="G54" s="74" t="e">
        <f t="shared" si="0"/>
        <v>#DIV/0!</v>
      </c>
      <c r="H54" s="75" t="e">
        <f t="shared" si="1"/>
        <v>#DIV/0!</v>
      </c>
      <c r="I54" s="76" t="e">
        <f t="shared" si="2"/>
        <v>#DIV/0!</v>
      </c>
      <c r="J54" s="201">
        <v>0.04</v>
      </c>
      <c r="K54" s="73">
        <v>10</v>
      </c>
      <c r="L54" s="73"/>
      <c r="M54" s="202">
        <v>0</v>
      </c>
      <c r="N54" s="155" t="e">
        <f t="shared" si="30"/>
        <v>#DIV/0!</v>
      </c>
      <c r="O54" s="156">
        <f t="shared" si="4"/>
        <v>0</v>
      </c>
      <c r="P54" s="155" t="e">
        <f t="shared" si="5"/>
        <v>#DIV/0!</v>
      </c>
      <c r="Q54" s="225" t="e">
        <f t="shared" si="6"/>
        <v>#DIV/0!</v>
      </c>
      <c r="R54" s="234">
        <f t="shared" si="29"/>
        <v>0</v>
      </c>
      <c r="S54" s="227" t="e">
        <f t="shared" si="8"/>
        <v>#DIV/0!</v>
      </c>
      <c r="T54" s="160"/>
      <c r="U54" s="160"/>
      <c r="V54" s="160"/>
      <c r="W54" s="160"/>
      <c r="X54" s="1"/>
    </row>
    <row r="55" spans="1:26" ht="12.75" hidden="1" outlineLevel="1" x14ac:dyDescent="0.2">
      <c r="A55" s="34"/>
      <c r="B55" s="147"/>
      <c r="C55" s="70" t="s">
        <v>118</v>
      </c>
      <c r="D55" s="90"/>
      <c r="E55" s="73"/>
      <c r="F55" s="73"/>
      <c r="G55" s="74" t="e">
        <f t="shared" si="0"/>
        <v>#DIV/0!</v>
      </c>
      <c r="H55" s="75" t="e">
        <f t="shared" si="1"/>
        <v>#DIV/0!</v>
      </c>
      <c r="I55" s="76" t="e">
        <f t="shared" si="2"/>
        <v>#DIV/0!</v>
      </c>
      <c r="J55" s="90">
        <v>3.03</v>
      </c>
      <c r="K55" s="73">
        <v>344</v>
      </c>
      <c r="L55" s="73"/>
      <c r="M55" s="91">
        <v>0</v>
      </c>
      <c r="N55" s="155" t="e">
        <f t="shared" si="30"/>
        <v>#DIV/0!</v>
      </c>
      <c r="O55" s="156">
        <f t="shared" si="4"/>
        <v>0</v>
      </c>
      <c r="P55" s="155" t="e">
        <f t="shared" si="5"/>
        <v>#DIV/0!</v>
      </c>
      <c r="Q55" s="225" t="e">
        <f t="shared" si="6"/>
        <v>#DIV/0!</v>
      </c>
      <c r="R55" s="231">
        <f t="shared" si="29"/>
        <v>0</v>
      </c>
      <c r="S55" s="227" t="e">
        <f t="shared" si="8"/>
        <v>#DIV/0!</v>
      </c>
      <c r="T55" s="160"/>
      <c r="U55" s="160"/>
      <c r="V55" s="160"/>
      <c r="W55" s="160"/>
      <c r="X55" s="1"/>
    </row>
    <row r="56" spans="1:26" ht="12.75" hidden="1" outlineLevel="1" x14ac:dyDescent="0.2">
      <c r="A56" s="34"/>
      <c r="B56" s="235" t="s">
        <v>37</v>
      </c>
      <c r="C56" s="70" t="s">
        <v>119</v>
      </c>
      <c r="D56" s="93"/>
      <c r="E56" s="73"/>
      <c r="F56" s="73"/>
      <c r="G56" s="74" t="e">
        <f t="shared" si="0"/>
        <v>#DIV/0!</v>
      </c>
      <c r="H56" s="75" t="e">
        <f t="shared" si="1"/>
        <v>#DIV/0!</v>
      </c>
      <c r="I56" s="76" t="e">
        <f t="shared" si="2"/>
        <v>#DIV/0!</v>
      </c>
      <c r="J56" s="93">
        <v>0.69</v>
      </c>
      <c r="K56" s="73">
        <v>79</v>
      </c>
      <c r="L56" s="73"/>
      <c r="M56" s="94">
        <v>0</v>
      </c>
      <c r="N56" s="155" t="e">
        <f t="shared" si="30"/>
        <v>#DIV/0!</v>
      </c>
      <c r="O56" s="156">
        <f t="shared" si="4"/>
        <v>0</v>
      </c>
      <c r="P56" s="155" t="e">
        <f t="shared" si="5"/>
        <v>#DIV/0!</v>
      </c>
      <c r="Q56" s="225" t="e">
        <f t="shared" si="6"/>
        <v>#DIV/0!</v>
      </c>
      <c r="R56" s="238">
        <f t="shared" si="29"/>
        <v>0</v>
      </c>
      <c r="S56" s="227" t="e">
        <f t="shared" si="8"/>
        <v>#DIV/0!</v>
      </c>
      <c r="T56" s="160"/>
      <c r="U56" s="160"/>
      <c r="V56" s="160"/>
      <c r="W56" s="160"/>
      <c r="X56" s="1"/>
    </row>
    <row r="57" spans="1:26" ht="12.75" hidden="1" outlineLevel="1" x14ac:dyDescent="0.2">
      <c r="A57" s="34"/>
      <c r="B57" s="147"/>
      <c r="C57" s="70" t="s">
        <v>120</v>
      </c>
      <c r="D57" s="96"/>
      <c r="E57" s="73"/>
      <c r="F57" s="73"/>
      <c r="G57" s="74" t="e">
        <f t="shared" si="0"/>
        <v>#DIV/0!</v>
      </c>
      <c r="H57" s="75" t="e">
        <f t="shared" si="1"/>
        <v>#DIV/0!</v>
      </c>
      <c r="I57" s="76" t="e">
        <f t="shared" si="2"/>
        <v>#DIV/0!</v>
      </c>
      <c r="J57" s="96">
        <v>20.21</v>
      </c>
      <c r="K57" s="199">
        <v>3545</v>
      </c>
      <c r="L57" s="73"/>
      <c r="M57" s="97">
        <v>0</v>
      </c>
      <c r="N57" s="155" t="e">
        <f t="shared" si="30"/>
        <v>#DIV/0!</v>
      </c>
      <c r="O57" s="156">
        <f t="shared" si="4"/>
        <v>0</v>
      </c>
      <c r="P57" s="155" t="e">
        <f t="shared" si="5"/>
        <v>#DIV/0!</v>
      </c>
      <c r="Q57" s="225" t="e">
        <f t="shared" si="6"/>
        <v>#DIV/0!</v>
      </c>
      <c r="R57" s="241">
        <f t="shared" si="29"/>
        <v>0</v>
      </c>
      <c r="S57" s="227" t="e">
        <f t="shared" si="8"/>
        <v>#DIV/0!</v>
      </c>
      <c r="T57" s="160"/>
      <c r="U57" s="160"/>
      <c r="V57" s="160"/>
      <c r="W57" s="160"/>
      <c r="X57" s="1"/>
    </row>
    <row r="58" spans="1:26" ht="12.75" hidden="1" outlineLevel="1" x14ac:dyDescent="0.2">
      <c r="A58" s="34"/>
      <c r="B58" s="147"/>
      <c r="C58" s="70" t="s">
        <v>121</v>
      </c>
      <c r="D58" s="99"/>
      <c r="E58" s="73"/>
      <c r="F58" s="73"/>
      <c r="G58" s="74" t="e">
        <f t="shared" si="0"/>
        <v>#DIV/0!</v>
      </c>
      <c r="H58" s="75" t="e">
        <f t="shared" si="1"/>
        <v>#DIV/0!</v>
      </c>
      <c r="I58" s="76" t="e">
        <f t="shared" si="2"/>
        <v>#DIV/0!</v>
      </c>
      <c r="J58" s="99">
        <v>35.53</v>
      </c>
      <c r="K58" s="199">
        <v>3794</v>
      </c>
      <c r="L58" s="73"/>
      <c r="M58" s="100">
        <v>0</v>
      </c>
      <c r="N58" s="155" t="e">
        <f t="shared" si="30"/>
        <v>#DIV/0!</v>
      </c>
      <c r="O58" s="156">
        <f t="shared" si="4"/>
        <v>0</v>
      </c>
      <c r="P58" s="155" t="e">
        <f t="shared" si="5"/>
        <v>#DIV/0!</v>
      </c>
      <c r="Q58" s="225" t="e">
        <f t="shared" si="6"/>
        <v>#DIV/0!</v>
      </c>
      <c r="R58" s="244">
        <f t="shared" si="29"/>
        <v>0</v>
      </c>
      <c r="S58" s="227" t="e">
        <f t="shared" si="8"/>
        <v>#DIV/0!</v>
      </c>
      <c r="T58" s="160"/>
      <c r="U58" s="160"/>
      <c r="V58" s="160"/>
      <c r="W58" s="160"/>
      <c r="X58" s="1"/>
    </row>
    <row r="59" spans="1:26" ht="12.75" hidden="1" outlineLevel="1" x14ac:dyDescent="0.2">
      <c r="A59" s="34" t="str">
        <f t="shared" ref="A59:A60" si="31">IFERROR(IF(B59&gt;0,MONTH(B59)&amp;"-"&amp;YEAR(B59),B59),)</f>
        <v>3-2025</v>
      </c>
      <c r="B59" s="147">
        <v>45738</v>
      </c>
      <c r="C59" s="70" t="s">
        <v>123</v>
      </c>
      <c r="D59" s="251"/>
      <c r="E59" s="151"/>
      <c r="F59" s="151"/>
      <c r="G59" s="152" t="e">
        <f t="shared" si="0"/>
        <v>#DIV/0!</v>
      </c>
      <c r="H59" s="150" t="e">
        <f t="shared" si="1"/>
        <v>#DIV/0!</v>
      </c>
      <c r="I59" s="222" t="e">
        <f t="shared" si="2"/>
        <v>#DIV/0!</v>
      </c>
      <c r="J59" s="87">
        <v>0</v>
      </c>
      <c r="K59" s="73">
        <v>0</v>
      </c>
      <c r="L59" s="73"/>
      <c r="M59" s="88">
        <v>0</v>
      </c>
      <c r="N59" s="155" t="e">
        <f t="shared" si="30"/>
        <v>#DIV/0!</v>
      </c>
      <c r="O59" s="156" t="e">
        <f t="shared" si="4"/>
        <v>#DIV/0!</v>
      </c>
      <c r="P59" s="155" t="e">
        <f t="shared" si="5"/>
        <v>#DIV/0!</v>
      </c>
      <c r="Q59" s="225" t="e">
        <f t="shared" si="6"/>
        <v>#DIV/0!</v>
      </c>
      <c r="R59" s="226">
        <f t="shared" si="29"/>
        <v>0</v>
      </c>
      <c r="S59" s="227" t="e">
        <f t="shared" si="8"/>
        <v>#DIV/0!</v>
      </c>
      <c r="T59" s="160"/>
      <c r="U59" s="160"/>
      <c r="V59" s="160"/>
      <c r="W59" s="160"/>
      <c r="X59" s="1"/>
    </row>
    <row r="60" spans="1:26" ht="12.75" collapsed="1" x14ac:dyDescent="0.2">
      <c r="A60" s="68">
        <f t="shared" si="31"/>
        <v>0</v>
      </c>
      <c r="B60" s="52" t="s">
        <v>70</v>
      </c>
      <c r="C60" s="120"/>
      <c r="D60" s="121">
        <f t="shared" ref="D60:F60" si="32">SUM(D49:D59)</f>
        <v>0</v>
      </c>
      <c r="E60" s="123">
        <f t="shared" si="32"/>
        <v>0</v>
      </c>
      <c r="F60" s="123">
        <f t="shared" si="32"/>
        <v>0</v>
      </c>
      <c r="G60" s="124" t="e">
        <f t="shared" si="0"/>
        <v>#DIV/0!</v>
      </c>
      <c r="H60" s="125" t="e">
        <f t="shared" si="1"/>
        <v>#DIV/0!</v>
      </c>
      <c r="I60" s="126" t="e">
        <f t="shared" si="2"/>
        <v>#DIV/0!</v>
      </c>
      <c r="J60" s="121">
        <f t="shared" ref="J60:M60" si="33">SUM(J49:J59)</f>
        <v>128.25</v>
      </c>
      <c r="K60" s="294">
        <f t="shared" si="33"/>
        <v>20661</v>
      </c>
      <c r="L60" s="123">
        <f t="shared" si="33"/>
        <v>0</v>
      </c>
      <c r="M60" s="127">
        <f t="shared" si="33"/>
        <v>64.010000000000005</v>
      </c>
      <c r="N60" s="128">
        <f t="shared" si="30"/>
        <v>2.0035931885642868</v>
      </c>
      <c r="O60" s="129">
        <f t="shared" si="4"/>
        <v>0.49910331384015599</v>
      </c>
      <c r="P60" s="128" t="e">
        <f t="shared" si="5"/>
        <v>#DIV/0!</v>
      </c>
      <c r="Q60" s="130" t="e">
        <f t="shared" si="6"/>
        <v>#DIV/0!</v>
      </c>
      <c r="R60" s="131">
        <f>SUM(R49:R59)</f>
        <v>-64.010000000000005</v>
      </c>
      <c r="S60" s="132" t="e">
        <f t="shared" si="8"/>
        <v>#DIV/0!</v>
      </c>
      <c r="T60" s="133">
        <f t="shared" ref="T60:U60" si="34">IFERROR((D60-D48)/D60,)</f>
        <v>0</v>
      </c>
      <c r="U60" s="133">
        <f t="shared" si="34"/>
        <v>0</v>
      </c>
      <c r="V60" s="134">
        <f t="shared" ref="V60:W60" si="35">IFERROR((D60-#REF!)/D60, )</f>
        <v>0</v>
      </c>
      <c r="W60" s="134">
        <f t="shared" si="35"/>
        <v>0</v>
      </c>
      <c r="X60" s="68"/>
      <c r="Y60" s="68"/>
      <c r="Z60" s="68"/>
    </row>
    <row r="61" spans="1:26" ht="12.75" hidden="1" outlineLevel="1" x14ac:dyDescent="0.2">
      <c r="A61" s="68"/>
      <c r="B61" s="69">
        <v>45739</v>
      </c>
      <c r="C61" s="70" t="s">
        <v>112</v>
      </c>
      <c r="D61" s="282"/>
      <c r="E61" s="283"/>
      <c r="F61" s="283"/>
      <c r="G61" s="74" t="e">
        <f t="shared" si="0"/>
        <v>#DIV/0!</v>
      </c>
      <c r="H61" s="75" t="e">
        <f t="shared" si="1"/>
        <v>#DIV/0!</v>
      </c>
      <c r="I61" s="76" t="e">
        <f t="shared" si="2"/>
        <v>#DIV/0!</v>
      </c>
      <c r="J61" s="77">
        <v>10.74</v>
      </c>
      <c r="K61" s="199">
        <v>4424</v>
      </c>
      <c r="L61" s="283"/>
      <c r="M61" s="78">
        <v>610.28</v>
      </c>
      <c r="N61" s="79">
        <f t="shared" si="30"/>
        <v>1.7598479386511112E-2</v>
      </c>
      <c r="O61" s="80">
        <f t="shared" si="4"/>
        <v>56.823091247672252</v>
      </c>
      <c r="P61" s="79" t="e">
        <f t="shared" si="5"/>
        <v>#DIV/0!</v>
      </c>
      <c r="Q61" s="81" t="e">
        <f t="shared" si="6"/>
        <v>#DIV/0!</v>
      </c>
      <c r="R61" s="82">
        <f t="shared" ref="R61:R71" si="36">D61-M61</f>
        <v>-610.28</v>
      </c>
      <c r="S61" s="83" t="e">
        <f t="shared" si="8"/>
        <v>#DIV/0!</v>
      </c>
      <c r="T61" s="84"/>
      <c r="U61" s="84"/>
      <c r="V61" s="84"/>
      <c r="W61" s="84"/>
      <c r="X61" s="85"/>
      <c r="Y61" s="68"/>
      <c r="Z61" s="68"/>
    </row>
    <row r="62" spans="1:26" ht="12.75" hidden="1" outlineLevel="1" x14ac:dyDescent="0.2">
      <c r="A62" s="68"/>
      <c r="B62" s="86"/>
      <c r="C62" s="70" t="s">
        <v>113</v>
      </c>
      <c r="D62" s="284"/>
      <c r="E62" s="283"/>
      <c r="F62" s="283"/>
      <c r="G62" s="74" t="e">
        <f t="shared" si="0"/>
        <v>#DIV/0!</v>
      </c>
      <c r="H62" s="75" t="e">
        <f t="shared" si="1"/>
        <v>#DIV/0!</v>
      </c>
      <c r="I62" s="76" t="e">
        <f t="shared" si="2"/>
        <v>#DIV/0!</v>
      </c>
      <c r="J62" s="87">
        <v>35.869999999999997</v>
      </c>
      <c r="K62" s="199">
        <v>6713</v>
      </c>
      <c r="L62" s="283"/>
      <c r="M62" s="88">
        <v>69.95</v>
      </c>
      <c r="N62" s="79">
        <f t="shared" si="30"/>
        <v>0.5127948534667619</v>
      </c>
      <c r="O62" s="80">
        <f t="shared" si="4"/>
        <v>1.9500975745748539</v>
      </c>
      <c r="P62" s="79" t="e">
        <f t="shared" si="5"/>
        <v>#DIV/0!</v>
      </c>
      <c r="Q62" s="81" t="e">
        <f t="shared" si="6"/>
        <v>#DIV/0!</v>
      </c>
      <c r="R62" s="89">
        <f t="shared" si="36"/>
        <v>-69.95</v>
      </c>
      <c r="S62" s="83" t="e">
        <f t="shared" si="8"/>
        <v>#DIV/0!</v>
      </c>
      <c r="T62" s="84"/>
      <c r="U62" s="84"/>
      <c r="V62" s="84"/>
      <c r="W62" s="84"/>
      <c r="X62" s="85"/>
      <c r="Y62" s="68"/>
      <c r="Z62" s="68"/>
    </row>
    <row r="63" spans="1:26" ht="12.75" hidden="1" outlineLevel="1" x14ac:dyDescent="0.2">
      <c r="A63" s="68"/>
      <c r="B63" s="86"/>
      <c r="C63" s="70" t="s">
        <v>114</v>
      </c>
      <c r="D63" s="285"/>
      <c r="E63" s="283"/>
      <c r="F63" s="283"/>
      <c r="G63" s="74" t="e">
        <f t="shared" si="0"/>
        <v>#DIV/0!</v>
      </c>
      <c r="H63" s="75" t="e">
        <f t="shared" si="1"/>
        <v>#DIV/0!</v>
      </c>
      <c r="I63" s="76" t="e">
        <f t="shared" si="2"/>
        <v>#DIV/0!</v>
      </c>
      <c r="J63" s="90">
        <v>0.15</v>
      </c>
      <c r="K63" s="199">
        <v>85</v>
      </c>
      <c r="L63" s="283"/>
      <c r="M63" s="91">
        <v>0</v>
      </c>
      <c r="N63" s="79" t="e">
        <f>(J63/M63)</f>
        <v>#DIV/0!</v>
      </c>
      <c r="O63" s="80">
        <f t="shared" si="4"/>
        <v>0</v>
      </c>
      <c r="P63" s="79" t="e">
        <f t="shared" si="5"/>
        <v>#DIV/0!</v>
      </c>
      <c r="Q63" s="81" t="e">
        <f t="shared" si="6"/>
        <v>#DIV/0!</v>
      </c>
      <c r="R63" s="92">
        <f t="shared" si="36"/>
        <v>0</v>
      </c>
      <c r="S63" s="83" t="e">
        <f t="shared" si="8"/>
        <v>#DIV/0!</v>
      </c>
      <c r="T63" s="84"/>
      <c r="U63" s="84"/>
      <c r="V63" s="84"/>
      <c r="W63" s="84"/>
      <c r="X63" s="85"/>
      <c r="Y63" s="68"/>
      <c r="Z63" s="68"/>
    </row>
    <row r="64" spans="1:26" ht="12.75" hidden="1" outlineLevel="1" x14ac:dyDescent="0.2">
      <c r="A64" s="68"/>
      <c r="B64" s="86"/>
      <c r="C64" s="70" t="s">
        <v>115</v>
      </c>
      <c r="D64" s="285"/>
      <c r="E64" s="283"/>
      <c r="F64" s="283"/>
      <c r="G64" s="74" t="e">
        <f t="shared" si="0"/>
        <v>#DIV/0!</v>
      </c>
      <c r="H64" s="75" t="e">
        <f t="shared" si="1"/>
        <v>#DIV/0!</v>
      </c>
      <c r="I64" s="76" t="e">
        <f t="shared" si="2"/>
        <v>#DIV/0!</v>
      </c>
      <c r="J64" s="90">
        <v>4.03</v>
      </c>
      <c r="K64" s="199">
        <v>963</v>
      </c>
      <c r="L64" s="283"/>
      <c r="M64" s="91">
        <v>0</v>
      </c>
      <c r="N64" s="79" t="e">
        <f t="shared" ref="N64:N74" si="37">J64/M64</f>
        <v>#DIV/0!</v>
      </c>
      <c r="O64" s="80">
        <f t="shared" si="4"/>
        <v>0</v>
      </c>
      <c r="P64" s="79" t="e">
        <f t="shared" si="5"/>
        <v>#DIV/0!</v>
      </c>
      <c r="Q64" s="81" t="e">
        <f t="shared" si="6"/>
        <v>#DIV/0!</v>
      </c>
      <c r="R64" s="92">
        <f t="shared" si="36"/>
        <v>0</v>
      </c>
      <c r="S64" s="83" t="e">
        <f t="shared" si="8"/>
        <v>#DIV/0!</v>
      </c>
      <c r="T64" s="84"/>
      <c r="U64" s="84"/>
      <c r="V64" s="84"/>
      <c r="W64" s="84"/>
      <c r="X64" s="85"/>
      <c r="Y64" s="68"/>
      <c r="Z64" s="68"/>
    </row>
    <row r="65" spans="1:26" ht="12.75" hidden="1" outlineLevel="1" x14ac:dyDescent="0.2">
      <c r="A65" s="68"/>
      <c r="B65" s="86"/>
      <c r="C65" s="70" t="s">
        <v>116</v>
      </c>
      <c r="D65" s="286"/>
      <c r="E65" s="283"/>
      <c r="F65" s="283"/>
      <c r="G65" s="74" t="e">
        <f t="shared" si="0"/>
        <v>#DIV/0!</v>
      </c>
      <c r="H65" s="75" t="e">
        <f t="shared" si="1"/>
        <v>#DIV/0!</v>
      </c>
      <c r="I65" s="76" t="e">
        <f t="shared" si="2"/>
        <v>#DIV/0!</v>
      </c>
      <c r="J65" s="200">
        <v>0</v>
      </c>
      <c r="K65" s="199">
        <v>0</v>
      </c>
      <c r="L65" s="283"/>
      <c r="M65" s="200">
        <v>0</v>
      </c>
      <c r="N65" s="79" t="e">
        <f t="shared" si="37"/>
        <v>#DIV/0!</v>
      </c>
      <c r="O65" s="80" t="e">
        <f t="shared" si="4"/>
        <v>#DIV/0!</v>
      </c>
      <c r="P65" s="79" t="e">
        <f t="shared" si="5"/>
        <v>#DIV/0!</v>
      </c>
      <c r="Q65" s="81" t="e">
        <f t="shared" si="6"/>
        <v>#DIV/0!</v>
      </c>
      <c r="R65" s="92">
        <f t="shared" si="36"/>
        <v>0</v>
      </c>
      <c r="S65" s="83" t="e">
        <f t="shared" si="8"/>
        <v>#DIV/0!</v>
      </c>
      <c r="T65" s="84"/>
      <c r="U65" s="84"/>
      <c r="V65" s="84"/>
      <c r="W65" s="84"/>
      <c r="X65" s="85"/>
      <c r="Y65" s="68"/>
      <c r="Z65" s="68"/>
    </row>
    <row r="66" spans="1:26" ht="12.75" hidden="1" outlineLevel="1" x14ac:dyDescent="0.2">
      <c r="A66" s="68"/>
      <c r="B66" s="86"/>
      <c r="C66" s="70" t="s">
        <v>117</v>
      </c>
      <c r="D66" s="287"/>
      <c r="E66" s="283"/>
      <c r="F66" s="283"/>
      <c r="G66" s="74" t="e">
        <f t="shared" si="0"/>
        <v>#DIV/0!</v>
      </c>
      <c r="H66" s="75" t="e">
        <f t="shared" si="1"/>
        <v>#DIV/0!</v>
      </c>
      <c r="I66" s="76" t="e">
        <f t="shared" si="2"/>
        <v>#DIV/0!</v>
      </c>
      <c r="J66" s="201">
        <v>15.27</v>
      </c>
      <c r="K66" s="199">
        <v>1222</v>
      </c>
      <c r="L66" s="283"/>
      <c r="M66" s="202">
        <v>50.96</v>
      </c>
      <c r="N66" s="79">
        <f t="shared" si="37"/>
        <v>0.29964678178963894</v>
      </c>
      <c r="O66" s="80">
        <f t="shared" si="4"/>
        <v>3.3372626064178128</v>
      </c>
      <c r="P66" s="79" t="e">
        <f t="shared" si="5"/>
        <v>#DIV/0!</v>
      </c>
      <c r="Q66" s="81" t="e">
        <f t="shared" si="6"/>
        <v>#DIV/0!</v>
      </c>
      <c r="R66" s="203">
        <f t="shared" si="36"/>
        <v>-50.96</v>
      </c>
      <c r="S66" s="83" t="e">
        <f t="shared" si="8"/>
        <v>#DIV/0!</v>
      </c>
      <c r="T66" s="84"/>
      <c r="U66" s="84"/>
      <c r="V66" s="84"/>
      <c r="W66" s="84"/>
      <c r="X66" s="85"/>
      <c r="Y66" s="68"/>
      <c r="Z66" s="68"/>
    </row>
    <row r="67" spans="1:26" ht="12.75" hidden="1" outlineLevel="1" x14ac:dyDescent="0.2">
      <c r="A67" s="68"/>
      <c r="B67" s="86"/>
      <c r="C67" s="70" t="s">
        <v>118</v>
      </c>
      <c r="D67" s="285"/>
      <c r="E67" s="283"/>
      <c r="F67" s="283"/>
      <c r="G67" s="74" t="e">
        <f t="shared" si="0"/>
        <v>#DIV/0!</v>
      </c>
      <c r="H67" s="75" t="e">
        <f t="shared" si="1"/>
        <v>#DIV/0!</v>
      </c>
      <c r="I67" s="76" t="e">
        <f t="shared" si="2"/>
        <v>#DIV/0!</v>
      </c>
      <c r="J67" s="90">
        <v>32.5</v>
      </c>
      <c r="K67" s="199">
        <v>3674</v>
      </c>
      <c r="L67" s="283"/>
      <c r="M67" s="91">
        <v>89.95</v>
      </c>
      <c r="N67" s="79">
        <f t="shared" si="37"/>
        <v>0.36131183991106169</v>
      </c>
      <c r="O67" s="80">
        <f t="shared" si="4"/>
        <v>2.7676923076923079</v>
      </c>
      <c r="P67" s="79" t="e">
        <f t="shared" si="5"/>
        <v>#DIV/0!</v>
      </c>
      <c r="Q67" s="81" t="e">
        <f t="shared" si="6"/>
        <v>#DIV/0!</v>
      </c>
      <c r="R67" s="92">
        <f t="shared" si="36"/>
        <v>-89.95</v>
      </c>
      <c r="S67" s="83" t="e">
        <f t="shared" si="8"/>
        <v>#DIV/0!</v>
      </c>
      <c r="T67" s="84"/>
      <c r="U67" s="84"/>
      <c r="V67" s="84"/>
      <c r="W67" s="84"/>
      <c r="X67" s="85"/>
      <c r="Y67" s="68"/>
      <c r="Z67" s="68"/>
    </row>
    <row r="68" spans="1:26" ht="12.75" hidden="1" outlineLevel="1" x14ac:dyDescent="0.2">
      <c r="A68" s="68"/>
      <c r="B68" s="69" t="s">
        <v>37</v>
      </c>
      <c r="C68" s="70" t="s">
        <v>119</v>
      </c>
      <c r="D68" s="288"/>
      <c r="E68" s="283"/>
      <c r="F68" s="283"/>
      <c r="G68" s="74" t="e">
        <f t="shared" si="0"/>
        <v>#DIV/0!</v>
      </c>
      <c r="H68" s="75" t="e">
        <f t="shared" si="1"/>
        <v>#DIV/0!</v>
      </c>
      <c r="I68" s="76" t="e">
        <f t="shared" si="2"/>
        <v>#DIV/0!</v>
      </c>
      <c r="J68" s="93">
        <v>1.58</v>
      </c>
      <c r="K68" s="199">
        <v>54</v>
      </c>
      <c r="L68" s="283"/>
      <c r="M68" s="94">
        <v>0</v>
      </c>
      <c r="N68" s="79" t="e">
        <f t="shared" si="37"/>
        <v>#DIV/0!</v>
      </c>
      <c r="O68" s="80">
        <f t="shared" si="4"/>
        <v>0</v>
      </c>
      <c r="P68" s="79" t="e">
        <f t="shared" si="5"/>
        <v>#DIV/0!</v>
      </c>
      <c r="Q68" s="81" t="e">
        <f t="shared" si="6"/>
        <v>#DIV/0!</v>
      </c>
      <c r="R68" s="95">
        <f t="shared" si="36"/>
        <v>0</v>
      </c>
      <c r="S68" s="83" t="e">
        <f t="shared" si="8"/>
        <v>#DIV/0!</v>
      </c>
      <c r="T68" s="84"/>
      <c r="U68" s="84"/>
      <c r="V68" s="84"/>
      <c r="W68" s="84"/>
      <c r="X68" s="85"/>
      <c r="Y68" s="68"/>
      <c r="Z68" s="68"/>
    </row>
    <row r="69" spans="1:26" ht="12.75" hidden="1" outlineLevel="1" x14ac:dyDescent="0.2">
      <c r="A69" s="68"/>
      <c r="B69" s="86"/>
      <c r="C69" s="70" t="s">
        <v>120</v>
      </c>
      <c r="D69" s="289"/>
      <c r="E69" s="283"/>
      <c r="F69" s="283"/>
      <c r="G69" s="74" t="e">
        <f t="shared" si="0"/>
        <v>#DIV/0!</v>
      </c>
      <c r="H69" s="75" t="e">
        <f t="shared" si="1"/>
        <v>#DIV/0!</v>
      </c>
      <c r="I69" s="76" t="e">
        <f t="shared" si="2"/>
        <v>#DIV/0!</v>
      </c>
      <c r="J69" s="96">
        <v>112.2</v>
      </c>
      <c r="K69" s="199">
        <v>22894</v>
      </c>
      <c r="L69" s="283"/>
      <c r="M69" s="97">
        <v>0</v>
      </c>
      <c r="N69" s="79" t="e">
        <f t="shared" si="37"/>
        <v>#DIV/0!</v>
      </c>
      <c r="O69" s="80">
        <f t="shared" si="4"/>
        <v>0</v>
      </c>
      <c r="P69" s="79" t="e">
        <f t="shared" si="5"/>
        <v>#DIV/0!</v>
      </c>
      <c r="Q69" s="81" t="e">
        <f t="shared" si="6"/>
        <v>#DIV/0!</v>
      </c>
      <c r="R69" s="98">
        <f t="shared" si="36"/>
        <v>0</v>
      </c>
      <c r="S69" s="83" t="e">
        <f t="shared" si="8"/>
        <v>#DIV/0!</v>
      </c>
      <c r="T69" s="84"/>
      <c r="U69" s="84"/>
      <c r="V69" s="84"/>
      <c r="W69" s="84"/>
      <c r="X69" s="85"/>
      <c r="Y69" s="68"/>
      <c r="Z69" s="68"/>
    </row>
    <row r="70" spans="1:26" ht="12.75" hidden="1" outlineLevel="1" x14ac:dyDescent="0.2">
      <c r="A70" s="68"/>
      <c r="B70" s="86"/>
      <c r="C70" s="70" t="s">
        <v>121</v>
      </c>
      <c r="D70" s="290"/>
      <c r="E70" s="283"/>
      <c r="F70" s="283"/>
      <c r="G70" s="74" t="e">
        <f t="shared" si="0"/>
        <v>#DIV/0!</v>
      </c>
      <c r="H70" s="75" t="e">
        <f t="shared" si="1"/>
        <v>#DIV/0!</v>
      </c>
      <c r="I70" s="76" t="e">
        <f t="shared" si="2"/>
        <v>#DIV/0!</v>
      </c>
      <c r="J70" s="99">
        <v>20.85</v>
      </c>
      <c r="K70" s="199">
        <v>4350</v>
      </c>
      <c r="L70" s="283"/>
      <c r="M70" s="100">
        <v>0</v>
      </c>
      <c r="N70" s="79" t="e">
        <f t="shared" si="37"/>
        <v>#DIV/0!</v>
      </c>
      <c r="O70" s="80">
        <f t="shared" si="4"/>
        <v>0</v>
      </c>
      <c r="P70" s="79" t="e">
        <f t="shared" si="5"/>
        <v>#DIV/0!</v>
      </c>
      <c r="Q70" s="81" t="e">
        <f t="shared" si="6"/>
        <v>#DIV/0!</v>
      </c>
      <c r="R70" s="101">
        <f t="shared" si="36"/>
        <v>0</v>
      </c>
      <c r="S70" s="83" t="e">
        <f t="shared" si="8"/>
        <v>#DIV/0!</v>
      </c>
      <c r="T70" s="84"/>
      <c r="U70" s="84"/>
      <c r="V70" s="84"/>
      <c r="W70" s="84"/>
      <c r="X70" s="85"/>
      <c r="Y70" s="68"/>
      <c r="Z70" s="68"/>
    </row>
    <row r="71" spans="1:26" ht="12.75" hidden="1" outlineLevel="1" x14ac:dyDescent="0.2">
      <c r="A71" s="118" t="str">
        <f t="shared" ref="A71:A72" si="38">IFERROR(IF(B71&gt;0,MONTH(B71)&amp;"-"&amp;YEAR(B71),B71),)</f>
        <v>3-2025</v>
      </c>
      <c r="B71" s="69">
        <v>45745</v>
      </c>
      <c r="C71" s="70" t="s">
        <v>123</v>
      </c>
      <c r="D71" s="293"/>
      <c r="E71" s="283"/>
      <c r="F71" s="283"/>
      <c r="G71" s="74" t="e">
        <f t="shared" si="0"/>
        <v>#DIV/0!</v>
      </c>
      <c r="H71" s="75" t="e">
        <f t="shared" si="1"/>
        <v>#DIV/0!</v>
      </c>
      <c r="I71" s="76" t="e">
        <f t="shared" si="2"/>
        <v>#DIV/0!</v>
      </c>
      <c r="J71" s="87">
        <v>0</v>
      </c>
      <c r="K71" s="199">
        <v>0</v>
      </c>
      <c r="L71" s="283"/>
      <c r="M71" s="88">
        <v>0</v>
      </c>
      <c r="N71" s="79" t="e">
        <f t="shared" si="37"/>
        <v>#DIV/0!</v>
      </c>
      <c r="O71" s="80" t="e">
        <f t="shared" si="4"/>
        <v>#DIV/0!</v>
      </c>
      <c r="P71" s="79" t="e">
        <f t="shared" si="5"/>
        <v>#DIV/0!</v>
      </c>
      <c r="Q71" s="81" t="e">
        <f t="shared" si="6"/>
        <v>#DIV/0!</v>
      </c>
      <c r="R71" s="82">
        <f t="shared" si="36"/>
        <v>0</v>
      </c>
      <c r="S71" s="83" t="e">
        <f t="shared" si="8"/>
        <v>#DIV/0!</v>
      </c>
      <c r="T71" s="84"/>
      <c r="U71" s="84"/>
      <c r="V71" s="84"/>
      <c r="W71" s="84"/>
      <c r="X71" s="85"/>
      <c r="Y71" s="68"/>
      <c r="Z71" s="68"/>
    </row>
    <row r="72" spans="1:26" ht="12.75" collapsed="1" x14ac:dyDescent="0.2">
      <c r="A72" s="68">
        <f t="shared" si="38"/>
        <v>0</v>
      </c>
      <c r="B72" s="52" t="s">
        <v>71</v>
      </c>
      <c r="C72" s="120"/>
      <c r="D72" s="121">
        <f t="shared" ref="D72:F72" si="39">SUM(D61:D71)</f>
        <v>0</v>
      </c>
      <c r="E72" s="123">
        <f t="shared" si="39"/>
        <v>0</v>
      </c>
      <c r="F72" s="123">
        <f t="shared" si="39"/>
        <v>0</v>
      </c>
      <c r="G72" s="124" t="e">
        <f t="shared" si="0"/>
        <v>#DIV/0!</v>
      </c>
      <c r="H72" s="125" t="e">
        <f t="shared" si="1"/>
        <v>#DIV/0!</v>
      </c>
      <c r="I72" s="126" t="e">
        <f t="shared" si="2"/>
        <v>#DIV/0!</v>
      </c>
      <c r="J72" s="121">
        <f t="shared" ref="J72:M72" si="40">SUM(J61:J71)</f>
        <v>233.19</v>
      </c>
      <c r="K72" s="294">
        <f t="shared" si="40"/>
        <v>44379</v>
      </c>
      <c r="L72" s="123">
        <f t="shared" si="40"/>
        <v>0</v>
      </c>
      <c r="M72" s="127">
        <f t="shared" si="40"/>
        <v>821.1400000000001</v>
      </c>
      <c r="N72" s="128">
        <f t="shared" si="37"/>
        <v>0.28398324280877801</v>
      </c>
      <c r="O72" s="129">
        <f t="shared" si="4"/>
        <v>3.5213345340709297</v>
      </c>
      <c r="P72" s="128" t="e">
        <f t="shared" si="5"/>
        <v>#DIV/0!</v>
      </c>
      <c r="Q72" s="130" t="e">
        <f t="shared" si="6"/>
        <v>#DIV/0!</v>
      </c>
      <c r="R72" s="131">
        <f>SUM(R61:R71)</f>
        <v>-821.1400000000001</v>
      </c>
      <c r="S72" s="132" t="e">
        <f t="shared" si="8"/>
        <v>#DIV/0!</v>
      </c>
      <c r="T72" s="134">
        <f t="shared" ref="T72:U72" si="41">IFERROR((D72-D48)/D72,)</f>
        <v>0</v>
      </c>
      <c r="U72" s="134">
        <f t="shared" si="41"/>
        <v>0</v>
      </c>
      <c r="V72" s="134">
        <f t="shared" ref="V72:W72" si="42">IFERROR((D72-#REF!)/D72, )</f>
        <v>0</v>
      </c>
      <c r="W72" s="134">
        <f t="shared" si="42"/>
        <v>0</v>
      </c>
      <c r="X72" s="68"/>
      <c r="Y72" s="68"/>
      <c r="Z72" s="68"/>
    </row>
    <row r="73" spans="1:26" ht="12.75" hidden="1" outlineLevel="1" x14ac:dyDescent="0.2">
      <c r="A73" s="68"/>
      <c r="B73" s="69">
        <v>45746</v>
      </c>
      <c r="C73" s="70" t="s">
        <v>112</v>
      </c>
      <c r="D73" s="282"/>
      <c r="E73" s="283"/>
      <c r="F73" s="283"/>
      <c r="G73" s="74" t="e">
        <f t="shared" si="0"/>
        <v>#DIV/0!</v>
      </c>
      <c r="H73" s="75" t="e">
        <f t="shared" si="1"/>
        <v>#DIV/0!</v>
      </c>
      <c r="I73" s="76" t="e">
        <f t="shared" si="2"/>
        <v>#DIV/0!</v>
      </c>
      <c r="J73" s="77">
        <v>112.81</v>
      </c>
      <c r="K73" s="199">
        <v>40548</v>
      </c>
      <c r="L73" s="283"/>
      <c r="M73" s="78">
        <v>718.38</v>
      </c>
      <c r="N73" s="79">
        <f t="shared" si="37"/>
        <v>0.15703388178958211</v>
      </c>
      <c r="O73" s="80">
        <f t="shared" si="4"/>
        <v>6.3680524776172325</v>
      </c>
      <c r="P73" s="79" t="e">
        <f t="shared" si="5"/>
        <v>#DIV/0!</v>
      </c>
      <c r="Q73" s="81" t="e">
        <f t="shared" si="6"/>
        <v>#DIV/0!</v>
      </c>
      <c r="R73" s="82">
        <f t="shared" ref="R73:R83" si="43">D73-M73</f>
        <v>-718.38</v>
      </c>
      <c r="S73" s="83" t="e">
        <f t="shared" si="8"/>
        <v>#DIV/0!</v>
      </c>
      <c r="T73" s="84"/>
      <c r="U73" s="84"/>
      <c r="V73" s="84"/>
      <c r="W73" s="84"/>
      <c r="X73" s="85"/>
      <c r="Y73" s="68"/>
      <c r="Z73" s="68"/>
    </row>
    <row r="74" spans="1:26" ht="12.75" hidden="1" outlineLevel="1" x14ac:dyDescent="0.2">
      <c r="A74" s="68"/>
      <c r="B74" s="86"/>
      <c r="C74" s="70" t="s">
        <v>113</v>
      </c>
      <c r="D74" s="284"/>
      <c r="E74" s="283"/>
      <c r="F74" s="283"/>
      <c r="G74" s="74" t="e">
        <f t="shared" si="0"/>
        <v>#DIV/0!</v>
      </c>
      <c r="H74" s="75" t="e">
        <f t="shared" si="1"/>
        <v>#DIV/0!</v>
      </c>
      <c r="I74" s="76" t="e">
        <f t="shared" si="2"/>
        <v>#DIV/0!</v>
      </c>
      <c r="J74" s="87">
        <v>5.81</v>
      </c>
      <c r="K74" s="199">
        <v>1003</v>
      </c>
      <c r="L74" s="283"/>
      <c r="M74" s="88">
        <v>0</v>
      </c>
      <c r="N74" s="79" t="e">
        <f t="shared" si="37"/>
        <v>#DIV/0!</v>
      </c>
      <c r="O74" s="80">
        <f t="shared" si="4"/>
        <v>0</v>
      </c>
      <c r="P74" s="79" t="e">
        <f t="shared" si="5"/>
        <v>#DIV/0!</v>
      </c>
      <c r="Q74" s="81" t="e">
        <f t="shared" si="6"/>
        <v>#DIV/0!</v>
      </c>
      <c r="R74" s="89">
        <f t="shared" si="43"/>
        <v>0</v>
      </c>
      <c r="S74" s="83" t="e">
        <f t="shared" si="8"/>
        <v>#DIV/0!</v>
      </c>
      <c r="T74" s="84"/>
      <c r="U74" s="84"/>
      <c r="V74" s="84"/>
      <c r="W74" s="84"/>
      <c r="X74" s="85"/>
      <c r="Y74" s="68"/>
      <c r="Z74" s="68"/>
    </row>
    <row r="75" spans="1:26" ht="12.75" hidden="1" outlineLevel="1" x14ac:dyDescent="0.2">
      <c r="A75" s="68"/>
      <c r="B75" s="86"/>
      <c r="C75" s="70" t="s">
        <v>114</v>
      </c>
      <c r="D75" s="285"/>
      <c r="E75" s="283"/>
      <c r="F75" s="283"/>
      <c r="G75" s="74" t="e">
        <f t="shared" si="0"/>
        <v>#DIV/0!</v>
      </c>
      <c r="H75" s="75" t="e">
        <f t="shared" si="1"/>
        <v>#DIV/0!</v>
      </c>
      <c r="I75" s="76" t="e">
        <f t="shared" si="2"/>
        <v>#DIV/0!</v>
      </c>
      <c r="J75" s="90">
        <v>23.66</v>
      </c>
      <c r="K75" s="199">
        <v>7758</v>
      </c>
      <c r="L75" s="283"/>
      <c r="M75" s="91">
        <v>133.97999999999999</v>
      </c>
      <c r="N75" s="79">
        <f>(J75/M75)</f>
        <v>0.17659352142110765</v>
      </c>
      <c r="O75" s="80">
        <f t="shared" si="4"/>
        <v>5.6627218934911241</v>
      </c>
      <c r="P75" s="79" t="e">
        <f t="shared" si="5"/>
        <v>#DIV/0!</v>
      </c>
      <c r="Q75" s="81" t="e">
        <f t="shared" si="6"/>
        <v>#DIV/0!</v>
      </c>
      <c r="R75" s="92">
        <f t="shared" si="43"/>
        <v>-133.97999999999999</v>
      </c>
      <c r="S75" s="83" t="e">
        <f t="shared" si="8"/>
        <v>#DIV/0!</v>
      </c>
      <c r="T75" s="84"/>
      <c r="U75" s="84"/>
      <c r="V75" s="84"/>
      <c r="W75" s="84"/>
      <c r="X75" s="85"/>
      <c r="Y75" s="68"/>
      <c r="Z75" s="68"/>
    </row>
    <row r="76" spans="1:26" ht="12.75" hidden="1" outlineLevel="1" x14ac:dyDescent="0.2">
      <c r="A76" s="68"/>
      <c r="B76" s="86"/>
      <c r="C76" s="70" t="s">
        <v>115</v>
      </c>
      <c r="D76" s="285"/>
      <c r="E76" s="283"/>
      <c r="F76" s="283"/>
      <c r="G76" s="74" t="e">
        <f t="shared" si="0"/>
        <v>#DIV/0!</v>
      </c>
      <c r="H76" s="75" t="e">
        <f t="shared" si="1"/>
        <v>#DIV/0!</v>
      </c>
      <c r="I76" s="76" t="e">
        <f t="shared" si="2"/>
        <v>#DIV/0!</v>
      </c>
      <c r="J76" s="90">
        <v>11.77</v>
      </c>
      <c r="K76" s="199">
        <v>3610</v>
      </c>
      <c r="L76" s="283"/>
      <c r="M76" s="91">
        <v>0</v>
      </c>
      <c r="N76" s="79" t="e">
        <f t="shared" ref="N76:N86" si="44">J76/M76</f>
        <v>#DIV/0!</v>
      </c>
      <c r="O76" s="80">
        <f t="shared" si="4"/>
        <v>0</v>
      </c>
      <c r="P76" s="79" t="e">
        <f t="shared" si="5"/>
        <v>#DIV/0!</v>
      </c>
      <c r="Q76" s="81" t="e">
        <f t="shared" si="6"/>
        <v>#DIV/0!</v>
      </c>
      <c r="R76" s="92">
        <f t="shared" si="43"/>
        <v>0</v>
      </c>
      <c r="S76" s="83" t="e">
        <f t="shared" si="8"/>
        <v>#DIV/0!</v>
      </c>
      <c r="T76" s="84"/>
      <c r="U76" s="84"/>
      <c r="V76" s="84"/>
      <c r="W76" s="84"/>
      <c r="X76" s="85"/>
      <c r="Y76" s="68"/>
      <c r="Z76" s="68"/>
    </row>
    <row r="77" spans="1:26" ht="12.75" hidden="1" outlineLevel="1" x14ac:dyDescent="0.2">
      <c r="A77" s="68"/>
      <c r="B77" s="86"/>
      <c r="C77" s="70" t="s">
        <v>116</v>
      </c>
      <c r="D77" s="286"/>
      <c r="E77" s="283"/>
      <c r="F77" s="283"/>
      <c r="G77" s="74" t="e">
        <f t="shared" si="0"/>
        <v>#DIV/0!</v>
      </c>
      <c r="H77" s="75" t="e">
        <f t="shared" si="1"/>
        <v>#DIV/0!</v>
      </c>
      <c r="I77" s="76" t="e">
        <f t="shared" si="2"/>
        <v>#DIV/0!</v>
      </c>
      <c r="J77" s="200">
        <v>0</v>
      </c>
      <c r="K77" s="199">
        <v>0</v>
      </c>
      <c r="L77" s="283"/>
      <c r="M77" s="200">
        <v>0</v>
      </c>
      <c r="N77" s="79" t="e">
        <f t="shared" si="44"/>
        <v>#DIV/0!</v>
      </c>
      <c r="O77" s="80" t="e">
        <f t="shared" si="4"/>
        <v>#DIV/0!</v>
      </c>
      <c r="P77" s="79" t="e">
        <f t="shared" si="5"/>
        <v>#DIV/0!</v>
      </c>
      <c r="Q77" s="81" t="e">
        <f t="shared" si="6"/>
        <v>#DIV/0!</v>
      </c>
      <c r="R77" s="92">
        <f t="shared" si="43"/>
        <v>0</v>
      </c>
      <c r="S77" s="83" t="e">
        <f t="shared" si="8"/>
        <v>#DIV/0!</v>
      </c>
      <c r="T77" s="84"/>
      <c r="U77" s="84"/>
      <c r="V77" s="84"/>
      <c r="W77" s="84"/>
      <c r="X77" s="85"/>
      <c r="Y77" s="68"/>
      <c r="Z77" s="68"/>
    </row>
    <row r="78" spans="1:26" ht="12.75" hidden="1" outlineLevel="1" x14ac:dyDescent="0.2">
      <c r="A78" s="68"/>
      <c r="B78" s="86"/>
      <c r="C78" s="70" t="s">
        <v>117</v>
      </c>
      <c r="D78" s="287"/>
      <c r="E78" s="283"/>
      <c r="F78" s="283"/>
      <c r="G78" s="74" t="e">
        <f t="shared" si="0"/>
        <v>#DIV/0!</v>
      </c>
      <c r="H78" s="75" t="e">
        <f t="shared" si="1"/>
        <v>#DIV/0!</v>
      </c>
      <c r="I78" s="76" t="e">
        <f t="shared" si="2"/>
        <v>#DIV/0!</v>
      </c>
      <c r="J78" s="201">
        <v>24.6</v>
      </c>
      <c r="K78" s="199">
        <v>3042</v>
      </c>
      <c r="L78" s="283"/>
      <c r="M78" s="202">
        <v>50.96</v>
      </c>
      <c r="N78" s="79">
        <f t="shared" si="44"/>
        <v>0.48273155416012559</v>
      </c>
      <c r="O78" s="80">
        <f t="shared" si="4"/>
        <v>2.0715447154471542</v>
      </c>
      <c r="P78" s="79" t="e">
        <f t="shared" si="5"/>
        <v>#DIV/0!</v>
      </c>
      <c r="Q78" s="81" t="e">
        <f t="shared" si="6"/>
        <v>#DIV/0!</v>
      </c>
      <c r="R78" s="203">
        <f t="shared" si="43"/>
        <v>-50.96</v>
      </c>
      <c r="S78" s="83" t="e">
        <f t="shared" si="8"/>
        <v>#DIV/0!</v>
      </c>
      <c r="T78" s="84"/>
      <c r="U78" s="84"/>
      <c r="V78" s="84"/>
      <c r="W78" s="84"/>
      <c r="X78" s="85"/>
      <c r="Y78" s="68"/>
      <c r="Z78" s="68"/>
    </row>
    <row r="79" spans="1:26" ht="12.75" hidden="1" outlineLevel="1" x14ac:dyDescent="0.2">
      <c r="A79" s="68"/>
      <c r="B79" s="86"/>
      <c r="C79" s="70" t="s">
        <v>118</v>
      </c>
      <c r="D79" s="285"/>
      <c r="E79" s="283"/>
      <c r="F79" s="283"/>
      <c r="G79" s="74" t="e">
        <f t="shared" si="0"/>
        <v>#DIV/0!</v>
      </c>
      <c r="H79" s="75" t="e">
        <f t="shared" si="1"/>
        <v>#DIV/0!</v>
      </c>
      <c r="I79" s="76" t="e">
        <f t="shared" si="2"/>
        <v>#DIV/0!</v>
      </c>
      <c r="J79" s="90">
        <v>67.98</v>
      </c>
      <c r="K79" s="199">
        <v>8098</v>
      </c>
      <c r="L79" s="283"/>
      <c r="M79" s="91">
        <v>178</v>
      </c>
      <c r="N79" s="79">
        <f t="shared" si="44"/>
        <v>0.38191011235955058</v>
      </c>
      <c r="O79" s="80">
        <f t="shared" si="4"/>
        <v>2.6184171815239776</v>
      </c>
      <c r="P79" s="79" t="e">
        <f t="shared" si="5"/>
        <v>#DIV/0!</v>
      </c>
      <c r="Q79" s="81" t="e">
        <f t="shared" si="6"/>
        <v>#DIV/0!</v>
      </c>
      <c r="R79" s="92">
        <f t="shared" si="43"/>
        <v>-178</v>
      </c>
      <c r="S79" s="83" t="e">
        <f t="shared" si="8"/>
        <v>#DIV/0!</v>
      </c>
      <c r="T79" s="84"/>
      <c r="U79" s="84"/>
      <c r="V79" s="84"/>
      <c r="W79" s="84"/>
      <c r="X79" s="85"/>
      <c r="Y79" s="68"/>
      <c r="Z79" s="68"/>
    </row>
    <row r="80" spans="1:26" ht="12.75" hidden="1" outlineLevel="1" x14ac:dyDescent="0.2">
      <c r="A80" s="68"/>
      <c r="B80" s="69" t="s">
        <v>37</v>
      </c>
      <c r="C80" s="70" t="s">
        <v>119</v>
      </c>
      <c r="D80" s="288"/>
      <c r="E80" s="283"/>
      <c r="F80" s="283"/>
      <c r="G80" s="74" t="e">
        <f t="shared" si="0"/>
        <v>#DIV/0!</v>
      </c>
      <c r="H80" s="75" t="e">
        <f t="shared" si="1"/>
        <v>#DIV/0!</v>
      </c>
      <c r="I80" s="76" t="e">
        <f t="shared" si="2"/>
        <v>#DIV/0!</v>
      </c>
      <c r="J80" s="93">
        <v>0.57999999999999996</v>
      </c>
      <c r="K80" s="199">
        <v>106</v>
      </c>
      <c r="L80" s="283"/>
      <c r="M80" s="94">
        <v>0</v>
      </c>
      <c r="N80" s="79" t="e">
        <f t="shared" si="44"/>
        <v>#DIV/0!</v>
      </c>
      <c r="O80" s="80">
        <f t="shared" si="4"/>
        <v>0</v>
      </c>
      <c r="P80" s="79" t="e">
        <f t="shared" si="5"/>
        <v>#DIV/0!</v>
      </c>
      <c r="Q80" s="81" t="e">
        <f t="shared" si="6"/>
        <v>#DIV/0!</v>
      </c>
      <c r="R80" s="95">
        <f t="shared" si="43"/>
        <v>0</v>
      </c>
      <c r="S80" s="83" t="e">
        <f t="shared" si="8"/>
        <v>#DIV/0!</v>
      </c>
      <c r="T80" s="84"/>
      <c r="U80" s="84"/>
      <c r="V80" s="84"/>
      <c r="W80" s="84"/>
      <c r="X80" s="85"/>
      <c r="Y80" s="68"/>
      <c r="Z80" s="68"/>
    </row>
    <row r="81" spans="1:26" ht="12.75" hidden="1" outlineLevel="1" x14ac:dyDescent="0.2">
      <c r="A81" s="68"/>
      <c r="B81" s="86"/>
      <c r="C81" s="70" t="s">
        <v>120</v>
      </c>
      <c r="D81" s="289"/>
      <c r="E81" s="283"/>
      <c r="F81" s="283"/>
      <c r="G81" s="74" t="e">
        <f t="shared" si="0"/>
        <v>#DIV/0!</v>
      </c>
      <c r="H81" s="75" t="e">
        <f t="shared" si="1"/>
        <v>#DIV/0!</v>
      </c>
      <c r="I81" s="76" t="e">
        <f t="shared" si="2"/>
        <v>#DIV/0!</v>
      </c>
      <c r="J81" s="96">
        <v>14.19</v>
      </c>
      <c r="K81" s="199">
        <v>3583</v>
      </c>
      <c r="L81" s="283"/>
      <c r="M81" s="97">
        <v>0</v>
      </c>
      <c r="N81" s="79" t="e">
        <f t="shared" si="44"/>
        <v>#DIV/0!</v>
      </c>
      <c r="O81" s="80">
        <f t="shared" si="4"/>
        <v>0</v>
      </c>
      <c r="P81" s="79" t="e">
        <f t="shared" si="5"/>
        <v>#DIV/0!</v>
      </c>
      <c r="Q81" s="81" t="e">
        <f t="shared" si="6"/>
        <v>#DIV/0!</v>
      </c>
      <c r="R81" s="98">
        <f t="shared" si="43"/>
        <v>0</v>
      </c>
      <c r="S81" s="83" t="e">
        <f t="shared" si="8"/>
        <v>#DIV/0!</v>
      </c>
      <c r="T81" s="84"/>
      <c r="U81" s="84"/>
      <c r="V81" s="84"/>
      <c r="W81" s="84"/>
      <c r="X81" s="85"/>
      <c r="Y81" s="68"/>
      <c r="Z81" s="68"/>
    </row>
    <row r="82" spans="1:26" ht="12.75" hidden="1" outlineLevel="1" x14ac:dyDescent="0.2">
      <c r="A82" s="68"/>
      <c r="B82" s="86"/>
      <c r="C82" s="70" t="s">
        <v>121</v>
      </c>
      <c r="D82" s="290"/>
      <c r="E82" s="283"/>
      <c r="F82" s="283"/>
      <c r="G82" s="74" t="e">
        <f t="shared" si="0"/>
        <v>#DIV/0!</v>
      </c>
      <c r="H82" s="75" t="e">
        <f t="shared" si="1"/>
        <v>#DIV/0!</v>
      </c>
      <c r="I82" s="76" t="e">
        <f t="shared" si="2"/>
        <v>#DIV/0!</v>
      </c>
      <c r="J82" s="99">
        <v>37.85</v>
      </c>
      <c r="K82" s="199">
        <v>6765</v>
      </c>
      <c r="L82" s="283"/>
      <c r="M82" s="100">
        <v>204.96</v>
      </c>
      <c r="N82" s="79">
        <f t="shared" si="44"/>
        <v>0.18467017954722872</v>
      </c>
      <c r="O82" s="80">
        <f t="shared" si="4"/>
        <v>5.4150594451783354</v>
      </c>
      <c r="P82" s="79" t="e">
        <f t="shared" si="5"/>
        <v>#DIV/0!</v>
      </c>
      <c r="Q82" s="81" t="e">
        <f t="shared" si="6"/>
        <v>#DIV/0!</v>
      </c>
      <c r="R82" s="101">
        <f t="shared" si="43"/>
        <v>-204.96</v>
      </c>
      <c r="S82" s="83" t="e">
        <f t="shared" si="8"/>
        <v>#DIV/0!</v>
      </c>
      <c r="T82" s="84"/>
      <c r="U82" s="84"/>
      <c r="V82" s="84"/>
      <c r="W82" s="84"/>
      <c r="X82" s="85"/>
      <c r="Y82" s="68"/>
      <c r="Z82" s="68"/>
    </row>
    <row r="83" spans="1:26" ht="12.75" hidden="1" outlineLevel="1" x14ac:dyDescent="0.2">
      <c r="A83" s="118" t="str">
        <f t="shared" ref="A83:A84" si="45">IFERROR(IF(B83&gt;0,MONTH(B83)&amp;"-"&amp;YEAR(B83),B83),)</f>
        <v>4-2025</v>
      </c>
      <c r="B83" s="69">
        <v>45752</v>
      </c>
      <c r="C83" s="70" t="s">
        <v>123</v>
      </c>
      <c r="D83" s="293"/>
      <c r="E83" s="283"/>
      <c r="F83" s="283"/>
      <c r="G83" s="74" t="e">
        <f t="shared" si="0"/>
        <v>#DIV/0!</v>
      </c>
      <c r="H83" s="75" t="e">
        <f t="shared" si="1"/>
        <v>#DIV/0!</v>
      </c>
      <c r="I83" s="76" t="e">
        <f t="shared" si="2"/>
        <v>#DIV/0!</v>
      </c>
      <c r="J83" s="87">
        <v>0</v>
      </c>
      <c r="K83" s="199">
        <v>0</v>
      </c>
      <c r="L83" s="283"/>
      <c r="M83" s="88">
        <v>0</v>
      </c>
      <c r="N83" s="79" t="e">
        <f t="shared" si="44"/>
        <v>#DIV/0!</v>
      </c>
      <c r="O83" s="80" t="e">
        <f t="shared" si="4"/>
        <v>#DIV/0!</v>
      </c>
      <c r="P83" s="79" t="e">
        <f t="shared" si="5"/>
        <v>#DIV/0!</v>
      </c>
      <c r="Q83" s="81" t="e">
        <f t="shared" si="6"/>
        <v>#DIV/0!</v>
      </c>
      <c r="R83" s="82">
        <f t="shared" si="43"/>
        <v>0</v>
      </c>
      <c r="S83" s="83" t="e">
        <f t="shared" si="8"/>
        <v>#DIV/0!</v>
      </c>
      <c r="T83" s="84"/>
      <c r="U83" s="84"/>
      <c r="V83" s="84"/>
      <c r="W83" s="84"/>
      <c r="X83" s="85"/>
      <c r="Y83" s="68"/>
      <c r="Z83" s="68"/>
    </row>
    <row r="84" spans="1:26" ht="12.75" collapsed="1" x14ac:dyDescent="0.2">
      <c r="A84" s="68">
        <f t="shared" si="45"/>
        <v>0</v>
      </c>
      <c r="B84" s="52" t="s">
        <v>72</v>
      </c>
      <c r="C84" s="120"/>
      <c r="D84" s="121">
        <f t="shared" ref="D84:F84" si="46">SUM(D73:D83)</f>
        <v>0</v>
      </c>
      <c r="E84" s="123">
        <f t="shared" si="46"/>
        <v>0</v>
      </c>
      <c r="F84" s="123">
        <f t="shared" si="46"/>
        <v>0</v>
      </c>
      <c r="G84" s="124" t="e">
        <f t="shared" si="0"/>
        <v>#DIV/0!</v>
      </c>
      <c r="H84" s="125" t="e">
        <f t="shared" si="1"/>
        <v>#DIV/0!</v>
      </c>
      <c r="I84" s="126" t="e">
        <f t="shared" si="2"/>
        <v>#DIV/0!</v>
      </c>
      <c r="J84" s="121">
        <f t="shared" ref="J84:M84" si="47">SUM(J73:J83)</f>
        <v>299.25000000000006</v>
      </c>
      <c r="K84" s="294">
        <f t="shared" si="47"/>
        <v>74513</v>
      </c>
      <c r="L84" s="123">
        <f t="shared" si="47"/>
        <v>0</v>
      </c>
      <c r="M84" s="127">
        <f t="shared" si="47"/>
        <v>1286.2800000000002</v>
      </c>
      <c r="N84" s="128">
        <f t="shared" si="44"/>
        <v>0.23264763504058214</v>
      </c>
      <c r="O84" s="129">
        <f t="shared" si="4"/>
        <v>4.2983458646616537</v>
      </c>
      <c r="P84" s="128" t="e">
        <f t="shared" si="5"/>
        <v>#DIV/0!</v>
      </c>
      <c r="Q84" s="130" t="e">
        <f t="shared" si="6"/>
        <v>#DIV/0!</v>
      </c>
      <c r="R84" s="131">
        <f>SUM(R73:R83)</f>
        <v>-1286.2800000000002</v>
      </c>
      <c r="S84" s="132" t="e">
        <f t="shared" si="8"/>
        <v>#DIV/0!</v>
      </c>
      <c r="T84" s="134">
        <f t="shared" ref="T84:U84" si="48">IFERROR((D84-D48)/D84,)</f>
        <v>0</v>
      </c>
      <c r="U84" s="134">
        <f t="shared" si="48"/>
        <v>0</v>
      </c>
      <c r="V84" s="134">
        <f t="shared" ref="V84:W84" si="49">IFERROR((D84-#REF!)/D84, )</f>
        <v>0</v>
      </c>
      <c r="W84" s="134">
        <f t="shared" si="49"/>
        <v>0</v>
      </c>
      <c r="X84" s="68"/>
      <c r="Y84" s="68"/>
      <c r="Z84" s="68"/>
    </row>
    <row r="85" spans="1:26" ht="12.75" hidden="1" outlineLevel="1" x14ac:dyDescent="0.2">
      <c r="A85" s="68"/>
      <c r="B85" s="69">
        <v>45753</v>
      </c>
      <c r="C85" s="70" t="s">
        <v>112</v>
      </c>
      <c r="D85" s="282"/>
      <c r="E85" s="283"/>
      <c r="F85" s="283"/>
      <c r="G85" s="74" t="e">
        <f t="shared" si="0"/>
        <v>#DIV/0!</v>
      </c>
      <c r="H85" s="75" t="e">
        <f t="shared" si="1"/>
        <v>#DIV/0!</v>
      </c>
      <c r="I85" s="76" t="e">
        <f t="shared" si="2"/>
        <v>#DIV/0!</v>
      </c>
      <c r="J85" s="77">
        <v>135.24</v>
      </c>
      <c r="K85" s="199">
        <v>54667</v>
      </c>
      <c r="L85" s="283"/>
      <c r="M85" s="78">
        <v>27.7</v>
      </c>
      <c r="N85" s="79">
        <f t="shared" si="44"/>
        <v>4.8823104693140795</v>
      </c>
      <c r="O85" s="80">
        <f t="shared" si="4"/>
        <v>0.20482105885832591</v>
      </c>
      <c r="P85" s="79" t="e">
        <f t="shared" si="5"/>
        <v>#DIV/0!</v>
      </c>
      <c r="Q85" s="81" t="e">
        <f t="shared" si="6"/>
        <v>#DIV/0!</v>
      </c>
      <c r="R85" s="82">
        <f t="shared" ref="R85:R95" si="50">D85-M85</f>
        <v>-27.7</v>
      </c>
      <c r="S85" s="83" t="e">
        <f t="shared" si="8"/>
        <v>#DIV/0!</v>
      </c>
      <c r="T85" s="84"/>
      <c r="U85" s="84"/>
      <c r="V85" s="84"/>
      <c r="W85" s="84"/>
      <c r="X85" s="85"/>
      <c r="Y85" s="68"/>
      <c r="Z85" s="68"/>
    </row>
    <row r="86" spans="1:26" ht="12.75" hidden="1" outlineLevel="1" x14ac:dyDescent="0.2">
      <c r="A86" s="68"/>
      <c r="B86" s="86"/>
      <c r="C86" s="70" t="s">
        <v>113</v>
      </c>
      <c r="D86" s="284"/>
      <c r="E86" s="283"/>
      <c r="F86" s="283"/>
      <c r="G86" s="74" t="e">
        <f t="shared" si="0"/>
        <v>#DIV/0!</v>
      </c>
      <c r="H86" s="75" t="e">
        <f t="shared" si="1"/>
        <v>#DIV/0!</v>
      </c>
      <c r="I86" s="76" t="e">
        <f t="shared" si="2"/>
        <v>#DIV/0!</v>
      </c>
      <c r="J86" s="87">
        <v>17.61</v>
      </c>
      <c r="K86" s="199">
        <v>4825</v>
      </c>
      <c r="L86" s="283"/>
      <c r="M86" s="88">
        <v>189.85</v>
      </c>
      <c r="N86" s="79">
        <f t="shared" si="44"/>
        <v>9.2757440084277054E-2</v>
      </c>
      <c r="O86" s="80">
        <f t="shared" si="4"/>
        <v>10.780806360022714</v>
      </c>
      <c r="P86" s="79" t="e">
        <f t="shared" si="5"/>
        <v>#DIV/0!</v>
      </c>
      <c r="Q86" s="81" t="e">
        <f t="shared" si="6"/>
        <v>#DIV/0!</v>
      </c>
      <c r="R86" s="89">
        <f t="shared" si="50"/>
        <v>-189.85</v>
      </c>
      <c r="S86" s="83" t="e">
        <f t="shared" si="8"/>
        <v>#DIV/0!</v>
      </c>
      <c r="T86" s="84"/>
      <c r="U86" s="84"/>
      <c r="V86" s="84"/>
      <c r="W86" s="84"/>
      <c r="X86" s="85"/>
      <c r="Y86" s="68"/>
      <c r="Z86" s="68"/>
    </row>
    <row r="87" spans="1:26" ht="12.75" hidden="1" outlineLevel="1" x14ac:dyDescent="0.2">
      <c r="A87" s="68"/>
      <c r="B87" s="86"/>
      <c r="C87" s="70" t="s">
        <v>114</v>
      </c>
      <c r="D87" s="285"/>
      <c r="E87" s="283"/>
      <c r="F87" s="283"/>
      <c r="G87" s="74" t="e">
        <f t="shared" si="0"/>
        <v>#DIV/0!</v>
      </c>
      <c r="H87" s="75" t="e">
        <f t="shared" si="1"/>
        <v>#DIV/0!</v>
      </c>
      <c r="I87" s="76" t="e">
        <f t="shared" si="2"/>
        <v>#DIV/0!</v>
      </c>
      <c r="J87" s="90">
        <v>74.680000000000007</v>
      </c>
      <c r="K87" s="199">
        <v>9140</v>
      </c>
      <c r="L87" s="283"/>
      <c r="M87" s="91">
        <v>0</v>
      </c>
      <c r="N87" s="79" t="e">
        <f>(J87/M87)</f>
        <v>#DIV/0!</v>
      </c>
      <c r="O87" s="80">
        <f t="shared" si="4"/>
        <v>0</v>
      </c>
      <c r="P87" s="79" t="e">
        <f t="shared" si="5"/>
        <v>#DIV/0!</v>
      </c>
      <c r="Q87" s="81" t="e">
        <f t="shared" si="6"/>
        <v>#DIV/0!</v>
      </c>
      <c r="R87" s="92">
        <f t="shared" si="50"/>
        <v>0</v>
      </c>
      <c r="S87" s="83" t="e">
        <f t="shared" si="8"/>
        <v>#DIV/0!</v>
      </c>
      <c r="T87" s="84"/>
      <c r="U87" s="84"/>
      <c r="V87" s="84"/>
      <c r="W87" s="84"/>
      <c r="X87" s="85"/>
      <c r="Y87" s="68"/>
      <c r="Z87" s="68"/>
    </row>
    <row r="88" spans="1:26" ht="12.75" hidden="1" outlineLevel="1" x14ac:dyDescent="0.2">
      <c r="A88" s="68"/>
      <c r="B88" s="86"/>
      <c r="C88" s="70" t="s">
        <v>115</v>
      </c>
      <c r="D88" s="285"/>
      <c r="E88" s="283"/>
      <c r="F88" s="283"/>
      <c r="G88" s="74" t="e">
        <f t="shared" si="0"/>
        <v>#DIV/0!</v>
      </c>
      <c r="H88" s="75" t="e">
        <f t="shared" si="1"/>
        <v>#DIV/0!</v>
      </c>
      <c r="I88" s="76" t="e">
        <f t="shared" si="2"/>
        <v>#DIV/0!</v>
      </c>
      <c r="J88" s="90">
        <v>6.47</v>
      </c>
      <c r="K88" s="199">
        <v>3038</v>
      </c>
      <c r="L88" s="283"/>
      <c r="M88" s="91">
        <v>119.9</v>
      </c>
      <c r="N88" s="79">
        <f t="shared" ref="N88:N98" si="51">J88/M88</f>
        <v>5.3961634695579644E-2</v>
      </c>
      <c r="O88" s="80">
        <f t="shared" si="4"/>
        <v>18.531684698608966</v>
      </c>
      <c r="P88" s="79" t="e">
        <f t="shared" si="5"/>
        <v>#DIV/0!</v>
      </c>
      <c r="Q88" s="81" t="e">
        <f t="shared" si="6"/>
        <v>#DIV/0!</v>
      </c>
      <c r="R88" s="92">
        <f t="shared" si="50"/>
        <v>-119.9</v>
      </c>
      <c r="S88" s="83" t="e">
        <f t="shared" si="8"/>
        <v>#DIV/0!</v>
      </c>
      <c r="T88" s="84"/>
      <c r="U88" s="84"/>
      <c r="V88" s="84"/>
      <c r="W88" s="84"/>
      <c r="X88" s="85"/>
      <c r="Y88" s="68"/>
      <c r="Z88" s="68"/>
    </row>
    <row r="89" spans="1:26" ht="12.75" hidden="1" outlineLevel="1" x14ac:dyDescent="0.2">
      <c r="A89" s="68"/>
      <c r="B89" s="86"/>
      <c r="C89" s="70" t="s">
        <v>116</v>
      </c>
      <c r="D89" s="286"/>
      <c r="E89" s="283"/>
      <c r="F89" s="283"/>
      <c r="G89" s="74" t="e">
        <f t="shared" si="0"/>
        <v>#DIV/0!</v>
      </c>
      <c r="H89" s="75" t="e">
        <f t="shared" si="1"/>
        <v>#DIV/0!</v>
      </c>
      <c r="I89" s="76" t="e">
        <f t="shared" si="2"/>
        <v>#DIV/0!</v>
      </c>
      <c r="J89" s="200">
        <v>1.88</v>
      </c>
      <c r="K89" s="199">
        <v>962</v>
      </c>
      <c r="L89" s="283"/>
      <c r="M89" s="200">
        <v>0</v>
      </c>
      <c r="N89" s="79" t="e">
        <f t="shared" si="51"/>
        <v>#DIV/0!</v>
      </c>
      <c r="O89" s="80">
        <f t="shared" si="4"/>
        <v>0</v>
      </c>
      <c r="P89" s="79" t="e">
        <f t="shared" si="5"/>
        <v>#DIV/0!</v>
      </c>
      <c r="Q89" s="81" t="e">
        <f t="shared" si="6"/>
        <v>#DIV/0!</v>
      </c>
      <c r="R89" s="92">
        <f t="shared" si="50"/>
        <v>0</v>
      </c>
      <c r="S89" s="83" t="e">
        <f t="shared" si="8"/>
        <v>#DIV/0!</v>
      </c>
      <c r="T89" s="84"/>
      <c r="U89" s="84"/>
      <c r="V89" s="84"/>
      <c r="W89" s="84"/>
      <c r="X89" s="85"/>
      <c r="Y89" s="68"/>
      <c r="Z89" s="68"/>
    </row>
    <row r="90" spans="1:26" ht="12.75" hidden="1" outlineLevel="1" x14ac:dyDescent="0.2">
      <c r="A90" s="68"/>
      <c r="B90" s="86"/>
      <c r="C90" s="70" t="s">
        <v>117</v>
      </c>
      <c r="D90" s="287"/>
      <c r="E90" s="283"/>
      <c r="F90" s="283"/>
      <c r="G90" s="74" t="e">
        <f t="shared" si="0"/>
        <v>#DIV/0!</v>
      </c>
      <c r="H90" s="75" t="e">
        <f t="shared" si="1"/>
        <v>#DIV/0!</v>
      </c>
      <c r="I90" s="76" t="e">
        <f t="shared" si="2"/>
        <v>#DIV/0!</v>
      </c>
      <c r="J90" s="201">
        <v>17.66</v>
      </c>
      <c r="K90" s="199">
        <v>2372</v>
      </c>
      <c r="L90" s="283"/>
      <c r="M90" s="202">
        <v>59.93</v>
      </c>
      <c r="N90" s="79">
        <f t="shared" si="51"/>
        <v>0.29467712331052898</v>
      </c>
      <c r="O90" s="80">
        <f t="shared" si="4"/>
        <v>3.3935447338618348</v>
      </c>
      <c r="P90" s="79" t="e">
        <f t="shared" si="5"/>
        <v>#DIV/0!</v>
      </c>
      <c r="Q90" s="81" t="e">
        <f t="shared" si="6"/>
        <v>#DIV/0!</v>
      </c>
      <c r="R90" s="203">
        <f t="shared" si="50"/>
        <v>-59.93</v>
      </c>
      <c r="S90" s="83" t="e">
        <f t="shared" si="8"/>
        <v>#DIV/0!</v>
      </c>
      <c r="T90" s="84"/>
      <c r="U90" s="84"/>
      <c r="V90" s="84"/>
      <c r="W90" s="84"/>
      <c r="X90" s="85"/>
      <c r="Y90" s="68"/>
      <c r="Z90" s="68"/>
    </row>
    <row r="91" spans="1:26" ht="12.75" hidden="1" outlineLevel="1" x14ac:dyDescent="0.2">
      <c r="A91" s="68"/>
      <c r="B91" s="86"/>
      <c r="C91" s="70" t="s">
        <v>118</v>
      </c>
      <c r="D91" s="285"/>
      <c r="E91" s="283"/>
      <c r="F91" s="283"/>
      <c r="G91" s="74" t="e">
        <f t="shared" si="0"/>
        <v>#DIV/0!</v>
      </c>
      <c r="H91" s="75" t="e">
        <f t="shared" si="1"/>
        <v>#DIV/0!</v>
      </c>
      <c r="I91" s="76" t="e">
        <f t="shared" si="2"/>
        <v>#DIV/0!</v>
      </c>
      <c r="J91" s="90">
        <v>46.49</v>
      </c>
      <c r="K91" s="199">
        <v>8612</v>
      </c>
      <c r="L91" s="283"/>
      <c r="M91" s="91">
        <v>0</v>
      </c>
      <c r="N91" s="79" t="e">
        <f t="shared" si="51"/>
        <v>#DIV/0!</v>
      </c>
      <c r="O91" s="80">
        <f t="shared" si="4"/>
        <v>0</v>
      </c>
      <c r="P91" s="79" t="e">
        <f t="shared" si="5"/>
        <v>#DIV/0!</v>
      </c>
      <c r="Q91" s="81" t="e">
        <f t="shared" si="6"/>
        <v>#DIV/0!</v>
      </c>
      <c r="R91" s="92">
        <f t="shared" si="50"/>
        <v>0</v>
      </c>
      <c r="S91" s="83" t="e">
        <f t="shared" si="8"/>
        <v>#DIV/0!</v>
      </c>
      <c r="T91" s="84"/>
      <c r="U91" s="84"/>
      <c r="V91" s="84"/>
      <c r="W91" s="84"/>
      <c r="X91" s="85"/>
      <c r="Y91" s="68"/>
      <c r="Z91" s="68"/>
    </row>
    <row r="92" spans="1:26" ht="12.75" hidden="1" outlineLevel="1" x14ac:dyDescent="0.2">
      <c r="A92" s="68"/>
      <c r="B92" s="69" t="s">
        <v>37</v>
      </c>
      <c r="C92" s="70" t="s">
        <v>119</v>
      </c>
      <c r="D92" s="288"/>
      <c r="E92" s="283"/>
      <c r="F92" s="283"/>
      <c r="G92" s="74" t="e">
        <f t="shared" si="0"/>
        <v>#DIV/0!</v>
      </c>
      <c r="H92" s="75" t="e">
        <f t="shared" si="1"/>
        <v>#DIV/0!</v>
      </c>
      <c r="I92" s="76" t="e">
        <f t="shared" si="2"/>
        <v>#DIV/0!</v>
      </c>
      <c r="J92" s="93">
        <v>2.15</v>
      </c>
      <c r="K92" s="199">
        <v>516</v>
      </c>
      <c r="L92" s="283"/>
      <c r="M92" s="94">
        <v>0</v>
      </c>
      <c r="N92" s="79" t="e">
        <f t="shared" si="51"/>
        <v>#DIV/0!</v>
      </c>
      <c r="O92" s="80">
        <f t="shared" si="4"/>
        <v>0</v>
      </c>
      <c r="P92" s="79" t="e">
        <f t="shared" si="5"/>
        <v>#DIV/0!</v>
      </c>
      <c r="Q92" s="81" t="e">
        <f t="shared" si="6"/>
        <v>#DIV/0!</v>
      </c>
      <c r="R92" s="95">
        <f t="shared" si="50"/>
        <v>0</v>
      </c>
      <c r="S92" s="83" t="e">
        <f t="shared" si="8"/>
        <v>#DIV/0!</v>
      </c>
      <c r="T92" s="84"/>
      <c r="U92" s="84"/>
      <c r="V92" s="84"/>
      <c r="W92" s="84"/>
      <c r="X92" s="85"/>
      <c r="Y92" s="68"/>
      <c r="Z92" s="68"/>
    </row>
    <row r="93" spans="1:26" ht="12.75" hidden="1" outlineLevel="1" x14ac:dyDescent="0.2">
      <c r="A93" s="68"/>
      <c r="B93" s="86"/>
      <c r="C93" s="70" t="s">
        <v>120</v>
      </c>
      <c r="D93" s="289"/>
      <c r="E93" s="283"/>
      <c r="F93" s="283"/>
      <c r="G93" s="74" t="e">
        <f t="shared" si="0"/>
        <v>#DIV/0!</v>
      </c>
      <c r="H93" s="75" t="e">
        <f t="shared" si="1"/>
        <v>#DIV/0!</v>
      </c>
      <c r="I93" s="76" t="e">
        <f t="shared" si="2"/>
        <v>#DIV/0!</v>
      </c>
      <c r="J93" s="96">
        <v>0.11</v>
      </c>
      <c r="K93" s="199">
        <v>112</v>
      </c>
      <c r="L93" s="283"/>
      <c r="M93" s="97">
        <v>0</v>
      </c>
      <c r="N93" s="79" t="e">
        <f t="shared" si="51"/>
        <v>#DIV/0!</v>
      </c>
      <c r="O93" s="80">
        <f t="shared" si="4"/>
        <v>0</v>
      </c>
      <c r="P93" s="79" t="e">
        <f t="shared" si="5"/>
        <v>#DIV/0!</v>
      </c>
      <c r="Q93" s="81" t="e">
        <f t="shared" si="6"/>
        <v>#DIV/0!</v>
      </c>
      <c r="R93" s="98">
        <f t="shared" si="50"/>
        <v>0</v>
      </c>
      <c r="S93" s="83" t="e">
        <f t="shared" si="8"/>
        <v>#DIV/0!</v>
      </c>
      <c r="T93" s="84"/>
      <c r="U93" s="84"/>
      <c r="V93" s="84"/>
      <c r="W93" s="84"/>
      <c r="X93" s="85"/>
      <c r="Y93" s="68"/>
      <c r="Z93" s="68"/>
    </row>
    <row r="94" spans="1:26" ht="12.75" hidden="1" outlineLevel="1" x14ac:dyDescent="0.2">
      <c r="A94" s="68"/>
      <c r="B94" s="86"/>
      <c r="C94" s="70" t="s">
        <v>121</v>
      </c>
      <c r="D94" s="290"/>
      <c r="E94" s="283"/>
      <c r="F94" s="283"/>
      <c r="G94" s="74" t="e">
        <f t="shared" si="0"/>
        <v>#DIV/0!</v>
      </c>
      <c r="H94" s="75" t="e">
        <f t="shared" si="1"/>
        <v>#DIV/0!</v>
      </c>
      <c r="I94" s="76" t="e">
        <f t="shared" si="2"/>
        <v>#DIV/0!</v>
      </c>
      <c r="J94" s="99">
        <v>28.6</v>
      </c>
      <c r="K94" s="199">
        <v>6028</v>
      </c>
      <c r="L94" s="283"/>
      <c r="M94" s="100">
        <v>75.31</v>
      </c>
      <c r="N94" s="79">
        <f t="shared" si="51"/>
        <v>0.37976364360642678</v>
      </c>
      <c r="O94" s="80">
        <f t="shared" si="4"/>
        <v>2.633216783216783</v>
      </c>
      <c r="P94" s="79" t="e">
        <f t="shared" si="5"/>
        <v>#DIV/0!</v>
      </c>
      <c r="Q94" s="81" t="e">
        <f t="shared" si="6"/>
        <v>#DIV/0!</v>
      </c>
      <c r="R94" s="101">
        <f t="shared" si="50"/>
        <v>-75.31</v>
      </c>
      <c r="S94" s="83" t="e">
        <f t="shared" si="8"/>
        <v>#DIV/0!</v>
      </c>
      <c r="T94" s="84"/>
      <c r="U94" s="84"/>
      <c r="V94" s="84"/>
      <c r="W94" s="84"/>
      <c r="X94" s="85"/>
      <c r="Y94" s="68"/>
      <c r="Z94" s="68"/>
    </row>
    <row r="95" spans="1:26" ht="12.75" hidden="1" outlineLevel="1" x14ac:dyDescent="0.2">
      <c r="A95" s="118" t="str">
        <f t="shared" ref="A95:A96" si="52">IFERROR(IF(B95&gt;0,MONTH(B95)&amp;"-"&amp;YEAR(B95),B95),)</f>
        <v>4-2025</v>
      </c>
      <c r="B95" s="69">
        <v>45759</v>
      </c>
      <c r="C95" s="70" t="s">
        <v>123</v>
      </c>
      <c r="D95" s="293"/>
      <c r="E95" s="283"/>
      <c r="F95" s="283"/>
      <c r="G95" s="74" t="e">
        <f t="shared" si="0"/>
        <v>#DIV/0!</v>
      </c>
      <c r="H95" s="75" t="e">
        <f t="shared" si="1"/>
        <v>#DIV/0!</v>
      </c>
      <c r="I95" s="76" t="e">
        <f t="shared" si="2"/>
        <v>#DIV/0!</v>
      </c>
      <c r="J95" s="87">
        <v>0</v>
      </c>
      <c r="K95" s="199">
        <v>0</v>
      </c>
      <c r="L95" s="283"/>
      <c r="M95" s="88">
        <v>0</v>
      </c>
      <c r="N95" s="79" t="e">
        <f t="shared" si="51"/>
        <v>#DIV/0!</v>
      </c>
      <c r="O95" s="80" t="e">
        <f t="shared" si="4"/>
        <v>#DIV/0!</v>
      </c>
      <c r="P95" s="79" t="e">
        <f t="shared" si="5"/>
        <v>#DIV/0!</v>
      </c>
      <c r="Q95" s="81" t="e">
        <f t="shared" si="6"/>
        <v>#DIV/0!</v>
      </c>
      <c r="R95" s="82">
        <f t="shared" si="50"/>
        <v>0</v>
      </c>
      <c r="S95" s="83" t="e">
        <f t="shared" si="8"/>
        <v>#DIV/0!</v>
      </c>
      <c r="T95" s="84"/>
      <c r="U95" s="84"/>
      <c r="V95" s="84"/>
      <c r="W95" s="84"/>
      <c r="X95" s="85"/>
      <c r="Y95" s="68"/>
      <c r="Z95" s="68"/>
    </row>
    <row r="96" spans="1:26" ht="12.75" collapsed="1" x14ac:dyDescent="0.2">
      <c r="A96" s="68">
        <f t="shared" si="52"/>
        <v>0</v>
      </c>
      <c r="B96" s="52" t="s">
        <v>73</v>
      </c>
      <c r="C96" s="120"/>
      <c r="D96" s="121">
        <f t="shared" ref="D96:F96" si="53">SUM(D85:D95)</f>
        <v>0</v>
      </c>
      <c r="E96" s="123">
        <f t="shared" si="53"/>
        <v>0</v>
      </c>
      <c r="F96" s="123">
        <f t="shared" si="53"/>
        <v>0</v>
      </c>
      <c r="G96" s="124" t="e">
        <f t="shared" si="0"/>
        <v>#DIV/0!</v>
      </c>
      <c r="H96" s="125" t="e">
        <f t="shared" si="1"/>
        <v>#DIV/0!</v>
      </c>
      <c r="I96" s="126" t="e">
        <f t="shared" si="2"/>
        <v>#DIV/0!</v>
      </c>
      <c r="J96" s="121">
        <f t="shared" ref="J96:M96" si="54">SUM(J85:J95)</f>
        <v>330.89000000000004</v>
      </c>
      <c r="K96" s="294">
        <f t="shared" si="54"/>
        <v>90272</v>
      </c>
      <c r="L96" s="123">
        <f t="shared" si="54"/>
        <v>0</v>
      </c>
      <c r="M96" s="127">
        <f t="shared" si="54"/>
        <v>472.69</v>
      </c>
      <c r="N96" s="128">
        <f t="shared" si="51"/>
        <v>0.70001480885992939</v>
      </c>
      <c r="O96" s="129">
        <f t="shared" si="4"/>
        <v>1.4285412070476591</v>
      </c>
      <c r="P96" s="128" t="e">
        <f t="shared" si="5"/>
        <v>#DIV/0!</v>
      </c>
      <c r="Q96" s="130" t="e">
        <f t="shared" si="6"/>
        <v>#DIV/0!</v>
      </c>
      <c r="R96" s="131">
        <f>SUM(R85:R95)</f>
        <v>-472.69</v>
      </c>
      <c r="S96" s="132" t="e">
        <f t="shared" si="8"/>
        <v>#DIV/0!</v>
      </c>
      <c r="T96" s="134">
        <f t="shared" ref="T96:U96" si="55">IFERROR((D96-D48)/D96,)</f>
        <v>0</v>
      </c>
      <c r="U96" s="134">
        <f t="shared" si="55"/>
        <v>0</v>
      </c>
      <c r="V96" s="134">
        <f t="shared" ref="V96:W96" si="56">IFERROR((D96-#REF!)/D96, )</f>
        <v>0</v>
      </c>
      <c r="W96" s="134">
        <f t="shared" si="56"/>
        <v>0</v>
      </c>
      <c r="X96" s="68"/>
      <c r="Y96" s="68"/>
      <c r="Z96" s="68"/>
    </row>
    <row r="97" spans="1:26" ht="12.75" hidden="1" outlineLevel="1" x14ac:dyDescent="0.2">
      <c r="A97" s="68"/>
      <c r="B97" s="69">
        <v>45760</v>
      </c>
      <c r="C97" s="70" t="s">
        <v>112</v>
      </c>
      <c r="D97" s="282"/>
      <c r="E97" s="283"/>
      <c r="F97" s="283"/>
      <c r="G97" s="74" t="e">
        <f t="shared" si="0"/>
        <v>#DIV/0!</v>
      </c>
      <c r="H97" s="75" t="e">
        <f t="shared" si="1"/>
        <v>#DIV/0!</v>
      </c>
      <c r="I97" s="76" t="e">
        <f t="shared" si="2"/>
        <v>#DIV/0!</v>
      </c>
      <c r="J97" s="77">
        <v>130.32</v>
      </c>
      <c r="K97" s="199">
        <v>46806</v>
      </c>
      <c r="L97" s="283"/>
      <c r="M97" s="78">
        <v>0</v>
      </c>
      <c r="N97" s="79" t="e">
        <f t="shared" si="51"/>
        <v>#DIV/0!</v>
      </c>
      <c r="O97" s="80">
        <f t="shared" si="4"/>
        <v>0</v>
      </c>
      <c r="P97" s="79" t="e">
        <f t="shared" si="5"/>
        <v>#DIV/0!</v>
      </c>
      <c r="Q97" s="81" t="e">
        <f t="shared" si="6"/>
        <v>#DIV/0!</v>
      </c>
      <c r="R97" s="82">
        <f t="shared" ref="R97:R107" si="57">D97-M97</f>
        <v>0</v>
      </c>
      <c r="S97" s="83" t="e">
        <f t="shared" si="8"/>
        <v>#DIV/0!</v>
      </c>
      <c r="T97" s="84"/>
      <c r="U97" s="84"/>
      <c r="V97" s="84"/>
      <c r="W97" s="84"/>
      <c r="X97" s="85"/>
      <c r="Y97" s="68"/>
      <c r="Z97" s="68"/>
    </row>
    <row r="98" spans="1:26" ht="12.75" hidden="1" outlineLevel="1" x14ac:dyDescent="0.2">
      <c r="A98" s="68"/>
      <c r="B98" s="86"/>
      <c r="C98" s="70" t="s">
        <v>113</v>
      </c>
      <c r="D98" s="284"/>
      <c r="E98" s="283"/>
      <c r="F98" s="283"/>
      <c r="G98" s="74" t="e">
        <f t="shared" si="0"/>
        <v>#DIV/0!</v>
      </c>
      <c r="H98" s="75" t="e">
        <f t="shared" si="1"/>
        <v>#DIV/0!</v>
      </c>
      <c r="I98" s="76" t="e">
        <f t="shared" si="2"/>
        <v>#DIV/0!</v>
      </c>
      <c r="J98" s="87">
        <v>17.899999999999999</v>
      </c>
      <c r="K98" s="199">
        <v>5129</v>
      </c>
      <c r="L98" s="283"/>
      <c r="M98" s="88">
        <v>0</v>
      </c>
      <c r="N98" s="79" t="e">
        <f t="shared" si="51"/>
        <v>#DIV/0!</v>
      </c>
      <c r="O98" s="80">
        <f t="shared" si="4"/>
        <v>0</v>
      </c>
      <c r="P98" s="79" t="e">
        <f t="shared" si="5"/>
        <v>#DIV/0!</v>
      </c>
      <c r="Q98" s="81" t="e">
        <f t="shared" si="6"/>
        <v>#DIV/0!</v>
      </c>
      <c r="R98" s="89">
        <f t="shared" si="57"/>
        <v>0</v>
      </c>
      <c r="S98" s="83" t="e">
        <f t="shared" si="8"/>
        <v>#DIV/0!</v>
      </c>
      <c r="T98" s="84"/>
      <c r="U98" s="84"/>
      <c r="V98" s="84"/>
      <c r="W98" s="84"/>
      <c r="X98" s="85"/>
      <c r="Y98" s="68"/>
      <c r="Z98" s="68"/>
    </row>
    <row r="99" spans="1:26" ht="12.75" hidden="1" outlineLevel="1" x14ac:dyDescent="0.2">
      <c r="A99" s="68"/>
      <c r="B99" s="86"/>
      <c r="C99" s="70" t="s">
        <v>114</v>
      </c>
      <c r="D99" s="285"/>
      <c r="E99" s="283"/>
      <c r="F99" s="283"/>
      <c r="G99" s="74" t="e">
        <f t="shared" si="0"/>
        <v>#DIV/0!</v>
      </c>
      <c r="H99" s="75" t="e">
        <f t="shared" si="1"/>
        <v>#DIV/0!</v>
      </c>
      <c r="I99" s="76" t="e">
        <f t="shared" si="2"/>
        <v>#DIV/0!</v>
      </c>
      <c r="J99" s="90">
        <v>101.51</v>
      </c>
      <c r="K99" s="199">
        <v>4379</v>
      </c>
      <c r="L99" s="283"/>
      <c r="M99" s="91">
        <v>0</v>
      </c>
      <c r="N99" s="79" t="e">
        <f>(J99/M99)</f>
        <v>#DIV/0!</v>
      </c>
      <c r="O99" s="80">
        <f t="shared" si="4"/>
        <v>0</v>
      </c>
      <c r="P99" s="79" t="e">
        <f t="shared" si="5"/>
        <v>#DIV/0!</v>
      </c>
      <c r="Q99" s="81" t="e">
        <f t="shared" si="6"/>
        <v>#DIV/0!</v>
      </c>
      <c r="R99" s="92">
        <f t="shared" si="57"/>
        <v>0</v>
      </c>
      <c r="S99" s="83" t="e">
        <f t="shared" si="8"/>
        <v>#DIV/0!</v>
      </c>
      <c r="T99" s="84"/>
      <c r="U99" s="84"/>
      <c r="V99" s="84"/>
      <c r="W99" s="84"/>
      <c r="X99" s="85"/>
      <c r="Y99" s="68"/>
      <c r="Z99" s="68"/>
    </row>
    <row r="100" spans="1:26" ht="12.75" hidden="1" outlineLevel="1" x14ac:dyDescent="0.2">
      <c r="A100" s="68"/>
      <c r="B100" s="86"/>
      <c r="C100" s="70" t="s">
        <v>115</v>
      </c>
      <c r="D100" s="285"/>
      <c r="E100" s="283"/>
      <c r="F100" s="283"/>
      <c r="G100" s="74" t="e">
        <f t="shared" si="0"/>
        <v>#DIV/0!</v>
      </c>
      <c r="H100" s="75" t="e">
        <f t="shared" si="1"/>
        <v>#DIV/0!</v>
      </c>
      <c r="I100" s="76" t="e">
        <f t="shared" si="2"/>
        <v>#DIV/0!</v>
      </c>
      <c r="J100" s="90">
        <v>13.26</v>
      </c>
      <c r="K100" s="199">
        <v>3581</v>
      </c>
      <c r="L100" s="283"/>
      <c r="M100" s="91">
        <v>0</v>
      </c>
      <c r="N100" s="79" t="e">
        <f t="shared" ref="N100:N110" si="58">J100/M100</f>
        <v>#DIV/0!</v>
      </c>
      <c r="O100" s="80">
        <f t="shared" si="4"/>
        <v>0</v>
      </c>
      <c r="P100" s="79" t="e">
        <f t="shared" si="5"/>
        <v>#DIV/0!</v>
      </c>
      <c r="Q100" s="81" t="e">
        <f t="shared" si="6"/>
        <v>#DIV/0!</v>
      </c>
      <c r="R100" s="92">
        <f t="shared" si="57"/>
        <v>0</v>
      </c>
      <c r="S100" s="83" t="e">
        <f t="shared" si="8"/>
        <v>#DIV/0!</v>
      </c>
      <c r="T100" s="84"/>
      <c r="U100" s="84"/>
      <c r="V100" s="84"/>
      <c r="W100" s="84"/>
      <c r="X100" s="85"/>
      <c r="Y100" s="68"/>
      <c r="Z100" s="68"/>
    </row>
    <row r="101" spans="1:26" ht="12.75" hidden="1" outlineLevel="1" x14ac:dyDescent="0.2">
      <c r="A101" s="68"/>
      <c r="B101" s="86"/>
      <c r="C101" s="70" t="s">
        <v>116</v>
      </c>
      <c r="D101" s="286"/>
      <c r="E101" s="283"/>
      <c r="F101" s="283"/>
      <c r="G101" s="74" t="e">
        <f t="shared" si="0"/>
        <v>#DIV/0!</v>
      </c>
      <c r="H101" s="75" t="e">
        <f t="shared" si="1"/>
        <v>#DIV/0!</v>
      </c>
      <c r="I101" s="76" t="e">
        <f t="shared" si="2"/>
        <v>#DIV/0!</v>
      </c>
      <c r="J101" s="200">
        <v>0.61</v>
      </c>
      <c r="K101" s="199">
        <v>399</v>
      </c>
      <c r="L101" s="283"/>
      <c r="M101" s="286"/>
      <c r="N101" s="79" t="e">
        <f t="shared" si="58"/>
        <v>#DIV/0!</v>
      </c>
      <c r="O101" s="80">
        <f t="shared" si="4"/>
        <v>0</v>
      </c>
      <c r="P101" s="79" t="e">
        <f t="shared" si="5"/>
        <v>#DIV/0!</v>
      </c>
      <c r="Q101" s="81" t="e">
        <f t="shared" si="6"/>
        <v>#DIV/0!</v>
      </c>
      <c r="R101" s="92">
        <f t="shared" si="57"/>
        <v>0</v>
      </c>
      <c r="S101" s="83" t="e">
        <f t="shared" si="8"/>
        <v>#DIV/0!</v>
      </c>
      <c r="T101" s="84"/>
      <c r="U101" s="84"/>
      <c r="V101" s="84"/>
      <c r="W101" s="84"/>
      <c r="X101" s="85"/>
      <c r="Y101" s="68"/>
      <c r="Z101" s="68"/>
    </row>
    <row r="102" spans="1:26" ht="12.75" hidden="1" outlineLevel="1" x14ac:dyDescent="0.2">
      <c r="A102" s="68"/>
      <c r="B102" s="86"/>
      <c r="C102" s="70" t="s">
        <v>117</v>
      </c>
      <c r="D102" s="287"/>
      <c r="E102" s="283"/>
      <c r="F102" s="283"/>
      <c r="G102" s="74" t="e">
        <f t="shared" si="0"/>
        <v>#DIV/0!</v>
      </c>
      <c r="H102" s="75" t="e">
        <f t="shared" si="1"/>
        <v>#DIV/0!</v>
      </c>
      <c r="I102" s="76" t="e">
        <f t="shared" si="2"/>
        <v>#DIV/0!</v>
      </c>
      <c r="J102" s="201">
        <v>34.450000000000003</v>
      </c>
      <c r="K102" s="199">
        <v>3962</v>
      </c>
      <c r="L102" s="283"/>
      <c r="M102" s="202">
        <v>99.88</v>
      </c>
      <c r="N102" s="79">
        <f t="shared" si="58"/>
        <v>0.34491389667601124</v>
      </c>
      <c r="O102" s="80">
        <f t="shared" si="4"/>
        <v>2.8992743105950649</v>
      </c>
      <c r="P102" s="79" t="e">
        <f t="shared" si="5"/>
        <v>#DIV/0!</v>
      </c>
      <c r="Q102" s="81" t="e">
        <f t="shared" si="6"/>
        <v>#DIV/0!</v>
      </c>
      <c r="R102" s="203">
        <f t="shared" si="57"/>
        <v>-99.88</v>
      </c>
      <c r="S102" s="83" t="e">
        <f t="shared" si="8"/>
        <v>#DIV/0!</v>
      </c>
      <c r="T102" s="84"/>
      <c r="U102" s="84"/>
      <c r="V102" s="84"/>
      <c r="W102" s="84"/>
      <c r="X102" s="85"/>
      <c r="Y102" s="68"/>
      <c r="Z102" s="68"/>
    </row>
    <row r="103" spans="1:26" ht="12.75" hidden="1" outlineLevel="1" x14ac:dyDescent="0.2">
      <c r="A103" s="68"/>
      <c r="B103" s="86"/>
      <c r="C103" s="70" t="s">
        <v>118</v>
      </c>
      <c r="D103" s="285"/>
      <c r="E103" s="283"/>
      <c r="F103" s="283"/>
      <c r="G103" s="74" t="e">
        <f t="shared" si="0"/>
        <v>#DIV/0!</v>
      </c>
      <c r="H103" s="75" t="e">
        <f t="shared" si="1"/>
        <v>#DIV/0!</v>
      </c>
      <c r="I103" s="76" t="e">
        <f t="shared" si="2"/>
        <v>#DIV/0!</v>
      </c>
      <c r="J103" s="90">
        <v>20.2</v>
      </c>
      <c r="K103" s="199">
        <v>1158</v>
      </c>
      <c r="L103" s="283"/>
      <c r="M103" s="91">
        <v>0</v>
      </c>
      <c r="N103" s="79" t="e">
        <f t="shared" si="58"/>
        <v>#DIV/0!</v>
      </c>
      <c r="O103" s="80">
        <f t="shared" si="4"/>
        <v>0</v>
      </c>
      <c r="P103" s="79" t="e">
        <f t="shared" si="5"/>
        <v>#DIV/0!</v>
      </c>
      <c r="Q103" s="81" t="e">
        <f t="shared" si="6"/>
        <v>#DIV/0!</v>
      </c>
      <c r="R103" s="92">
        <f t="shared" si="57"/>
        <v>0</v>
      </c>
      <c r="S103" s="83" t="e">
        <f t="shared" si="8"/>
        <v>#DIV/0!</v>
      </c>
      <c r="T103" s="84"/>
      <c r="U103" s="84"/>
      <c r="V103" s="84"/>
      <c r="W103" s="84"/>
      <c r="X103" s="85"/>
      <c r="Y103" s="68"/>
      <c r="Z103" s="68"/>
    </row>
    <row r="104" spans="1:26" ht="12.75" hidden="1" outlineLevel="1" x14ac:dyDescent="0.2">
      <c r="A104" s="68"/>
      <c r="B104" s="69" t="s">
        <v>37</v>
      </c>
      <c r="C104" s="70" t="s">
        <v>119</v>
      </c>
      <c r="D104" s="288"/>
      <c r="E104" s="283"/>
      <c r="F104" s="283"/>
      <c r="G104" s="74" t="e">
        <f t="shared" si="0"/>
        <v>#DIV/0!</v>
      </c>
      <c r="H104" s="75" t="e">
        <f t="shared" si="1"/>
        <v>#DIV/0!</v>
      </c>
      <c r="I104" s="76" t="e">
        <f t="shared" si="2"/>
        <v>#DIV/0!</v>
      </c>
      <c r="J104" s="93">
        <v>11.1</v>
      </c>
      <c r="K104" s="199">
        <v>3014</v>
      </c>
      <c r="L104" s="283"/>
      <c r="M104" s="94">
        <v>311.39999999999998</v>
      </c>
      <c r="N104" s="79">
        <f t="shared" si="58"/>
        <v>3.5645472061657031E-2</v>
      </c>
      <c r="O104" s="80">
        <f t="shared" si="4"/>
        <v>28.054054054054053</v>
      </c>
      <c r="P104" s="79" t="e">
        <f t="shared" si="5"/>
        <v>#DIV/0!</v>
      </c>
      <c r="Q104" s="81" t="e">
        <f t="shared" si="6"/>
        <v>#DIV/0!</v>
      </c>
      <c r="R104" s="95">
        <f t="shared" si="57"/>
        <v>-311.39999999999998</v>
      </c>
      <c r="S104" s="83" t="e">
        <f t="shared" si="8"/>
        <v>#DIV/0!</v>
      </c>
      <c r="T104" s="84"/>
      <c r="U104" s="84"/>
      <c r="V104" s="84"/>
      <c r="W104" s="84"/>
      <c r="X104" s="85"/>
      <c r="Y104" s="68"/>
      <c r="Z104" s="68"/>
    </row>
    <row r="105" spans="1:26" ht="12.75" hidden="1" outlineLevel="1" x14ac:dyDescent="0.2">
      <c r="A105" s="68"/>
      <c r="B105" s="86"/>
      <c r="C105" s="70" t="s">
        <v>120</v>
      </c>
      <c r="D105" s="289"/>
      <c r="E105" s="283"/>
      <c r="F105" s="283"/>
      <c r="G105" s="74" t="e">
        <f t="shared" si="0"/>
        <v>#DIV/0!</v>
      </c>
      <c r="H105" s="75" t="e">
        <f t="shared" si="1"/>
        <v>#DIV/0!</v>
      </c>
      <c r="I105" s="76" t="e">
        <f t="shared" si="2"/>
        <v>#DIV/0!</v>
      </c>
      <c r="J105" s="96">
        <v>0.06</v>
      </c>
      <c r="K105" s="199">
        <v>2</v>
      </c>
      <c r="L105" s="283"/>
      <c r="M105" s="97">
        <v>0</v>
      </c>
      <c r="N105" s="79" t="e">
        <f t="shared" si="58"/>
        <v>#DIV/0!</v>
      </c>
      <c r="O105" s="80">
        <f t="shared" si="4"/>
        <v>0</v>
      </c>
      <c r="P105" s="79" t="e">
        <f t="shared" si="5"/>
        <v>#DIV/0!</v>
      </c>
      <c r="Q105" s="81" t="e">
        <f t="shared" si="6"/>
        <v>#DIV/0!</v>
      </c>
      <c r="R105" s="98">
        <f t="shared" si="57"/>
        <v>0</v>
      </c>
      <c r="S105" s="83" t="e">
        <f t="shared" si="8"/>
        <v>#DIV/0!</v>
      </c>
      <c r="T105" s="84"/>
      <c r="U105" s="84"/>
      <c r="V105" s="84"/>
      <c r="W105" s="84"/>
      <c r="X105" s="85"/>
      <c r="Y105" s="68"/>
      <c r="Z105" s="68"/>
    </row>
    <row r="106" spans="1:26" ht="12.75" hidden="1" outlineLevel="1" x14ac:dyDescent="0.2">
      <c r="A106" s="68"/>
      <c r="B106" s="86"/>
      <c r="C106" s="70" t="s">
        <v>121</v>
      </c>
      <c r="D106" s="290"/>
      <c r="E106" s="283"/>
      <c r="F106" s="283"/>
      <c r="G106" s="74" t="e">
        <f t="shared" si="0"/>
        <v>#DIV/0!</v>
      </c>
      <c r="H106" s="75" t="e">
        <f t="shared" si="1"/>
        <v>#DIV/0!</v>
      </c>
      <c r="I106" s="76" t="e">
        <f t="shared" si="2"/>
        <v>#DIV/0!</v>
      </c>
      <c r="J106" s="99">
        <v>27.17</v>
      </c>
      <c r="K106" s="199">
        <v>6028</v>
      </c>
      <c r="L106" s="283"/>
      <c r="M106" s="100">
        <v>0</v>
      </c>
      <c r="N106" s="79" t="e">
        <f t="shared" si="58"/>
        <v>#DIV/0!</v>
      </c>
      <c r="O106" s="80">
        <f t="shared" si="4"/>
        <v>0</v>
      </c>
      <c r="P106" s="79" t="e">
        <f t="shared" si="5"/>
        <v>#DIV/0!</v>
      </c>
      <c r="Q106" s="81" t="e">
        <f t="shared" si="6"/>
        <v>#DIV/0!</v>
      </c>
      <c r="R106" s="101">
        <f t="shared" si="57"/>
        <v>0</v>
      </c>
      <c r="S106" s="83" t="e">
        <f t="shared" si="8"/>
        <v>#DIV/0!</v>
      </c>
      <c r="T106" s="84"/>
      <c r="U106" s="84"/>
      <c r="V106" s="84"/>
      <c r="W106" s="84"/>
      <c r="X106" s="85"/>
      <c r="Y106" s="68"/>
      <c r="Z106" s="68"/>
    </row>
    <row r="107" spans="1:26" ht="12.75" hidden="1" outlineLevel="1" x14ac:dyDescent="0.2">
      <c r="A107" s="118" t="str">
        <f t="shared" ref="A107:A108" si="59">IFERROR(IF(B107&gt;0,MONTH(B107)&amp;"-"&amp;YEAR(B107),B107),)</f>
        <v>4-2025</v>
      </c>
      <c r="B107" s="69">
        <v>45766</v>
      </c>
      <c r="C107" s="70" t="s">
        <v>123</v>
      </c>
      <c r="D107" s="293"/>
      <c r="E107" s="283"/>
      <c r="F107" s="283"/>
      <c r="G107" s="74" t="e">
        <f t="shared" si="0"/>
        <v>#DIV/0!</v>
      </c>
      <c r="H107" s="75" t="e">
        <f t="shared" si="1"/>
        <v>#DIV/0!</v>
      </c>
      <c r="I107" s="76" t="e">
        <f t="shared" si="2"/>
        <v>#DIV/0!</v>
      </c>
      <c r="J107" s="87">
        <v>0</v>
      </c>
      <c r="K107" s="199">
        <v>0</v>
      </c>
      <c r="L107" s="73">
        <v>0</v>
      </c>
      <c r="M107" s="88">
        <v>0</v>
      </c>
      <c r="N107" s="79" t="e">
        <f t="shared" si="58"/>
        <v>#DIV/0!</v>
      </c>
      <c r="O107" s="80" t="e">
        <f t="shared" si="4"/>
        <v>#DIV/0!</v>
      </c>
      <c r="P107" s="79" t="e">
        <f t="shared" si="5"/>
        <v>#DIV/0!</v>
      </c>
      <c r="Q107" s="81" t="e">
        <f t="shared" si="6"/>
        <v>#DIV/0!</v>
      </c>
      <c r="R107" s="82">
        <f t="shared" si="57"/>
        <v>0</v>
      </c>
      <c r="S107" s="83" t="e">
        <f t="shared" si="8"/>
        <v>#DIV/0!</v>
      </c>
      <c r="T107" s="84"/>
      <c r="U107" s="84"/>
      <c r="V107" s="84"/>
      <c r="W107" s="84"/>
      <c r="X107" s="85"/>
      <c r="Y107" s="68"/>
      <c r="Z107" s="68"/>
    </row>
    <row r="108" spans="1:26" ht="12.75" collapsed="1" x14ac:dyDescent="0.2">
      <c r="A108" s="68">
        <f t="shared" si="59"/>
        <v>0</v>
      </c>
      <c r="B108" s="52" t="s">
        <v>74</v>
      </c>
      <c r="C108" s="120"/>
      <c r="D108" s="121">
        <f t="shared" ref="D108:F108" si="60">SUM(D97:D107)</f>
        <v>0</v>
      </c>
      <c r="E108" s="123">
        <f t="shared" si="60"/>
        <v>0</v>
      </c>
      <c r="F108" s="123">
        <f t="shared" si="60"/>
        <v>0</v>
      </c>
      <c r="G108" s="124" t="e">
        <f t="shared" si="0"/>
        <v>#DIV/0!</v>
      </c>
      <c r="H108" s="125" t="e">
        <f t="shared" si="1"/>
        <v>#DIV/0!</v>
      </c>
      <c r="I108" s="126" t="e">
        <f t="shared" si="2"/>
        <v>#DIV/0!</v>
      </c>
      <c r="J108" s="121">
        <f t="shared" ref="J108:M108" si="61">SUM(J97:J107)</f>
        <v>356.58000000000004</v>
      </c>
      <c r="K108" s="294">
        <f t="shared" si="61"/>
        <v>74458</v>
      </c>
      <c r="L108" s="123">
        <f t="shared" si="61"/>
        <v>0</v>
      </c>
      <c r="M108" s="127">
        <f t="shared" si="61"/>
        <v>411.28</v>
      </c>
      <c r="N108" s="128">
        <f t="shared" si="58"/>
        <v>0.86700058354405773</v>
      </c>
      <c r="O108" s="129">
        <f t="shared" si="4"/>
        <v>1.1534017611756127</v>
      </c>
      <c r="P108" s="128" t="e">
        <f t="shared" si="5"/>
        <v>#DIV/0!</v>
      </c>
      <c r="Q108" s="130" t="e">
        <f t="shared" si="6"/>
        <v>#DIV/0!</v>
      </c>
      <c r="R108" s="131">
        <f>SUM(R97:R107)</f>
        <v>-411.28</v>
      </c>
      <c r="S108" s="132" t="e">
        <f t="shared" si="8"/>
        <v>#DIV/0!</v>
      </c>
      <c r="T108" s="134">
        <f t="shared" ref="T108:U108" si="62">IFERROR((D108-D48)/D108,)</f>
        <v>0</v>
      </c>
      <c r="U108" s="134">
        <f t="shared" si="62"/>
        <v>0</v>
      </c>
      <c r="V108" s="134">
        <f t="shared" ref="V108:W108" si="63">IFERROR((D108-#REF!)/D108, )</f>
        <v>0</v>
      </c>
      <c r="W108" s="134">
        <f t="shared" si="63"/>
        <v>0</v>
      </c>
      <c r="X108" s="68"/>
      <c r="Y108" s="68"/>
      <c r="Z108" s="68"/>
    </row>
    <row r="109" spans="1:26" ht="12.75" hidden="1" outlineLevel="1" x14ac:dyDescent="0.2">
      <c r="A109" s="68"/>
      <c r="B109" s="69">
        <v>45767</v>
      </c>
      <c r="C109" s="70" t="s">
        <v>112</v>
      </c>
      <c r="D109" s="282"/>
      <c r="E109" s="283"/>
      <c r="F109" s="283"/>
      <c r="G109" s="74" t="e">
        <f t="shared" si="0"/>
        <v>#DIV/0!</v>
      </c>
      <c r="H109" s="75" t="e">
        <f t="shared" si="1"/>
        <v>#DIV/0!</v>
      </c>
      <c r="I109" s="76" t="e">
        <f t="shared" si="2"/>
        <v>#DIV/0!</v>
      </c>
      <c r="J109" s="77">
        <v>51.36</v>
      </c>
      <c r="K109" s="199">
        <v>17565</v>
      </c>
      <c r="L109" s="283"/>
      <c r="M109" s="78">
        <v>0</v>
      </c>
      <c r="N109" s="79" t="e">
        <f t="shared" si="58"/>
        <v>#DIV/0!</v>
      </c>
      <c r="O109" s="80">
        <f t="shared" si="4"/>
        <v>0</v>
      </c>
      <c r="P109" s="79" t="e">
        <f t="shared" si="5"/>
        <v>#DIV/0!</v>
      </c>
      <c r="Q109" s="81" t="e">
        <f t="shared" si="6"/>
        <v>#DIV/0!</v>
      </c>
      <c r="R109" s="82">
        <f t="shared" ref="R109:R119" si="64">D109-M109</f>
        <v>0</v>
      </c>
      <c r="S109" s="83" t="e">
        <f t="shared" si="8"/>
        <v>#DIV/0!</v>
      </c>
      <c r="T109" s="84"/>
      <c r="U109" s="84"/>
      <c r="V109" s="84"/>
      <c r="W109" s="84"/>
      <c r="X109" s="85"/>
      <c r="Y109" s="68"/>
      <c r="Z109" s="68"/>
    </row>
    <row r="110" spans="1:26" ht="12.75" hidden="1" outlineLevel="1" x14ac:dyDescent="0.2">
      <c r="A110" s="68"/>
      <c r="B110" s="86"/>
      <c r="C110" s="70" t="s">
        <v>113</v>
      </c>
      <c r="D110" s="284"/>
      <c r="E110" s="283"/>
      <c r="F110" s="283"/>
      <c r="G110" s="74" t="e">
        <f t="shared" si="0"/>
        <v>#DIV/0!</v>
      </c>
      <c r="H110" s="75" t="e">
        <f t="shared" si="1"/>
        <v>#DIV/0!</v>
      </c>
      <c r="I110" s="76" t="e">
        <f t="shared" si="2"/>
        <v>#DIV/0!</v>
      </c>
      <c r="J110" s="87">
        <v>30.62</v>
      </c>
      <c r="K110" s="199">
        <v>5075</v>
      </c>
      <c r="L110" s="283"/>
      <c r="M110" s="88">
        <v>0</v>
      </c>
      <c r="N110" s="79" t="e">
        <f t="shared" si="58"/>
        <v>#DIV/0!</v>
      </c>
      <c r="O110" s="80">
        <f t="shared" si="4"/>
        <v>0</v>
      </c>
      <c r="P110" s="79" t="e">
        <f t="shared" si="5"/>
        <v>#DIV/0!</v>
      </c>
      <c r="Q110" s="81" t="e">
        <f t="shared" si="6"/>
        <v>#DIV/0!</v>
      </c>
      <c r="R110" s="89">
        <f t="shared" si="64"/>
        <v>0</v>
      </c>
      <c r="S110" s="83" t="e">
        <f t="shared" si="8"/>
        <v>#DIV/0!</v>
      </c>
      <c r="T110" s="84"/>
      <c r="U110" s="84"/>
      <c r="V110" s="84"/>
      <c r="W110" s="84"/>
      <c r="X110" s="85"/>
      <c r="Y110" s="68"/>
      <c r="Z110" s="68"/>
    </row>
    <row r="111" spans="1:26" ht="12.75" hidden="1" outlineLevel="1" x14ac:dyDescent="0.2">
      <c r="A111" s="68"/>
      <c r="B111" s="86"/>
      <c r="C111" s="70" t="s">
        <v>114</v>
      </c>
      <c r="D111" s="285"/>
      <c r="E111" s="283"/>
      <c r="F111" s="283"/>
      <c r="G111" s="74" t="e">
        <f t="shared" si="0"/>
        <v>#DIV/0!</v>
      </c>
      <c r="H111" s="75" t="e">
        <f t="shared" si="1"/>
        <v>#DIV/0!</v>
      </c>
      <c r="I111" s="76" t="e">
        <f t="shared" si="2"/>
        <v>#DIV/0!</v>
      </c>
      <c r="J111" s="90">
        <v>0.4</v>
      </c>
      <c r="K111" s="199">
        <v>193</v>
      </c>
      <c r="L111" s="283"/>
      <c r="M111" s="91">
        <v>0</v>
      </c>
      <c r="N111" s="79" t="e">
        <f>(J111/M111)</f>
        <v>#DIV/0!</v>
      </c>
      <c r="O111" s="80">
        <f t="shared" si="4"/>
        <v>0</v>
      </c>
      <c r="P111" s="79" t="e">
        <f t="shared" si="5"/>
        <v>#DIV/0!</v>
      </c>
      <c r="Q111" s="81" t="e">
        <f t="shared" si="6"/>
        <v>#DIV/0!</v>
      </c>
      <c r="R111" s="92">
        <f t="shared" si="64"/>
        <v>0</v>
      </c>
      <c r="S111" s="83" t="e">
        <f t="shared" si="8"/>
        <v>#DIV/0!</v>
      </c>
      <c r="T111" s="84"/>
      <c r="U111" s="84"/>
      <c r="V111" s="84"/>
      <c r="W111" s="84"/>
      <c r="X111" s="85"/>
      <c r="Y111" s="68"/>
      <c r="Z111" s="68"/>
    </row>
    <row r="112" spans="1:26" ht="12.75" hidden="1" outlineLevel="1" x14ac:dyDescent="0.2">
      <c r="A112" s="68"/>
      <c r="B112" s="86"/>
      <c r="C112" s="70" t="s">
        <v>115</v>
      </c>
      <c r="D112" s="285"/>
      <c r="E112" s="283"/>
      <c r="F112" s="283"/>
      <c r="G112" s="74" t="e">
        <f t="shared" si="0"/>
        <v>#DIV/0!</v>
      </c>
      <c r="H112" s="75" t="e">
        <f t="shared" si="1"/>
        <v>#DIV/0!</v>
      </c>
      <c r="I112" s="76" t="e">
        <f t="shared" si="2"/>
        <v>#DIV/0!</v>
      </c>
      <c r="J112" s="90">
        <v>0</v>
      </c>
      <c r="K112" s="199">
        <v>0</v>
      </c>
      <c r="L112" s="283"/>
      <c r="M112" s="91">
        <v>0</v>
      </c>
      <c r="N112" s="79" t="e">
        <f t="shared" ref="N112:N122" si="65">J112/M112</f>
        <v>#DIV/0!</v>
      </c>
      <c r="O112" s="80" t="e">
        <f t="shared" si="4"/>
        <v>#DIV/0!</v>
      </c>
      <c r="P112" s="79" t="e">
        <f t="shared" si="5"/>
        <v>#DIV/0!</v>
      </c>
      <c r="Q112" s="81" t="e">
        <f t="shared" si="6"/>
        <v>#DIV/0!</v>
      </c>
      <c r="R112" s="92">
        <f t="shared" si="64"/>
        <v>0</v>
      </c>
      <c r="S112" s="83" t="e">
        <f t="shared" si="8"/>
        <v>#DIV/0!</v>
      </c>
      <c r="T112" s="84"/>
      <c r="U112" s="84"/>
      <c r="V112" s="84"/>
      <c r="W112" s="84"/>
      <c r="X112" s="85"/>
      <c r="Y112" s="68"/>
      <c r="Z112" s="68"/>
    </row>
    <row r="113" spans="1:26" ht="12.75" hidden="1" outlineLevel="1" x14ac:dyDescent="0.2">
      <c r="A113" s="68"/>
      <c r="B113" s="86"/>
      <c r="C113" s="70" t="s">
        <v>116</v>
      </c>
      <c r="D113" s="286"/>
      <c r="E113" s="283"/>
      <c r="F113" s="283"/>
      <c r="G113" s="74" t="e">
        <f t="shared" si="0"/>
        <v>#DIV/0!</v>
      </c>
      <c r="H113" s="75" t="e">
        <f t="shared" si="1"/>
        <v>#DIV/0!</v>
      </c>
      <c r="I113" s="76" t="e">
        <f t="shared" si="2"/>
        <v>#DIV/0!</v>
      </c>
      <c r="J113" s="200">
        <v>0</v>
      </c>
      <c r="K113" s="199">
        <v>0</v>
      </c>
      <c r="L113" s="283"/>
      <c r="M113" s="200">
        <v>0</v>
      </c>
      <c r="N113" s="79" t="e">
        <f t="shared" si="65"/>
        <v>#DIV/0!</v>
      </c>
      <c r="O113" s="80" t="e">
        <f t="shared" si="4"/>
        <v>#DIV/0!</v>
      </c>
      <c r="P113" s="79" t="e">
        <f t="shared" si="5"/>
        <v>#DIV/0!</v>
      </c>
      <c r="Q113" s="81" t="e">
        <f t="shared" si="6"/>
        <v>#DIV/0!</v>
      </c>
      <c r="R113" s="92">
        <f t="shared" si="64"/>
        <v>0</v>
      </c>
      <c r="S113" s="83" t="e">
        <f t="shared" si="8"/>
        <v>#DIV/0!</v>
      </c>
      <c r="T113" s="84"/>
      <c r="U113" s="84"/>
      <c r="V113" s="84"/>
      <c r="W113" s="84"/>
      <c r="X113" s="85"/>
      <c r="Y113" s="68"/>
      <c r="Z113" s="68"/>
    </row>
    <row r="114" spans="1:26" ht="12.75" hidden="1" outlineLevel="1" x14ac:dyDescent="0.2">
      <c r="A114" s="68"/>
      <c r="B114" s="86"/>
      <c r="C114" s="70" t="s">
        <v>117</v>
      </c>
      <c r="D114" s="287"/>
      <c r="E114" s="283"/>
      <c r="F114" s="283"/>
      <c r="G114" s="74" t="e">
        <f t="shared" si="0"/>
        <v>#DIV/0!</v>
      </c>
      <c r="H114" s="75" t="e">
        <f t="shared" si="1"/>
        <v>#DIV/0!</v>
      </c>
      <c r="I114" s="76" t="e">
        <f t="shared" si="2"/>
        <v>#DIV/0!</v>
      </c>
      <c r="J114" s="201">
        <v>57.98</v>
      </c>
      <c r="K114" s="199">
        <v>10686</v>
      </c>
      <c r="L114" s="283"/>
      <c r="M114" s="202">
        <v>39.950000000000003</v>
      </c>
      <c r="N114" s="79">
        <f t="shared" si="65"/>
        <v>1.4513141426783478</v>
      </c>
      <c r="O114" s="80">
        <f t="shared" si="4"/>
        <v>0.68903070024146262</v>
      </c>
      <c r="P114" s="79" t="e">
        <f t="shared" si="5"/>
        <v>#DIV/0!</v>
      </c>
      <c r="Q114" s="81" t="e">
        <f t="shared" si="6"/>
        <v>#DIV/0!</v>
      </c>
      <c r="R114" s="203">
        <f t="shared" si="64"/>
        <v>-39.950000000000003</v>
      </c>
      <c r="S114" s="83" t="e">
        <f t="shared" si="8"/>
        <v>#DIV/0!</v>
      </c>
      <c r="T114" s="84"/>
      <c r="U114" s="84"/>
      <c r="V114" s="84"/>
      <c r="W114" s="84"/>
      <c r="X114" s="85"/>
      <c r="Y114" s="68"/>
      <c r="Z114" s="68"/>
    </row>
    <row r="115" spans="1:26" ht="12.75" hidden="1" outlineLevel="1" x14ac:dyDescent="0.2">
      <c r="A115" s="68"/>
      <c r="B115" s="86"/>
      <c r="C115" s="70" t="s">
        <v>118</v>
      </c>
      <c r="D115" s="285"/>
      <c r="E115" s="283"/>
      <c r="F115" s="283"/>
      <c r="G115" s="74" t="e">
        <f t="shared" si="0"/>
        <v>#DIV/0!</v>
      </c>
      <c r="H115" s="75" t="e">
        <f t="shared" si="1"/>
        <v>#DIV/0!</v>
      </c>
      <c r="I115" s="76" t="e">
        <f t="shared" si="2"/>
        <v>#DIV/0!</v>
      </c>
      <c r="J115" s="90">
        <v>92.85</v>
      </c>
      <c r="K115" s="199">
        <v>10833</v>
      </c>
      <c r="L115" s="283"/>
      <c r="M115" s="91">
        <v>0</v>
      </c>
      <c r="N115" s="79" t="e">
        <f t="shared" si="65"/>
        <v>#DIV/0!</v>
      </c>
      <c r="O115" s="80">
        <f t="shared" si="4"/>
        <v>0</v>
      </c>
      <c r="P115" s="79" t="e">
        <f t="shared" si="5"/>
        <v>#DIV/0!</v>
      </c>
      <c r="Q115" s="81" t="e">
        <f t="shared" si="6"/>
        <v>#DIV/0!</v>
      </c>
      <c r="R115" s="92">
        <f t="shared" si="64"/>
        <v>0</v>
      </c>
      <c r="S115" s="83" t="e">
        <f t="shared" si="8"/>
        <v>#DIV/0!</v>
      </c>
      <c r="T115" s="84"/>
      <c r="U115" s="84"/>
      <c r="V115" s="84"/>
      <c r="W115" s="84"/>
      <c r="X115" s="85"/>
      <c r="Y115" s="68"/>
      <c r="Z115" s="68"/>
    </row>
    <row r="116" spans="1:26" ht="12.75" hidden="1" outlineLevel="1" x14ac:dyDescent="0.2">
      <c r="A116" s="68"/>
      <c r="B116" s="69" t="s">
        <v>37</v>
      </c>
      <c r="C116" s="70" t="s">
        <v>119</v>
      </c>
      <c r="D116" s="288"/>
      <c r="E116" s="283"/>
      <c r="F116" s="283"/>
      <c r="G116" s="74" t="e">
        <f t="shared" si="0"/>
        <v>#DIV/0!</v>
      </c>
      <c r="H116" s="75" t="e">
        <f t="shared" si="1"/>
        <v>#DIV/0!</v>
      </c>
      <c r="I116" s="76" t="e">
        <f t="shared" si="2"/>
        <v>#DIV/0!</v>
      </c>
      <c r="J116" s="93">
        <v>36.57</v>
      </c>
      <c r="K116" s="199">
        <v>6465</v>
      </c>
      <c r="L116" s="283"/>
      <c r="M116" s="94">
        <v>231.02</v>
      </c>
      <c r="N116" s="79">
        <f t="shared" si="65"/>
        <v>0.15829798285862695</v>
      </c>
      <c r="O116" s="80">
        <f t="shared" si="4"/>
        <v>6.3171998906207278</v>
      </c>
      <c r="P116" s="79" t="e">
        <f t="shared" si="5"/>
        <v>#DIV/0!</v>
      </c>
      <c r="Q116" s="81" t="e">
        <f t="shared" si="6"/>
        <v>#DIV/0!</v>
      </c>
      <c r="R116" s="95">
        <f t="shared" si="64"/>
        <v>-231.02</v>
      </c>
      <c r="S116" s="83" t="e">
        <f t="shared" si="8"/>
        <v>#DIV/0!</v>
      </c>
      <c r="T116" s="84"/>
      <c r="U116" s="84"/>
      <c r="V116" s="84"/>
      <c r="W116" s="84"/>
      <c r="X116" s="85"/>
      <c r="Y116" s="68"/>
      <c r="Z116" s="68"/>
    </row>
    <row r="117" spans="1:26" ht="12.75" hidden="1" outlineLevel="1" x14ac:dyDescent="0.2">
      <c r="A117" s="68"/>
      <c r="B117" s="86"/>
      <c r="C117" s="70" t="s">
        <v>120</v>
      </c>
      <c r="D117" s="289"/>
      <c r="E117" s="283"/>
      <c r="F117" s="283"/>
      <c r="G117" s="74" t="e">
        <f t="shared" si="0"/>
        <v>#DIV/0!</v>
      </c>
      <c r="H117" s="75" t="e">
        <f t="shared" si="1"/>
        <v>#DIV/0!</v>
      </c>
      <c r="I117" s="76" t="e">
        <f t="shared" si="2"/>
        <v>#DIV/0!</v>
      </c>
      <c r="J117" s="96">
        <v>0</v>
      </c>
      <c r="K117" s="199">
        <v>0</v>
      </c>
      <c r="L117" s="283"/>
      <c r="M117" s="97">
        <v>0</v>
      </c>
      <c r="N117" s="79" t="e">
        <f t="shared" si="65"/>
        <v>#DIV/0!</v>
      </c>
      <c r="O117" s="80" t="e">
        <f t="shared" si="4"/>
        <v>#DIV/0!</v>
      </c>
      <c r="P117" s="79" t="e">
        <f t="shared" si="5"/>
        <v>#DIV/0!</v>
      </c>
      <c r="Q117" s="81" t="e">
        <f t="shared" si="6"/>
        <v>#DIV/0!</v>
      </c>
      <c r="R117" s="98">
        <f t="shared" si="64"/>
        <v>0</v>
      </c>
      <c r="S117" s="83" t="e">
        <f t="shared" si="8"/>
        <v>#DIV/0!</v>
      </c>
      <c r="T117" s="84"/>
      <c r="U117" s="84"/>
      <c r="V117" s="84"/>
      <c r="W117" s="84"/>
      <c r="X117" s="85"/>
      <c r="Y117" s="68"/>
      <c r="Z117" s="68"/>
    </row>
    <row r="118" spans="1:26" ht="12.75" hidden="1" outlineLevel="1" x14ac:dyDescent="0.2">
      <c r="A118" s="68"/>
      <c r="B118" s="86"/>
      <c r="C118" s="70" t="s">
        <v>121</v>
      </c>
      <c r="D118" s="290"/>
      <c r="E118" s="283"/>
      <c r="F118" s="283"/>
      <c r="G118" s="74" t="e">
        <f t="shared" si="0"/>
        <v>#DIV/0!</v>
      </c>
      <c r="H118" s="75" t="e">
        <f t="shared" si="1"/>
        <v>#DIV/0!</v>
      </c>
      <c r="I118" s="76" t="e">
        <f t="shared" si="2"/>
        <v>#DIV/0!</v>
      </c>
      <c r="J118" s="99">
        <v>5.76</v>
      </c>
      <c r="K118" s="199">
        <v>1139</v>
      </c>
      <c r="L118" s="283"/>
      <c r="M118" s="100">
        <v>44.95</v>
      </c>
      <c r="N118" s="79">
        <f t="shared" si="65"/>
        <v>0.12814238042269185</v>
      </c>
      <c r="O118" s="80">
        <f t="shared" si="4"/>
        <v>7.8038194444444455</v>
      </c>
      <c r="P118" s="79" t="e">
        <f t="shared" si="5"/>
        <v>#DIV/0!</v>
      </c>
      <c r="Q118" s="81" t="e">
        <f t="shared" si="6"/>
        <v>#DIV/0!</v>
      </c>
      <c r="R118" s="101">
        <f t="shared" si="64"/>
        <v>-44.95</v>
      </c>
      <c r="S118" s="83" t="e">
        <f t="shared" si="8"/>
        <v>#DIV/0!</v>
      </c>
      <c r="T118" s="84"/>
      <c r="U118" s="84"/>
      <c r="V118" s="84"/>
      <c r="W118" s="84"/>
      <c r="X118" s="85"/>
      <c r="Y118" s="68"/>
      <c r="Z118" s="68"/>
    </row>
    <row r="119" spans="1:26" ht="12.75" hidden="1" outlineLevel="1" x14ac:dyDescent="0.2">
      <c r="A119" s="118" t="str">
        <f t="shared" ref="A119:A120" si="66">IFERROR(IF(B119&gt;0,MONTH(B119)&amp;"-"&amp;YEAR(B119),B119),)</f>
        <v>4-2025</v>
      </c>
      <c r="B119" s="69">
        <v>45773</v>
      </c>
      <c r="C119" s="70" t="s">
        <v>123</v>
      </c>
      <c r="D119" s="293"/>
      <c r="E119" s="283"/>
      <c r="F119" s="283"/>
      <c r="G119" s="74" t="e">
        <f t="shared" si="0"/>
        <v>#DIV/0!</v>
      </c>
      <c r="H119" s="75" t="e">
        <f t="shared" si="1"/>
        <v>#DIV/0!</v>
      </c>
      <c r="I119" s="76" t="e">
        <f t="shared" si="2"/>
        <v>#DIV/0!</v>
      </c>
      <c r="J119" s="87">
        <v>0</v>
      </c>
      <c r="K119" s="199">
        <v>0</v>
      </c>
      <c r="L119" s="283"/>
      <c r="M119" s="88">
        <v>0</v>
      </c>
      <c r="N119" s="79" t="e">
        <f t="shared" si="65"/>
        <v>#DIV/0!</v>
      </c>
      <c r="O119" s="80" t="e">
        <f t="shared" si="4"/>
        <v>#DIV/0!</v>
      </c>
      <c r="P119" s="79" t="e">
        <f t="shared" si="5"/>
        <v>#DIV/0!</v>
      </c>
      <c r="Q119" s="81" t="e">
        <f t="shared" si="6"/>
        <v>#DIV/0!</v>
      </c>
      <c r="R119" s="82">
        <f t="shared" si="64"/>
        <v>0</v>
      </c>
      <c r="S119" s="83" t="e">
        <f t="shared" si="8"/>
        <v>#DIV/0!</v>
      </c>
      <c r="T119" s="84"/>
      <c r="U119" s="84"/>
      <c r="V119" s="84"/>
      <c r="W119" s="84"/>
      <c r="X119" s="85"/>
      <c r="Y119" s="68"/>
      <c r="Z119" s="68"/>
    </row>
    <row r="120" spans="1:26" ht="12.75" collapsed="1" x14ac:dyDescent="0.2">
      <c r="A120" s="68">
        <f t="shared" si="66"/>
        <v>0</v>
      </c>
      <c r="B120" s="52" t="s">
        <v>75</v>
      </c>
      <c r="C120" s="120"/>
      <c r="D120" s="121">
        <f t="shared" ref="D120:F120" si="67">SUM(D109:D119)</f>
        <v>0</v>
      </c>
      <c r="E120" s="123">
        <f t="shared" si="67"/>
        <v>0</v>
      </c>
      <c r="F120" s="123">
        <f t="shared" si="67"/>
        <v>0</v>
      </c>
      <c r="G120" s="124" t="e">
        <f t="shared" si="0"/>
        <v>#DIV/0!</v>
      </c>
      <c r="H120" s="125" t="e">
        <f t="shared" si="1"/>
        <v>#DIV/0!</v>
      </c>
      <c r="I120" s="126" t="e">
        <f t="shared" si="2"/>
        <v>#DIV/0!</v>
      </c>
      <c r="J120" s="121">
        <f t="shared" ref="J120:M120" si="68">SUM(J109:J119)</f>
        <v>275.54000000000002</v>
      </c>
      <c r="K120" s="294">
        <f t="shared" si="68"/>
        <v>51956</v>
      </c>
      <c r="L120" s="123">
        <f t="shared" si="68"/>
        <v>0</v>
      </c>
      <c r="M120" s="127">
        <f t="shared" si="68"/>
        <v>315.92</v>
      </c>
      <c r="N120" s="128">
        <f t="shared" si="65"/>
        <v>0.87218283109648009</v>
      </c>
      <c r="O120" s="129">
        <f t="shared" si="4"/>
        <v>1.146548595485229</v>
      </c>
      <c r="P120" s="128" t="e">
        <f t="shared" si="5"/>
        <v>#DIV/0!</v>
      </c>
      <c r="Q120" s="130" t="e">
        <f t="shared" si="6"/>
        <v>#DIV/0!</v>
      </c>
      <c r="R120" s="131">
        <f>SUM(R109:R119)</f>
        <v>-315.92</v>
      </c>
      <c r="S120" s="132" t="e">
        <f t="shared" si="8"/>
        <v>#DIV/0!</v>
      </c>
      <c r="T120" s="134">
        <f t="shared" ref="T120:U120" si="69">IFERROR((D120-D48)/D120,)</f>
        <v>0</v>
      </c>
      <c r="U120" s="134">
        <f t="shared" si="69"/>
        <v>0</v>
      </c>
      <c r="V120" s="134">
        <f t="shared" ref="V120:W120" si="70">IFERROR((D120-#REF!)/D120, )</f>
        <v>0</v>
      </c>
      <c r="W120" s="134">
        <f t="shared" si="70"/>
        <v>0</v>
      </c>
      <c r="X120" s="68"/>
      <c r="Y120" s="68"/>
      <c r="Z120" s="68"/>
    </row>
    <row r="121" spans="1:26" ht="12.75" hidden="1" outlineLevel="1" x14ac:dyDescent="0.2">
      <c r="A121" s="68"/>
      <c r="B121" s="69">
        <v>45774</v>
      </c>
      <c r="C121" s="70" t="s">
        <v>112</v>
      </c>
      <c r="D121" s="282"/>
      <c r="E121" s="283"/>
      <c r="F121" s="283"/>
      <c r="G121" s="74" t="e">
        <f t="shared" si="0"/>
        <v>#DIV/0!</v>
      </c>
      <c r="H121" s="75" t="e">
        <f t="shared" si="1"/>
        <v>#DIV/0!</v>
      </c>
      <c r="I121" s="76" t="e">
        <f t="shared" si="2"/>
        <v>#DIV/0!</v>
      </c>
      <c r="J121" s="77">
        <v>36.94</v>
      </c>
      <c r="K121" s="199">
        <v>11793</v>
      </c>
      <c r="L121" s="283"/>
      <c r="M121" s="78">
        <v>0</v>
      </c>
      <c r="N121" s="79" t="e">
        <f t="shared" si="65"/>
        <v>#DIV/0!</v>
      </c>
      <c r="O121" s="80">
        <f t="shared" si="4"/>
        <v>0</v>
      </c>
      <c r="P121" s="79" t="e">
        <f t="shared" si="5"/>
        <v>#DIV/0!</v>
      </c>
      <c r="Q121" s="81" t="e">
        <f t="shared" si="6"/>
        <v>#DIV/0!</v>
      </c>
      <c r="R121" s="82">
        <f t="shared" ref="R121:R131" si="71">D121-M121</f>
        <v>0</v>
      </c>
      <c r="S121" s="83" t="e">
        <f t="shared" si="8"/>
        <v>#DIV/0!</v>
      </c>
      <c r="T121" s="84"/>
      <c r="U121" s="84"/>
      <c r="V121" s="84"/>
      <c r="W121" s="84"/>
      <c r="X121" s="85"/>
      <c r="Y121" s="68"/>
      <c r="Z121" s="68"/>
    </row>
    <row r="122" spans="1:26" ht="12.75" hidden="1" outlineLevel="1" x14ac:dyDescent="0.2">
      <c r="A122" s="68"/>
      <c r="B122" s="86"/>
      <c r="C122" s="70" t="s">
        <v>113</v>
      </c>
      <c r="D122" s="284"/>
      <c r="E122" s="283"/>
      <c r="F122" s="283"/>
      <c r="G122" s="74" t="e">
        <f t="shared" si="0"/>
        <v>#DIV/0!</v>
      </c>
      <c r="H122" s="75" t="e">
        <f t="shared" si="1"/>
        <v>#DIV/0!</v>
      </c>
      <c r="I122" s="76" t="e">
        <f t="shared" si="2"/>
        <v>#DIV/0!</v>
      </c>
      <c r="J122" s="87">
        <v>9.23</v>
      </c>
      <c r="K122" s="199">
        <v>2115</v>
      </c>
      <c r="L122" s="283"/>
      <c r="M122" s="88">
        <v>69.95</v>
      </c>
      <c r="N122" s="79">
        <f t="shared" si="65"/>
        <v>0.13195139385275195</v>
      </c>
      <c r="O122" s="80">
        <f t="shared" si="4"/>
        <v>7.5785482123510288</v>
      </c>
      <c r="P122" s="79" t="e">
        <f t="shared" si="5"/>
        <v>#DIV/0!</v>
      </c>
      <c r="Q122" s="81" t="e">
        <f t="shared" si="6"/>
        <v>#DIV/0!</v>
      </c>
      <c r="R122" s="89">
        <f t="shared" si="71"/>
        <v>-69.95</v>
      </c>
      <c r="S122" s="83" t="e">
        <f t="shared" si="8"/>
        <v>#DIV/0!</v>
      </c>
      <c r="T122" s="84"/>
      <c r="U122" s="84"/>
      <c r="V122" s="84"/>
      <c r="W122" s="84"/>
      <c r="X122" s="85"/>
      <c r="Y122" s="68"/>
      <c r="Z122" s="68"/>
    </row>
    <row r="123" spans="1:26" ht="12.75" hidden="1" outlineLevel="1" x14ac:dyDescent="0.2">
      <c r="A123" s="68"/>
      <c r="B123" s="86"/>
      <c r="C123" s="70" t="s">
        <v>114</v>
      </c>
      <c r="D123" s="285"/>
      <c r="E123" s="283"/>
      <c r="F123" s="283"/>
      <c r="G123" s="74" t="e">
        <f t="shared" si="0"/>
        <v>#DIV/0!</v>
      </c>
      <c r="H123" s="75" t="e">
        <f t="shared" si="1"/>
        <v>#DIV/0!</v>
      </c>
      <c r="I123" s="76" t="e">
        <f t="shared" si="2"/>
        <v>#DIV/0!</v>
      </c>
      <c r="J123" s="90">
        <v>1.85</v>
      </c>
      <c r="K123" s="199">
        <v>517</v>
      </c>
      <c r="L123" s="283"/>
      <c r="M123" s="91">
        <v>0</v>
      </c>
      <c r="N123" s="79" t="e">
        <f>(J123/M123)</f>
        <v>#DIV/0!</v>
      </c>
      <c r="O123" s="80">
        <f t="shared" si="4"/>
        <v>0</v>
      </c>
      <c r="P123" s="79" t="e">
        <f t="shared" si="5"/>
        <v>#DIV/0!</v>
      </c>
      <c r="Q123" s="81" t="e">
        <f t="shared" si="6"/>
        <v>#DIV/0!</v>
      </c>
      <c r="R123" s="92">
        <f t="shared" si="71"/>
        <v>0</v>
      </c>
      <c r="S123" s="83" t="e">
        <f t="shared" si="8"/>
        <v>#DIV/0!</v>
      </c>
      <c r="T123" s="84"/>
      <c r="U123" s="84"/>
      <c r="V123" s="84"/>
      <c r="W123" s="84"/>
      <c r="X123" s="85"/>
      <c r="Y123" s="68"/>
      <c r="Z123" s="68"/>
    </row>
    <row r="124" spans="1:26" ht="12.75" hidden="1" outlineLevel="1" x14ac:dyDescent="0.2">
      <c r="A124" s="68"/>
      <c r="B124" s="86"/>
      <c r="C124" s="70" t="s">
        <v>115</v>
      </c>
      <c r="D124" s="285"/>
      <c r="E124" s="283"/>
      <c r="F124" s="283"/>
      <c r="G124" s="74" t="e">
        <f t="shared" si="0"/>
        <v>#DIV/0!</v>
      </c>
      <c r="H124" s="75" t="e">
        <f t="shared" si="1"/>
        <v>#DIV/0!</v>
      </c>
      <c r="I124" s="76" t="e">
        <f t="shared" si="2"/>
        <v>#DIV/0!</v>
      </c>
      <c r="J124" s="90">
        <v>0</v>
      </c>
      <c r="K124" s="199">
        <v>0</v>
      </c>
      <c r="L124" s="283"/>
      <c r="M124" s="91">
        <v>0</v>
      </c>
      <c r="N124" s="79" t="e">
        <f t="shared" ref="N124:N134" si="72">J124/M124</f>
        <v>#DIV/0!</v>
      </c>
      <c r="O124" s="80" t="e">
        <f t="shared" si="4"/>
        <v>#DIV/0!</v>
      </c>
      <c r="P124" s="79" t="e">
        <f t="shared" si="5"/>
        <v>#DIV/0!</v>
      </c>
      <c r="Q124" s="81" t="e">
        <f t="shared" si="6"/>
        <v>#DIV/0!</v>
      </c>
      <c r="R124" s="92">
        <f t="shared" si="71"/>
        <v>0</v>
      </c>
      <c r="S124" s="83" t="e">
        <f t="shared" si="8"/>
        <v>#DIV/0!</v>
      </c>
      <c r="T124" s="84"/>
      <c r="U124" s="84"/>
      <c r="V124" s="84"/>
      <c r="W124" s="84"/>
      <c r="X124" s="85"/>
      <c r="Y124" s="68"/>
      <c r="Z124" s="68"/>
    </row>
    <row r="125" spans="1:26" ht="12.75" hidden="1" outlineLevel="1" x14ac:dyDescent="0.2">
      <c r="A125" s="68"/>
      <c r="B125" s="86"/>
      <c r="C125" s="70" t="s">
        <v>116</v>
      </c>
      <c r="D125" s="286"/>
      <c r="E125" s="283"/>
      <c r="F125" s="283"/>
      <c r="G125" s="74" t="e">
        <f t="shared" si="0"/>
        <v>#DIV/0!</v>
      </c>
      <c r="H125" s="75" t="e">
        <f t="shared" si="1"/>
        <v>#DIV/0!</v>
      </c>
      <c r="I125" s="76" t="e">
        <f t="shared" si="2"/>
        <v>#DIV/0!</v>
      </c>
      <c r="J125" s="200">
        <v>0</v>
      </c>
      <c r="K125" s="302"/>
      <c r="L125" s="283"/>
      <c r="M125" s="200">
        <v>0</v>
      </c>
      <c r="N125" s="79" t="e">
        <f t="shared" si="72"/>
        <v>#DIV/0!</v>
      </c>
      <c r="O125" s="80" t="e">
        <f t="shared" si="4"/>
        <v>#DIV/0!</v>
      </c>
      <c r="P125" s="79" t="e">
        <f t="shared" si="5"/>
        <v>#DIV/0!</v>
      </c>
      <c r="Q125" s="81" t="e">
        <f t="shared" si="6"/>
        <v>#DIV/0!</v>
      </c>
      <c r="R125" s="92">
        <f t="shared" si="71"/>
        <v>0</v>
      </c>
      <c r="S125" s="83" t="e">
        <f t="shared" si="8"/>
        <v>#DIV/0!</v>
      </c>
      <c r="T125" s="84"/>
      <c r="U125" s="84"/>
      <c r="V125" s="84"/>
      <c r="W125" s="84"/>
      <c r="X125" s="85"/>
      <c r="Y125" s="68"/>
      <c r="Z125" s="68"/>
    </row>
    <row r="126" spans="1:26" ht="12.75" hidden="1" outlineLevel="1" x14ac:dyDescent="0.2">
      <c r="A126" s="68"/>
      <c r="B126" s="86"/>
      <c r="C126" s="70" t="s">
        <v>117</v>
      </c>
      <c r="D126" s="287"/>
      <c r="E126" s="283"/>
      <c r="F126" s="283"/>
      <c r="G126" s="74" t="e">
        <f t="shared" si="0"/>
        <v>#DIV/0!</v>
      </c>
      <c r="H126" s="75" t="e">
        <f t="shared" si="1"/>
        <v>#DIV/0!</v>
      </c>
      <c r="I126" s="76" t="e">
        <f t="shared" si="2"/>
        <v>#DIV/0!</v>
      </c>
      <c r="J126" s="201">
        <v>12.33</v>
      </c>
      <c r="K126" s="199">
        <v>1938</v>
      </c>
      <c r="L126" s="283"/>
      <c r="M126" s="202">
        <v>39.950000000000003</v>
      </c>
      <c r="N126" s="79">
        <f t="shared" si="72"/>
        <v>0.30863579474342928</v>
      </c>
      <c r="O126" s="80">
        <f t="shared" si="4"/>
        <v>3.2400648824006488</v>
      </c>
      <c r="P126" s="79" t="e">
        <f t="shared" si="5"/>
        <v>#DIV/0!</v>
      </c>
      <c r="Q126" s="81" t="e">
        <f t="shared" si="6"/>
        <v>#DIV/0!</v>
      </c>
      <c r="R126" s="203">
        <f t="shared" si="71"/>
        <v>-39.950000000000003</v>
      </c>
      <c r="S126" s="83" t="e">
        <f t="shared" si="8"/>
        <v>#DIV/0!</v>
      </c>
      <c r="T126" s="84"/>
      <c r="U126" s="84"/>
      <c r="V126" s="84"/>
      <c r="W126" s="84"/>
      <c r="X126" s="85"/>
      <c r="Y126" s="68"/>
      <c r="Z126" s="68"/>
    </row>
    <row r="127" spans="1:26" ht="12.75" hidden="1" outlineLevel="1" x14ac:dyDescent="0.2">
      <c r="A127" s="68"/>
      <c r="B127" s="86"/>
      <c r="C127" s="70" t="s">
        <v>118</v>
      </c>
      <c r="D127" s="285"/>
      <c r="E127" s="283"/>
      <c r="F127" s="283"/>
      <c r="G127" s="74" t="e">
        <f t="shared" si="0"/>
        <v>#DIV/0!</v>
      </c>
      <c r="H127" s="75" t="e">
        <f t="shared" si="1"/>
        <v>#DIV/0!</v>
      </c>
      <c r="I127" s="76" t="e">
        <f t="shared" si="2"/>
        <v>#DIV/0!</v>
      </c>
      <c r="J127" s="90">
        <v>3.84</v>
      </c>
      <c r="K127" s="199">
        <v>715</v>
      </c>
      <c r="L127" s="283"/>
      <c r="M127" s="91">
        <v>0</v>
      </c>
      <c r="N127" s="79" t="e">
        <f t="shared" si="72"/>
        <v>#DIV/0!</v>
      </c>
      <c r="O127" s="80">
        <f t="shared" si="4"/>
        <v>0</v>
      </c>
      <c r="P127" s="79" t="e">
        <f t="shared" si="5"/>
        <v>#DIV/0!</v>
      </c>
      <c r="Q127" s="81" t="e">
        <f t="shared" si="6"/>
        <v>#DIV/0!</v>
      </c>
      <c r="R127" s="92">
        <f t="shared" si="71"/>
        <v>0</v>
      </c>
      <c r="S127" s="83" t="e">
        <f t="shared" si="8"/>
        <v>#DIV/0!</v>
      </c>
      <c r="T127" s="84"/>
      <c r="U127" s="84"/>
      <c r="V127" s="84"/>
      <c r="W127" s="84"/>
      <c r="X127" s="85"/>
      <c r="Y127" s="68"/>
      <c r="Z127" s="68"/>
    </row>
    <row r="128" spans="1:26" ht="12.75" hidden="1" outlineLevel="1" x14ac:dyDescent="0.2">
      <c r="A128" s="68"/>
      <c r="B128" s="69" t="s">
        <v>37</v>
      </c>
      <c r="C128" s="70" t="s">
        <v>119</v>
      </c>
      <c r="D128" s="288"/>
      <c r="E128" s="283"/>
      <c r="F128" s="283"/>
      <c r="G128" s="74" t="e">
        <f t="shared" si="0"/>
        <v>#DIV/0!</v>
      </c>
      <c r="H128" s="75" t="e">
        <f t="shared" si="1"/>
        <v>#DIV/0!</v>
      </c>
      <c r="I128" s="76" t="e">
        <f t="shared" si="2"/>
        <v>#DIV/0!</v>
      </c>
      <c r="J128" s="93">
        <v>46.08</v>
      </c>
      <c r="K128" s="199">
        <v>7189</v>
      </c>
      <c r="L128" s="283"/>
      <c r="M128" s="94">
        <v>180</v>
      </c>
      <c r="N128" s="79">
        <f t="shared" si="72"/>
        <v>0.25600000000000001</v>
      </c>
      <c r="O128" s="80">
        <f t="shared" si="4"/>
        <v>3.90625</v>
      </c>
      <c r="P128" s="79" t="e">
        <f t="shared" si="5"/>
        <v>#DIV/0!</v>
      </c>
      <c r="Q128" s="81" t="e">
        <f t="shared" si="6"/>
        <v>#DIV/0!</v>
      </c>
      <c r="R128" s="95">
        <f t="shared" si="71"/>
        <v>-180</v>
      </c>
      <c r="S128" s="83" t="e">
        <f t="shared" si="8"/>
        <v>#DIV/0!</v>
      </c>
      <c r="T128" s="84"/>
      <c r="U128" s="84"/>
      <c r="V128" s="84"/>
      <c r="W128" s="84"/>
      <c r="X128" s="85"/>
      <c r="Y128" s="68"/>
      <c r="Z128" s="68"/>
    </row>
    <row r="129" spans="1:26" ht="12.75" hidden="1" outlineLevel="1" x14ac:dyDescent="0.2">
      <c r="A129" s="68"/>
      <c r="B129" s="86"/>
      <c r="C129" s="70" t="s">
        <v>120</v>
      </c>
      <c r="D129" s="289"/>
      <c r="E129" s="283"/>
      <c r="F129" s="283"/>
      <c r="G129" s="74" t="e">
        <f t="shared" si="0"/>
        <v>#DIV/0!</v>
      </c>
      <c r="H129" s="75" t="e">
        <f t="shared" si="1"/>
        <v>#DIV/0!</v>
      </c>
      <c r="I129" s="76" t="e">
        <f t="shared" si="2"/>
        <v>#DIV/0!</v>
      </c>
      <c r="J129" s="96">
        <v>0</v>
      </c>
      <c r="K129" s="199">
        <v>0</v>
      </c>
      <c r="L129" s="283"/>
      <c r="M129" s="97">
        <v>0</v>
      </c>
      <c r="N129" s="79" t="e">
        <f t="shared" si="72"/>
        <v>#DIV/0!</v>
      </c>
      <c r="O129" s="80" t="e">
        <f t="shared" si="4"/>
        <v>#DIV/0!</v>
      </c>
      <c r="P129" s="79" t="e">
        <f t="shared" si="5"/>
        <v>#DIV/0!</v>
      </c>
      <c r="Q129" s="81" t="e">
        <f t="shared" si="6"/>
        <v>#DIV/0!</v>
      </c>
      <c r="R129" s="98">
        <f t="shared" si="71"/>
        <v>0</v>
      </c>
      <c r="S129" s="83" t="e">
        <f t="shared" si="8"/>
        <v>#DIV/0!</v>
      </c>
      <c r="T129" s="84"/>
      <c r="U129" s="84"/>
      <c r="V129" s="84"/>
      <c r="W129" s="84"/>
      <c r="X129" s="85"/>
      <c r="Y129" s="68"/>
      <c r="Z129" s="68"/>
    </row>
    <row r="130" spans="1:26" ht="12.75" hidden="1" outlineLevel="1" x14ac:dyDescent="0.2">
      <c r="A130" s="68"/>
      <c r="B130" s="86"/>
      <c r="C130" s="70" t="s">
        <v>121</v>
      </c>
      <c r="D130" s="290"/>
      <c r="E130" s="283"/>
      <c r="F130" s="283"/>
      <c r="G130" s="74" t="e">
        <f t="shared" si="0"/>
        <v>#DIV/0!</v>
      </c>
      <c r="H130" s="75" t="e">
        <f t="shared" si="1"/>
        <v>#DIV/0!</v>
      </c>
      <c r="I130" s="76" t="e">
        <f t="shared" si="2"/>
        <v>#DIV/0!</v>
      </c>
      <c r="J130" s="99">
        <v>25.96</v>
      </c>
      <c r="K130" s="199">
        <v>6465</v>
      </c>
      <c r="L130" s="283"/>
      <c r="M130" s="100">
        <v>44.95</v>
      </c>
      <c r="N130" s="79">
        <f t="shared" si="72"/>
        <v>0.57753058954393766</v>
      </c>
      <c r="O130" s="80">
        <f t="shared" si="4"/>
        <v>1.7315100154083205</v>
      </c>
      <c r="P130" s="79" t="e">
        <f t="shared" si="5"/>
        <v>#DIV/0!</v>
      </c>
      <c r="Q130" s="81" t="e">
        <f t="shared" si="6"/>
        <v>#DIV/0!</v>
      </c>
      <c r="R130" s="101">
        <f t="shared" si="71"/>
        <v>-44.95</v>
      </c>
      <c r="S130" s="83" t="e">
        <f t="shared" si="8"/>
        <v>#DIV/0!</v>
      </c>
      <c r="T130" s="84"/>
      <c r="U130" s="84"/>
      <c r="V130" s="84"/>
      <c r="W130" s="84"/>
      <c r="X130" s="85"/>
      <c r="Y130" s="68"/>
      <c r="Z130" s="68"/>
    </row>
    <row r="131" spans="1:26" ht="12.75" hidden="1" outlineLevel="1" x14ac:dyDescent="0.2">
      <c r="A131" s="118" t="str">
        <f t="shared" ref="A131:A132" si="73">IFERROR(IF(B131&gt;0,MONTH(B131)&amp;"-"&amp;YEAR(B131),B131),)</f>
        <v>5-2025</v>
      </c>
      <c r="B131" s="69">
        <v>45780</v>
      </c>
      <c r="C131" s="70" t="s">
        <v>123</v>
      </c>
      <c r="D131" s="293"/>
      <c r="E131" s="283"/>
      <c r="F131" s="283"/>
      <c r="G131" s="74" t="e">
        <f t="shared" si="0"/>
        <v>#DIV/0!</v>
      </c>
      <c r="H131" s="75" t="e">
        <f t="shared" si="1"/>
        <v>#DIV/0!</v>
      </c>
      <c r="I131" s="76" t="e">
        <f t="shared" si="2"/>
        <v>#DIV/0!</v>
      </c>
      <c r="J131" s="87">
        <v>0</v>
      </c>
      <c r="K131" s="199">
        <v>0</v>
      </c>
      <c r="L131" s="283"/>
      <c r="M131" s="88">
        <v>0</v>
      </c>
      <c r="N131" s="79" t="e">
        <f t="shared" si="72"/>
        <v>#DIV/0!</v>
      </c>
      <c r="O131" s="80" t="e">
        <f t="shared" si="4"/>
        <v>#DIV/0!</v>
      </c>
      <c r="P131" s="79" t="e">
        <f t="shared" si="5"/>
        <v>#DIV/0!</v>
      </c>
      <c r="Q131" s="81" t="e">
        <f t="shared" si="6"/>
        <v>#DIV/0!</v>
      </c>
      <c r="R131" s="82">
        <f t="shared" si="71"/>
        <v>0</v>
      </c>
      <c r="S131" s="83" t="e">
        <f t="shared" si="8"/>
        <v>#DIV/0!</v>
      </c>
      <c r="T131" s="84"/>
      <c r="U131" s="84"/>
      <c r="V131" s="84"/>
      <c r="W131" s="84"/>
      <c r="X131" s="85"/>
      <c r="Y131" s="68"/>
      <c r="Z131" s="68"/>
    </row>
    <row r="132" spans="1:26" ht="12.75" collapsed="1" x14ac:dyDescent="0.2">
      <c r="A132" s="68">
        <f t="shared" si="73"/>
        <v>0</v>
      </c>
      <c r="B132" s="52" t="s">
        <v>76</v>
      </c>
      <c r="C132" s="120"/>
      <c r="D132" s="121">
        <f t="shared" ref="D132:F132" si="74">SUM(D121:D131)</f>
        <v>0</v>
      </c>
      <c r="E132" s="123">
        <f t="shared" si="74"/>
        <v>0</v>
      </c>
      <c r="F132" s="123">
        <f t="shared" si="74"/>
        <v>0</v>
      </c>
      <c r="G132" s="124" t="e">
        <f t="shared" si="0"/>
        <v>#DIV/0!</v>
      </c>
      <c r="H132" s="125" t="e">
        <f t="shared" si="1"/>
        <v>#DIV/0!</v>
      </c>
      <c r="I132" s="126" t="e">
        <f t="shared" si="2"/>
        <v>#DIV/0!</v>
      </c>
      <c r="J132" s="121">
        <f t="shared" ref="J132:M132" si="75">SUM(J121:J131)</f>
        <v>136.22999999999999</v>
      </c>
      <c r="K132" s="294">
        <f t="shared" si="75"/>
        <v>30732</v>
      </c>
      <c r="L132" s="123">
        <f t="shared" si="75"/>
        <v>0</v>
      </c>
      <c r="M132" s="127">
        <f t="shared" si="75"/>
        <v>334.84999999999997</v>
      </c>
      <c r="N132" s="128">
        <f t="shared" si="72"/>
        <v>0.40683888308197702</v>
      </c>
      <c r="O132" s="129">
        <f t="shared" si="4"/>
        <v>2.4579754826396534</v>
      </c>
      <c r="P132" s="128" t="e">
        <f t="shared" si="5"/>
        <v>#DIV/0!</v>
      </c>
      <c r="Q132" s="130" t="e">
        <f t="shared" si="6"/>
        <v>#DIV/0!</v>
      </c>
      <c r="R132" s="131">
        <f>SUM(R121:R131)</f>
        <v>-334.84999999999997</v>
      </c>
      <c r="S132" s="132" t="e">
        <f t="shared" si="8"/>
        <v>#DIV/0!</v>
      </c>
      <c r="T132" s="134">
        <f t="shared" ref="T132:U132" si="76">IFERROR((D132-D48)/D132,)</f>
        <v>0</v>
      </c>
      <c r="U132" s="134">
        <f t="shared" si="76"/>
        <v>0</v>
      </c>
      <c r="V132" s="134">
        <f t="shared" ref="V132:W132" si="77">IFERROR((D132-#REF!)/D132, )</f>
        <v>0</v>
      </c>
      <c r="W132" s="134">
        <f t="shared" si="77"/>
        <v>0</v>
      </c>
      <c r="X132" s="68"/>
      <c r="Y132" s="68"/>
      <c r="Z132" s="68"/>
    </row>
    <row r="133" spans="1:26" ht="12.75" hidden="1" outlineLevel="1" x14ac:dyDescent="0.2">
      <c r="A133" s="68"/>
      <c r="B133" s="69">
        <v>45781</v>
      </c>
      <c r="C133" s="70" t="s">
        <v>112</v>
      </c>
      <c r="D133" s="282"/>
      <c r="E133" s="283"/>
      <c r="F133" s="283"/>
      <c r="G133" s="74" t="e">
        <f t="shared" si="0"/>
        <v>#DIV/0!</v>
      </c>
      <c r="H133" s="75" t="e">
        <f t="shared" si="1"/>
        <v>#DIV/0!</v>
      </c>
      <c r="I133" s="76" t="e">
        <f t="shared" si="2"/>
        <v>#DIV/0!</v>
      </c>
      <c r="J133" s="77">
        <v>7.2</v>
      </c>
      <c r="K133" s="199">
        <v>2660</v>
      </c>
      <c r="L133" s="283"/>
      <c r="M133" s="78">
        <v>0</v>
      </c>
      <c r="N133" s="79" t="e">
        <f t="shared" si="72"/>
        <v>#DIV/0!</v>
      </c>
      <c r="O133" s="80">
        <f t="shared" si="4"/>
        <v>0</v>
      </c>
      <c r="P133" s="79" t="e">
        <f t="shared" si="5"/>
        <v>#DIV/0!</v>
      </c>
      <c r="Q133" s="81" t="e">
        <f t="shared" si="6"/>
        <v>#DIV/0!</v>
      </c>
      <c r="R133" s="82">
        <f t="shared" ref="R133:R143" si="78">D133-M133</f>
        <v>0</v>
      </c>
      <c r="S133" s="83" t="e">
        <f t="shared" si="8"/>
        <v>#DIV/0!</v>
      </c>
      <c r="T133" s="84"/>
      <c r="U133" s="84"/>
      <c r="V133" s="84"/>
      <c r="W133" s="84"/>
      <c r="X133" s="85"/>
      <c r="Y133" s="68"/>
      <c r="Z133" s="68"/>
    </row>
    <row r="134" spans="1:26" ht="12.75" hidden="1" outlineLevel="1" x14ac:dyDescent="0.2">
      <c r="A134" s="68"/>
      <c r="B134" s="86"/>
      <c r="C134" s="70" t="s">
        <v>113</v>
      </c>
      <c r="D134" s="284"/>
      <c r="E134" s="283"/>
      <c r="F134" s="283"/>
      <c r="G134" s="74" t="e">
        <f t="shared" si="0"/>
        <v>#DIV/0!</v>
      </c>
      <c r="H134" s="75" t="e">
        <f t="shared" si="1"/>
        <v>#DIV/0!</v>
      </c>
      <c r="I134" s="76" t="e">
        <f t="shared" si="2"/>
        <v>#DIV/0!</v>
      </c>
      <c r="J134" s="87">
        <v>9.2200000000000006</v>
      </c>
      <c r="K134" s="199">
        <v>1524</v>
      </c>
      <c r="L134" s="283"/>
      <c r="M134" s="88">
        <v>0</v>
      </c>
      <c r="N134" s="79" t="e">
        <f t="shared" si="72"/>
        <v>#DIV/0!</v>
      </c>
      <c r="O134" s="80">
        <f t="shared" si="4"/>
        <v>0</v>
      </c>
      <c r="P134" s="79" t="e">
        <f t="shared" si="5"/>
        <v>#DIV/0!</v>
      </c>
      <c r="Q134" s="81" t="e">
        <f t="shared" si="6"/>
        <v>#DIV/0!</v>
      </c>
      <c r="R134" s="89">
        <f t="shared" si="78"/>
        <v>0</v>
      </c>
      <c r="S134" s="83" t="e">
        <f t="shared" si="8"/>
        <v>#DIV/0!</v>
      </c>
      <c r="T134" s="84"/>
      <c r="U134" s="84"/>
      <c r="V134" s="84"/>
      <c r="W134" s="84"/>
      <c r="X134" s="85"/>
      <c r="Y134" s="68"/>
      <c r="Z134" s="68"/>
    </row>
    <row r="135" spans="1:26" ht="12.75" hidden="1" outlineLevel="1" x14ac:dyDescent="0.2">
      <c r="A135" s="68"/>
      <c r="B135" s="86"/>
      <c r="C135" s="70" t="s">
        <v>114</v>
      </c>
      <c r="D135" s="285"/>
      <c r="E135" s="283"/>
      <c r="F135" s="283"/>
      <c r="G135" s="74" t="e">
        <f t="shared" si="0"/>
        <v>#DIV/0!</v>
      </c>
      <c r="H135" s="75" t="e">
        <f t="shared" si="1"/>
        <v>#DIV/0!</v>
      </c>
      <c r="I135" s="76" t="e">
        <f t="shared" si="2"/>
        <v>#DIV/0!</v>
      </c>
      <c r="J135" s="90">
        <v>6.88</v>
      </c>
      <c r="K135" s="199">
        <v>3539</v>
      </c>
      <c r="L135" s="283"/>
      <c r="M135" s="91">
        <v>0</v>
      </c>
      <c r="N135" s="79" t="e">
        <f>(J135/M135)</f>
        <v>#DIV/0!</v>
      </c>
      <c r="O135" s="80">
        <f t="shared" si="4"/>
        <v>0</v>
      </c>
      <c r="P135" s="79" t="e">
        <f t="shared" si="5"/>
        <v>#DIV/0!</v>
      </c>
      <c r="Q135" s="81" t="e">
        <f t="shared" si="6"/>
        <v>#DIV/0!</v>
      </c>
      <c r="R135" s="92">
        <f t="shared" si="78"/>
        <v>0</v>
      </c>
      <c r="S135" s="83" t="e">
        <f t="shared" si="8"/>
        <v>#DIV/0!</v>
      </c>
      <c r="T135" s="84"/>
      <c r="U135" s="84"/>
      <c r="V135" s="84"/>
      <c r="W135" s="84"/>
      <c r="X135" s="85"/>
      <c r="Y135" s="68"/>
      <c r="Z135" s="68"/>
    </row>
    <row r="136" spans="1:26" ht="12.75" hidden="1" outlineLevel="1" x14ac:dyDescent="0.2">
      <c r="A136" s="68"/>
      <c r="B136" s="86"/>
      <c r="C136" s="70" t="s">
        <v>115</v>
      </c>
      <c r="D136" s="285"/>
      <c r="E136" s="283"/>
      <c r="F136" s="283"/>
      <c r="G136" s="74" t="e">
        <f t="shared" si="0"/>
        <v>#DIV/0!</v>
      </c>
      <c r="H136" s="75" t="e">
        <f t="shared" si="1"/>
        <v>#DIV/0!</v>
      </c>
      <c r="I136" s="76" t="e">
        <f t="shared" si="2"/>
        <v>#DIV/0!</v>
      </c>
      <c r="J136" s="90">
        <v>0.51</v>
      </c>
      <c r="K136" s="199">
        <v>143</v>
      </c>
      <c r="L136" s="283"/>
      <c r="M136" s="91">
        <v>0</v>
      </c>
      <c r="N136" s="79" t="e">
        <f t="shared" ref="N136:N146" si="79">J136/M136</f>
        <v>#DIV/0!</v>
      </c>
      <c r="O136" s="80">
        <f t="shared" si="4"/>
        <v>0</v>
      </c>
      <c r="P136" s="79" t="e">
        <f t="shared" si="5"/>
        <v>#DIV/0!</v>
      </c>
      <c r="Q136" s="81" t="e">
        <f t="shared" si="6"/>
        <v>#DIV/0!</v>
      </c>
      <c r="R136" s="92">
        <f t="shared" si="78"/>
        <v>0</v>
      </c>
      <c r="S136" s="83" t="e">
        <f t="shared" si="8"/>
        <v>#DIV/0!</v>
      </c>
      <c r="T136" s="84"/>
      <c r="U136" s="84"/>
      <c r="V136" s="84"/>
      <c r="W136" s="84"/>
      <c r="X136" s="85"/>
      <c r="Y136" s="68"/>
      <c r="Z136" s="68"/>
    </row>
    <row r="137" spans="1:26" ht="12.75" hidden="1" outlineLevel="1" x14ac:dyDescent="0.2">
      <c r="A137" s="68"/>
      <c r="B137" s="86"/>
      <c r="C137" s="70" t="s">
        <v>116</v>
      </c>
      <c r="D137" s="286"/>
      <c r="E137" s="283"/>
      <c r="F137" s="283"/>
      <c r="G137" s="74" t="e">
        <f t="shared" si="0"/>
        <v>#DIV/0!</v>
      </c>
      <c r="H137" s="75" t="e">
        <f t="shared" si="1"/>
        <v>#DIV/0!</v>
      </c>
      <c r="I137" s="76" t="e">
        <f t="shared" si="2"/>
        <v>#DIV/0!</v>
      </c>
      <c r="J137" s="200">
        <v>0.09</v>
      </c>
      <c r="K137" s="199">
        <v>2</v>
      </c>
      <c r="L137" s="283"/>
      <c r="M137" s="200">
        <v>0</v>
      </c>
      <c r="N137" s="79" t="e">
        <f t="shared" si="79"/>
        <v>#DIV/0!</v>
      </c>
      <c r="O137" s="80">
        <f t="shared" si="4"/>
        <v>0</v>
      </c>
      <c r="P137" s="79" t="e">
        <f t="shared" si="5"/>
        <v>#DIV/0!</v>
      </c>
      <c r="Q137" s="81" t="e">
        <f t="shared" si="6"/>
        <v>#DIV/0!</v>
      </c>
      <c r="R137" s="92">
        <f t="shared" si="78"/>
        <v>0</v>
      </c>
      <c r="S137" s="83" t="e">
        <f t="shared" si="8"/>
        <v>#DIV/0!</v>
      </c>
      <c r="T137" s="84"/>
      <c r="U137" s="84"/>
      <c r="V137" s="84"/>
      <c r="W137" s="84"/>
      <c r="X137" s="85"/>
      <c r="Y137" s="68"/>
      <c r="Z137" s="68"/>
    </row>
    <row r="138" spans="1:26" ht="12.75" hidden="1" outlineLevel="1" x14ac:dyDescent="0.2">
      <c r="A138" s="68"/>
      <c r="B138" s="86"/>
      <c r="C138" s="70" t="s">
        <v>117</v>
      </c>
      <c r="D138" s="287"/>
      <c r="E138" s="283"/>
      <c r="F138" s="283"/>
      <c r="G138" s="74" t="e">
        <f t="shared" si="0"/>
        <v>#DIV/0!</v>
      </c>
      <c r="H138" s="75" t="e">
        <f t="shared" si="1"/>
        <v>#DIV/0!</v>
      </c>
      <c r="I138" s="76" t="e">
        <f t="shared" si="2"/>
        <v>#DIV/0!</v>
      </c>
      <c r="J138" s="201">
        <v>22.77</v>
      </c>
      <c r="K138" s="199">
        <v>3888</v>
      </c>
      <c r="L138" s="283"/>
      <c r="M138" s="202">
        <v>119.85</v>
      </c>
      <c r="N138" s="79">
        <f t="shared" si="79"/>
        <v>0.1899874843554443</v>
      </c>
      <c r="O138" s="80">
        <f t="shared" si="4"/>
        <v>5.2635046113306982</v>
      </c>
      <c r="P138" s="79" t="e">
        <f t="shared" si="5"/>
        <v>#DIV/0!</v>
      </c>
      <c r="Q138" s="81" t="e">
        <f t="shared" si="6"/>
        <v>#DIV/0!</v>
      </c>
      <c r="R138" s="203">
        <f t="shared" si="78"/>
        <v>-119.85</v>
      </c>
      <c r="S138" s="83" t="e">
        <f t="shared" si="8"/>
        <v>#DIV/0!</v>
      </c>
      <c r="T138" s="84"/>
      <c r="U138" s="84"/>
      <c r="V138" s="84"/>
      <c r="W138" s="84"/>
      <c r="X138" s="85"/>
      <c r="Y138" s="68"/>
      <c r="Z138" s="68"/>
    </row>
    <row r="139" spans="1:26" ht="12.75" hidden="1" outlineLevel="1" x14ac:dyDescent="0.2">
      <c r="A139" s="68"/>
      <c r="B139" s="86"/>
      <c r="C139" s="70" t="s">
        <v>118</v>
      </c>
      <c r="D139" s="285"/>
      <c r="E139" s="283"/>
      <c r="F139" s="283"/>
      <c r="G139" s="74" t="e">
        <f t="shared" si="0"/>
        <v>#DIV/0!</v>
      </c>
      <c r="H139" s="75" t="e">
        <f t="shared" si="1"/>
        <v>#DIV/0!</v>
      </c>
      <c r="I139" s="76" t="e">
        <f t="shared" si="2"/>
        <v>#DIV/0!</v>
      </c>
      <c r="J139" s="90">
        <v>0.63</v>
      </c>
      <c r="K139" s="199">
        <v>15</v>
      </c>
      <c r="L139" s="283"/>
      <c r="M139" s="91">
        <v>0</v>
      </c>
      <c r="N139" s="79" t="e">
        <f t="shared" si="79"/>
        <v>#DIV/0!</v>
      </c>
      <c r="O139" s="80">
        <f t="shared" si="4"/>
        <v>0</v>
      </c>
      <c r="P139" s="79" t="e">
        <f t="shared" si="5"/>
        <v>#DIV/0!</v>
      </c>
      <c r="Q139" s="81" t="e">
        <f t="shared" si="6"/>
        <v>#DIV/0!</v>
      </c>
      <c r="R139" s="92">
        <f t="shared" si="78"/>
        <v>0</v>
      </c>
      <c r="S139" s="83" t="e">
        <f t="shared" si="8"/>
        <v>#DIV/0!</v>
      </c>
      <c r="T139" s="84"/>
      <c r="U139" s="84"/>
      <c r="V139" s="84"/>
      <c r="W139" s="84"/>
      <c r="X139" s="85"/>
      <c r="Y139" s="68"/>
      <c r="Z139" s="68"/>
    </row>
    <row r="140" spans="1:26" ht="12.75" hidden="1" outlineLevel="1" x14ac:dyDescent="0.2">
      <c r="A140" s="68"/>
      <c r="B140" s="69" t="s">
        <v>37</v>
      </c>
      <c r="C140" s="70" t="s">
        <v>119</v>
      </c>
      <c r="D140" s="288"/>
      <c r="E140" s="283"/>
      <c r="F140" s="283"/>
      <c r="G140" s="74" t="e">
        <f t="shared" si="0"/>
        <v>#DIV/0!</v>
      </c>
      <c r="H140" s="75" t="e">
        <f t="shared" si="1"/>
        <v>#DIV/0!</v>
      </c>
      <c r="I140" s="76" t="e">
        <f t="shared" si="2"/>
        <v>#DIV/0!</v>
      </c>
      <c r="J140" s="93">
        <v>1.25</v>
      </c>
      <c r="K140" s="199">
        <v>349</v>
      </c>
      <c r="L140" s="283"/>
      <c r="M140" s="94">
        <v>0</v>
      </c>
      <c r="N140" s="79" t="e">
        <f t="shared" si="79"/>
        <v>#DIV/0!</v>
      </c>
      <c r="O140" s="80">
        <f t="shared" si="4"/>
        <v>0</v>
      </c>
      <c r="P140" s="79" t="e">
        <f t="shared" si="5"/>
        <v>#DIV/0!</v>
      </c>
      <c r="Q140" s="81" t="e">
        <f t="shared" si="6"/>
        <v>#DIV/0!</v>
      </c>
      <c r="R140" s="95">
        <f t="shared" si="78"/>
        <v>0</v>
      </c>
      <c r="S140" s="83" t="e">
        <f t="shared" si="8"/>
        <v>#DIV/0!</v>
      </c>
      <c r="T140" s="84"/>
      <c r="U140" s="84"/>
      <c r="V140" s="84"/>
      <c r="W140" s="84"/>
      <c r="X140" s="85"/>
      <c r="Y140" s="68"/>
      <c r="Z140" s="68"/>
    </row>
    <row r="141" spans="1:26" ht="12.75" hidden="1" outlineLevel="1" x14ac:dyDescent="0.2">
      <c r="A141" s="68"/>
      <c r="B141" s="86"/>
      <c r="C141" s="70" t="s">
        <v>120</v>
      </c>
      <c r="D141" s="289"/>
      <c r="E141" s="283"/>
      <c r="F141" s="283"/>
      <c r="G141" s="74" t="e">
        <f t="shared" si="0"/>
        <v>#DIV/0!</v>
      </c>
      <c r="H141" s="75" t="e">
        <f t="shared" si="1"/>
        <v>#DIV/0!</v>
      </c>
      <c r="I141" s="76" t="e">
        <f t="shared" si="2"/>
        <v>#DIV/0!</v>
      </c>
      <c r="J141" s="96">
        <v>0.82</v>
      </c>
      <c r="K141" s="199">
        <v>395</v>
      </c>
      <c r="L141" s="283"/>
      <c r="M141" s="97">
        <v>389</v>
      </c>
      <c r="N141" s="79">
        <f t="shared" si="79"/>
        <v>2.1079691516709509E-3</v>
      </c>
      <c r="O141" s="80">
        <f t="shared" si="4"/>
        <v>474.39024390243907</v>
      </c>
      <c r="P141" s="79" t="e">
        <f t="shared" si="5"/>
        <v>#DIV/0!</v>
      </c>
      <c r="Q141" s="81" t="e">
        <f t="shared" si="6"/>
        <v>#DIV/0!</v>
      </c>
      <c r="R141" s="98">
        <f t="shared" si="78"/>
        <v>-389</v>
      </c>
      <c r="S141" s="83" t="e">
        <f t="shared" si="8"/>
        <v>#DIV/0!</v>
      </c>
      <c r="T141" s="84"/>
      <c r="U141" s="84"/>
      <c r="V141" s="84"/>
      <c r="W141" s="84"/>
      <c r="X141" s="85"/>
      <c r="Y141" s="68"/>
      <c r="Z141" s="68"/>
    </row>
    <row r="142" spans="1:26" ht="12.75" hidden="1" outlineLevel="1" x14ac:dyDescent="0.2">
      <c r="A142" s="68"/>
      <c r="B142" s="86"/>
      <c r="C142" s="70" t="s">
        <v>121</v>
      </c>
      <c r="D142" s="290"/>
      <c r="E142" s="283"/>
      <c r="F142" s="283"/>
      <c r="G142" s="74" t="e">
        <f t="shared" si="0"/>
        <v>#DIV/0!</v>
      </c>
      <c r="H142" s="75" t="e">
        <f t="shared" si="1"/>
        <v>#DIV/0!</v>
      </c>
      <c r="I142" s="76" t="e">
        <f t="shared" si="2"/>
        <v>#DIV/0!</v>
      </c>
      <c r="J142" s="99">
        <v>20.6</v>
      </c>
      <c r="K142" s="199">
        <v>5545</v>
      </c>
      <c r="L142" s="283"/>
      <c r="M142" s="100">
        <v>89.9</v>
      </c>
      <c r="N142" s="79">
        <f t="shared" si="79"/>
        <v>0.22914349276974416</v>
      </c>
      <c r="O142" s="80">
        <f t="shared" si="4"/>
        <v>4.3640776699029127</v>
      </c>
      <c r="P142" s="79" t="e">
        <f t="shared" si="5"/>
        <v>#DIV/0!</v>
      </c>
      <c r="Q142" s="81" t="e">
        <f t="shared" si="6"/>
        <v>#DIV/0!</v>
      </c>
      <c r="R142" s="101">
        <f t="shared" si="78"/>
        <v>-89.9</v>
      </c>
      <c r="S142" s="83" t="e">
        <f t="shared" si="8"/>
        <v>#DIV/0!</v>
      </c>
      <c r="T142" s="84"/>
      <c r="U142" s="84"/>
      <c r="V142" s="84"/>
      <c r="W142" s="84"/>
      <c r="X142" s="85"/>
      <c r="Y142" s="68"/>
      <c r="Z142" s="68"/>
    </row>
    <row r="143" spans="1:26" ht="12.75" hidden="1" outlineLevel="1" x14ac:dyDescent="0.2">
      <c r="A143" s="118" t="str">
        <f t="shared" ref="A143:A144" si="80">IFERROR(IF(B143&gt;0,MONTH(B143)&amp;"-"&amp;YEAR(B143),B143),)</f>
        <v>5-2025</v>
      </c>
      <c r="B143" s="69">
        <v>45787</v>
      </c>
      <c r="C143" s="70" t="s">
        <v>123</v>
      </c>
      <c r="D143" s="293"/>
      <c r="E143" s="283"/>
      <c r="F143" s="283"/>
      <c r="G143" s="74" t="e">
        <f t="shared" si="0"/>
        <v>#DIV/0!</v>
      </c>
      <c r="H143" s="75" t="e">
        <f t="shared" si="1"/>
        <v>#DIV/0!</v>
      </c>
      <c r="I143" s="76" t="e">
        <f t="shared" si="2"/>
        <v>#DIV/0!</v>
      </c>
      <c r="J143" s="87">
        <v>0</v>
      </c>
      <c r="K143" s="199">
        <v>0</v>
      </c>
      <c r="L143" s="283"/>
      <c r="M143" s="88">
        <v>0</v>
      </c>
      <c r="N143" s="79" t="e">
        <f t="shared" si="79"/>
        <v>#DIV/0!</v>
      </c>
      <c r="O143" s="80" t="e">
        <f t="shared" si="4"/>
        <v>#DIV/0!</v>
      </c>
      <c r="P143" s="79" t="e">
        <f t="shared" si="5"/>
        <v>#DIV/0!</v>
      </c>
      <c r="Q143" s="81" t="e">
        <f t="shared" si="6"/>
        <v>#DIV/0!</v>
      </c>
      <c r="R143" s="82">
        <f t="shared" si="78"/>
        <v>0</v>
      </c>
      <c r="S143" s="83" t="e">
        <f t="shared" si="8"/>
        <v>#DIV/0!</v>
      </c>
      <c r="T143" s="84"/>
      <c r="U143" s="84"/>
      <c r="V143" s="84"/>
      <c r="W143" s="84"/>
      <c r="X143" s="85"/>
      <c r="Y143" s="68"/>
      <c r="Z143" s="68"/>
    </row>
    <row r="144" spans="1:26" ht="12.75" collapsed="1" x14ac:dyDescent="0.2">
      <c r="A144" s="68">
        <f t="shared" si="80"/>
        <v>0</v>
      </c>
      <c r="B144" s="52" t="s">
        <v>77</v>
      </c>
      <c r="C144" s="120"/>
      <c r="D144" s="121">
        <f t="shared" ref="D144:F144" si="81">SUM(D133:D143)</f>
        <v>0</v>
      </c>
      <c r="E144" s="123">
        <f t="shared" si="81"/>
        <v>0</v>
      </c>
      <c r="F144" s="123">
        <f t="shared" si="81"/>
        <v>0</v>
      </c>
      <c r="G144" s="124" t="e">
        <f t="shared" si="0"/>
        <v>#DIV/0!</v>
      </c>
      <c r="H144" s="125" t="e">
        <f t="shared" si="1"/>
        <v>#DIV/0!</v>
      </c>
      <c r="I144" s="126" t="e">
        <f t="shared" si="2"/>
        <v>#DIV/0!</v>
      </c>
      <c r="J144" s="121">
        <f t="shared" ref="J144:M144" si="82">SUM(J133:J143)</f>
        <v>69.97</v>
      </c>
      <c r="K144" s="294">
        <f t="shared" si="82"/>
        <v>18060</v>
      </c>
      <c r="L144" s="123">
        <f t="shared" si="82"/>
        <v>0</v>
      </c>
      <c r="M144" s="127">
        <f t="shared" si="82"/>
        <v>598.75</v>
      </c>
      <c r="N144" s="128">
        <f t="shared" si="79"/>
        <v>0.11686012526096033</v>
      </c>
      <c r="O144" s="129">
        <f t="shared" si="4"/>
        <v>8.5572388166357012</v>
      </c>
      <c r="P144" s="128" t="e">
        <f t="shared" si="5"/>
        <v>#DIV/0!</v>
      </c>
      <c r="Q144" s="130" t="e">
        <f t="shared" si="6"/>
        <v>#DIV/0!</v>
      </c>
      <c r="R144" s="131">
        <f>SUM(R133:R143)</f>
        <v>-598.75</v>
      </c>
      <c r="S144" s="132" t="e">
        <f t="shared" si="8"/>
        <v>#DIV/0!</v>
      </c>
      <c r="T144" s="134">
        <f t="shared" ref="T144:U144" si="83">IFERROR((D144-D48)/D144,)</f>
        <v>0</v>
      </c>
      <c r="U144" s="134">
        <f t="shared" si="83"/>
        <v>0</v>
      </c>
      <c r="V144" s="134">
        <f t="shared" ref="V144:W144" si="84">IFERROR((D144-#REF!)/D144, )</f>
        <v>0</v>
      </c>
      <c r="W144" s="134">
        <f t="shared" si="84"/>
        <v>0</v>
      </c>
      <c r="X144" s="68"/>
      <c r="Y144" s="68"/>
      <c r="Z144" s="68"/>
    </row>
    <row r="145" spans="1:26" ht="12.75" hidden="1" outlineLevel="1" x14ac:dyDescent="0.2">
      <c r="A145" s="68"/>
      <c r="B145" s="69">
        <v>45788</v>
      </c>
      <c r="C145" s="70" t="s">
        <v>112</v>
      </c>
      <c r="D145" s="282"/>
      <c r="E145" s="283"/>
      <c r="F145" s="283"/>
      <c r="G145" s="74" t="e">
        <f t="shared" si="0"/>
        <v>#DIV/0!</v>
      </c>
      <c r="H145" s="75" t="e">
        <f t="shared" si="1"/>
        <v>#DIV/0!</v>
      </c>
      <c r="I145" s="76" t="e">
        <f t="shared" si="2"/>
        <v>#DIV/0!</v>
      </c>
      <c r="J145" s="77">
        <v>1.8</v>
      </c>
      <c r="K145" s="199">
        <v>758</v>
      </c>
      <c r="L145" s="283"/>
      <c r="M145" s="78">
        <v>0</v>
      </c>
      <c r="N145" s="79" t="e">
        <f t="shared" si="79"/>
        <v>#DIV/0!</v>
      </c>
      <c r="O145" s="80">
        <f t="shared" si="4"/>
        <v>0</v>
      </c>
      <c r="P145" s="79" t="e">
        <f t="shared" si="5"/>
        <v>#DIV/0!</v>
      </c>
      <c r="Q145" s="81" t="e">
        <f t="shared" si="6"/>
        <v>#DIV/0!</v>
      </c>
      <c r="R145" s="82">
        <f t="shared" ref="R145:R155" si="85">D145-M145</f>
        <v>0</v>
      </c>
      <c r="S145" s="83" t="e">
        <f t="shared" si="8"/>
        <v>#DIV/0!</v>
      </c>
      <c r="T145" s="84"/>
      <c r="U145" s="84"/>
      <c r="V145" s="84"/>
      <c r="W145" s="84"/>
      <c r="X145" s="85"/>
      <c r="Y145" s="68"/>
      <c r="Z145" s="68"/>
    </row>
    <row r="146" spans="1:26" ht="12.75" hidden="1" outlineLevel="1" x14ac:dyDescent="0.2">
      <c r="A146" s="68"/>
      <c r="B146" s="86"/>
      <c r="C146" s="70" t="s">
        <v>113</v>
      </c>
      <c r="D146" s="284"/>
      <c r="E146" s="283"/>
      <c r="F146" s="283"/>
      <c r="G146" s="74" t="e">
        <f t="shared" si="0"/>
        <v>#DIV/0!</v>
      </c>
      <c r="H146" s="75" t="e">
        <f t="shared" si="1"/>
        <v>#DIV/0!</v>
      </c>
      <c r="I146" s="76" t="e">
        <f t="shared" si="2"/>
        <v>#DIV/0!</v>
      </c>
      <c r="J146" s="87">
        <v>3.89</v>
      </c>
      <c r="K146" s="199">
        <v>734</v>
      </c>
      <c r="L146" s="283"/>
      <c r="M146" s="88">
        <v>0</v>
      </c>
      <c r="N146" s="79" t="e">
        <f t="shared" si="79"/>
        <v>#DIV/0!</v>
      </c>
      <c r="O146" s="80">
        <f t="shared" si="4"/>
        <v>0</v>
      </c>
      <c r="P146" s="79" t="e">
        <f t="shared" si="5"/>
        <v>#DIV/0!</v>
      </c>
      <c r="Q146" s="81" t="e">
        <f t="shared" si="6"/>
        <v>#DIV/0!</v>
      </c>
      <c r="R146" s="89">
        <f t="shared" si="85"/>
        <v>0</v>
      </c>
      <c r="S146" s="83" t="e">
        <f t="shared" si="8"/>
        <v>#DIV/0!</v>
      </c>
      <c r="T146" s="84"/>
      <c r="U146" s="84"/>
      <c r="V146" s="84"/>
      <c r="W146" s="84"/>
      <c r="X146" s="85"/>
      <c r="Y146" s="68"/>
      <c r="Z146" s="68"/>
    </row>
    <row r="147" spans="1:26" ht="12.75" hidden="1" outlineLevel="1" x14ac:dyDescent="0.2">
      <c r="A147" s="68"/>
      <c r="B147" s="86"/>
      <c r="C147" s="70" t="s">
        <v>114</v>
      </c>
      <c r="D147" s="285"/>
      <c r="E147" s="283"/>
      <c r="F147" s="283"/>
      <c r="G147" s="74" t="e">
        <f t="shared" si="0"/>
        <v>#DIV/0!</v>
      </c>
      <c r="H147" s="75" t="e">
        <f t="shared" si="1"/>
        <v>#DIV/0!</v>
      </c>
      <c r="I147" s="76" t="e">
        <f t="shared" si="2"/>
        <v>#DIV/0!</v>
      </c>
      <c r="J147" s="90">
        <v>1.77</v>
      </c>
      <c r="K147" s="199">
        <v>1766</v>
      </c>
      <c r="L147" s="283"/>
      <c r="M147" s="91">
        <v>0</v>
      </c>
      <c r="N147" s="79" t="e">
        <f>(J147/M147)</f>
        <v>#DIV/0!</v>
      </c>
      <c r="O147" s="80">
        <f t="shared" si="4"/>
        <v>0</v>
      </c>
      <c r="P147" s="79" t="e">
        <f t="shared" si="5"/>
        <v>#DIV/0!</v>
      </c>
      <c r="Q147" s="81" t="e">
        <f t="shared" si="6"/>
        <v>#DIV/0!</v>
      </c>
      <c r="R147" s="92">
        <f t="shared" si="85"/>
        <v>0</v>
      </c>
      <c r="S147" s="83" t="e">
        <f t="shared" si="8"/>
        <v>#DIV/0!</v>
      </c>
      <c r="T147" s="84"/>
      <c r="U147" s="84"/>
      <c r="V147" s="84"/>
      <c r="W147" s="84"/>
      <c r="X147" s="85"/>
      <c r="Y147" s="68"/>
      <c r="Z147" s="68"/>
    </row>
    <row r="148" spans="1:26" ht="12.75" hidden="1" outlineLevel="1" x14ac:dyDescent="0.2">
      <c r="A148" s="68"/>
      <c r="B148" s="86"/>
      <c r="C148" s="70" t="s">
        <v>115</v>
      </c>
      <c r="D148" s="285"/>
      <c r="E148" s="283"/>
      <c r="F148" s="283"/>
      <c r="G148" s="74" t="e">
        <f t="shared" si="0"/>
        <v>#DIV/0!</v>
      </c>
      <c r="H148" s="75" t="e">
        <f t="shared" si="1"/>
        <v>#DIV/0!</v>
      </c>
      <c r="I148" s="76" t="e">
        <f t="shared" si="2"/>
        <v>#DIV/0!</v>
      </c>
      <c r="J148" s="90">
        <v>0.25</v>
      </c>
      <c r="K148" s="199">
        <v>46</v>
      </c>
      <c r="L148" s="283"/>
      <c r="M148" s="91">
        <v>0</v>
      </c>
      <c r="N148" s="79" t="e">
        <f t="shared" ref="N148:N158" si="86">J148/M148</f>
        <v>#DIV/0!</v>
      </c>
      <c r="O148" s="80">
        <f t="shared" si="4"/>
        <v>0</v>
      </c>
      <c r="P148" s="79" t="e">
        <f t="shared" si="5"/>
        <v>#DIV/0!</v>
      </c>
      <c r="Q148" s="81" t="e">
        <f t="shared" si="6"/>
        <v>#DIV/0!</v>
      </c>
      <c r="R148" s="92">
        <f t="shared" si="85"/>
        <v>0</v>
      </c>
      <c r="S148" s="83" t="e">
        <f t="shared" si="8"/>
        <v>#DIV/0!</v>
      </c>
      <c r="T148" s="84"/>
      <c r="U148" s="84"/>
      <c r="V148" s="84"/>
      <c r="W148" s="84"/>
      <c r="X148" s="85"/>
      <c r="Y148" s="68"/>
      <c r="Z148" s="68"/>
    </row>
    <row r="149" spans="1:26" ht="12.75" hidden="1" outlineLevel="1" x14ac:dyDescent="0.2">
      <c r="A149" s="68"/>
      <c r="B149" s="86"/>
      <c r="C149" s="70" t="s">
        <v>116</v>
      </c>
      <c r="D149" s="286"/>
      <c r="E149" s="283"/>
      <c r="F149" s="283"/>
      <c r="G149" s="74" t="e">
        <f t="shared" si="0"/>
        <v>#DIV/0!</v>
      </c>
      <c r="H149" s="75" t="e">
        <f t="shared" si="1"/>
        <v>#DIV/0!</v>
      </c>
      <c r="I149" s="76" t="e">
        <f t="shared" si="2"/>
        <v>#DIV/0!</v>
      </c>
      <c r="J149" s="200">
        <v>0</v>
      </c>
      <c r="K149" s="199">
        <v>0</v>
      </c>
      <c r="L149" s="283"/>
      <c r="M149" s="200">
        <v>0</v>
      </c>
      <c r="N149" s="79" t="e">
        <f t="shared" si="86"/>
        <v>#DIV/0!</v>
      </c>
      <c r="O149" s="80" t="e">
        <f t="shared" si="4"/>
        <v>#DIV/0!</v>
      </c>
      <c r="P149" s="79" t="e">
        <f t="shared" si="5"/>
        <v>#DIV/0!</v>
      </c>
      <c r="Q149" s="81" t="e">
        <f t="shared" si="6"/>
        <v>#DIV/0!</v>
      </c>
      <c r="R149" s="92">
        <f t="shared" si="85"/>
        <v>0</v>
      </c>
      <c r="S149" s="83" t="e">
        <f t="shared" si="8"/>
        <v>#DIV/0!</v>
      </c>
      <c r="T149" s="84"/>
      <c r="U149" s="84"/>
      <c r="V149" s="84"/>
      <c r="W149" s="84"/>
      <c r="X149" s="85"/>
      <c r="Y149" s="68"/>
      <c r="Z149" s="68"/>
    </row>
    <row r="150" spans="1:26" ht="12.75" hidden="1" outlineLevel="1" x14ac:dyDescent="0.2">
      <c r="A150" s="68"/>
      <c r="B150" s="86"/>
      <c r="C150" s="70" t="s">
        <v>117</v>
      </c>
      <c r="D150" s="287"/>
      <c r="E150" s="283"/>
      <c r="F150" s="283"/>
      <c r="G150" s="74" t="e">
        <f t="shared" si="0"/>
        <v>#DIV/0!</v>
      </c>
      <c r="H150" s="75" t="e">
        <f t="shared" si="1"/>
        <v>#DIV/0!</v>
      </c>
      <c r="I150" s="76" t="e">
        <f t="shared" si="2"/>
        <v>#DIV/0!</v>
      </c>
      <c r="J150" s="201">
        <v>15.25</v>
      </c>
      <c r="K150" s="199">
        <v>3453</v>
      </c>
      <c r="L150" s="283"/>
      <c r="M150" s="202">
        <v>39.950000000000003</v>
      </c>
      <c r="N150" s="79">
        <f t="shared" si="86"/>
        <v>0.38172715894868581</v>
      </c>
      <c r="O150" s="80">
        <f t="shared" si="4"/>
        <v>2.6196721311475413</v>
      </c>
      <c r="P150" s="79" t="e">
        <f t="shared" si="5"/>
        <v>#DIV/0!</v>
      </c>
      <c r="Q150" s="81" t="e">
        <f t="shared" si="6"/>
        <v>#DIV/0!</v>
      </c>
      <c r="R150" s="203">
        <f t="shared" si="85"/>
        <v>-39.950000000000003</v>
      </c>
      <c r="S150" s="83" t="e">
        <f t="shared" si="8"/>
        <v>#DIV/0!</v>
      </c>
      <c r="T150" s="84"/>
      <c r="U150" s="84"/>
      <c r="V150" s="84"/>
      <c r="W150" s="84"/>
      <c r="X150" s="85"/>
      <c r="Y150" s="68"/>
      <c r="Z150" s="68"/>
    </row>
    <row r="151" spans="1:26" ht="12.75" hidden="1" outlineLevel="1" x14ac:dyDescent="0.2">
      <c r="A151" s="68"/>
      <c r="B151" s="86"/>
      <c r="C151" s="70" t="s">
        <v>118</v>
      </c>
      <c r="D151" s="285"/>
      <c r="E151" s="283"/>
      <c r="F151" s="283"/>
      <c r="G151" s="74" t="e">
        <f t="shared" si="0"/>
        <v>#DIV/0!</v>
      </c>
      <c r="H151" s="75" t="e">
        <f t="shared" si="1"/>
        <v>#DIV/0!</v>
      </c>
      <c r="I151" s="76" t="e">
        <f t="shared" si="2"/>
        <v>#DIV/0!</v>
      </c>
      <c r="J151" s="90">
        <v>6.14</v>
      </c>
      <c r="K151" s="199">
        <v>525</v>
      </c>
      <c r="L151" s="283"/>
      <c r="M151" s="91">
        <v>179.9</v>
      </c>
      <c r="N151" s="79">
        <f t="shared" si="86"/>
        <v>3.4130072262367979E-2</v>
      </c>
      <c r="O151" s="80">
        <f t="shared" si="4"/>
        <v>29.299674267100979</v>
      </c>
      <c r="P151" s="79" t="e">
        <f t="shared" si="5"/>
        <v>#DIV/0!</v>
      </c>
      <c r="Q151" s="81" t="e">
        <f t="shared" si="6"/>
        <v>#DIV/0!</v>
      </c>
      <c r="R151" s="92">
        <f t="shared" si="85"/>
        <v>-179.9</v>
      </c>
      <c r="S151" s="83" t="e">
        <f t="shared" si="8"/>
        <v>#DIV/0!</v>
      </c>
      <c r="T151" s="84"/>
      <c r="U151" s="84"/>
      <c r="V151" s="84"/>
      <c r="W151" s="84"/>
      <c r="X151" s="85"/>
      <c r="Y151" s="68"/>
      <c r="Z151" s="68"/>
    </row>
    <row r="152" spans="1:26" ht="12.75" hidden="1" outlineLevel="1" x14ac:dyDescent="0.2">
      <c r="A152" s="68"/>
      <c r="B152" s="69" t="s">
        <v>37</v>
      </c>
      <c r="C152" s="70" t="s">
        <v>119</v>
      </c>
      <c r="D152" s="288"/>
      <c r="E152" s="283"/>
      <c r="F152" s="283"/>
      <c r="G152" s="74" t="e">
        <f t="shared" si="0"/>
        <v>#DIV/0!</v>
      </c>
      <c r="H152" s="75" t="e">
        <f t="shared" si="1"/>
        <v>#DIV/0!</v>
      </c>
      <c r="I152" s="76" t="e">
        <f t="shared" si="2"/>
        <v>#DIV/0!</v>
      </c>
      <c r="J152" s="93">
        <v>0</v>
      </c>
      <c r="K152" s="199">
        <v>0</v>
      </c>
      <c r="L152" s="283"/>
      <c r="M152" s="94">
        <v>0</v>
      </c>
      <c r="N152" s="79" t="e">
        <f t="shared" si="86"/>
        <v>#DIV/0!</v>
      </c>
      <c r="O152" s="80" t="e">
        <f t="shared" si="4"/>
        <v>#DIV/0!</v>
      </c>
      <c r="P152" s="79" t="e">
        <f t="shared" si="5"/>
        <v>#DIV/0!</v>
      </c>
      <c r="Q152" s="81" t="e">
        <f t="shared" si="6"/>
        <v>#DIV/0!</v>
      </c>
      <c r="R152" s="95">
        <f t="shared" si="85"/>
        <v>0</v>
      </c>
      <c r="S152" s="83" t="e">
        <f t="shared" si="8"/>
        <v>#DIV/0!</v>
      </c>
      <c r="T152" s="84"/>
      <c r="U152" s="84"/>
      <c r="V152" s="84"/>
      <c r="W152" s="84"/>
      <c r="X152" s="85"/>
      <c r="Y152" s="68"/>
      <c r="Z152" s="68"/>
    </row>
    <row r="153" spans="1:26" ht="12.75" hidden="1" outlineLevel="1" x14ac:dyDescent="0.2">
      <c r="A153" s="68"/>
      <c r="B153" s="86"/>
      <c r="C153" s="70" t="s">
        <v>120</v>
      </c>
      <c r="D153" s="289"/>
      <c r="E153" s="283"/>
      <c r="F153" s="283"/>
      <c r="G153" s="74" t="e">
        <f t="shared" si="0"/>
        <v>#DIV/0!</v>
      </c>
      <c r="H153" s="75" t="e">
        <f t="shared" si="1"/>
        <v>#DIV/0!</v>
      </c>
      <c r="I153" s="76" t="e">
        <f t="shared" si="2"/>
        <v>#DIV/0!</v>
      </c>
      <c r="J153" s="96">
        <v>2.41</v>
      </c>
      <c r="K153" s="199">
        <v>641</v>
      </c>
      <c r="L153" s="283"/>
      <c r="M153" s="97">
        <v>0</v>
      </c>
      <c r="N153" s="79" t="e">
        <f t="shared" si="86"/>
        <v>#DIV/0!</v>
      </c>
      <c r="O153" s="80">
        <f t="shared" si="4"/>
        <v>0</v>
      </c>
      <c r="P153" s="79" t="e">
        <f t="shared" si="5"/>
        <v>#DIV/0!</v>
      </c>
      <c r="Q153" s="81" t="e">
        <f t="shared" si="6"/>
        <v>#DIV/0!</v>
      </c>
      <c r="R153" s="98">
        <f t="shared" si="85"/>
        <v>0</v>
      </c>
      <c r="S153" s="83" t="e">
        <f t="shared" si="8"/>
        <v>#DIV/0!</v>
      </c>
      <c r="T153" s="84"/>
      <c r="U153" s="84"/>
      <c r="V153" s="84"/>
      <c r="W153" s="84"/>
      <c r="X153" s="85"/>
      <c r="Y153" s="68"/>
      <c r="Z153" s="68"/>
    </row>
    <row r="154" spans="1:26" ht="12.75" hidden="1" outlineLevel="1" x14ac:dyDescent="0.2">
      <c r="A154" s="68"/>
      <c r="B154" s="86"/>
      <c r="C154" s="70" t="s">
        <v>121</v>
      </c>
      <c r="D154" s="290"/>
      <c r="E154" s="283"/>
      <c r="F154" s="283"/>
      <c r="G154" s="74" t="e">
        <f t="shared" si="0"/>
        <v>#DIV/0!</v>
      </c>
      <c r="H154" s="75" t="e">
        <f t="shared" si="1"/>
        <v>#DIV/0!</v>
      </c>
      <c r="I154" s="76" t="e">
        <f t="shared" si="2"/>
        <v>#DIV/0!</v>
      </c>
      <c r="J154" s="99">
        <v>22.27</v>
      </c>
      <c r="K154" s="199">
        <v>5444</v>
      </c>
      <c r="L154" s="283"/>
      <c r="M154" s="100">
        <v>44.95</v>
      </c>
      <c r="N154" s="79">
        <f t="shared" si="86"/>
        <v>0.49543937708565067</v>
      </c>
      <c r="O154" s="80">
        <f t="shared" si="4"/>
        <v>2.0184104176021553</v>
      </c>
      <c r="P154" s="79" t="e">
        <f t="shared" si="5"/>
        <v>#DIV/0!</v>
      </c>
      <c r="Q154" s="81" t="e">
        <f t="shared" si="6"/>
        <v>#DIV/0!</v>
      </c>
      <c r="R154" s="101">
        <f t="shared" si="85"/>
        <v>-44.95</v>
      </c>
      <c r="S154" s="83" t="e">
        <f t="shared" si="8"/>
        <v>#DIV/0!</v>
      </c>
      <c r="T154" s="84"/>
      <c r="U154" s="84"/>
      <c r="V154" s="84"/>
      <c r="W154" s="84"/>
      <c r="X154" s="85"/>
      <c r="Y154" s="68"/>
      <c r="Z154" s="68"/>
    </row>
    <row r="155" spans="1:26" ht="12.75" hidden="1" outlineLevel="1" x14ac:dyDescent="0.2">
      <c r="A155" s="118" t="str">
        <f t="shared" ref="A155:A156" si="87">IFERROR(IF(B155&gt;0,MONTH(B155)&amp;"-"&amp;YEAR(B155),B155),)</f>
        <v>5-2025</v>
      </c>
      <c r="B155" s="69">
        <v>45794</v>
      </c>
      <c r="C155" s="70" t="s">
        <v>123</v>
      </c>
      <c r="D155" s="293"/>
      <c r="E155" s="283"/>
      <c r="F155" s="283"/>
      <c r="G155" s="74" t="e">
        <f t="shared" si="0"/>
        <v>#DIV/0!</v>
      </c>
      <c r="H155" s="75" t="e">
        <f t="shared" si="1"/>
        <v>#DIV/0!</v>
      </c>
      <c r="I155" s="76" t="e">
        <f t="shared" si="2"/>
        <v>#DIV/0!</v>
      </c>
      <c r="J155" s="87">
        <v>0</v>
      </c>
      <c r="K155" s="199">
        <v>0</v>
      </c>
      <c r="L155" s="283"/>
      <c r="M155" s="88">
        <v>0</v>
      </c>
      <c r="N155" s="79" t="e">
        <f t="shared" si="86"/>
        <v>#DIV/0!</v>
      </c>
      <c r="O155" s="80" t="e">
        <f t="shared" si="4"/>
        <v>#DIV/0!</v>
      </c>
      <c r="P155" s="79" t="e">
        <f t="shared" si="5"/>
        <v>#DIV/0!</v>
      </c>
      <c r="Q155" s="81" t="e">
        <f t="shared" si="6"/>
        <v>#DIV/0!</v>
      </c>
      <c r="R155" s="82">
        <f t="shared" si="85"/>
        <v>0</v>
      </c>
      <c r="S155" s="83" t="e">
        <f t="shared" si="8"/>
        <v>#DIV/0!</v>
      </c>
      <c r="T155" s="84"/>
      <c r="U155" s="84"/>
      <c r="V155" s="84"/>
      <c r="W155" s="84"/>
      <c r="X155" s="85"/>
      <c r="Y155" s="68"/>
      <c r="Z155" s="68"/>
    </row>
    <row r="156" spans="1:26" ht="12.75" collapsed="1" x14ac:dyDescent="0.2">
      <c r="A156" s="68">
        <f t="shared" si="87"/>
        <v>0</v>
      </c>
      <c r="B156" s="52" t="s">
        <v>78</v>
      </c>
      <c r="C156" s="120"/>
      <c r="D156" s="121">
        <f t="shared" ref="D156:F156" si="88">SUM(D145:D155)</f>
        <v>0</v>
      </c>
      <c r="E156" s="123">
        <f t="shared" si="88"/>
        <v>0</v>
      </c>
      <c r="F156" s="123">
        <f t="shared" si="88"/>
        <v>0</v>
      </c>
      <c r="G156" s="124" t="e">
        <f t="shared" si="0"/>
        <v>#DIV/0!</v>
      </c>
      <c r="H156" s="125" t="e">
        <f t="shared" si="1"/>
        <v>#DIV/0!</v>
      </c>
      <c r="I156" s="126" t="e">
        <f t="shared" si="2"/>
        <v>#DIV/0!</v>
      </c>
      <c r="J156" s="121">
        <f t="shared" ref="J156:M156" si="89">SUM(J145:J155)</f>
        <v>53.78</v>
      </c>
      <c r="K156" s="294">
        <f t="shared" si="89"/>
        <v>13367</v>
      </c>
      <c r="L156" s="123">
        <f t="shared" si="89"/>
        <v>0</v>
      </c>
      <c r="M156" s="127">
        <f t="shared" si="89"/>
        <v>264.8</v>
      </c>
      <c r="N156" s="128">
        <f t="shared" si="86"/>
        <v>0.20309667673716011</v>
      </c>
      <c r="O156" s="129">
        <f t="shared" si="4"/>
        <v>4.9237634808478994</v>
      </c>
      <c r="P156" s="128" t="e">
        <f t="shared" si="5"/>
        <v>#DIV/0!</v>
      </c>
      <c r="Q156" s="130" t="e">
        <f t="shared" si="6"/>
        <v>#DIV/0!</v>
      </c>
      <c r="R156" s="131">
        <f>SUM(R145:R155)</f>
        <v>-264.8</v>
      </c>
      <c r="S156" s="132" t="e">
        <f t="shared" si="8"/>
        <v>#DIV/0!</v>
      </c>
      <c r="T156" s="134">
        <f t="shared" ref="T156:U156" si="90">IFERROR((D156-D48)/D156,)</f>
        <v>0</v>
      </c>
      <c r="U156" s="134">
        <f t="shared" si="90"/>
        <v>0</v>
      </c>
      <c r="V156" s="134">
        <f t="shared" ref="V156:W156" si="91">IFERROR((D156-#REF!)/D156, )</f>
        <v>0</v>
      </c>
      <c r="W156" s="134">
        <f t="shared" si="91"/>
        <v>0</v>
      </c>
      <c r="X156" s="68"/>
      <c r="Y156" s="68"/>
      <c r="Z156" s="68"/>
    </row>
    <row r="157" spans="1:26" ht="12.75" hidden="1" outlineLevel="1" x14ac:dyDescent="0.2">
      <c r="A157" s="68"/>
      <c r="B157" s="69">
        <v>45795</v>
      </c>
      <c r="C157" s="70" t="s">
        <v>112</v>
      </c>
      <c r="D157" s="282"/>
      <c r="E157" s="283"/>
      <c r="F157" s="283"/>
      <c r="G157" s="74" t="e">
        <f t="shared" si="0"/>
        <v>#DIV/0!</v>
      </c>
      <c r="H157" s="75" t="e">
        <f t="shared" si="1"/>
        <v>#DIV/0!</v>
      </c>
      <c r="I157" s="76" t="e">
        <f t="shared" si="2"/>
        <v>#DIV/0!</v>
      </c>
      <c r="J157" s="77">
        <v>0.26</v>
      </c>
      <c r="K157" s="199">
        <v>702</v>
      </c>
      <c r="L157" s="283"/>
      <c r="M157" s="78">
        <v>0</v>
      </c>
      <c r="N157" s="79" t="e">
        <f t="shared" si="86"/>
        <v>#DIV/0!</v>
      </c>
      <c r="O157" s="80">
        <f t="shared" si="4"/>
        <v>0</v>
      </c>
      <c r="P157" s="79" t="e">
        <f t="shared" si="5"/>
        <v>#DIV/0!</v>
      </c>
      <c r="Q157" s="81" t="e">
        <f t="shared" si="6"/>
        <v>#DIV/0!</v>
      </c>
      <c r="R157" s="82">
        <f t="shared" ref="R157:R167" si="92">D157-M157</f>
        <v>0</v>
      </c>
      <c r="S157" s="83" t="e">
        <f t="shared" si="8"/>
        <v>#DIV/0!</v>
      </c>
      <c r="T157" s="84"/>
      <c r="U157" s="84"/>
      <c r="V157" s="84"/>
      <c r="W157" s="84"/>
      <c r="X157" s="85"/>
      <c r="Y157" s="68"/>
      <c r="Z157" s="68"/>
    </row>
    <row r="158" spans="1:26" ht="12.75" hidden="1" outlineLevel="1" x14ac:dyDescent="0.2">
      <c r="A158" s="68"/>
      <c r="B158" s="86"/>
      <c r="C158" s="70" t="s">
        <v>113</v>
      </c>
      <c r="D158" s="284"/>
      <c r="E158" s="283"/>
      <c r="F158" s="283"/>
      <c r="G158" s="74" t="e">
        <f t="shared" si="0"/>
        <v>#DIV/0!</v>
      </c>
      <c r="H158" s="75" t="e">
        <f t="shared" si="1"/>
        <v>#DIV/0!</v>
      </c>
      <c r="I158" s="76" t="e">
        <f t="shared" si="2"/>
        <v>#DIV/0!</v>
      </c>
      <c r="J158" s="87">
        <v>3.4</v>
      </c>
      <c r="K158" s="199">
        <v>344</v>
      </c>
      <c r="L158" s="283"/>
      <c r="M158" s="88">
        <v>69.95</v>
      </c>
      <c r="N158" s="79">
        <f t="shared" si="86"/>
        <v>4.8606147248034304E-2</v>
      </c>
      <c r="O158" s="80">
        <f t="shared" si="4"/>
        <v>20.573529411764707</v>
      </c>
      <c r="P158" s="79" t="e">
        <f t="shared" si="5"/>
        <v>#DIV/0!</v>
      </c>
      <c r="Q158" s="81" t="e">
        <f t="shared" si="6"/>
        <v>#DIV/0!</v>
      </c>
      <c r="R158" s="89">
        <f t="shared" si="92"/>
        <v>-69.95</v>
      </c>
      <c r="S158" s="83" t="e">
        <f t="shared" si="8"/>
        <v>#DIV/0!</v>
      </c>
      <c r="T158" s="84"/>
      <c r="U158" s="84"/>
      <c r="V158" s="84"/>
      <c r="W158" s="84"/>
      <c r="X158" s="85"/>
      <c r="Y158" s="68"/>
      <c r="Z158" s="68"/>
    </row>
    <row r="159" spans="1:26" ht="12.75" hidden="1" outlineLevel="1" x14ac:dyDescent="0.2">
      <c r="A159" s="68"/>
      <c r="B159" s="86"/>
      <c r="C159" s="70" t="s">
        <v>114</v>
      </c>
      <c r="D159" s="285"/>
      <c r="E159" s="283"/>
      <c r="F159" s="283"/>
      <c r="G159" s="74" t="e">
        <f t="shared" si="0"/>
        <v>#DIV/0!</v>
      </c>
      <c r="H159" s="75" t="e">
        <f t="shared" si="1"/>
        <v>#DIV/0!</v>
      </c>
      <c r="I159" s="76" t="e">
        <f t="shared" si="2"/>
        <v>#DIV/0!</v>
      </c>
      <c r="J159" s="90">
        <v>3.92</v>
      </c>
      <c r="K159" s="199">
        <v>2362</v>
      </c>
      <c r="L159" s="283"/>
      <c r="M159" s="91">
        <v>0</v>
      </c>
      <c r="N159" s="79" t="e">
        <f>(J159/M159)</f>
        <v>#DIV/0!</v>
      </c>
      <c r="O159" s="80">
        <f t="shared" si="4"/>
        <v>0</v>
      </c>
      <c r="P159" s="79" t="e">
        <f t="shared" si="5"/>
        <v>#DIV/0!</v>
      </c>
      <c r="Q159" s="81" t="e">
        <f t="shared" si="6"/>
        <v>#DIV/0!</v>
      </c>
      <c r="R159" s="92">
        <f t="shared" si="92"/>
        <v>0</v>
      </c>
      <c r="S159" s="83" t="e">
        <f t="shared" si="8"/>
        <v>#DIV/0!</v>
      </c>
      <c r="T159" s="84"/>
      <c r="U159" s="84"/>
      <c r="V159" s="84"/>
      <c r="W159" s="84"/>
      <c r="X159" s="85"/>
      <c r="Y159" s="68"/>
      <c r="Z159" s="68"/>
    </row>
    <row r="160" spans="1:26" ht="12.75" hidden="1" outlineLevel="1" x14ac:dyDescent="0.2">
      <c r="A160" s="68"/>
      <c r="B160" s="86"/>
      <c r="C160" s="70" t="s">
        <v>115</v>
      </c>
      <c r="D160" s="285"/>
      <c r="E160" s="283"/>
      <c r="F160" s="283"/>
      <c r="G160" s="74" t="e">
        <f t="shared" si="0"/>
        <v>#DIV/0!</v>
      </c>
      <c r="H160" s="75" t="e">
        <f t="shared" si="1"/>
        <v>#DIV/0!</v>
      </c>
      <c r="I160" s="76" t="e">
        <f t="shared" si="2"/>
        <v>#DIV/0!</v>
      </c>
      <c r="J160" s="90">
        <v>2.8</v>
      </c>
      <c r="K160" s="199">
        <v>680</v>
      </c>
      <c r="L160" s="283"/>
      <c r="M160" s="91">
        <v>0</v>
      </c>
      <c r="N160" s="79" t="e">
        <f t="shared" ref="N160:N170" si="93">J160/M160</f>
        <v>#DIV/0!</v>
      </c>
      <c r="O160" s="80">
        <f t="shared" si="4"/>
        <v>0</v>
      </c>
      <c r="P160" s="79" t="e">
        <f t="shared" si="5"/>
        <v>#DIV/0!</v>
      </c>
      <c r="Q160" s="81" t="e">
        <f t="shared" si="6"/>
        <v>#DIV/0!</v>
      </c>
      <c r="R160" s="92">
        <f t="shared" si="92"/>
        <v>0</v>
      </c>
      <c r="S160" s="83" t="e">
        <f t="shared" si="8"/>
        <v>#DIV/0!</v>
      </c>
      <c r="T160" s="84"/>
      <c r="U160" s="84"/>
      <c r="V160" s="84"/>
      <c r="W160" s="84"/>
      <c r="X160" s="85"/>
      <c r="Y160" s="68"/>
      <c r="Z160" s="68"/>
    </row>
    <row r="161" spans="1:26" ht="12.75" hidden="1" outlineLevel="1" x14ac:dyDescent="0.2">
      <c r="A161" s="68"/>
      <c r="B161" s="86"/>
      <c r="C161" s="70" t="s">
        <v>116</v>
      </c>
      <c r="D161" s="286"/>
      <c r="E161" s="283"/>
      <c r="F161" s="283"/>
      <c r="G161" s="74" t="e">
        <f t="shared" si="0"/>
        <v>#DIV/0!</v>
      </c>
      <c r="H161" s="75" t="e">
        <f t="shared" si="1"/>
        <v>#DIV/0!</v>
      </c>
      <c r="I161" s="76" t="e">
        <f t="shared" si="2"/>
        <v>#DIV/0!</v>
      </c>
      <c r="J161" s="200">
        <v>0.08</v>
      </c>
      <c r="K161" s="199">
        <v>8</v>
      </c>
      <c r="L161" s="283"/>
      <c r="M161" s="200">
        <v>0</v>
      </c>
      <c r="N161" s="79" t="e">
        <f t="shared" si="93"/>
        <v>#DIV/0!</v>
      </c>
      <c r="O161" s="80">
        <f t="shared" si="4"/>
        <v>0</v>
      </c>
      <c r="P161" s="79" t="e">
        <f t="shared" si="5"/>
        <v>#DIV/0!</v>
      </c>
      <c r="Q161" s="81" t="e">
        <f t="shared" si="6"/>
        <v>#DIV/0!</v>
      </c>
      <c r="R161" s="92">
        <f t="shared" si="92"/>
        <v>0</v>
      </c>
      <c r="S161" s="83" t="e">
        <f t="shared" si="8"/>
        <v>#DIV/0!</v>
      </c>
      <c r="T161" s="84"/>
      <c r="U161" s="84"/>
      <c r="V161" s="84"/>
      <c r="W161" s="84"/>
      <c r="X161" s="85"/>
      <c r="Y161" s="68"/>
      <c r="Z161" s="68"/>
    </row>
    <row r="162" spans="1:26" ht="12.75" hidden="1" outlineLevel="1" x14ac:dyDescent="0.2">
      <c r="A162" s="68"/>
      <c r="B162" s="86"/>
      <c r="C162" s="70" t="s">
        <v>117</v>
      </c>
      <c r="D162" s="287"/>
      <c r="E162" s="283"/>
      <c r="F162" s="283"/>
      <c r="G162" s="74" t="e">
        <f t="shared" si="0"/>
        <v>#DIV/0!</v>
      </c>
      <c r="H162" s="75" t="e">
        <f t="shared" si="1"/>
        <v>#DIV/0!</v>
      </c>
      <c r="I162" s="76" t="e">
        <f t="shared" si="2"/>
        <v>#DIV/0!</v>
      </c>
      <c r="J162" s="201">
        <v>11.51</v>
      </c>
      <c r="K162" s="199">
        <v>2264</v>
      </c>
      <c r="L162" s="283"/>
      <c r="M162" s="202">
        <v>0</v>
      </c>
      <c r="N162" s="79" t="e">
        <f t="shared" si="93"/>
        <v>#DIV/0!</v>
      </c>
      <c r="O162" s="80">
        <f t="shared" si="4"/>
        <v>0</v>
      </c>
      <c r="P162" s="79" t="e">
        <f t="shared" si="5"/>
        <v>#DIV/0!</v>
      </c>
      <c r="Q162" s="81" t="e">
        <f t="shared" si="6"/>
        <v>#DIV/0!</v>
      </c>
      <c r="R162" s="203">
        <f t="shared" si="92"/>
        <v>0</v>
      </c>
      <c r="S162" s="83" t="e">
        <f t="shared" si="8"/>
        <v>#DIV/0!</v>
      </c>
      <c r="T162" s="84"/>
      <c r="U162" s="84"/>
      <c r="V162" s="84"/>
      <c r="W162" s="84"/>
      <c r="X162" s="85"/>
      <c r="Y162" s="68"/>
      <c r="Z162" s="68"/>
    </row>
    <row r="163" spans="1:26" ht="12.75" hidden="1" outlineLevel="1" x14ac:dyDescent="0.2">
      <c r="A163" s="68"/>
      <c r="B163" s="86"/>
      <c r="C163" s="70" t="s">
        <v>118</v>
      </c>
      <c r="D163" s="285"/>
      <c r="E163" s="283"/>
      <c r="F163" s="283"/>
      <c r="G163" s="74" t="e">
        <f t="shared" si="0"/>
        <v>#DIV/0!</v>
      </c>
      <c r="H163" s="75" t="e">
        <f t="shared" si="1"/>
        <v>#DIV/0!</v>
      </c>
      <c r="I163" s="76" t="e">
        <f t="shared" si="2"/>
        <v>#DIV/0!</v>
      </c>
      <c r="J163" s="90">
        <v>19.989999999999998</v>
      </c>
      <c r="K163" s="199">
        <v>3369</v>
      </c>
      <c r="L163" s="283"/>
      <c r="M163" s="91">
        <v>214.95</v>
      </c>
      <c r="N163" s="79">
        <f t="shared" si="93"/>
        <v>9.2998371714352171E-2</v>
      </c>
      <c r="O163" s="80">
        <f t="shared" si="4"/>
        <v>10.75287643821911</v>
      </c>
      <c r="P163" s="79" t="e">
        <f t="shared" si="5"/>
        <v>#DIV/0!</v>
      </c>
      <c r="Q163" s="81" t="e">
        <f t="shared" si="6"/>
        <v>#DIV/0!</v>
      </c>
      <c r="R163" s="92">
        <f t="shared" si="92"/>
        <v>-214.95</v>
      </c>
      <c r="S163" s="83" t="e">
        <f t="shared" si="8"/>
        <v>#DIV/0!</v>
      </c>
      <c r="T163" s="84"/>
      <c r="U163" s="84"/>
      <c r="V163" s="84"/>
      <c r="W163" s="84"/>
      <c r="X163" s="85"/>
      <c r="Y163" s="68"/>
      <c r="Z163" s="68"/>
    </row>
    <row r="164" spans="1:26" ht="12.75" hidden="1" outlineLevel="1" x14ac:dyDescent="0.2">
      <c r="A164" s="68"/>
      <c r="B164" s="69" t="s">
        <v>37</v>
      </c>
      <c r="C164" s="70" t="s">
        <v>119</v>
      </c>
      <c r="D164" s="288"/>
      <c r="E164" s="283"/>
      <c r="F164" s="283"/>
      <c r="G164" s="74" t="e">
        <f t="shared" si="0"/>
        <v>#DIV/0!</v>
      </c>
      <c r="H164" s="75" t="e">
        <f t="shared" si="1"/>
        <v>#DIV/0!</v>
      </c>
      <c r="I164" s="76" t="e">
        <f t="shared" si="2"/>
        <v>#DIV/0!</v>
      </c>
      <c r="J164" s="93">
        <v>0.12</v>
      </c>
      <c r="K164" s="199">
        <v>11</v>
      </c>
      <c r="L164" s="283"/>
      <c r="M164" s="94">
        <v>0</v>
      </c>
      <c r="N164" s="79" t="e">
        <f t="shared" si="93"/>
        <v>#DIV/0!</v>
      </c>
      <c r="O164" s="80">
        <f t="shared" si="4"/>
        <v>0</v>
      </c>
      <c r="P164" s="79" t="e">
        <f t="shared" si="5"/>
        <v>#DIV/0!</v>
      </c>
      <c r="Q164" s="81" t="e">
        <f t="shared" si="6"/>
        <v>#DIV/0!</v>
      </c>
      <c r="R164" s="95">
        <f t="shared" si="92"/>
        <v>0</v>
      </c>
      <c r="S164" s="83" t="e">
        <f t="shared" si="8"/>
        <v>#DIV/0!</v>
      </c>
      <c r="T164" s="84"/>
      <c r="U164" s="84"/>
      <c r="V164" s="84"/>
      <c r="W164" s="84"/>
      <c r="X164" s="85"/>
      <c r="Y164" s="68"/>
      <c r="Z164" s="68"/>
    </row>
    <row r="165" spans="1:26" ht="12.75" hidden="1" outlineLevel="1" x14ac:dyDescent="0.2">
      <c r="A165" s="68"/>
      <c r="B165" s="86"/>
      <c r="C165" s="70" t="s">
        <v>120</v>
      </c>
      <c r="D165" s="289"/>
      <c r="E165" s="283"/>
      <c r="F165" s="283"/>
      <c r="G165" s="74" t="e">
        <f t="shared" si="0"/>
        <v>#DIV/0!</v>
      </c>
      <c r="H165" s="75" t="e">
        <f t="shared" si="1"/>
        <v>#DIV/0!</v>
      </c>
      <c r="I165" s="76" t="e">
        <f t="shared" si="2"/>
        <v>#DIV/0!</v>
      </c>
      <c r="J165" s="96">
        <v>2.1</v>
      </c>
      <c r="K165" s="199">
        <v>1219</v>
      </c>
      <c r="L165" s="283"/>
      <c r="M165" s="97">
        <v>0</v>
      </c>
      <c r="N165" s="79" t="e">
        <f t="shared" si="93"/>
        <v>#DIV/0!</v>
      </c>
      <c r="O165" s="80">
        <f t="shared" si="4"/>
        <v>0</v>
      </c>
      <c r="P165" s="79" t="e">
        <f t="shared" si="5"/>
        <v>#DIV/0!</v>
      </c>
      <c r="Q165" s="81" t="e">
        <f t="shared" si="6"/>
        <v>#DIV/0!</v>
      </c>
      <c r="R165" s="98">
        <f t="shared" si="92"/>
        <v>0</v>
      </c>
      <c r="S165" s="83" t="e">
        <f t="shared" si="8"/>
        <v>#DIV/0!</v>
      </c>
      <c r="T165" s="84"/>
      <c r="U165" s="84"/>
      <c r="V165" s="84"/>
      <c r="W165" s="84"/>
      <c r="X165" s="85"/>
      <c r="Y165" s="68"/>
      <c r="Z165" s="68"/>
    </row>
    <row r="166" spans="1:26" ht="12.75" hidden="1" outlineLevel="1" x14ac:dyDescent="0.2">
      <c r="A166" s="68"/>
      <c r="B166" s="86"/>
      <c r="C166" s="70" t="s">
        <v>121</v>
      </c>
      <c r="D166" s="290"/>
      <c r="E166" s="283"/>
      <c r="F166" s="283"/>
      <c r="G166" s="74" t="e">
        <f t="shared" si="0"/>
        <v>#DIV/0!</v>
      </c>
      <c r="H166" s="75" t="e">
        <f t="shared" si="1"/>
        <v>#DIV/0!</v>
      </c>
      <c r="I166" s="76" t="e">
        <f t="shared" si="2"/>
        <v>#DIV/0!</v>
      </c>
      <c r="J166" s="99">
        <v>37.71</v>
      </c>
      <c r="K166" s="199">
        <v>9311</v>
      </c>
      <c r="L166" s="283"/>
      <c r="M166" s="100">
        <v>44.95</v>
      </c>
      <c r="N166" s="79">
        <f t="shared" si="93"/>
        <v>0.83893214682981088</v>
      </c>
      <c r="O166" s="80">
        <f t="shared" si="4"/>
        <v>1.1919915141872184</v>
      </c>
      <c r="P166" s="79" t="e">
        <f t="shared" si="5"/>
        <v>#DIV/0!</v>
      </c>
      <c r="Q166" s="81" t="e">
        <f t="shared" si="6"/>
        <v>#DIV/0!</v>
      </c>
      <c r="R166" s="101">
        <f t="shared" si="92"/>
        <v>-44.95</v>
      </c>
      <c r="S166" s="83" t="e">
        <f t="shared" si="8"/>
        <v>#DIV/0!</v>
      </c>
      <c r="T166" s="84"/>
      <c r="U166" s="84"/>
      <c r="V166" s="84"/>
      <c r="W166" s="84"/>
      <c r="X166" s="85"/>
      <c r="Y166" s="68"/>
      <c r="Z166" s="68"/>
    </row>
    <row r="167" spans="1:26" ht="12.75" hidden="1" outlineLevel="1" x14ac:dyDescent="0.2">
      <c r="A167" s="118" t="str">
        <f t="shared" ref="A167:A168" si="94">IFERROR(IF(B167&gt;0,MONTH(B167)&amp;"-"&amp;YEAR(B167),B167),)</f>
        <v>5-2025</v>
      </c>
      <c r="B167" s="69">
        <v>45801</v>
      </c>
      <c r="C167" s="70" t="s">
        <v>123</v>
      </c>
      <c r="D167" s="293"/>
      <c r="E167" s="283"/>
      <c r="F167" s="283"/>
      <c r="G167" s="74" t="e">
        <f t="shared" si="0"/>
        <v>#DIV/0!</v>
      </c>
      <c r="H167" s="75" t="e">
        <f t="shared" si="1"/>
        <v>#DIV/0!</v>
      </c>
      <c r="I167" s="76" t="e">
        <f t="shared" si="2"/>
        <v>#DIV/0!</v>
      </c>
      <c r="J167" s="87">
        <v>0</v>
      </c>
      <c r="K167" s="199">
        <v>0</v>
      </c>
      <c r="L167" s="283"/>
      <c r="M167" s="88">
        <v>0</v>
      </c>
      <c r="N167" s="79" t="e">
        <f t="shared" si="93"/>
        <v>#DIV/0!</v>
      </c>
      <c r="O167" s="80" t="e">
        <f t="shared" si="4"/>
        <v>#DIV/0!</v>
      </c>
      <c r="P167" s="79" t="e">
        <f t="shared" si="5"/>
        <v>#DIV/0!</v>
      </c>
      <c r="Q167" s="81" t="e">
        <f t="shared" si="6"/>
        <v>#DIV/0!</v>
      </c>
      <c r="R167" s="82">
        <f t="shared" si="92"/>
        <v>0</v>
      </c>
      <c r="S167" s="83" t="e">
        <f t="shared" si="8"/>
        <v>#DIV/0!</v>
      </c>
      <c r="T167" s="84"/>
      <c r="U167" s="84"/>
      <c r="V167" s="84"/>
      <c r="W167" s="84"/>
      <c r="X167" s="85"/>
      <c r="Y167" s="68"/>
      <c r="Z167" s="68"/>
    </row>
    <row r="168" spans="1:26" ht="12.75" collapsed="1" x14ac:dyDescent="0.2">
      <c r="A168" s="68">
        <f t="shared" si="94"/>
        <v>0</v>
      </c>
      <c r="B168" s="52" t="s">
        <v>79</v>
      </c>
      <c r="C168" s="120"/>
      <c r="D168" s="121">
        <f t="shared" ref="D168:F168" si="95">SUM(D157:D167)</f>
        <v>0</v>
      </c>
      <c r="E168" s="123">
        <f t="shared" si="95"/>
        <v>0</v>
      </c>
      <c r="F168" s="123">
        <f t="shared" si="95"/>
        <v>0</v>
      </c>
      <c r="G168" s="124" t="e">
        <f t="shared" si="0"/>
        <v>#DIV/0!</v>
      </c>
      <c r="H168" s="125" t="e">
        <f t="shared" si="1"/>
        <v>#DIV/0!</v>
      </c>
      <c r="I168" s="126" t="e">
        <f t="shared" si="2"/>
        <v>#DIV/0!</v>
      </c>
      <c r="J168" s="121">
        <f t="shared" ref="J168:M168" si="96">SUM(J157:J167)</f>
        <v>81.889999999999986</v>
      </c>
      <c r="K168" s="294">
        <f t="shared" si="96"/>
        <v>20270</v>
      </c>
      <c r="L168" s="123">
        <f t="shared" si="96"/>
        <v>0</v>
      </c>
      <c r="M168" s="127">
        <f t="shared" si="96"/>
        <v>329.84999999999997</v>
      </c>
      <c r="N168" s="128">
        <f t="shared" si="93"/>
        <v>0.24826436258905563</v>
      </c>
      <c r="O168" s="129">
        <f t="shared" si="4"/>
        <v>4.0279643424105513</v>
      </c>
      <c r="P168" s="128" t="e">
        <f t="shared" si="5"/>
        <v>#DIV/0!</v>
      </c>
      <c r="Q168" s="130" t="e">
        <f t="shared" si="6"/>
        <v>#DIV/0!</v>
      </c>
      <c r="R168" s="131">
        <f>SUM(R157:R167)</f>
        <v>-329.84999999999997</v>
      </c>
      <c r="S168" s="132" t="e">
        <f t="shared" si="8"/>
        <v>#DIV/0!</v>
      </c>
      <c r="T168" s="134">
        <f t="shared" ref="T168:U168" si="97">IFERROR((D168-D48)/D168,)</f>
        <v>0</v>
      </c>
      <c r="U168" s="134">
        <f t="shared" si="97"/>
        <v>0</v>
      </c>
      <c r="V168" s="134">
        <f t="shared" ref="V168:W168" si="98">IFERROR((D168-#REF!)/D168, )</f>
        <v>0</v>
      </c>
      <c r="W168" s="134">
        <f t="shared" si="98"/>
        <v>0</v>
      </c>
      <c r="X168" s="68"/>
      <c r="Y168" s="68"/>
      <c r="Z168" s="68"/>
    </row>
    <row r="169" spans="1:26" ht="12.75" hidden="1" outlineLevel="1" x14ac:dyDescent="0.2">
      <c r="A169" s="68"/>
      <c r="B169" s="69">
        <v>45802</v>
      </c>
      <c r="C169" s="70" t="s">
        <v>112</v>
      </c>
      <c r="D169" s="282"/>
      <c r="E169" s="283"/>
      <c r="F169" s="283"/>
      <c r="G169" s="74" t="e">
        <f t="shared" si="0"/>
        <v>#DIV/0!</v>
      </c>
      <c r="H169" s="75" t="e">
        <f t="shared" si="1"/>
        <v>#DIV/0!</v>
      </c>
      <c r="I169" s="76" t="e">
        <f t="shared" si="2"/>
        <v>#DIV/0!</v>
      </c>
      <c r="J169" s="77">
        <v>1.43</v>
      </c>
      <c r="K169" s="199">
        <v>1310</v>
      </c>
      <c r="L169" s="283"/>
      <c r="M169" s="78">
        <v>0</v>
      </c>
      <c r="N169" s="79" t="e">
        <f t="shared" si="93"/>
        <v>#DIV/0!</v>
      </c>
      <c r="O169" s="80">
        <f t="shared" si="4"/>
        <v>0</v>
      </c>
      <c r="P169" s="79" t="e">
        <f t="shared" si="5"/>
        <v>#DIV/0!</v>
      </c>
      <c r="Q169" s="81" t="e">
        <f t="shared" si="6"/>
        <v>#DIV/0!</v>
      </c>
      <c r="R169" s="82">
        <f t="shared" ref="R169:R179" si="99">D169-M169</f>
        <v>0</v>
      </c>
      <c r="S169" s="83" t="e">
        <f t="shared" si="8"/>
        <v>#DIV/0!</v>
      </c>
      <c r="T169" s="84"/>
      <c r="U169" s="84"/>
      <c r="V169" s="84"/>
      <c r="W169" s="84"/>
      <c r="X169" s="85"/>
      <c r="Y169" s="68"/>
      <c r="Z169" s="68"/>
    </row>
    <row r="170" spans="1:26" ht="12.75" hidden="1" outlineLevel="1" x14ac:dyDescent="0.2">
      <c r="A170" s="68"/>
      <c r="B170" s="86"/>
      <c r="C170" s="70" t="s">
        <v>113</v>
      </c>
      <c r="D170" s="284"/>
      <c r="E170" s="283"/>
      <c r="F170" s="283"/>
      <c r="G170" s="74" t="e">
        <f t="shared" si="0"/>
        <v>#DIV/0!</v>
      </c>
      <c r="H170" s="75" t="e">
        <f t="shared" si="1"/>
        <v>#DIV/0!</v>
      </c>
      <c r="I170" s="76" t="e">
        <f t="shared" si="2"/>
        <v>#DIV/0!</v>
      </c>
      <c r="J170" s="87">
        <v>0</v>
      </c>
      <c r="K170" s="199">
        <v>0</v>
      </c>
      <c r="L170" s="283"/>
      <c r="M170" s="88">
        <v>0</v>
      </c>
      <c r="N170" s="79" t="e">
        <f t="shared" si="93"/>
        <v>#DIV/0!</v>
      </c>
      <c r="O170" s="80" t="e">
        <f t="shared" si="4"/>
        <v>#DIV/0!</v>
      </c>
      <c r="P170" s="79" t="e">
        <f t="shared" si="5"/>
        <v>#DIV/0!</v>
      </c>
      <c r="Q170" s="81" t="e">
        <f t="shared" si="6"/>
        <v>#DIV/0!</v>
      </c>
      <c r="R170" s="89">
        <f t="shared" si="99"/>
        <v>0</v>
      </c>
      <c r="S170" s="83" t="e">
        <f t="shared" si="8"/>
        <v>#DIV/0!</v>
      </c>
      <c r="T170" s="84"/>
      <c r="U170" s="84"/>
      <c r="V170" s="84"/>
      <c r="W170" s="84"/>
      <c r="X170" s="85"/>
      <c r="Y170" s="68"/>
      <c r="Z170" s="68"/>
    </row>
    <row r="171" spans="1:26" ht="12.75" hidden="1" outlineLevel="1" x14ac:dyDescent="0.2">
      <c r="A171" s="68"/>
      <c r="B171" s="86"/>
      <c r="C171" s="70" t="s">
        <v>114</v>
      </c>
      <c r="D171" s="285"/>
      <c r="E171" s="283"/>
      <c r="F171" s="283"/>
      <c r="G171" s="74" t="e">
        <f t="shared" si="0"/>
        <v>#DIV/0!</v>
      </c>
      <c r="H171" s="75" t="e">
        <f t="shared" si="1"/>
        <v>#DIV/0!</v>
      </c>
      <c r="I171" s="76" t="e">
        <f t="shared" si="2"/>
        <v>#DIV/0!</v>
      </c>
      <c r="J171" s="90">
        <v>5.55</v>
      </c>
      <c r="K171" s="199">
        <v>3845</v>
      </c>
      <c r="L171" s="283"/>
      <c r="M171" s="91">
        <v>0</v>
      </c>
      <c r="N171" s="79" t="e">
        <f>(J171/M171)</f>
        <v>#DIV/0!</v>
      </c>
      <c r="O171" s="80">
        <f t="shared" si="4"/>
        <v>0</v>
      </c>
      <c r="P171" s="79" t="e">
        <f t="shared" si="5"/>
        <v>#DIV/0!</v>
      </c>
      <c r="Q171" s="81" t="e">
        <f t="shared" si="6"/>
        <v>#DIV/0!</v>
      </c>
      <c r="R171" s="92">
        <f t="shared" si="99"/>
        <v>0</v>
      </c>
      <c r="S171" s="83" t="e">
        <f t="shared" si="8"/>
        <v>#DIV/0!</v>
      </c>
      <c r="T171" s="84"/>
      <c r="U171" s="84"/>
      <c r="V171" s="84"/>
      <c r="W171" s="84"/>
      <c r="X171" s="85"/>
      <c r="Y171" s="68"/>
      <c r="Z171" s="68"/>
    </row>
    <row r="172" spans="1:26" ht="12.75" hidden="1" outlineLevel="1" x14ac:dyDescent="0.2">
      <c r="A172" s="68"/>
      <c r="B172" s="86"/>
      <c r="C172" s="70" t="s">
        <v>115</v>
      </c>
      <c r="D172" s="285"/>
      <c r="E172" s="283"/>
      <c r="F172" s="283"/>
      <c r="G172" s="74" t="e">
        <f t="shared" si="0"/>
        <v>#DIV/0!</v>
      </c>
      <c r="H172" s="75" t="e">
        <f t="shared" si="1"/>
        <v>#DIV/0!</v>
      </c>
      <c r="I172" s="76" t="e">
        <f t="shared" si="2"/>
        <v>#DIV/0!</v>
      </c>
      <c r="J172" s="90">
        <v>5.49</v>
      </c>
      <c r="K172" s="199">
        <v>1825</v>
      </c>
      <c r="L172" s="283"/>
      <c r="M172" s="91">
        <v>62.95</v>
      </c>
      <c r="N172" s="79">
        <f t="shared" ref="N172:N182" si="100">J172/M172</f>
        <v>8.7212073073868149E-2</v>
      </c>
      <c r="O172" s="80">
        <f t="shared" si="4"/>
        <v>11.466302367941712</v>
      </c>
      <c r="P172" s="79" t="e">
        <f t="shared" si="5"/>
        <v>#DIV/0!</v>
      </c>
      <c r="Q172" s="81" t="e">
        <f t="shared" si="6"/>
        <v>#DIV/0!</v>
      </c>
      <c r="R172" s="92">
        <f t="shared" si="99"/>
        <v>-62.95</v>
      </c>
      <c r="S172" s="83" t="e">
        <f t="shared" si="8"/>
        <v>#DIV/0!</v>
      </c>
      <c r="T172" s="84"/>
      <c r="U172" s="84"/>
      <c r="V172" s="84"/>
      <c r="W172" s="84"/>
      <c r="X172" s="85"/>
      <c r="Y172" s="68"/>
      <c r="Z172" s="68"/>
    </row>
    <row r="173" spans="1:26" ht="12.75" hidden="1" outlineLevel="1" x14ac:dyDescent="0.2">
      <c r="A173" s="68"/>
      <c r="B173" s="86"/>
      <c r="C173" s="70" t="s">
        <v>116</v>
      </c>
      <c r="D173" s="286"/>
      <c r="E173" s="283"/>
      <c r="F173" s="283"/>
      <c r="G173" s="74" t="e">
        <f t="shared" si="0"/>
        <v>#DIV/0!</v>
      </c>
      <c r="H173" s="75" t="e">
        <f t="shared" si="1"/>
        <v>#DIV/0!</v>
      </c>
      <c r="I173" s="76" t="e">
        <f t="shared" si="2"/>
        <v>#DIV/0!</v>
      </c>
      <c r="J173" s="200">
        <v>0</v>
      </c>
      <c r="K173" s="199">
        <v>0</v>
      </c>
      <c r="L173" s="283"/>
      <c r="M173" s="200">
        <v>0</v>
      </c>
      <c r="N173" s="79" t="e">
        <f t="shared" si="100"/>
        <v>#DIV/0!</v>
      </c>
      <c r="O173" s="80" t="e">
        <f t="shared" si="4"/>
        <v>#DIV/0!</v>
      </c>
      <c r="P173" s="79" t="e">
        <f t="shared" si="5"/>
        <v>#DIV/0!</v>
      </c>
      <c r="Q173" s="81" t="e">
        <f t="shared" si="6"/>
        <v>#DIV/0!</v>
      </c>
      <c r="R173" s="92">
        <f t="shared" si="99"/>
        <v>0</v>
      </c>
      <c r="S173" s="83" t="e">
        <f t="shared" si="8"/>
        <v>#DIV/0!</v>
      </c>
      <c r="T173" s="84"/>
      <c r="U173" s="84"/>
      <c r="V173" s="84"/>
      <c r="W173" s="84"/>
      <c r="X173" s="85"/>
      <c r="Y173" s="68"/>
      <c r="Z173" s="68"/>
    </row>
    <row r="174" spans="1:26" ht="12.75" hidden="1" outlineLevel="1" x14ac:dyDescent="0.2">
      <c r="A174" s="68"/>
      <c r="B174" s="86"/>
      <c r="C174" s="70" t="s">
        <v>117</v>
      </c>
      <c r="D174" s="287"/>
      <c r="E174" s="283"/>
      <c r="F174" s="283"/>
      <c r="G174" s="74" t="e">
        <f t="shared" si="0"/>
        <v>#DIV/0!</v>
      </c>
      <c r="H174" s="75" t="e">
        <f t="shared" si="1"/>
        <v>#DIV/0!</v>
      </c>
      <c r="I174" s="76" t="e">
        <f t="shared" si="2"/>
        <v>#DIV/0!</v>
      </c>
      <c r="J174" s="201">
        <v>10.19</v>
      </c>
      <c r="K174" s="199">
        <v>2715</v>
      </c>
      <c r="L174" s="283"/>
      <c r="M174" s="202">
        <v>0</v>
      </c>
      <c r="N174" s="79" t="e">
        <f t="shared" si="100"/>
        <v>#DIV/0!</v>
      </c>
      <c r="O174" s="80">
        <f t="shared" si="4"/>
        <v>0</v>
      </c>
      <c r="P174" s="79" t="e">
        <f t="shared" si="5"/>
        <v>#DIV/0!</v>
      </c>
      <c r="Q174" s="81" t="e">
        <f t="shared" si="6"/>
        <v>#DIV/0!</v>
      </c>
      <c r="R174" s="203">
        <f t="shared" si="99"/>
        <v>0</v>
      </c>
      <c r="S174" s="83" t="e">
        <f t="shared" si="8"/>
        <v>#DIV/0!</v>
      </c>
      <c r="T174" s="84"/>
      <c r="U174" s="84"/>
      <c r="V174" s="84"/>
      <c r="W174" s="84"/>
      <c r="X174" s="85"/>
      <c r="Y174" s="68"/>
      <c r="Z174" s="68"/>
    </row>
    <row r="175" spans="1:26" ht="12.75" hidden="1" outlineLevel="1" x14ac:dyDescent="0.2">
      <c r="A175" s="68"/>
      <c r="B175" s="86"/>
      <c r="C175" s="70" t="s">
        <v>118</v>
      </c>
      <c r="D175" s="285"/>
      <c r="E175" s="283"/>
      <c r="F175" s="283"/>
      <c r="G175" s="74" t="e">
        <f t="shared" si="0"/>
        <v>#DIV/0!</v>
      </c>
      <c r="H175" s="75" t="e">
        <f t="shared" si="1"/>
        <v>#DIV/0!</v>
      </c>
      <c r="I175" s="76" t="e">
        <f t="shared" si="2"/>
        <v>#DIV/0!</v>
      </c>
      <c r="J175" s="90">
        <v>27.35</v>
      </c>
      <c r="K175" s="199">
        <v>5217</v>
      </c>
      <c r="L175" s="283"/>
      <c r="M175" s="91">
        <v>139.9</v>
      </c>
      <c r="N175" s="79">
        <f t="shared" si="100"/>
        <v>0.19549678341672624</v>
      </c>
      <c r="O175" s="80">
        <f t="shared" si="4"/>
        <v>5.1151736745886653</v>
      </c>
      <c r="P175" s="79" t="e">
        <f t="shared" si="5"/>
        <v>#DIV/0!</v>
      </c>
      <c r="Q175" s="81" t="e">
        <f t="shared" si="6"/>
        <v>#DIV/0!</v>
      </c>
      <c r="R175" s="92">
        <f t="shared" si="99"/>
        <v>-139.9</v>
      </c>
      <c r="S175" s="83" t="e">
        <f t="shared" si="8"/>
        <v>#DIV/0!</v>
      </c>
      <c r="T175" s="84"/>
      <c r="U175" s="84"/>
      <c r="V175" s="84"/>
      <c r="W175" s="84"/>
      <c r="X175" s="85"/>
      <c r="Y175" s="68"/>
      <c r="Z175" s="68"/>
    </row>
    <row r="176" spans="1:26" ht="12.75" hidden="1" outlineLevel="1" x14ac:dyDescent="0.2">
      <c r="A176" s="68"/>
      <c r="B176" s="69" t="s">
        <v>37</v>
      </c>
      <c r="C176" s="70" t="s">
        <v>119</v>
      </c>
      <c r="D176" s="288"/>
      <c r="E176" s="283"/>
      <c r="F176" s="283"/>
      <c r="G176" s="74" t="e">
        <f t="shared" si="0"/>
        <v>#DIV/0!</v>
      </c>
      <c r="H176" s="75" t="e">
        <f t="shared" si="1"/>
        <v>#DIV/0!</v>
      </c>
      <c r="I176" s="76" t="e">
        <f t="shared" si="2"/>
        <v>#DIV/0!</v>
      </c>
      <c r="J176" s="93">
        <v>1.56</v>
      </c>
      <c r="K176" s="199">
        <v>988</v>
      </c>
      <c r="L176" s="283"/>
      <c r="M176" s="94">
        <v>0</v>
      </c>
      <c r="N176" s="79" t="e">
        <f t="shared" si="100"/>
        <v>#DIV/0!</v>
      </c>
      <c r="O176" s="80">
        <f t="shared" si="4"/>
        <v>0</v>
      </c>
      <c r="P176" s="79" t="e">
        <f t="shared" si="5"/>
        <v>#DIV/0!</v>
      </c>
      <c r="Q176" s="81" t="e">
        <f t="shared" si="6"/>
        <v>#DIV/0!</v>
      </c>
      <c r="R176" s="95">
        <f t="shared" si="99"/>
        <v>0</v>
      </c>
      <c r="S176" s="83" t="e">
        <f t="shared" si="8"/>
        <v>#DIV/0!</v>
      </c>
      <c r="T176" s="84"/>
      <c r="U176" s="84"/>
      <c r="V176" s="84"/>
      <c r="W176" s="84"/>
      <c r="X176" s="85"/>
      <c r="Y176" s="68"/>
      <c r="Z176" s="68"/>
    </row>
    <row r="177" spans="1:26" ht="12.75" hidden="1" outlineLevel="1" x14ac:dyDescent="0.2">
      <c r="A177" s="68"/>
      <c r="B177" s="86"/>
      <c r="C177" s="70" t="s">
        <v>120</v>
      </c>
      <c r="D177" s="289"/>
      <c r="E177" s="283"/>
      <c r="F177" s="283"/>
      <c r="G177" s="74" t="e">
        <f t="shared" si="0"/>
        <v>#DIV/0!</v>
      </c>
      <c r="H177" s="75" t="e">
        <f t="shared" si="1"/>
        <v>#DIV/0!</v>
      </c>
      <c r="I177" s="76" t="e">
        <f t="shared" si="2"/>
        <v>#DIV/0!</v>
      </c>
      <c r="J177" s="96">
        <v>32.83</v>
      </c>
      <c r="K177" s="199">
        <v>10514</v>
      </c>
      <c r="L177" s="283"/>
      <c r="M177" s="97">
        <v>394</v>
      </c>
      <c r="N177" s="79">
        <f t="shared" si="100"/>
        <v>8.3324873096446692E-2</v>
      </c>
      <c r="O177" s="80">
        <f t="shared" si="4"/>
        <v>12.001218397806884</v>
      </c>
      <c r="P177" s="79" t="e">
        <f t="shared" si="5"/>
        <v>#DIV/0!</v>
      </c>
      <c r="Q177" s="81" t="e">
        <f t="shared" si="6"/>
        <v>#DIV/0!</v>
      </c>
      <c r="R177" s="98">
        <f t="shared" si="99"/>
        <v>-394</v>
      </c>
      <c r="S177" s="83" t="e">
        <f t="shared" si="8"/>
        <v>#DIV/0!</v>
      </c>
      <c r="T177" s="84"/>
      <c r="U177" s="84"/>
      <c r="V177" s="84"/>
      <c r="W177" s="84"/>
      <c r="X177" s="85"/>
      <c r="Y177" s="68"/>
      <c r="Z177" s="68"/>
    </row>
    <row r="178" spans="1:26" ht="12.75" hidden="1" outlineLevel="1" x14ac:dyDescent="0.2">
      <c r="A178" s="68"/>
      <c r="B178" s="86"/>
      <c r="C178" s="70" t="s">
        <v>121</v>
      </c>
      <c r="D178" s="290"/>
      <c r="E178" s="283"/>
      <c r="F178" s="283"/>
      <c r="G178" s="74" t="e">
        <f t="shared" si="0"/>
        <v>#DIV/0!</v>
      </c>
      <c r="H178" s="75" t="e">
        <f t="shared" si="1"/>
        <v>#DIV/0!</v>
      </c>
      <c r="I178" s="76" t="e">
        <f t="shared" si="2"/>
        <v>#DIV/0!</v>
      </c>
      <c r="J178" s="99">
        <v>22.67</v>
      </c>
      <c r="K178" s="199">
        <v>8372</v>
      </c>
      <c r="L178" s="283"/>
      <c r="M178" s="100">
        <v>0</v>
      </c>
      <c r="N178" s="79" t="e">
        <f t="shared" si="100"/>
        <v>#DIV/0!</v>
      </c>
      <c r="O178" s="80">
        <f t="shared" si="4"/>
        <v>0</v>
      </c>
      <c r="P178" s="79" t="e">
        <f t="shared" si="5"/>
        <v>#DIV/0!</v>
      </c>
      <c r="Q178" s="81" t="e">
        <f t="shared" si="6"/>
        <v>#DIV/0!</v>
      </c>
      <c r="R178" s="101">
        <f t="shared" si="99"/>
        <v>0</v>
      </c>
      <c r="S178" s="83" t="e">
        <f t="shared" si="8"/>
        <v>#DIV/0!</v>
      </c>
      <c r="T178" s="84"/>
      <c r="U178" s="84"/>
      <c r="V178" s="84"/>
      <c r="W178" s="84"/>
      <c r="X178" s="85"/>
      <c r="Y178" s="68"/>
      <c r="Z178" s="68"/>
    </row>
    <row r="179" spans="1:26" ht="12.75" hidden="1" outlineLevel="1" x14ac:dyDescent="0.2">
      <c r="A179" s="118" t="str">
        <f t="shared" ref="A179:A180" si="101">IFERROR(IF(B179&gt;0,MONTH(B179)&amp;"-"&amp;YEAR(B179),B179),)</f>
        <v>5-2025</v>
      </c>
      <c r="B179" s="69">
        <v>45808</v>
      </c>
      <c r="C179" s="70" t="s">
        <v>123</v>
      </c>
      <c r="D179" s="293"/>
      <c r="E179" s="283"/>
      <c r="F179" s="283"/>
      <c r="G179" s="74" t="e">
        <f t="shared" si="0"/>
        <v>#DIV/0!</v>
      </c>
      <c r="H179" s="75" t="e">
        <f t="shared" si="1"/>
        <v>#DIV/0!</v>
      </c>
      <c r="I179" s="76" t="e">
        <f t="shared" si="2"/>
        <v>#DIV/0!</v>
      </c>
      <c r="J179" s="87">
        <v>0</v>
      </c>
      <c r="K179" s="199">
        <v>0</v>
      </c>
      <c r="L179" s="283"/>
      <c r="M179" s="88">
        <v>0</v>
      </c>
      <c r="N179" s="79" t="e">
        <f t="shared" si="100"/>
        <v>#DIV/0!</v>
      </c>
      <c r="O179" s="80" t="e">
        <f t="shared" si="4"/>
        <v>#DIV/0!</v>
      </c>
      <c r="P179" s="79" t="e">
        <f t="shared" si="5"/>
        <v>#DIV/0!</v>
      </c>
      <c r="Q179" s="81" t="e">
        <f t="shared" si="6"/>
        <v>#DIV/0!</v>
      </c>
      <c r="R179" s="82">
        <f t="shared" si="99"/>
        <v>0</v>
      </c>
      <c r="S179" s="83" t="e">
        <f t="shared" si="8"/>
        <v>#DIV/0!</v>
      </c>
      <c r="T179" s="84"/>
      <c r="U179" s="84"/>
      <c r="V179" s="84"/>
      <c r="W179" s="84"/>
      <c r="X179" s="85"/>
      <c r="Y179" s="68"/>
      <c r="Z179" s="68"/>
    </row>
    <row r="180" spans="1:26" ht="12.75" collapsed="1" x14ac:dyDescent="0.2">
      <c r="A180" s="68">
        <f t="shared" si="101"/>
        <v>0</v>
      </c>
      <c r="B180" s="52" t="s">
        <v>80</v>
      </c>
      <c r="C180" s="120"/>
      <c r="D180" s="121">
        <f t="shared" ref="D180:F180" si="102">SUM(D169:D179)</f>
        <v>0</v>
      </c>
      <c r="E180" s="123">
        <f t="shared" si="102"/>
        <v>0</v>
      </c>
      <c r="F180" s="123">
        <f t="shared" si="102"/>
        <v>0</v>
      </c>
      <c r="G180" s="124" t="e">
        <f t="shared" si="0"/>
        <v>#DIV/0!</v>
      </c>
      <c r="H180" s="125" t="e">
        <f t="shared" si="1"/>
        <v>#DIV/0!</v>
      </c>
      <c r="I180" s="126" t="e">
        <f t="shared" si="2"/>
        <v>#DIV/0!</v>
      </c>
      <c r="J180" s="121">
        <f t="shared" ref="J180:M180" si="103">SUM(J169:J179)</f>
        <v>107.07000000000001</v>
      </c>
      <c r="K180" s="294">
        <f t="shared" si="103"/>
        <v>34786</v>
      </c>
      <c r="L180" s="123">
        <f t="shared" si="103"/>
        <v>0</v>
      </c>
      <c r="M180" s="127">
        <f t="shared" si="103"/>
        <v>596.85</v>
      </c>
      <c r="N180" s="128">
        <f t="shared" si="100"/>
        <v>0.17939180698668009</v>
      </c>
      <c r="O180" s="129">
        <f t="shared" si="4"/>
        <v>5.5743905855982065</v>
      </c>
      <c r="P180" s="128" t="e">
        <f t="shared" si="5"/>
        <v>#DIV/0!</v>
      </c>
      <c r="Q180" s="130" t="e">
        <f t="shared" si="6"/>
        <v>#DIV/0!</v>
      </c>
      <c r="R180" s="131">
        <f>SUM(R169:R179)</f>
        <v>-596.85</v>
      </c>
      <c r="S180" s="132" t="e">
        <f t="shared" si="8"/>
        <v>#DIV/0!</v>
      </c>
      <c r="T180" s="134">
        <f t="shared" ref="T180:U180" si="104">IFERROR((D180-D48)/D180,)</f>
        <v>0</v>
      </c>
      <c r="U180" s="134">
        <f t="shared" si="104"/>
        <v>0</v>
      </c>
      <c r="V180" s="134">
        <f t="shared" ref="V180:W180" si="105">IFERROR((D180-#REF!)/D180, )</f>
        <v>0</v>
      </c>
      <c r="W180" s="134">
        <f t="shared" si="105"/>
        <v>0</v>
      </c>
      <c r="X180" s="68"/>
      <c r="Y180" s="68"/>
      <c r="Z180" s="68"/>
    </row>
    <row r="181" spans="1:26" ht="12.75" hidden="1" outlineLevel="1" x14ac:dyDescent="0.2">
      <c r="A181" s="68"/>
      <c r="B181" s="69">
        <v>45809</v>
      </c>
      <c r="C181" s="70" t="s">
        <v>112</v>
      </c>
      <c r="D181" s="282"/>
      <c r="E181" s="283"/>
      <c r="F181" s="283"/>
      <c r="G181" s="74" t="e">
        <f t="shared" si="0"/>
        <v>#DIV/0!</v>
      </c>
      <c r="H181" s="75" t="e">
        <f t="shared" si="1"/>
        <v>#DIV/0!</v>
      </c>
      <c r="I181" s="76" t="e">
        <f t="shared" si="2"/>
        <v>#DIV/0!</v>
      </c>
      <c r="J181" s="77">
        <v>0.51</v>
      </c>
      <c r="K181" s="199">
        <v>1035</v>
      </c>
      <c r="L181" s="283"/>
      <c r="M181" s="78">
        <v>0</v>
      </c>
      <c r="N181" s="79" t="e">
        <f t="shared" si="100"/>
        <v>#DIV/0!</v>
      </c>
      <c r="O181" s="80">
        <f t="shared" si="4"/>
        <v>0</v>
      </c>
      <c r="P181" s="79" t="e">
        <f t="shared" si="5"/>
        <v>#DIV/0!</v>
      </c>
      <c r="Q181" s="81" t="e">
        <f t="shared" si="6"/>
        <v>#DIV/0!</v>
      </c>
      <c r="R181" s="82">
        <f t="shared" ref="R181:R191" si="106">D181-M181</f>
        <v>0</v>
      </c>
      <c r="S181" s="83" t="e">
        <f t="shared" si="8"/>
        <v>#DIV/0!</v>
      </c>
      <c r="T181" s="84"/>
      <c r="U181" s="84"/>
      <c r="V181" s="84"/>
      <c r="W181" s="84"/>
      <c r="X181" s="85"/>
      <c r="Y181" s="68"/>
      <c r="Z181" s="68"/>
    </row>
    <row r="182" spans="1:26" ht="12.75" hidden="1" outlineLevel="1" x14ac:dyDescent="0.2">
      <c r="A182" s="68"/>
      <c r="B182" s="86"/>
      <c r="C182" s="70" t="s">
        <v>113</v>
      </c>
      <c r="D182" s="284"/>
      <c r="E182" s="283"/>
      <c r="F182" s="283"/>
      <c r="G182" s="74" t="e">
        <f t="shared" si="0"/>
        <v>#DIV/0!</v>
      </c>
      <c r="H182" s="75" t="e">
        <f t="shared" si="1"/>
        <v>#DIV/0!</v>
      </c>
      <c r="I182" s="76" t="e">
        <f t="shared" si="2"/>
        <v>#DIV/0!</v>
      </c>
      <c r="J182" s="87">
        <v>10.44</v>
      </c>
      <c r="K182" s="199">
        <v>2782</v>
      </c>
      <c r="L182" s="283"/>
      <c r="M182" s="88">
        <v>0</v>
      </c>
      <c r="N182" s="79" t="e">
        <f t="shared" si="100"/>
        <v>#DIV/0!</v>
      </c>
      <c r="O182" s="80">
        <f t="shared" si="4"/>
        <v>0</v>
      </c>
      <c r="P182" s="79" t="e">
        <f t="shared" si="5"/>
        <v>#DIV/0!</v>
      </c>
      <c r="Q182" s="81" t="e">
        <f t="shared" si="6"/>
        <v>#DIV/0!</v>
      </c>
      <c r="R182" s="89">
        <f t="shared" si="106"/>
        <v>0</v>
      </c>
      <c r="S182" s="83" t="e">
        <f t="shared" si="8"/>
        <v>#DIV/0!</v>
      </c>
      <c r="T182" s="84"/>
      <c r="U182" s="84"/>
      <c r="V182" s="84"/>
      <c r="W182" s="84"/>
      <c r="X182" s="85"/>
      <c r="Y182" s="68"/>
      <c r="Z182" s="68"/>
    </row>
    <row r="183" spans="1:26" ht="12.75" hidden="1" outlineLevel="1" x14ac:dyDescent="0.2">
      <c r="A183" s="68"/>
      <c r="B183" s="86"/>
      <c r="C183" s="70" t="s">
        <v>114</v>
      </c>
      <c r="D183" s="285"/>
      <c r="E183" s="283"/>
      <c r="F183" s="283"/>
      <c r="G183" s="74" t="e">
        <f t="shared" si="0"/>
        <v>#DIV/0!</v>
      </c>
      <c r="H183" s="75" t="e">
        <f t="shared" si="1"/>
        <v>#DIV/0!</v>
      </c>
      <c r="I183" s="76" t="e">
        <f t="shared" si="2"/>
        <v>#DIV/0!</v>
      </c>
      <c r="J183" s="90">
        <v>67.05</v>
      </c>
      <c r="K183" s="199">
        <v>6170</v>
      </c>
      <c r="L183" s="283"/>
      <c r="M183" s="91">
        <v>109.98</v>
      </c>
      <c r="N183" s="79">
        <f>(J183/M183)</f>
        <v>0.60965630114566283</v>
      </c>
      <c r="O183" s="80">
        <f t="shared" si="4"/>
        <v>1.640268456375839</v>
      </c>
      <c r="P183" s="79" t="e">
        <f t="shared" si="5"/>
        <v>#DIV/0!</v>
      </c>
      <c r="Q183" s="81" t="e">
        <f t="shared" si="6"/>
        <v>#DIV/0!</v>
      </c>
      <c r="R183" s="92">
        <f t="shared" si="106"/>
        <v>-109.98</v>
      </c>
      <c r="S183" s="83" t="e">
        <f t="shared" si="8"/>
        <v>#DIV/0!</v>
      </c>
      <c r="T183" s="84"/>
      <c r="U183" s="84"/>
      <c r="V183" s="84"/>
      <c r="W183" s="84"/>
      <c r="X183" s="85"/>
      <c r="Y183" s="68"/>
      <c r="Z183" s="68"/>
    </row>
    <row r="184" spans="1:26" ht="12.75" hidden="1" outlineLevel="1" x14ac:dyDescent="0.2">
      <c r="A184" s="68"/>
      <c r="B184" s="86"/>
      <c r="C184" s="70" t="s">
        <v>115</v>
      </c>
      <c r="D184" s="285"/>
      <c r="E184" s="283"/>
      <c r="F184" s="283"/>
      <c r="G184" s="74" t="e">
        <f t="shared" si="0"/>
        <v>#DIV/0!</v>
      </c>
      <c r="H184" s="75" t="e">
        <f t="shared" si="1"/>
        <v>#DIV/0!</v>
      </c>
      <c r="I184" s="76" t="e">
        <f t="shared" si="2"/>
        <v>#DIV/0!</v>
      </c>
      <c r="J184" s="90">
        <v>19.39</v>
      </c>
      <c r="K184" s="199">
        <v>5749</v>
      </c>
      <c r="L184" s="283"/>
      <c r="M184" s="91">
        <v>59.95</v>
      </c>
      <c r="N184" s="79">
        <f t="shared" ref="N184:N194" si="107">J184/M184</f>
        <v>0.32343619683069225</v>
      </c>
      <c r="O184" s="80">
        <f t="shared" si="4"/>
        <v>3.0917998968540483</v>
      </c>
      <c r="P184" s="79" t="e">
        <f t="shared" si="5"/>
        <v>#DIV/0!</v>
      </c>
      <c r="Q184" s="81" t="e">
        <f t="shared" si="6"/>
        <v>#DIV/0!</v>
      </c>
      <c r="R184" s="92">
        <f t="shared" si="106"/>
        <v>-59.95</v>
      </c>
      <c r="S184" s="83" t="e">
        <f t="shared" si="8"/>
        <v>#DIV/0!</v>
      </c>
      <c r="T184" s="84"/>
      <c r="U184" s="84"/>
      <c r="V184" s="84"/>
      <c r="W184" s="84"/>
      <c r="X184" s="85"/>
      <c r="Y184" s="68"/>
      <c r="Z184" s="68"/>
    </row>
    <row r="185" spans="1:26" ht="12.75" hidden="1" outlineLevel="1" x14ac:dyDescent="0.2">
      <c r="A185" s="68"/>
      <c r="B185" s="86"/>
      <c r="C185" s="70" t="s">
        <v>116</v>
      </c>
      <c r="D185" s="286"/>
      <c r="E185" s="283"/>
      <c r="F185" s="283"/>
      <c r="G185" s="74" t="e">
        <f t="shared" si="0"/>
        <v>#DIV/0!</v>
      </c>
      <c r="H185" s="75" t="e">
        <f t="shared" si="1"/>
        <v>#DIV/0!</v>
      </c>
      <c r="I185" s="76" t="e">
        <f t="shared" si="2"/>
        <v>#DIV/0!</v>
      </c>
      <c r="J185" s="200">
        <v>0</v>
      </c>
      <c r="K185" s="199">
        <v>0</v>
      </c>
      <c r="L185" s="283"/>
      <c r="M185" s="200">
        <v>0</v>
      </c>
      <c r="N185" s="79" t="e">
        <f t="shared" si="107"/>
        <v>#DIV/0!</v>
      </c>
      <c r="O185" s="80" t="e">
        <f t="shared" si="4"/>
        <v>#DIV/0!</v>
      </c>
      <c r="P185" s="79" t="e">
        <f t="shared" si="5"/>
        <v>#DIV/0!</v>
      </c>
      <c r="Q185" s="81" t="e">
        <f t="shared" si="6"/>
        <v>#DIV/0!</v>
      </c>
      <c r="R185" s="92">
        <f t="shared" si="106"/>
        <v>0</v>
      </c>
      <c r="S185" s="83" t="e">
        <f t="shared" si="8"/>
        <v>#DIV/0!</v>
      </c>
      <c r="T185" s="84"/>
      <c r="U185" s="84"/>
      <c r="V185" s="84"/>
      <c r="W185" s="84"/>
      <c r="X185" s="85"/>
      <c r="Y185" s="68"/>
      <c r="Z185" s="68"/>
    </row>
    <row r="186" spans="1:26" ht="12.75" hidden="1" outlineLevel="1" x14ac:dyDescent="0.2">
      <c r="A186" s="68"/>
      <c r="B186" s="86"/>
      <c r="C186" s="70" t="s">
        <v>117</v>
      </c>
      <c r="D186" s="287"/>
      <c r="E186" s="283"/>
      <c r="F186" s="283"/>
      <c r="G186" s="74" t="e">
        <f t="shared" si="0"/>
        <v>#DIV/0!</v>
      </c>
      <c r="H186" s="75" t="e">
        <f t="shared" si="1"/>
        <v>#DIV/0!</v>
      </c>
      <c r="I186" s="76" t="e">
        <f t="shared" si="2"/>
        <v>#DIV/0!</v>
      </c>
      <c r="J186" s="201">
        <v>9.2100000000000009</v>
      </c>
      <c r="K186" s="199">
        <v>2118</v>
      </c>
      <c r="L186" s="283"/>
      <c r="M186" s="202">
        <v>0</v>
      </c>
      <c r="N186" s="79" t="e">
        <f t="shared" si="107"/>
        <v>#DIV/0!</v>
      </c>
      <c r="O186" s="80">
        <f t="shared" si="4"/>
        <v>0</v>
      </c>
      <c r="P186" s="79" t="e">
        <f t="shared" si="5"/>
        <v>#DIV/0!</v>
      </c>
      <c r="Q186" s="81" t="e">
        <f t="shared" si="6"/>
        <v>#DIV/0!</v>
      </c>
      <c r="R186" s="203">
        <f t="shared" si="106"/>
        <v>0</v>
      </c>
      <c r="S186" s="83" t="e">
        <f t="shared" si="8"/>
        <v>#DIV/0!</v>
      </c>
      <c r="T186" s="84"/>
      <c r="U186" s="84"/>
      <c r="V186" s="84"/>
      <c r="W186" s="84"/>
      <c r="X186" s="85"/>
      <c r="Y186" s="68"/>
      <c r="Z186" s="68"/>
    </row>
    <row r="187" spans="1:26" ht="12.75" hidden="1" outlineLevel="1" x14ac:dyDescent="0.2">
      <c r="A187" s="68"/>
      <c r="B187" s="86"/>
      <c r="C187" s="70" t="s">
        <v>118</v>
      </c>
      <c r="D187" s="285"/>
      <c r="E187" s="283"/>
      <c r="F187" s="283"/>
      <c r="G187" s="74" t="e">
        <f t="shared" si="0"/>
        <v>#DIV/0!</v>
      </c>
      <c r="H187" s="75" t="e">
        <f t="shared" si="1"/>
        <v>#DIV/0!</v>
      </c>
      <c r="I187" s="76" t="e">
        <f t="shared" si="2"/>
        <v>#DIV/0!</v>
      </c>
      <c r="J187" s="90">
        <v>34.04</v>
      </c>
      <c r="K187" s="199">
        <v>5591</v>
      </c>
      <c r="L187" s="283"/>
      <c r="M187" s="91">
        <v>69.95</v>
      </c>
      <c r="N187" s="79">
        <f t="shared" si="107"/>
        <v>0.48663330950679051</v>
      </c>
      <c r="O187" s="80">
        <f t="shared" si="4"/>
        <v>2.0549353701527617</v>
      </c>
      <c r="P187" s="79" t="e">
        <f t="shared" si="5"/>
        <v>#DIV/0!</v>
      </c>
      <c r="Q187" s="81" t="e">
        <f t="shared" si="6"/>
        <v>#DIV/0!</v>
      </c>
      <c r="R187" s="92">
        <f t="shared" si="106"/>
        <v>-69.95</v>
      </c>
      <c r="S187" s="83" t="e">
        <f t="shared" si="8"/>
        <v>#DIV/0!</v>
      </c>
      <c r="T187" s="84"/>
      <c r="U187" s="84"/>
      <c r="V187" s="84"/>
      <c r="W187" s="84"/>
      <c r="X187" s="85"/>
      <c r="Y187" s="68"/>
      <c r="Z187" s="68"/>
    </row>
    <row r="188" spans="1:26" ht="12.75" hidden="1" outlineLevel="1" x14ac:dyDescent="0.2">
      <c r="A188" s="68"/>
      <c r="B188" s="69" t="s">
        <v>37</v>
      </c>
      <c r="C188" s="70" t="s">
        <v>119</v>
      </c>
      <c r="D188" s="288"/>
      <c r="E188" s="283"/>
      <c r="F188" s="283"/>
      <c r="G188" s="74" t="e">
        <f t="shared" si="0"/>
        <v>#DIV/0!</v>
      </c>
      <c r="H188" s="75" t="e">
        <f t="shared" si="1"/>
        <v>#DIV/0!</v>
      </c>
      <c r="I188" s="76" t="e">
        <f t="shared" si="2"/>
        <v>#DIV/0!</v>
      </c>
      <c r="J188" s="93">
        <v>19.79</v>
      </c>
      <c r="K188" s="199">
        <v>7205</v>
      </c>
      <c r="L188" s="283"/>
      <c r="M188" s="94">
        <v>180</v>
      </c>
      <c r="N188" s="79">
        <f t="shared" si="107"/>
        <v>0.10994444444444444</v>
      </c>
      <c r="O188" s="80">
        <f t="shared" si="4"/>
        <v>9.0955027791814054</v>
      </c>
      <c r="P188" s="79" t="e">
        <f t="shared" si="5"/>
        <v>#DIV/0!</v>
      </c>
      <c r="Q188" s="81" t="e">
        <f t="shared" si="6"/>
        <v>#DIV/0!</v>
      </c>
      <c r="R188" s="95">
        <f t="shared" si="106"/>
        <v>-180</v>
      </c>
      <c r="S188" s="83" t="e">
        <f t="shared" si="8"/>
        <v>#DIV/0!</v>
      </c>
      <c r="T188" s="84"/>
      <c r="U188" s="84"/>
      <c r="V188" s="84"/>
      <c r="W188" s="84"/>
      <c r="X188" s="85"/>
      <c r="Y188" s="68"/>
      <c r="Z188" s="68"/>
    </row>
    <row r="189" spans="1:26" ht="12.75" hidden="1" outlineLevel="1" x14ac:dyDescent="0.2">
      <c r="A189" s="68"/>
      <c r="B189" s="86"/>
      <c r="C189" s="70" t="s">
        <v>120</v>
      </c>
      <c r="D189" s="289"/>
      <c r="E189" s="283"/>
      <c r="F189" s="283"/>
      <c r="G189" s="74" t="e">
        <f t="shared" si="0"/>
        <v>#DIV/0!</v>
      </c>
      <c r="H189" s="75" t="e">
        <f t="shared" si="1"/>
        <v>#DIV/0!</v>
      </c>
      <c r="I189" s="76" t="e">
        <f t="shared" si="2"/>
        <v>#DIV/0!</v>
      </c>
      <c r="J189" s="96">
        <v>154.78</v>
      </c>
      <c r="K189" s="199">
        <v>30068</v>
      </c>
      <c r="L189" s="283"/>
      <c r="M189" s="97">
        <v>0</v>
      </c>
      <c r="N189" s="79" t="e">
        <f t="shared" si="107"/>
        <v>#DIV/0!</v>
      </c>
      <c r="O189" s="80">
        <f t="shared" si="4"/>
        <v>0</v>
      </c>
      <c r="P189" s="79" t="e">
        <f t="shared" si="5"/>
        <v>#DIV/0!</v>
      </c>
      <c r="Q189" s="81" t="e">
        <f t="shared" si="6"/>
        <v>#DIV/0!</v>
      </c>
      <c r="R189" s="98">
        <f t="shared" si="106"/>
        <v>0</v>
      </c>
      <c r="S189" s="83" t="e">
        <f t="shared" si="8"/>
        <v>#DIV/0!</v>
      </c>
      <c r="T189" s="84"/>
      <c r="U189" s="84"/>
      <c r="V189" s="84"/>
      <c r="W189" s="84"/>
      <c r="X189" s="85"/>
      <c r="Y189" s="68"/>
      <c r="Z189" s="68"/>
    </row>
    <row r="190" spans="1:26" ht="12.75" hidden="1" outlineLevel="1" x14ac:dyDescent="0.2">
      <c r="A190" s="68"/>
      <c r="B190" s="86"/>
      <c r="C190" s="70" t="s">
        <v>121</v>
      </c>
      <c r="D190" s="290"/>
      <c r="E190" s="283"/>
      <c r="F190" s="283"/>
      <c r="G190" s="74" t="e">
        <f t="shared" si="0"/>
        <v>#DIV/0!</v>
      </c>
      <c r="H190" s="75" t="e">
        <f t="shared" si="1"/>
        <v>#DIV/0!</v>
      </c>
      <c r="I190" s="76" t="e">
        <f t="shared" si="2"/>
        <v>#DIV/0!</v>
      </c>
      <c r="J190" s="99">
        <v>11.71</v>
      </c>
      <c r="K190" s="199">
        <v>5128</v>
      </c>
      <c r="L190" s="283"/>
      <c r="M190" s="100">
        <v>0</v>
      </c>
      <c r="N190" s="79" t="e">
        <f t="shared" si="107"/>
        <v>#DIV/0!</v>
      </c>
      <c r="O190" s="80">
        <f t="shared" si="4"/>
        <v>0</v>
      </c>
      <c r="P190" s="79" t="e">
        <f t="shared" si="5"/>
        <v>#DIV/0!</v>
      </c>
      <c r="Q190" s="81" t="e">
        <f t="shared" si="6"/>
        <v>#DIV/0!</v>
      </c>
      <c r="R190" s="101">
        <f t="shared" si="106"/>
        <v>0</v>
      </c>
      <c r="S190" s="83" t="e">
        <f t="shared" si="8"/>
        <v>#DIV/0!</v>
      </c>
      <c r="T190" s="84"/>
      <c r="U190" s="84"/>
      <c r="V190" s="84"/>
      <c r="W190" s="84"/>
      <c r="X190" s="85"/>
      <c r="Y190" s="68"/>
      <c r="Z190" s="68"/>
    </row>
    <row r="191" spans="1:26" ht="12.75" hidden="1" outlineLevel="1" x14ac:dyDescent="0.2">
      <c r="A191" s="118" t="str">
        <f t="shared" ref="A191:A192" si="108">IFERROR(IF(B191&gt;0,MONTH(B191)&amp;"-"&amp;YEAR(B191),B191),)</f>
        <v>6-2025</v>
      </c>
      <c r="B191" s="69">
        <v>45815</v>
      </c>
      <c r="C191" s="70" t="s">
        <v>123</v>
      </c>
      <c r="D191" s="293"/>
      <c r="E191" s="283"/>
      <c r="F191" s="283"/>
      <c r="G191" s="74" t="e">
        <f t="shared" si="0"/>
        <v>#DIV/0!</v>
      </c>
      <c r="H191" s="75" t="e">
        <f t="shared" si="1"/>
        <v>#DIV/0!</v>
      </c>
      <c r="I191" s="76" t="e">
        <f t="shared" si="2"/>
        <v>#DIV/0!</v>
      </c>
      <c r="J191" s="87">
        <v>0</v>
      </c>
      <c r="K191" s="199">
        <v>0</v>
      </c>
      <c r="L191" s="283"/>
      <c r="M191" s="88">
        <v>0</v>
      </c>
      <c r="N191" s="79" t="e">
        <f t="shared" si="107"/>
        <v>#DIV/0!</v>
      </c>
      <c r="O191" s="80" t="e">
        <f t="shared" si="4"/>
        <v>#DIV/0!</v>
      </c>
      <c r="P191" s="79" t="e">
        <f t="shared" si="5"/>
        <v>#DIV/0!</v>
      </c>
      <c r="Q191" s="81" t="e">
        <f t="shared" si="6"/>
        <v>#DIV/0!</v>
      </c>
      <c r="R191" s="82">
        <f t="shared" si="106"/>
        <v>0</v>
      </c>
      <c r="S191" s="83" t="e">
        <f t="shared" si="8"/>
        <v>#DIV/0!</v>
      </c>
      <c r="T191" s="84"/>
      <c r="U191" s="84"/>
      <c r="V191" s="84"/>
      <c r="W191" s="84"/>
      <c r="X191" s="85"/>
      <c r="Y191" s="68"/>
      <c r="Z191" s="68"/>
    </row>
    <row r="192" spans="1:26" ht="12.75" collapsed="1" x14ac:dyDescent="0.2">
      <c r="A192" s="68">
        <f t="shared" si="108"/>
        <v>0</v>
      </c>
      <c r="B192" s="52" t="s">
        <v>81</v>
      </c>
      <c r="C192" s="120"/>
      <c r="D192" s="121">
        <f t="shared" ref="D192:F192" si="109">SUM(D181:D191)</f>
        <v>0</v>
      </c>
      <c r="E192" s="123">
        <f t="shared" si="109"/>
        <v>0</v>
      </c>
      <c r="F192" s="123">
        <f t="shared" si="109"/>
        <v>0</v>
      </c>
      <c r="G192" s="124" t="e">
        <f t="shared" si="0"/>
        <v>#DIV/0!</v>
      </c>
      <c r="H192" s="125" t="e">
        <f t="shared" si="1"/>
        <v>#DIV/0!</v>
      </c>
      <c r="I192" s="126" t="e">
        <f t="shared" si="2"/>
        <v>#DIV/0!</v>
      </c>
      <c r="J192" s="121">
        <f t="shared" ref="J192:M192" si="110">SUM(J181:J191)</f>
        <v>326.91999999999996</v>
      </c>
      <c r="K192" s="294">
        <f t="shared" si="110"/>
        <v>65846</v>
      </c>
      <c r="L192" s="123">
        <f t="shared" si="110"/>
        <v>0</v>
      </c>
      <c r="M192" s="127">
        <f t="shared" si="110"/>
        <v>419.88</v>
      </c>
      <c r="N192" s="128">
        <f t="shared" si="107"/>
        <v>0.77860341049823756</v>
      </c>
      <c r="O192" s="129">
        <f t="shared" si="4"/>
        <v>1.2843509115379912</v>
      </c>
      <c r="P192" s="128" t="e">
        <f t="shared" si="5"/>
        <v>#DIV/0!</v>
      </c>
      <c r="Q192" s="130" t="e">
        <f t="shared" si="6"/>
        <v>#DIV/0!</v>
      </c>
      <c r="R192" s="131">
        <f>SUM(R181:R191)</f>
        <v>-419.88</v>
      </c>
      <c r="S192" s="132" t="e">
        <f t="shared" si="8"/>
        <v>#DIV/0!</v>
      </c>
      <c r="T192" s="134">
        <f t="shared" ref="T192:U192" si="111">IFERROR((D192-D48)/D192,)</f>
        <v>0</v>
      </c>
      <c r="U192" s="134">
        <f t="shared" si="111"/>
        <v>0</v>
      </c>
      <c r="V192" s="134">
        <f t="shared" ref="V192:W192" si="112">IFERROR((D192-#REF!)/D192, )</f>
        <v>0</v>
      </c>
      <c r="W192" s="134">
        <f t="shared" si="112"/>
        <v>0</v>
      </c>
      <c r="X192" s="68"/>
      <c r="Y192" s="68"/>
      <c r="Z192" s="68"/>
    </row>
    <row r="193" spans="1:26" ht="12.75" hidden="1" outlineLevel="1" x14ac:dyDescent="0.2">
      <c r="A193" s="68"/>
      <c r="B193" s="69">
        <v>45816</v>
      </c>
      <c r="C193" s="70" t="s">
        <v>112</v>
      </c>
      <c r="D193" s="282"/>
      <c r="E193" s="283"/>
      <c r="F193" s="283"/>
      <c r="G193" s="74" t="e">
        <f t="shared" si="0"/>
        <v>#DIV/0!</v>
      </c>
      <c r="H193" s="75" t="e">
        <f t="shared" si="1"/>
        <v>#DIV/0!</v>
      </c>
      <c r="I193" s="76" t="e">
        <f t="shared" si="2"/>
        <v>#DIV/0!</v>
      </c>
      <c r="J193" s="77">
        <v>0.31</v>
      </c>
      <c r="K193" s="199">
        <v>259</v>
      </c>
      <c r="L193" s="283"/>
      <c r="M193" s="78">
        <v>0</v>
      </c>
      <c r="N193" s="79" t="e">
        <f t="shared" si="107"/>
        <v>#DIV/0!</v>
      </c>
      <c r="O193" s="80">
        <f t="shared" si="4"/>
        <v>0</v>
      </c>
      <c r="P193" s="79" t="e">
        <f t="shared" si="5"/>
        <v>#DIV/0!</v>
      </c>
      <c r="Q193" s="81" t="e">
        <f t="shared" si="6"/>
        <v>#DIV/0!</v>
      </c>
      <c r="R193" s="82">
        <f t="shared" ref="R193:R203" si="113">D193-M193</f>
        <v>0</v>
      </c>
      <c r="S193" s="83" t="e">
        <f t="shared" si="8"/>
        <v>#DIV/0!</v>
      </c>
      <c r="T193" s="84"/>
      <c r="U193" s="84"/>
      <c r="V193" s="84"/>
      <c r="W193" s="84"/>
      <c r="X193" s="85"/>
      <c r="Y193" s="68"/>
      <c r="Z193" s="68"/>
    </row>
    <row r="194" spans="1:26" ht="12.75" hidden="1" outlineLevel="1" x14ac:dyDescent="0.2">
      <c r="A194" s="68"/>
      <c r="B194" s="86"/>
      <c r="C194" s="70" t="s">
        <v>113</v>
      </c>
      <c r="D194" s="284"/>
      <c r="E194" s="283"/>
      <c r="F194" s="283"/>
      <c r="G194" s="74" t="e">
        <f t="shared" si="0"/>
        <v>#DIV/0!</v>
      </c>
      <c r="H194" s="75" t="e">
        <f t="shared" si="1"/>
        <v>#DIV/0!</v>
      </c>
      <c r="I194" s="76" t="e">
        <f t="shared" si="2"/>
        <v>#DIV/0!</v>
      </c>
      <c r="J194" s="87">
        <v>11.5</v>
      </c>
      <c r="K194" s="199">
        <v>6539</v>
      </c>
      <c r="L194" s="283"/>
      <c r="M194" s="88">
        <v>119.9</v>
      </c>
      <c r="N194" s="79">
        <f t="shared" si="107"/>
        <v>9.591326105087572E-2</v>
      </c>
      <c r="O194" s="80">
        <f t="shared" si="4"/>
        <v>10.42608695652174</v>
      </c>
      <c r="P194" s="79" t="e">
        <f t="shared" si="5"/>
        <v>#DIV/0!</v>
      </c>
      <c r="Q194" s="81" t="e">
        <f t="shared" si="6"/>
        <v>#DIV/0!</v>
      </c>
      <c r="R194" s="89">
        <f t="shared" si="113"/>
        <v>-119.9</v>
      </c>
      <c r="S194" s="83" t="e">
        <f t="shared" si="8"/>
        <v>#DIV/0!</v>
      </c>
      <c r="T194" s="84"/>
      <c r="U194" s="84"/>
      <c r="V194" s="84"/>
      <c r="W194" s="84"/>
      <c r="X194" s="85"/>
      <c r="Y194" s="68"/>
      <c r="Z194" s="68"/>
    </row>
    <row r="195" spans="1:26" ht="12.75" hidden="1" outlineLevel="1" x14ac:dyDescent="0.2">
      <c r="A195" s="68"/>
      <c r="B195" s="86"/>
      <c r="C195" s="70" t="s">
        <v>114</v>
      </c>
      <c r="D195" s="285"/>
      <c r="E195" s="283"/>
      <c r="F195" s="283"/>
      <c r="G195" s="74" t="e">
        <f t="shared" si="0"/>
        <v>#DIV/0!</v>
      </c>
      <c r="H195" s="75" t="e">
        <f t="shared" si="1"/>
        <v>#DIV/0!</v>
      </c>
      <c r="I195" s="76" t="e">
        <f t="shared" si="2"/>
        <v>#DIV/0!</v>
      </c>
      <c r="J195" s="90">
        <v>169.35</v>
      </c>
      <c r="K195" s="199">
        <v>25579</v>
      </c>
      <c r="L195" s="283"/>
      <c r="M195" s="91">
        <v>340.13</v>
      </c>
      <c r="N195" s="79">
        <f>(J195/M195)</f>
        <v>0.49789786258195395</v>
      </c>
      <c r="O195" s="80">
        <f t="shared" si="4"/>
        <v>2.0084440507824035</v>
      </c>
      <c r="P195" s="79" t="e">
        <f t="shared" si="5"/>
        <v>#DIV/0!</v>
      </c>
      <c r="Q195" s="81" t="e">
        <f t="shared" si="6"/>
        <v>#DIV/0!</v>
      </c>
      <c r="R195" s="92">
        <f t="shared" si="113"/>
        <v>-340.13</v>
      </c>
      <c r="S195" s="83" t="e">
        <f t="shared" si="8"/>
        <v>#DIV/0!</v>
      </c>
      <c r="T195" s="84"/>
      <c r="U195" s="84"/>
      <c r="V195" s="84"/>
      <c r="W195" s="84"/>
      <c r="X195" s="85"/>
      <c r="Y195" s="68"/>
      <c r="Z195" s="68"/>
    </row>
    <row r="196" spans="1:26" ht="12.75" hidden="1" outlineLevel="1" x14ac:dyDescent="0.2">
      <c r="A196" s="68"/>
      <c r="B196" s="86"/>
      <c r="C196" s="70" t="s">
        <v>115</v>
      </c>
      <c r="D196" s="285"/>
      <c r="E196" s="283"/>
      <c r="F196" s="283"/>
      <c r="G196" s="74" t="e">
        <f t="shared" si="0"/>
        <v>#DIV/0!</v>
      </c>
      <c r="H196" s="75" t="e">
        <f t="shared" si="1"/>
        <v>#DIV/0!</v>
      </c>
      <c r="I196" s="76" t="e">
        <f t="shared" si="2"/>
        <v>#DIV/0!</v>
      </c>
      <c r="J196" s="90">
        <v>67.39</v>
      </c>
      <c r="K196" s="199">
        <v>14066</v>
      </c>
      <c r="L196" s="283"/>
      <c r="M196" s="91">
        <v>482.6</v>
      </c>
      <c r="N196" s="79">
        <f t="shared" ref="N196:N206" si="114">J196/M196</f>
        <v>0.13963945296311644</v>
      </c>
      <c r="O196" s="80">
        <f t="shared" si="4"/>
        <v>7.161299896127022</v>
      </c>
      <c r="P196" s="79" t="e">
        <f t="shared" si="5"/>
        <v>#DIV/0!</v>
      </c>
      <c r="Q196" s="81" t="e">
        <f t="shared" si="6"/>
        <v>#DIV/0!</v>
      </c>
      <c r="R196" s="92">
        <f t="shared" si="113"/>
        <v>-482.6</v>
      </c>
      <c r="S196" s="83" t="e">
        <f t="shared" si="8"/>
        <v>#DIV/0!</v>
      </c>
      <c r="T196" s="84"/>
      <c r="U196" s="84"/>
      <c r="V196" s="84"/>
      <c r="W196" s="84"/>
      <c r="X196" s="85"/>
      <c r="Y196" s="68"/>
      <c r="Z196" s="68"/>
    </row>
    <row r="197" spans="1:26" ht="12.75" hidden="1" outlineLevel="1" x14ac:dyDescent="0.2">
      <c r="A197" s="68"/>
      <c r="B197" s="86"/>
      <c r="C197" s="70" t="s">
        <v>116</v>
      </c>
      <c r="D197" s="286"/>
      <c r="E197" s="283"/>
      <c r="F197" s="283"/>
      <c r="G197" s="74" t="e">
        <f t="shared" si="0"/>
        <v>#DIV/0!</v>
      </c>
      <c r="H197" s="75" t="e">
        <f t="shared" si="1"/>
        <v>#DIV/0!</v>
      </c>
      <c r="I197" s="76" t="e">
        <f t="shared" si="2"/>
        <v>#DIV/0!</v>
      </c>
      <c r="J197" s="200">
        <v>2.56</v>
      </c>
      <c r="K197" s="199">
        <v>690</v>
      </c>
      <c r="L197" s="283"/>
      <c r="M197" s="200">
        <v>0</v>
      </c>
      <c r="N197" s="79" t="e">
        <f t="shared" si="114"/>
        <v>#DIV/0!</v>
      </c>
      <c r="O197" s="80">
        <f t="shared" si="4"/>
        <v>0</v>
      </c>
      <c r="P197" s="79" t="e">
        <f t="shared" si="5"/>
        <v>#DIV/0!</v>
      </c>
      <c r="Q197" s="81" t="e">
        <f t="shared" si="6"/>
        <v>#DIV/0!</v>
      </c>
      <c r="R197" s="92">
        <f t="shared" si="113"/>
        <v>0</v>
      </c>
      <c r="S197" s="83" t="e">
        <f t="shared" si="8"/>
        <v>#DIV/0!</v>
      </c>
      <c r="T197" s="84"/>
      <c r="U197" s="84"/>
      <c r="V197" s="84"/>
      <c r="W197" s="84"/>
      <c r="X197" s="85"/>
      <c r="Y197" s="68"/>
      <c r="Z197" s="68"/>
    </row>
    <row r="198" spans="1:26" ht="12.75" hidden="1" outlineLevel="1" x14ac:dyDescent="0.2">
      <c r="A198" s="68"/>
      <c r="B198" s="86"/>
      <c r="C198" s="70" t="s">
        <v>117</v>
      </c>
      <c r="D198" s="287"/>
      <c r="E198" s="283"/>
      <c r="F198" s="283"/>
      <c r="G198" s="74" t="e">
        <f t="shared" si="0"/>
        <v>#DIV/0!</v>
      </c>
      <c r="H198" s="75" t="e">
        <f t="shared" si="1"/>
        <v>#DIV/0!</v>
      </c>
      <c r="I198" s="76" t="e">
        <f t="shared" si="2"/>
        <v>#DIV/0!</v>
      </c>
      <c r="J198" s="201">
        <v>4.5999999999999996</v>
      </c>
      <c r="K198" s="199">
        <v>523</v>
      </c>
      <c r="L198" s="283"/>
      <c r="M198" s="202">
        <v>0</v>
      </c>
      <c r="N198" s="79" t="e">
        <f t="shared" si="114"/>
        <v>#DIV/0!</v>
      </c>
      <c r="O198" s="80">
        <f t="shared" si="4"/>
        <v>0</v>
      </c>
      <c r="P198" s="79" t="e">
        <f t="shared" si="5"/>
        <v>#DIV/0!</v>
      </c>
      <c r="Q198" s="81" t="e">
        <f t="shared" si="6"/>
        <v>#DIV/0!</v>
      </c>
      <c r="R198" s="203">
        <f t="shared" si="113"/>
        <v>0</v>
      </c>
      <c r="S198" s="83" t="e">
        <f t="shared" si="8"/>
        <v>#DIV/0!</v>
      </c>
      <c r="T198" s="84"/>
      <c r="U198" s="84"/>
      <c r="V198" s="84"/>
      <c r="W198" s="84"/>
      <c r="X198" s="85"/>
      <c r="Y198" s="68"/>
      <c r="Z198" s="68"/>
    </row>
    <row r="199" spans="1:26" ht="12.75" hidden="1" outlineLevel="1" x14ac:dyDescent="0.2">
      <c r="A199" s="68"/>
      <c r="B199" s="86"/>
      <c r="C199" s="70" t="s">
        <v>118</v>
      </c>
      <c r="D199" s="285"/>
      <c r="E199" s="283"/>
      <c r="F199" s="283"/>
      <c r="G199" s="74" t="e">
        <f t="shared" si="0"/>
        <v>#DIV/0!</v>
      </c>
      <c r="H199" s="75" t="e">
        <f t="shared" si="1"/>
        <v>#DIV/0!</v>
      </c>
      <c r="I199" s="76" t="e">
        <f t="shared" si="2"/>
        <v>#DIV/0!</v>
      </c>
      <c r="J199" s="90">
        <v>44.96</v>
      </c>
      <c r="K199" s="199">
        <v>5708</v>
      </c>
      <c r="L199" s="283"/>
      <c r="M199" s="91">
        <v>0</v>
      </c>
      <c r="N199" s="79" t="e">
        <f t="shared" si="114"/>
        <v>#DIV/0!</v>
      </c>
      <c r="O199" s="80">
        <f t="shared" si="4"/>
        <v>0</v>
      </c>
      <c r="P199" s="79" t="e">
        <f t="shared" si="5"/>
        <v>#DIV/0!</v>
      </c>
      <c r="Q199" s="81" t="e">
        <f t="shared" si="6"/>
        <v>#DIV/0!</v>
      </c>
      <c r="R199" s="92">
        <f t="shared" si="113"/>
        <v>0</v>
      </c>
      <c r="S199" s="83" t="e">
        <f t="shared" si="8"/>
        <v>#DIV/0!</v>
      </c>
      <c r="T199" s="84"/>
      <c r="U199" s="84"/>
      <c r="V199" s="84"/>
      <c r="W199" s="84"/>
      <c r="X199" s="85"/>
      <c r="Y199" s="68"/>
      <c r="Z199" s="68"/>
    </row>
    <row r="200" spans="1:26" ht="12.75" hidden="1" outlineLevel="1" x14ac:dyDescent="0.2">
      <c r="A200" s="68"/>
      <c r="B200" s="69" t="s">
        <v>37</v>
      </c>
      <c r="C200" s="70" t="s">
        <v>119</v>
      </c>
      <c r="D200" s="288"/>
      <c r="E200" s="283"/>
      <c r="F200" s="283"/>
      <c r="G200" s="74" t="e">
        <f t="shared" si="0"/>
        <v>#DIV/0!</v>
      </c>
      <c r="H200" s="75" t="e">
        <f t="shared" si="1"/>
        <v>#DIV/0!</v>
      </c>
      <c r="I200" s="76" t="e">
        <f t="shared" si="2"/>
        <v>#DIV/0!</v>
      </c>
      <c r="J200" s="93">
        <v>39.79</v>
      </c>
      <c r="K200" s="199">
        <v>12114</v>
      </c>
      <c r="L200" s="283"/>
      <c r="M200" s="94">
        <v>139.9</v>
      </c>
      <c r="N200" s="79">
        <f t="shared" si="114"/>
        <v>0.28441744102930661</v>
      </c>
      <c r="O200" s="80">
        <f t="shared" si="4"/>
        <v>3.5159587836139736</v>
      </c>
      <c r="P200" s="79" t="e">
        <f t="shared" si="5"/>
        <v>#DIV/0!</v>
      </c>
      <c r="Q200" s="81" t="e">
        <f t="shared" si="6"/>
        <v>#DIV/0!</v>
      </c>
      <c r="R200" s="95">
        <f t="shared" si="113"/>
        <v>-139.9</v>
      </c>
      <c r="S200" s="83" t="e">
        <f t="shared" si="8"/>
        <v>#DIV/0!</v>
      </c>
      <c r="T200" s="84"/>
      <c r="U200" s="84"/>
      <c r="V200" s="84"/>
      <c r="W200" s="84"/>
      <c r="X200" s="85"/>
      <c r="Y200" s="68"/>
      <c r="Z200" s="68"/>
    </row>
    <row r="201" spans="1:26" ht="12.75" hidden="1" outlineLevel="1" x14ac:dyDescent="0.2">
      <c r="A201" s="68"/>
      <c r="B201" s="86"/>
      <c r="C201" s="70" t="s">
        <v>120</v>
      </c>
      <c r="D201" s="289"/>
      <c r="E201" s="283"/>
      <c r="F201" s="283"/>
      <c r="G201" s="74" t="e">
        <f t="shared" si="0"/>
        <v>#DIV/0!</v>
      </c>
      <c r="H201" s="75" t="e">
        <f t="shared" si="1"/>
        <v>#DIV/0!</v>
      </c>
      <c r="I201" s="76" t="e">
        <f t="shared" si="2"/>
        <v>#DIV/0!</v>
      </c>
      <c r="J201" s="96">
        <v>13.82</v>
      </c>
      <c r="K201" s="199">
        <v>4667</v>
      </c>
      <c r="L201" s="283"/>
      <c r="M201" s="97">
        <v>0</v>
      </c>
      <c r="N201" s="79" t="e">
        <f t="shared" si="114"/>
        <v>#DIV/0!</v>
      </c>
      <c r="O201" s="80">
        <f t="shared" si="4"/>
        <v>0</v>
      </c>
      <c r="P201" s="79" t="e">
        <f t="shared" si="5"/>
        <v>#DIV/0!</v>
      </c>
      <c r="Q201" s="81" t="e">
        <f t="shared" si="6"/>
        <v>#DIV/0!</v>
      </c>
      <c r="R201" s="98">
        <f t="shared" si="113"/>
        <v>0</v>
      </c>
      <c r="S201" s="83" t="e">
        <f t="shared" si="8"/>
        <v>#DIV/0!</v>
      </c>
      <c r="T201" s="84"/>
      <c r="U201" s="84"/>
      <c r="V201" s="84"/>
      <c r="W201" s="84"/>
      <c r="X201" s="85"/>
      <c r="Y201" s="68"/>
      <c r="Z201" s="68"/>
    </row>
    <row r="202" spans="1:26" ht="12.75" hidden="1" outlineLevel="1" x14ac:dyDescent="0.2">
      <c r="A202" s="68"/>
      <c r="B202" s="86"/>
      <c r="C202" s="70" t="s">
        <v>121</v>
      </c>
      <c r="D202" s="290"/>
      <c r="E202" s="283"/>
      <c r="F202" s="283"/>
      <c r="G202" s="74" t="e">
        <f t="shared" si="0"/>
        <v>#DIV/0!</v>
      </c>
      <c r="H202" s="75" t="e">
        <f t="shared" si="1"/>
        <v>#DIV/0!</v>
      </c>
      <c r="I202" s="76" t="e">
        <f t="shared" si="2"/>
        <v>#DIV/0!</v>
      </c>
      <c r="J202" s="99">
        <v>41.53</v>
      </c>
      <c r="K202" s="199">
        <v>4818</v>
      </c>
      <c r="L202" s="283"/>
      <c r="M202" s="100">
        <v>83.41</v>
      </c>
      <c r="N202" s="79">
        <f t="shared" si="114"/>
        <v>0.49790193022419377</v>
      </c>
      <c r="O202" s="80">
        <f t="shared" si="4"/>
        <v>2.0084276426679506</v>
      </c>
      <c r="P202" s="79" t="e">
        <f t="shared" si="5"/>
        <v>#DIV/0!</v>
      </c>
      <c r="Q202" s="81" t="e">
        <f t="shared" si="6"/>
        <v>#DIV/0!</v>
      </c>
      <c r="R202" s="101">
        <f t="shared" si="113"/>
        <v>-83.41</v>
      </c>
      <c r="S202" s="83" t="e">
        <f t="shared" si="8"/>
        <v>#DIV/0!</v>
      </c>
      <c r="T202" s="84"/>
      <c r="U202" s="84"/>
      <c r="V202" s="84"/>
      <c r="W202" s="84"/>
      <c r="X202" s="85"/>
      <c r="Y202" s="68"/>
      <c r="Z202" s="68"/>
    </row>
    <row r="203" spans="1:26" ht="12.75" hidden="1" outlineLevel="1" x14ac:dyDescent="0.2">
      <c r="A203" s="118" t="str">
        <f t="shared" ref="A203:A204" si="115">IFERROR(IF(B203&gt;0,MONTH(B203)&amp;"-"&amp;YEAR(B203),B203),)</f>
        <v>6-2025</v>
      </c>
      <c r="B203" s="69">
        <v>45822</v>
      </c>
      <c r="C203" s="70" t="s">
        <v>123</v>
      </c>
      <c r="D203" s="293"/>
      <c r="E203" s="283"/>
      <c r="F203" s="283"/>
      <c r="G203" s="74" t="e">
        <f t="shared" si="0"/>
        <v>#DIV/0!</v>
      </c>
      <c r="H203" s="75" t="e">
        <f t="shared" si="1"/>
        <v>#DIV/0!</v>
      </c>
      <c r="I203" s="76" t="e">
        <f t="shared" si="2"/>
        <v>#DIV/0!</v>
      </c>
      <c r="J203" s="87">
        <v>0</v>
      </c>
      <c r="K203" s="199">
        <v>0</v>
      </c>
      <c r="L203" s="283"/>
      <c r="M203" s="88">
        <v>0</v>
      </c>
      <c r="N203" s="79" t="e">
        <f t="shared" si="114"/>
        <v>#DIV/0!</v>
      </c>
      <c r="O203" s="80" t="e">
        <f t="shared" si="4"/>
        <v>#DIV/0!</v>
      </c>
      <c r="P203" s="79" t="e">
        <f t="shared" si="5"/>
        <v>#DIV/0!</v>
      </c>
      <c r="Q203" s="81" t="e">
        <f t="shared" si="6"/>
        <v>#DIV/0!</v>
      </c>
      <c r="R203" s="82">
        <f t="shared" si="113"/>
        <v>0</v>
      </c>
      <c r="S203" s="83" t="e">
        <f t="shared" si="8"/>
        <v>#DIV/0!</v>
      </c>
      <c r="T203" s="84"/>
      <c r="U203" s="84"/>
      <c r="V203" s="84"/>
      <c r="W203" s="84"/>
      <c r="X203" s="85"/>
      <c r="Y203" s="68"/>
      <c r="Z203" s="68"/>
    </row>
    <row r="204" spans="1:26" ht="12.75" collapsed="1" x14ac:dyDescent="0.2">
      <c r="A204" s="68">
        <f t="shared" si="115"/>
        <v>0</v>
      </c>
      <c r="B204" s="52" t="s">
        <v>82</v>
      </c>
      <c r="C204" s="120"/>
      <c r="D204" s="121">
        <f t="shared" ref="D204:F204" si="116">SUM(D193:D203)</f>
        <v>0</v>
      </c>
      <c r="E204" s="123">
        <f t="shared" si="116"/>
        <v>0</v>
      </c>
      <c r="F204" s="123">
        <f t="shared" si="116"/>
        <v>0</v>
      </c>
      <c r="G204" s="124" t="e">
        <f t="shared" si="0"/>
        <v>#DIV/0!</v>
      </c>
      <c r="H204" s="125" t="e">
        <f t="shared" si="1"/>
        <v>#DIV/0!</v>
      </c>
      <c r="I204" s="126" t="e">
        <f t="shared" si="2"/>
        <v>#DIV/0!</v>
      </c>
      <c r="J204" s="121">
        <f t="shared" ref="J204:M204" si="117">SUM(J193:J203)</f>
        <v>395.81000000000006</v>
      </c>
      <c r="K204" s="294">
        <f t="shared" si="117"/>
        <v>74963</v>
      </c>
      <c r="L204" s="123">
        <f t="shared" si="117"/>
        <v>0</v>
      </c>
      <c r="M204" s="127">
        <f t="shared" si="117"/>
        <v>1165.94</v>
      </c>
      <c r="N204" s="128">
        <f t="shared" si="114"/>
        <v>0.33947716005969436</v>
      </c>
      <c r="O204" s="129">
        <f t="shared" si="4"/>
        <v>2.9457062732118944</v>
      </c>
      <c r="P204" s="128" t="e">
        <f t="shared" si="5"/>
        <v>#DIV/0!</v>
      </c>
      <c r="Q204" s="130" t="e">
        <f t="shared" si="6"/>
        <v>#DIV/0!</v>
      </c>
      <c r="R204" s="131">
        <f>SUM(R193:R203)</f>
        <v>-1165.94</v>
      </c>
      <c r="S204" s="132" t="e">
        <f t="shared" si="8"/>
        <v>#DIV/0!</v>
      </c>
      <c r="T204" s="134">
        <f t="shared" ref="T204:U204" si="118">IFERROR((D204-D48)/D204,)</f>
        <v>0</v>
      </c>
      <c r="U204" s="134">
        <f t="shared" si="118"/>
        <v>0</v>
      </c>
      <c r="V204" s="134">
        <f t="shared" ref="V204:W204" si="119">IFERROR((D204-#REF!)/D204, )</f>
        <v>0</v>
      </c>
      <c r="W204" s="134">
        <f t="shared" si="119"/>
        <v>0</v>
      </c>
      <c r="X204" s="68"/>
      <c r="Y204" s="68"/>
      <c r="Z204" s="68"/>
    </row>
    <row r="205" spans="1:26" ht="12.75" hidden="1" outlineLevel="1" x14ac:dyDescent="0.2">
      <c r="A205" s="68"/>
      <c r="B205" s="69">
        <v>45823</v>
      </c>
      <c r="C205" s="70" t="s">
        <v>112</v>
      </c>
      <c r="D205" s="282"/>
      <c r="E205" s="283"/>
      <c r="F205" s="283"/>
      <c r="G205" s="74" t="e">
        <f t="shared" si="0"/>
        <v>#DIV/0!</v>
      </c>
      <c r="H205" s="75" t="e">
        <f t="shared" si="1"/>
        <v>#DIV/0!</v>
      </c>
      <c r="I205" s="76" t="e">
        <f t="shared" si="2"/>
        <v>#DIV/0!</v>
      </c>
      <c r="J205" s="77">
        <v>16.46</v>
      </c>
      <c r="K205" s="199">
        <v>6437</v>
      </c>
      <c r="L205" s="283"/>
      <c r="M205" s="78">
        <v>0</v>
      </c>
      <c r="N205" s="79" t="e">
        <f t="shared" si="114"/>
        <v>#DIV/0!</v>
      </c>
      <c r="O205" s="80">
        <f t="shared" si="4"/>
        <v>0</v>
      </c>
      <c r="P205" s="79" t="e">
        <f t="shared" si="5"/>
        <v>#DIV/0!</v>
      </c>
      <c r="Q205" s="81" t="e">
        <f t="shared" si="6"/>
        <v>#DIV/0!</v>
      </c>
      <c r="R205" s="82">
        <f t="shared" ref="R205:R215" si="120">D205-M205</f>
        <v>0</v>
      </c>
      <c r="S205" s="83" t="e">
        <f t="shared" si="8"/>
        <v>#DIV/0!</v>
      </c>
      <c r="T205" s="84"/>
      <c r="U205" s="84"/>
      <c r="V205" s="84"/>
      <c r="W205" s="84"/>
      <c r="X205" s="85"/>
      <c r="Y205" s="68"/>
      <c r="Z205" s="68"/>
    </row>
    <row r="206" spans="1:26" ht="12.75" hidden="1" outlineLevel="1" x14ac:dyDescent="0.2">
      <c r="A206" s="68"/>
      <c r="B206" s="86"/>
      <c r="C206" s="70" t="s">
        <v>113</v>
      </c>
      <c r="D206" s="284"/>
      <c r="E206" s="283"/>
      <c r="F206" s="283"/>
      <c r="G206" s="74" t="e">
        <f t="shared" si="0"/>
        <v>#DIV/0!</v>
      </c>
      <c r="H206" s="75" t="e">
        <f t="shared" si="1"/>
        <v>#DIV/0!</v>
      </c>
      <c r="I206" s="76" t="e">
        <f t="shared" si="2"/>
        <v>#DIV/0!</v>
      </c>
      <c r="J206" s="87">
        <v>13.11</v>
      </c>
      <c r="K206" s="199">
        <v>7552</v>
      </c>
      <c r="L206" s="283"/>
      <c r="M206" s="88">
        <v>0</v>
      </c>
      <c r="N206" s="79" t="e">
        <f t="shared" si="114"/>
        <v>#DIV/0!</v>
      </c>
      <c r="O206" s="80">
        <f t="shared" si="4"/>
        <v>0</v>
      </c>
      <c r="P206" s="79" t="e">
        <f t="shared" si="5"/>
        <v>#DIV/0!</v>
      </c>
      <c r="Q206" s="81" t="e">
        <f t="shared" si="6"/>
        <v>#DIV/0!</v>
      </c>
      <c r="R206" s="89">
        <f t="shared" si="120"/>
        <v>0</v>
      </c>
      <c r="S206" s="83" t="e">
        <f t="shared" si="8"/>
        <v>#DIV/0!</v>
      </c>
      <c r="T206" s="84"/>
      <c r="U206" s="84"/>
      <c r="V206" s="84"/>
      <c r="W206" s="84"/>
      <c r="X206" s="85"/>
      <c r="Y206" s="68"/>
      <c r="Z206" s="68"/>
    </row>
    <row r="207" spans="1:26" ht="12.75" hidden="1" outlineLevel="1" x14ac:dyDescent="0.2">
      <c r="A207" s="68"/>
      <c r="B207" s="86"/>
      <c r="C207" s="70" t="s">
        <v>114</v>
      </c>
      <c r="D207" s="285"/>
      <c r="E207" s="283"/>
      <c r="F207" s="283"/>
      <c r="G207" s="74" t="e">
        <f t="shared" si="0"/>
        <v>#DIV/0!</v>
      </c>
      <c r="H207" s="75" t="e">
        <f t="shared" si="1"/>
        <v>#DIV/0!</v>
      </c>
      <c r="I207" s="76" t="e">
        <f t="shared" si="2"/>
        <v>#DIV/0!</v>
      </c>
      <c r="J207" s="90">
        <v>167.95</v>
      </c>
      <c r="K207" s="199">
        <v>39963</v>
      </c>
      <c r="L207" s="283"/>
      <c r="M207" s="91">
        <v>311.69</v>
      </c>
      <c r="N207" s="79">
        <f>(J207/M207)</f>
        <v>0.53883666463473323</v>
      </c>
      <c r="O207" s="80">
        <f t="shared" si="4"/>
        <v>1.8558499553438526</v>
      </c>
      <c r="P207" s="79" t="e">
        <f t="shared" si="5"/>
        <v>#DIV/0!</v>
      </c>
      <c r="Q207" s="81" t="e">
        <f t="shared" si="6"/>
        <v>#DIV/0!</v>
      </c>
      <c r="R207" s="92">
        <f t="shared" si="120"/>
        <v>-311.69</v>
      </c>
      <c r="S207" s="83" t="e">
        <f t="shared" si="8"/>
        <v>#DIV/0!</v>
      </c>
      <c r="T207" s="84"/>
      <c r="U207" s="84"/>
      <c r="V207" s="84"/>
      <c r="W207" s="84"/>
      <c r="X207" s="85"/>
      <c r="Y207" s="68"/>
      <c r="Z207" s="68"/>
    </row>
    <row r="208" spans="1:26" ht="12.75" hidden="1" outlineLevel="1" x14ac:dyDescent="0.2">
      <c r="A208" s="68"/>
      <c r="B208" s="86"/>
      <c r="C208" s="70" t="s">
        <v>115</v>
      </c>
      <c r="D208" s="285"/>
      <c r="E208" s="283"/>
      <c r="F208" s="283"/>
      <c r="G208" s="74" t="e">
        <f t="shared" si="0"/>
        <v>#DIV/0!</v>
      </c>
      <c r="H208" s="75" t="e">
        <f t="shared" si="1"/>
        <v>#DIV/0!</v>
      </c>
      <c r="I208" s="76" t="e">
        <f t="shared" si="2"/>
        <v>#DIV/0!</v>
      </c>
      <c r="J208" s="90">
        <v>15.92</v>
      </c>
      <c r="K208" s="199">
        <v>4746</v>
      </c>
      <c r="L208" s="283"/>
      <c r="M208" s="91">
        <v>179.85</v>
      </c>
      <c r="N208" s="79">
        <f t="shared" ref="N208:N218" si="121">J208/M208</f>
        <v>8.8518209619127056E-2</v>
      </c>
      <c r="O208" s="80">
        <f t="shared" si="4"/>
        <v>11.297110552763819</v>
      </c>
      <c r="P208" s="79" t="e">
        <f t="shared" si="5"/>
        <v>#DIV/0!</v>
      </c>
      <c r="Q208" s="81" t="e">
        <f t="shared" si="6"/>
        <v>#DIV/0!</v>
      </c>
      <c r="R208" s="92">
        <f t="shared" si="120"/>
        <v>-179.85</v>
      </c>
      <c r="S208" s="83" t="e">
        <f t="shared" si="8"/>
        <v>#DIV/0!</v>
      </c>
      <c r="T208" s="84"/>
      <c r="U208" s="84"/>
      <c r="V208" s="84"/>
      <c r="W208" s="84"/>
      <c r="X208" s="85"/>
      <c r="Y208" s="68"/>
      <c r="Z208" s="68"/>
    </row>
    <row r="209" spans="1:26" ht="12.75" hidden="1" outlineLevel="1" x14ac:dyDescent="0.2">
      <c r="A209" s="68"/>
      <c r="B209" s="86"/>
      <c r="C209" s="70" t="s">
        <v>116</v>
      </c>
      <c r="D209" s="286"/>
      <c r="E209" s="283"/>
      <c r="F209" s="283"/>
      <c r="G209" s="74" t="e">
        <f t="shared" si="0"/>
        <v>#DIV/0!</v>
      </c>
      <c r="H209" s="75" t="e">
        <f t="shared" si="1"/>
        <v>#DIV/0!</v>
      </c>
      <c r="I209" s="76" t="e">
        <f t="shared" si="2"/>
        <v>#DIV/0!</v>
      </c>
      <c r="J209" s="200">
        <v>1.87</v>
      </c>
      <c r="K209" s="199">
        <v>970</v>
      </c>
      <c r="L209" s="283"/>
      <c r="M209" s="200">
        <v>0</v>
      </c>
      <c r="N209" s="79" t="e">
        <f t="shared" si="121"/>
        <v>#DIV/0!</v>
      </c>
      <c r="O209" s="80">
        <f t="shared" si="4"/>
        <v>0</v>
      </c>
      <c r="P209" s="79" t="e">
        <f t="shared" si="5"/>
        <v>#DIV/0!</v>
      </c>
      <c r="Q209" s="81" t="e">
        <f t="shared" si="6"/>
        <v>#DIV/0!</v>
      </c>
      <c r="R209" s="92">
        <f t="shared" si="120"/>
        <v>0</v>
      </c>
      <c r="S209" s="83" t="e">
        <f t="shared" si="8"/>
        <v>#DIV/0!</v>
      </c>
      <c r="T209" s="84"/>
      <c r="U209" s="84"/>
      <c r="V209" s="84"/>
      <c r="W209" s="84"/>
      <c r="X209" s="85"/>
      <c r="Y209" s="68"/>
      <c r="Z209" s="68"/>
    </row>
    <row r="210" spans="1:26" ht="12.75" hidden="1" outlineLevel="1" x14ac:dyDescent="0.2">
      <c r="A210" s="68"/>
      <c r="B210" s="86"/>
      <c r="C210" s="70" t="s">
        <v>117</v>
      </c>
      <c r="D210" s="287"/>
      <c r="E210" s="283"/>
      <c r="F210" s="283"/>
      <c r="G210" s="74" t="e">
        <f t="shared" si="0"/>
        <v>#DIV/0!</v>
      </c>
      <c r="H210" s="75" t="e">
        <f t="shared" si="1"/>
        <v>#DIV/0!</v>
      </c>
      <c r="I210" s="76" t="e">
        <f t="shared" si="2"/>
        <v>#DIV/0!</v>
      </c>
      <c r="J210" s="201">
        <v>11.15</v>
      </c>
      <c r="K210" s="199">
        <v>1967</v>
      </c>
      <c r="L210" s="283"/>
      <c r="M210" s="202">
        <v>179.8</v>
      </c>
      <c r="N210" s="79">
        <f t="shared" si="121"/>
        <v>6.2013348164627363E-2</v>
      </c>
      <c r="O210" s="80">
        <f t="shared" si="4"/>
        <v>16.125560538116591</v>
      </c>
      <c r="P210" s="79" t="e">
        <f t="shared" si="5"/>
        <v>#DIV/0!</v>
      </c>
      <c r="Q210" s="81" t="e">
        <f t="shared" si="6"/>
        <v>#DIV/0!</v>
      </c>
      <c r="R210" s="203">
        <f t="shared" si="120"/>
        <v>-179.8</v>
      </c>
      <c r="S210" s="83" t="e">
        <f t="shared" si="8"/>
        <v>#DIV/0!</v>
      </c>
      <c r="T210" s="84"/>
      <c r="U210" s="84"/>
      <c r="V210" s="84"/>
      <c r="W210" s="84"/>
      <c r="X210" s="85"/>
      <c r="Y210" s="68"/>
      <c r="Z210" s="68"/>
    </row>
    <row r="211" spans="1:26" ht="12.75" hidden="1" outlineLevel="1" x14ac:dyDescent="0.2">
      <c r="A211" s="68"/>
      <c r="B211" s="86"/>
      <c r="C211" s="70" t="s">
        <v>118</v>
      </c>
      <c r="D211" s="285"/>
      <c r="E211" s="283"/>
      <c r="F211" s="283"/>
      <c r="G211" s="74" t="e">
        <f t="shared" si="0"/>
        <v>#DIV/0!</v>
      </c>
      <c r="H211" s="75" t="e">
        <f t="shared" si="1"/>
        <v>#DIV/0!</v>
      </c>
      <c r="I211" s="76" t="e">
        <f t="shared" si="2"/>
        <v>#DIV/0!</v>
      </c>
      <c r="J211" s="90">
        <v>5.95</v>
      </c>
      <c r="K211" s="199">
        <v>612</v>
      </c>
      <c r="L211" s="283"/>
      <c r="M211" s="91">
        <v>0</v>
      </c>
      <c r="N211" s="79" t="e">
        <f t="shared" si="121"/>
        <v>#DIV/0!</v>
      </c>
      <c r="O211" s="80">
        <f t="shared" si="4"/>
        <v>0</v>
      </c>
      <c r="P211" s="79" t="e">
        <f t="shared" si="5"/>
        <v>#DIV/0!</v>
      </c>
      <c r="Q211" s="81" t="e">
        <f t="shared" si="6"/>
        <v>#DIV/0!</v>
      </c>
      <c r="R211" s="92">
        <f t="shared" si="120"/>
        <v>0</v>
      </c>
      <c r="S211" s="83" t="e">
        <f t="shared" si="8"/>
        <v>#DIV/0!</v>
      </c>
      <c r="T211" s="84"/>
      <c r="U211" s="84"/>
      <c r="V211" s="84"/>
      <c r="W211" s="84"/>
      <c r="X211" s="85"/>
      <c r="Y211" s="68"/>
      <c r="Z211" s="68"/>
    </row>
    <row r="212" spans="1:26" ht="12.75" hidden="1" outlineLevel="1" x14ac:dyDescent="0.2">
      <c r="A212" s="68"/>
      <c r="B212" s="69" t="s">
        <v>37</v>
      </c>
      <c r="C212" s="70" t="s">
        <v>119</v>
      </c>
      <c r="D212" s="288"/>
      <c r="E212" s="283"/>
      <c r="F212" s="283"/>
      <c r="G212" s="74" t="e">
        <f t="shared" si="0"/>
        <v>#DIV/0!</v>
      </c>
      <c r="H212" s="75" t="e">
        <f t="shared" si="1"/>
        <v>#DIV/0!</v>
      </c>
      <c r="I212" s="76" t="e">
        <f t="shared" si="2"/>
        <v>#DIV/0!</v>
      </c>
      <c r="J212" s="93">
        <v>59.82</v>
      </c>
      <c r="K212" s="199">
        <v>15940</v>
      </c>
      <c r="L212" s="283"/>
      <c r="M212" s="94">
        <v>0</v>
      </c>
      <c r="N212" s="79" t="e">
        <f t="shared" si="121"/>
        <v>#DIV/0!</v>
      </c>
      <c r="O212" s="80">
        <f t="shared" si="4"/>
        <v>0</v>
      </c>
      <c r="P212" s="79" t="e">
        <f t="shared" si="5"/>
        <v>#DIV/0!</v>
      </c>
      <c r="Q212" s="81" t="e">
        <f t="shared" si="6"/>
        <v>#DIV/0!</v>
      </c>
      <c r="R212" s="95">
        <f t="shared" si="120"/>
        <v>0</v>
      </c>
      <c r="S212" s="83" t="e">
        <f t="shared" si="8"/>
        <v>#DIV/0!</v>
      </c>
      <c r="T212" s="84"/>
      <c r="U212" s="84"/>
      <c r="V212" s="84"/>
      <c r="W212" s="84"/>
      <c r="X212" s="85"/>
      <c r="Y212" s="68"/>
      <c r="Z212" s="68"/>
    </row>
    <row r="213" spans="1:26" ht="12.75" hidden="1" outlineLevel="1" x14ac:dyDescent="0.2">
      <c r="A213" s="68"/>
      <c r="B213" s="86"/>
      <c r="C213" s="70" t="s">
        <v>120</v>
      </c>
      <c r="D213" s="289"/>
      <c r="E213" s="283"/>
      <c r="F213" s="283"/>
      <c r="G213" s="74" t="e">
        <f t="shared" si="0"/>
        <v>#DIV/0!</v>
      </c>
      <c r="H213" s="75" t="e">
        <f t="shared" si="1"/>
        <v>#DIV/0!</v>
      </c>
      <c r="I213" s="76" t="e">
        <f t="shared" si="2"/>
        <v>#DIV/0!</v>
      </c>
      <c r="J213" s="96">
        <v>0.32</v>
      </c>
      <c r="K213" s="199">
        <v>240</v>
      </c>
      <c r="L213" s="283"/>
      <c r="M213" s="97">
        <v>0</v>
      </c>
      <c r="N213" s="79" t="e">
        <f t="shared" si="121"/>
        <v>#DIV/0!</v>
      </c>
      <c r="O213" s="80">
        <f t="shared" si="4"/>
        <v>0</v>
      </c>
      <c r="P213" s="79" t="e">
        <f t="shared" si="5"/>
        <v>#DIV/0!</v>
      </c>
      <c r="Q213" s="81" t="e">
        <f t="shared" si="6"/>
        <v>#DIV/0!</v>
      </c>
      <c r="R213" s="98">
        <f t="shared" si="120"/>
        <v>0</v>
      </c>
      <c r="S213" s="83" t="e">
        <f t="shared" si="8"/>
        <v>#DIV/0!</v>
      </c>
      <c r="T213" s="84"/>
      <c r="U213" s="84"/>
      <c r="V213" s="84"/>
      <c r="W213" s="84"/>
      <c r="X213" s="85"/>
      <c r="Y213" s="68"/>
      <c r="Z213" s="68"/>
    </row>
    <row r="214" spans="1:26" ht="12.75" hidden="1" outlineLevel="1" x14ac:dyDescent="0.2">
      <c r="A214" s="68"/>
      <c r="B214" s="86"/>
      <c r="C214" s="70" t="s">
        <v>121</v>
      </c>
      <c r="D214" s="290"/>
      <c r="E214" s="283"/>
      <c r="F214" s="283"/>
      <c r="G214" s="74" t="e">
        <f t="shared" si="0"/>
        <v>#DIV/0!</v>
      </c>
      <c r="H214" s="75" t="e">
        <f t="shared" si="1"/>
        <v>#DIV/0!</v>
      </c>
      <c r="I214" s="76" t="e">
        <f t="shared" si="2"/>
        <v>#DIV/0!</v>
      </c>
      <c r="J214" s="99">
        <v>111.79</v>
      </c>
      <c r="K214" s="199">
        <v>7991</v>
      </c>
      <c r="L214" s="283"/>
      <c r="M214" s="100">
        <v>61</v>
      </c>
      <c r="N214" s="79">
        <f t="shared" si="121"/>
        <v>1.8326229508196723</v>
      </c>
      <c r="O214" s="80">
        <f t="shared" si="4"/>
        <v>0.54566598085696394</v>
      </c>
      <c r="P214" s="79" t="e">
        <f t="shared" si="5"/>
        <v>#DIV/0!</v>
      </c>
      <c r="Q214" s="81" t="e">
        <f t="shared" si="6"/>
        <v>#DIV/0!</v>
      </c>
      <c r="R214" s="101">
        <f t="shared" si="120"/>
        <v>-61</v>
      </c>
      <c r="S214" s="83" t="e">
        <f t="shared" si="8"/>
        <v>#DIV/0!</v>
      </c>
      <c r="T214" s="84"/>
      <c r="U214" s="84"/>
      <c r="V214" s="84"/>
      <c r="W214" s="84"/>
      <c r="X214" s="85"/>
      <c r="Y214" s="68"/>
      <c r="Z214" s="68"/>
    </row>
    <row r="215" spans="1:26" ht="12.75" hidden="1" outlineLevel="1" x14ac:dyDescent="0.2">
      <c r="A215" s="118" t="str">
        <f t="shared" ref="A215:A216" si="122">IFERROR(IF(B215&gt;0,MONTH(B215)&amp;"-"&amp;YEAR(B215),B215),)</f>
        <v>6-2025</v>
      </c>
      <c r="B215" s="69">
        <v>45829</v>
      </c>
      <c r="C215" s="70" t="s">
        <v>123</v>
      </c>
      <c r="D215" s="293"/>
      <c r="E215" s="283"/>
      <c r="F215" s="283"/>
      <c r="G215" s="74" t="e">
        <f t="shared" si="0"/>
        <v>#DIV/0!</v>
      </c>
      <c r="H215" s="75" t="e">
        <f t="shared" si="1"/>
        <v>#DIV/0!</v>
      </c>
      <c r="I215" s="76" t="e">
        <f t="shared" si="2"/>
        <v>#DIV/0!</v>
      </c>
      <c r="J215" s="87">
        <v>0</v>
      </c>
      <c r="K215" s="199">
        <v>0</v>
      </c>
      <c r="L215" s="283"/>
      <c r="M215" s="88">
        <v>0</v>
      </c>
      <c r="N215" s="79" t="e">
        <f t="shared" si="121"/>
        <v>#DIV/0!</v>
      </c>
      <c r="O215" s="80" t="e">
        <f t="shared" si="4"/>
        <v>#DIV/0!</v>
      </c>
      <c r="P215" s="79" t="e">
        <f t="shared" si="5"/>
        <v>#DIV/0!</v>
      </c>
      <c r="Q215" s="81" t="e">
        <f t="shared" si="6"/>
        <v>#DIV/0!</v>
      </c>
      <c r="R215" s="82">
        <f t="shared" si="120"/>
        <v>0</v>
      </c>
      <c r="S215" s="83" t="e">
        <f t="shared" si="8"/>
        <v>#DIV/0!</v>
      </c>
      <c r="T215" s="84"/>
      <c r="U215" s="84"/>
      <c r="V215" s="84"/>
      <c r="W215" s="84"/>
      <c r="X215" s="85"/>
      <c r="Y215" s="68"/>
      <c r="Z215" s="68"/>
    </row>
    <row r="216" spans="1:26" ht="12.75" collapsed="1" x14ac:dyDescent="0.2">
      <c r="A216" s="68">
        <f t="shared" si="122"/>
        <v>0</v>
      </c>
      <c r="B216" s="52" t="s">
        <v>83</v>
      </c>
      <c r="C216" s="120"/>
      <c r="D216" s="121">
        <f t="shared" ref="D216:F216" si="123">SUM(D205:D215)</f>
        <v>0</v>
      </c>
      <c r="E216" s="123">
        <f t="shared" si="123"/>
        <v>0</v>
      </c>
      <c r="F216" s="123">
        <f t="shared" si="123"/>
        <v>0</v>
      </c>
      <c r="G216" s="124" t="e">
        <f t="shared" si="0"/>
        <v>#DIV/0!</v>
      </c>
      <c r="H216" s="125" t="e">
        <f t="shared" si="1"/>
        <v>#DIV/0!</v>
      </c>
      <c r="I216" s="126" t="e">
        <f t="shared" si="2"/>
        <v>#DIV/0!</v>
      </c>
      <c r="J216" s="121">
        <f t="shared" ref="J216:M216" si="124">SUM(J205:J215)</f>
        <v>404.34</v>
      </c>
      <c r="K216" s="294">
        <f t="shared" si="124"/>
        <v>86418</v>
      </c>
      <c r="L216" s="123">
        <f t="shared" si="124"/>
        <v>0</v>
      </c>
      <c r="M216" s="127">
        <f t="shared" si="124"/>
        <v>732.33999999999992</v>
      </c>
      <c r="N216" s="128">
        <f t="shared" si="121"/>
        <v>0.5521205997214409</v>
      </c>
      <c r="O216" s="129">
        <f t="shared" si="4"/>
        <v>1.8111984963149823</v>
      </c>
      <c r="P216" s="128" t="e">
        <f t="shared" si="5"/>
        <v>#DIV/0!</v>
      </c>
      <c r="Q216" s="130" t="e">
        <f t="shared" si="6"/>
        <v>#DIV/0!</v>
      </c>
      <c r="R216" s="131">
        <f>SUM(R205:R215)</f>
        <v>-732.33999999999992</v>
      </c>
      <c r="S216" s="132" t="e">
        <f t="shared" si="8"/>
        <v>#DIV/0!</v>
      </c>
      <c r="T216" s="134">
        <f t="shared" ref="T216:U216" si="125">IFERROR((D216-D48)/D216,)</f>
        <v>0</v>
      </c>
      <c r="U216" s="134">
        <f t="shared" si="125"/>
        <v>0</v>
      </c>
      <c r="V216" s="134" t="s">
        <v>139</v>
      </c>
      <c r="W216" s="134" t="s">
        <v>139</v>
      </c>
      <c r="X216" s="68"/>
      <c r="Y216" s="68"/>
      <c r="Z216" s="68"/>
    </row>
    <row r="217" spans="1:26" ht="12.75" hidden="1" outlineLevel="1" x14ac:dyDescent="0.2">
      <c r="A217" s="68"/>
      <c r="B217" s="69">
        <v>45830</v>
      </c>
      <c r="C217" s="70" t="s">
        <v>112</v>
      </c>
      <c r="D217" s="282"/>
      <c r="E217" s="283"/>
      <c r="F217" s="283"/>
      <c r="G217" s="74" t="e">
        <f t="shared" si="0"/>
        <v>#DIV/0!</v>
      </c>
      <c r="H217" s="75" t="e">
        <f t="shared" si="1"/>
        <v>#DIV/0!</v>
      </c>
      <c r="I217" s="76" t="e">
        <f t="shared" si="2"/>
        <v>#DIV/0!</v>
      </c>
      <c r="J217" s="77">
        <v>6.7</v>
      </c>
      <c r="K217" s="199">
        <v>2509</v>
      </c>
      <c r="L217" s="283"/>
      <c r="M217" s="78">
        <v>0</v>
      </c>
      <c r="N217" s="79" t="e">
        <f t="shared" si="121"/>
        <v>#DIV/0!</v>
      </c>
      <c r="O217" s="80">
        <f t="shared" si="4"/>
        <v>0</v>
      </c>
      <c r="P217" s="79" t="e">
        <f t="shared" si="5"/>
        <v>#DIV/0!</v>
      </c>
      <c r="Q217" s="81" t="e">
        <f t="shared" si="6"/>
        <v>#DIV/0!</v>
      </c>
      <c r="R217" s="82">
        <f t="shared" ref="R217:R227" si="126">D217-M217</f>
        <v>0</v>
      </c>
      <c r="S217" s="83" t="e">
        <f t="shared" si="8"/>
        <v>#DIV/0!</v>
      </c>
      <c r="T217" s="84"/>
      <c r="U217" s="84"/>
      <c r="V217" s="84"/>
      <c r="W217" s="84"/>
      <c r="X217" s="85"/>
      <c r="Y217" s="68"/>
      <c r="Z217" s="68"/>
    </row>
    <row r="218" spans="1:26" ht="12.75" hidden="1" outlineLevel="1" x14ac:dyDescent="0.2">
      <c r="A218" s="68"/>
      <c r="B218" s="86"/>
      <c r="C218" s="70" t="s">
        <v>113</v>
      </c>
      <c r="D218" s="284"/>
      <c r="E218" s="283"/>
      <c r="F218" s="283"/>
      <c r="G218" s="74" t="e">
        <f t="shared" si="0"/>
        <v>#DIV/0!</v>
      </c>
      <c r="H218" s="75" t="e">
        <f t="shared" si="1"/>
        <v>#DIV/0!</v>
      </c>
      <c r="I218" s="76" t="e">
        <f t="shared" si="2"/>
        <v>#DIV/0!</v>
      </c>
      <c r="J218" s="87">
        <v>14.71</v>
      </c>
      <c r="K218" s="199">
        <v>6144</v>
      </c>
      <c r="L218" s="283"/>
      <c r="M218" s="88">
        <v>0</v>
      </c>
      <c r="N218" s="79" t="e">
        <f t="shared" si="121"/>
        <v>#DIV/0!</v>
      </c>
      <c r="O218" s="80">
        <f t="shared" si="4"/>
        <v>0</v>
      </c>
      <c r="P218" s="79" t="e">
        <f t="shared" si="5"/>
        <v>#DIV/0!</v>
      </c>
      <c r="Q218" s="81" t="e">
        <f t="shared" si="6"/>
        <v>#DIV/0!</v>
      </c>
      <c r="R218" s="89">
        <f t="shared" si="126"/>
        <v>0</v>
      </c>
      <c r="S218" s="83" t="e">
        <f t="shared" si="8"/>
        <v>#DIV/0!</v>
      </c>
      <c r="T218" s="84"/>
      <c r="U218" s="84"/>
      <c r="V218" s="84"/>
      <c r="W218" s="84"/>
      <c r="X218" s="85"/>
      <c r="Y218" s="68"/>
      <c r="Z218" s="68"/>
    </row>
    <row r="219" spans="1:26" ht="12.75" hidden="1" outlineLevel="1" x14ac:dyDescent="0.2">
      <c r="A219" s="68"/>
      <c r="B219" s="86"/>
      <c r="C219" s="70" t="s">
        <v>114</v>
      </c>
      <c r="D219" s="285"/>
      <c r="E219" s="283"/>
      <c r="F219" s="283"/>
      <c r="G219" s="74" t="e">
        <f t="shared" si="0"/>
        <v>#DIV/0!</v>
      </c>
      <c r="H219" s="75" t="e">
        <f t="shared" si="1"/>
        <v>#DIV/0!</v>
      </c>
      <c r="I219" s="76" t="e">
        <f t="shared" si="2"/>
        <v>#DIV/0!</v>
      </c>
      <c r="J219" s="90">
        <v>48.44</v>
      </c>
      <c r="K219" s="199">
        <v>17507</v>
      </c>
      <c r="L219" s="283"/>
      <c r="M219" s="91">
        <v>0</v>
      </c>
      <c r="N219" s="79" t="e">
        <f>(J219/M219)</f>
        <v>#DIV/0!</v>
      </c>
      <c r="O219" s="80">
        <f t="shared" si="4"/>
        <v>0</v>
      </c>
      <c r="P219" s="79" t="e">
        <f t="shared" si="5"/>
        <v>#DIV/0!</v>
      </c>
      <c r="Q219" s="81" t="e">
        <f t="shared" si="6"/>
        <v>#DIV/0!</v>
      </c>
      <c r="R219" s="92">
        <f t="shared" si="126"/>
        <v>0</v>
      </c>
      <c r="S219" s="83" t="e">
        <f t="shared" si="8"/>
        <v>#DIV/0!</v>
      </c>
      <c r="T219" s="84"/>
      <c r="U219" s="84"/>
      <c r="V219" s="84"/>
      <c r="W219" s="84"/>
      <c r="X219" s="85"/>
      <c r="Y219" s="68"/>
      <c r="Z219" s="68"/>
    </row>
    <row r="220" spans="1:26" ht="12.75" hidden="1" outlineLevel="1" x14ac:dyDescent="0.2">
      <c r="A220" s="68"/>
      <c r="B220" s="86"/>
      <c r="C220" s="70" t="s">
        <v>115</v>
      </c>
      <c r="D220" s="285"/>
      <c r="E220" s="283"/>
      <c r="F220" s="283"/>
      <c r="G220" s="74" t="e">
        <f t="shared" si="0"/>
        <v>#DIV/0!</v>
      </c>
      <c r="H220" s="75" t="e">
        <f t="shared" si="1"/>
        <v>#DIV/0!</v>
      </c>
      <c r="I220" s="76" t="e">
        <f t="shared" si="2"/>
        <v>#DIV/0!</v>
      </c>
      <c r="J220" s="90">
        <v>27.72</v>
      </c>
      <c r="K220" s="199">
        <v>6082</v>
      </c>
      <c r="L220" s="283"/>
      <c r="M220" s="91">
        <v>119.9</v>
      </c>
      <c r="N220" s="79">
        <f t="shared" ref="N220:N230" si="127">J220/M220</f>
        <v>0.2311926605504587</v>
      </c>
      <c r="O220" s="80">
        <f t="shared" si="4"/>
        <v>4.325396825396826</v>
      </c>
      <c r="P220" s="79" t="e">
        <f t="shared" si="5"/>
        <v>#DIV/0!</v>
      </c>
      <c r="Q220" s="81" t="e">
        <f t="shared" si="6"/>
        <v>#DIV/0!</v>
      </c>
      <c r="R220" s="92">
        <f t="shared" si="126"/>
        <v>-119.9</v>
      </c>
      <c r="S220" s="83" t="e">
        <f t="shared" si="8"/>
        <v>#DIV/0!</v>
      </c>
      <c r="T220" s="84"/>
      <c r="U220" s="84"/>
      <c r="V220" s="84"/>
      <c r="W220" s="84"/>
      <c r="X220" s="85"/>
      <c r="Y220" s="68"/>
      <c r="Z220" s="68"/>
    </row>
    <row r="221" spans="1:26" ht="12.75" hidden="1" outlineLevel="1" x14ac:dyDescent="0.2">
      <c r="A221" s="68"/>
      <c r="B221" s="86"/>
      <c r="C221" s="70" t="s">
        <v>116</v>
      </c>
      <c r="D221" s="286"/>
      <c r="E221" s="283"/>
      <c r="F221" s="283"/>
      <c r="G221" s="74" t="e">
        <f t="shared" si="0"/>
        <v>#DIV/0!</v>
      </c>
      <c r="H221" s="75" t="e">
        <f t="shared" si="1"/>
        <v>#DIV/0!</v>
      </c>
      <c r="I221" s="76" t="e">
        <f t="shared" si="2"/>
        <v>#DIV/0!</v>
      </c>
      <c r="J221" s="200">
        <v>0</v>
      </c>
      <c r="K221" s="199">
        <v>0</v>
      </c>
      <c r="L221" s="283"/>
      <c r="M221" s="200">
        <v>0</v>
      </c>
      <c r="N221" s="79" t="e">
        <f t="shared" si="127"/>
        <v>#DIV/0!</v>
      </c>
      <c r="O221" s="80" t="e">
        <f t="shared" si="4"/>
        <v>#DIV/0!</v>
      </c>
      <c r="P221" s="79" t="e">
        <f t="shared" si="5"/>
        <v>#DIV/0!</v>
      </c>
      <c r="Q221" s="81" t="e">
        <f t="shared" si="6"/>
        <v>#DIV/0!</v>
      </c>
      <c r="R221" s="92">
        <f t="shared" si="126"/>
        <v>0</v>
      </c>
      <c r="S221" s="83" t="e">
        <f t="shared" si="8"/>
        <v>#DIV/0!</v>
      </c>
      <c r="T221" s="84"/>
      <c r="U221" s="84"/>
      <c r="V221" s="84"/>
      <c r="W221" s="84"/>
      <c r="X221" s="85"/>
      <c r="Y221" s="68"/>
      <c r="Z221" s="68"/>
    </row>
    <row r="222" spans="1:26" ht="12.75" hidden="1" outlineLevel="1" x14ac:dyDescent="0.2">
      <c r="A222" s="68"/>
      <c r="B222" s="86"/>
      <c r="C222" s="70" t="s">
        <v>117</v>
      </c>
      <c r="D222" s="287"/>
      <c r="E222" s="283"/>
      <c r="F222" s="283"/>
      <c r="G222" s="74" t="e">
        <f t="shared" si="0"/>
        <v>#DIV/0!</v>
      </c>
      <c r="H222" s="75" t="e">
        <f t="shared" si="1"/>
        <v>#DIV/0!</v>
      </c>
      <c r="I222" s="76" t="e">
        <f t="shared" si="2"/>
        <v>#DIV/0!</v>
      </c>
      <c r="J222" s="201">
        <v>14.36</v>
      </c>
      <c r="K222" s="199">
        <v>3587</v>
      </c>
      <c r="L222" s="283"/>
      <c r="M222" s="202">
        <v>0</v>
      </c>
      <c r="N222" s="79" t="e">
        <f t="shared" si="127"/>
        <v>#DIV/0!</v>
      </c>
      <c r="O222" s="80">
        <f t="shared" si="4"/>
        <v>0</v>
      </c>
      <c r="P222" s="79" t="e">
        <f t="shared" si="5"/>
        <v>#DIV/0!</v>
      </c>
      <c r="Q222" s="81" t="e">
        <f t="shared" si="6"/>
        <v>#DIV/0!</v>
      </c>
      <c r="R222" s="203">
        <f t="shared" si="126"/>
        <v>0</v>
      </c>
      <c r="S222" s="83" t="e">
        <f t="shared" si="8"/>
        <v>#DIV/0!</v>
      </c>
      <c r="T222" s="84"/>
      <c r="U222" s="84"/>
      <c r="V222" s="84"/>
      <c r="W222" s="84"/>
      <c r="X222" s="85"/>
      <c r="Y222" s="68"/>
      <c r="Z222" s="68"/>
    </row>
    <row r="223" spans="1:26" ht="12.75" hidden="1" outlineLevel="1" x14ac:dyDescent="0.2">
      <c r="A223" s="68"/>
      <c r="B223" s="86"/>
      <c r="C223" s="70" t="s">
        <v>118</v>
      </c>
      <c r="D223" s="285"/>
      <c r="E223" s="283"/>
      <c r="F223" s="283"/>
      <c r="G223" s="74" t="e">
        <f t="shared" si="0"/>
        <v>#DIV/0!</v>
      </c>
      <c r="H223" s="75" t="e">
        <f t="shared" si="1"/>
        <v>#DIV/0!</v>
      </c>
      <c r="I223" s="76" t="e">
        <f t="shared" si="2"/>
        <v>#DIV/0!</v>
      </c>
      <c r="J223" s="90">
        <v>32.43</v>
      </c>
      <c r="K223" s="199">
        <v>5146</v>
      </c>
      <c r="L223" s="283"/>
      <c r="M223" s="91">
        <v>64.95</v>
      </c>
      <c r="N223" s="79">
        <f t="shared" si="127"/>
        <v>0.49930715935334868</v>
      </c>
      <c r="O223" s="80">
        <f t="shared" si="4"/>
        <v>2.0027752081406107</v>
      </c>
      <c r="P223" s="79" t="e">
        <f t="shared" si="5"/>
        <v>#DIV/0!</v>
      </c>
      <c r="Q223" s="81" t="e">
        <f t="shared" si="6"/>
        <v>#DIV/0!</v>
      </c>
      <c r="R223" s="92">
        <f t="shared" si="126"/>
        <v>-64.95</v>
      </c>
      <c r="S223" s="83" t="e">
        <f t="shared" si="8"/>
        <v>#DIV/0!</v>
      </c>
      <c r="T223" s="84"/>
      <c r="U223" s="84"/>
      <c r="V223" s="84"/>
      <c r="W223" s="84"/>
      <c r="X223" s="85"/>
      <c r="Y223" s="68"/>
      <c r="Z223" s="68"/>
    </row>
    <row r="224" spans="1:26" ht="12.75" hidden="1" outlineLevel="1" x14ac:dyDescent="0.2">
      <c r="A224" s="68"/>
      <c r="B224" s="69" t="s">
        <v>37</v>
      </c>
      <c r="C224" s="70" t="s">
        <v>119</v>
      </c>
      <c r="D224" s="288"/>
      <c r="E224" s="283"/>
      <c r="F224" s="283"/>
      <c r="G224" s="74" t="e">
        <f t="shared" si="0"/>
        <v>#DIV/0!</v>
      </c>
      <c r="H224" s="75" t="e">
        <f t="shared" si="1"/>
        <v>#DIV/0!</v>
      </c>
      <c r="I224" s="76" t="e">
        <f t="shared" si="2"/>
        <v>#DIV/0!</v>
      </c>
      <c r="J224" s="93">
        <v>88.92</v>
      </c>
      <c r="K224" s="199">
        <v>19374</v>
      </c>
      <c r="L224" s="283"/>
      <c r="M224" s="94">
        <v>180</v>
      </c>
      <c r="N224" s="79">
        <f t="shared" si="127"/>
        <v>0.49399999999999999</v>
      </c>
      <c r="O224" s="80">
        <f t="shared" si="4"/>
        <v>2.0242914979757085</v>
      </c>
      <c r="P224" s="79" t="e">
        <f t="shared" si="5"/>
        <v>#DIV/0!</v>
      </c>
      <c r="Q224" s="81" t="e">
        <f t="shared" si="6"/>
        <v>#DIV/0!</v>
      </c>
      <c r="R224" s="95">
        <f t="shared" si="126"/>
        <v>-180</v>
      </c>
      <c r="S224" s="83" t="e">
        <f t="shared" si="8"/>
        <v>#DIV/0!</v>
      </c>
      <c r="T224" s="84"/>
      <c r="U224" s="84"/>
      <c r="V224" s="84"/>
      <c r="W224" s="84"/>
      <c r="X224" s="85"/>
      <c r="Y224" s="68"/>
      <c r="Z224" s="68"/>
    </row>
    <row r="225" spans="1:26" ht="12.75" hidden="1" outlineLevel="1" x14ac:dyDescent="0.2">
      <c r="A225" s="68"/>
      <c r="B225" s="86"/>
      <c r="C225" s="70" t="s">
        <v>120</v>
      </c>
      <c r="D225" s="289"/>
      <c r="E225" s="283"/>
      <c r="F225" s="283"/>
      <c r="G225" s="74" t="e">
        <f t="shared" si="0"/>
        <v>#DIV/0!</v>
      </c>
      <c r="H225" s="75" t="e">
        <f t="shared" si="1"/>
        <v>#DIV/0!</v>
      </c>
      <c r="I225" s="76" t="e">
        <f t="shared" si="2"/>
        <v>#DIV/0!</v>
      </c>
      <c r="J225" s="96">
        <v>5.43</v>
      </c>
      <c r="K225" s="199">
        <v>1597</v>
      </c>
      <c r="L225" s="283"/>
      <c r="M225" s="97">
        <v>0</v>
      </c>
      <c r="N225" s="79" t="e">
        <f t="shared" si="127"/>
        <v>#DIV/0!</v>
      </c>
      <c r="O225" s="80">
        <f t="shared" si="4"/>
        <v>0</v>
      </c>
      <c r="P225" s="79" t="e">
        <f t="shared" si="5"/>
        <v>#DIV/0!</v>
      </c>
      <c r="Q225" s="81" t="e">
        <f t="shared" si="6"/>
        <v>#DIV/0!</v>
      </c>
      <c r="R225" s="98">
        <f t="shared" si="126"/>
        <v>0</v>
      </c>
      <c r="S225" s="83" t="e">
        <f t="shared" si="8"/>
        <v>#DIV/0!</v>
      </c>
      <c r="T225" s="84"/>
      <c r="U225" s="84"/>
      <c r="V225" s="84"/>
      <c r="W225" s="84"/>
      <c r="X225" s="85"/>
      <c r="Y225" s="68"/>
      <c r="Z225" s="68"/>
    </row>
    <row r="226" spans="1:26" ht="12.75" hidden="1" outlineLevel="1" x14ac:dyDescent="0.2">
      <c r="A226" s="68"/>
      <c r="B226" s="86"/>
      <c r="C226" s="70" t="s">
        <v>121</v>
      </c>
      <c r="D226" s="290"/>
      <c r="E226" s="283"/>
      <c r="F226" s="283"/>
      <c r="G226" s="74" t="e">
        <f t="shared" si="0"/>
        <v>#DIV/0!</v>
      </c>
      <c r="H226" s="75" t="e">
        <f t="shared" si="1"/>
        <v>#DIV/0!</v>
      </c>
      <c r="I226" s="76" t="e">
        <f t="shared" si="2"/>
        <v>#DIV/0!</v>
      </c>
      <c r="J226" s="99">
        <v>4.51</v>
      </c>
      <c r="K226" s="199">
        <v>1477</v>
      </c>
      <c r="L226" s="283"/>
      <c r="M226" s="100">
        <v>46.56</v>
      </c>
      <c r="N226" s="79">
        <f t="shared" si="127"/>
        <v>9.6864261168384869E-2</v>
      </c>
      <c r="O226" s="80">
        <f t="shared" si="4"/>
        <v>10.323725055432373</v>
      </c>
      <c r="P226" s="79" t="e">
        <f t="shared" si="5"/>
        <v>#DIV/0!</v>
      </c>
      <c r="Q226" s="81" t="e">
        <f t="shared" si="6"/>
        <v>#DIV/0!</v>
      </c>
      <c r="R226" s="101">
        <f t="shared" si="126"/>
        <v>-46.56</v>
      </c>
      <c r="S226" s="83" t="e">
        <f t="shared" si="8"/>
        <v>#DIV/0!</v>
      </c>
      <c r="T226" s="84"/>
      <c r="U226" s="84"/>
      <c r="V226" s="84"/>
      <c r="W226" s="84"/>
      <c r="X226" s="85"/>
      <c r="Y226" s="68"/>
      <c r="Z226" s="68"/>
    </row>
    <row r="227" spans="1:26" ht="12.75" hidden="1" outlineLevel="1" x14ac:dyDescent="0.2">
      <c r="A227" s="118" t="str">
        <f t="shared" ref="A227:A228" si="128">IFERROR(IF(B227&gt;0,MONTH(B227)&amp;"-"&amp;YEAR(B227),B227),)</f>
        <v>6-2025</v>
      </c>
      <c r="B227" s="69">
        <v>45836</v>
      </c>
      <c r="C227" s="70" t="s">
        <v>123</v>
      </c>
      <c r="D227" s="293"/>
      <c r="E227" s="283"/>
      <c r="F227" s="283"/>
      <c r="G227" s="74" t="e">
        <f t="shared" si="0"/>
        <v>#DIV/0!</v>
      </c>
      <c r="H227" s="75" t="e">
        <f t="shared" si="1"/>
        <v>#DIV/0!</v>
      </c>
      <c r="I227" s="76" t="e">
        <f t="shared" si="2"/>
        <v>#DIV/0!</v>
      </c>
      <c r="J227" s="87">
        <v>0</v>
      </c>
      <c r="K227" s="199">
        <v>0</v>
      </c>
      <c r="L227" s="283"/>
      <c r="M227" s="88">
        <v>0</v>
      </c>
      <c r="N227" s="79" t="e">
        <f t="shared" si="127"/>
        <v>#DIV/0!</v>
      </c>
      <c r="O227" s="80" t="e">
        <f t="shared" si="4"/>
        <v>#DIV/0!</v>
      </c>
      <c r="P227" s="79" t="e">
        <f t="shared" si="5"/>
        <v>#DIV/0!</v>
      </c>
      <c r="Q227" s="81" t="e">
        <f t="shared" si="6"/>
        <v>#DIV/0!</v>
      </c>
      <c r="R227" s="82">
        <f t="shared" si="126"/>
        <v>0</v>
      </c>
      <c r="S227" s="83" t="e">
        <f t="shared" si="8"/>
        <v>#DIV/0!</v>
      </c>
      <c r="T227" s="84"/>
      <c r="U227" s="84"/>
      <c r="V227" s="84"/>
      <c r="W227" s="84"/>
      <c r="X227" s="85"/>
      <c r="Y227" s="68"/>
      <c r="Z227" s="68"/>
    </row>
    <row r="228" spans="1:26" ht="12.75" collapsed="1" x14ac:dyDescent="0.2">
      <c r="A228" s="68">
        <f t="shared" si="128"/>
        <v>0</v>
      </c>
      <c r="B228" s="52" t="s">
        <v>84</v>
      </c>
      <c r="C228" s="120"/>
      <c r="D228" s="121">
        <f t="shared" ref="D228:F228" si="129">SUM(D217:D227)</f>
        <v>0</v>
      </c>
      <c r="E228" s="123">
        <f t="shared" si="129"/>
        <v>0</v>
      </c>
      <c r="F228" s="123">
        <f t="shared" si="129"/>
        <v>0</v>
      </c>
      <c r="G228" s="124" t="e">
        <f t="shared" si="0"/>
        <v>#DIV/0!</v>
      </c>
      <c r="H228" s="125" t="e">
        <f t="shared" si="1"/>
        <v>#DIV/0!</v>
      </c>
      <c r="I228" s="126" t="e">
        <f t="shared" si="2"/>
        <v>#DIV/0!</v>
      </c>
      <c r="J228" s="121">
        <f t="shared" ref="J228:M228" si="130">SUM(J217:J227)</f>
        <v>243.21999999999997</v>
      </c>
      <c r="K228" s="294">
        <f t="shared" si="130"/>
        <v>63423</v>
      </c>
      <c r="L228" s="123">
        <f t="shared" si="130"/>
        <v>0</v>
      </c>
      <c r="M228" s="127">
        <f t="shared" si="130"/>
        <v>411.41</v>
      </c>
      <c r="N228" s="128">
        <f t="shared" si="127"/>
        <v>0.59118640771979281</v>
      </c>
      <c r="O228" s="129">
        <f t="shared" si="4"/>
        <v>1.6915138557684404</v>
      </c>
      <c r="P228" s="128" t="e">
        <f t="shared" si="5"/>
        <v>#DIV/0!</v>
      </c>
      <c r="Q228" s="130" t="e">
        <f t="shared" si="6"/>
        <v>#DIV/0!</v>
      </c>
      <c r="R228" s="131">
        <f>SUM(R217:R227)</f>
        <v>-411.41</v>
      </c>
      <c r="S228" s="132" t="e">
        <f t="shared" si="8"/>
        <v>#DIV/0!</v>
      </c>
      <c r="T228" s="134">
        <f t="shared" ref="T228:U228" si="131">IFERROR((D228-D48)/D228,)</f>
        <v>0</v>
      </c>
      <c r="U228" s="134">
        <f t="shared" si="131"/>
        <v>0</v>
      </c>
      <c r="V228" s="134" t="s">
        <v>139</v>
      </c>
      <c r="W228" s="134" t="s">
        <v>139</v>
      </c>
      <c r="X228" s="68"/>
      <c r="Y228" s="68"/>
      <c r="Z228" s="68"/>
    </row>
    <row r="229" spans="1:26" ht="12.75" hidden="1" outlineLevel="1" x14ac:dyDescent="0.2">
      <c r="A229" s="68"/>
      <c r="B229" s="69">
        <v>45837</v>
      </c>
      <c r="C229" s="70" t="s">
        <v>112</v>
      </c>
      <c r="D229" s="282"/>
      <c r="E229" s="283"/>
      <c r="F229" s="283"/>
      <c r="G229" s="74" t="e">
        <f t="shared" si="0"/>
        <v>#DIV/0!</v>
      </c>
      <c r="H229" s="75" t="e">
        <f t="shared" si="1"/>
        <v>#DIV/0!</v>
      </c>
      <c r="I229" s="76" t="e">
        <f t="shared" si="2"/>
        <v>#DIV/0!</v>
      </c>
      <c r="J229" s="77">
        <v>4.91</v>
      </c>
      <c r="K229" s="199">
        <v>3175</v>
      </c>
      <c r="L229" s="283"/>
      <c r="M229" s="78">
        <v>0</v>
      </c>
      <c r="N229" s="79" t="e">
        <f t="shared" si="127"/>
        <v>#DIV/0!</v>
      </c>
      <c r="O229" s="80">
        <f t="shared" si="4"/>
        <v>0</v>
      </c>
      <c r="P229" s="79" t="e">
        <f t="shared" si="5"/>
        <v>#DIV/0!</v>
      </c>
      <c r="Q229" s="81" t="e">
        <f t="shared" si="6"/>
        <v>#DIV/0!</v>
      </c>
      <c r="R229" s="82">
        <f t="shared" ref="R229:R239" si="132">D229-M229</f>
        <v>0</v>
      </c>
      <c r="S229" s="83" t="e">
        <f t="shared" si="8"/>
        <v>#DIV/0!</v>
      </c>
      <c r="T229" s="84"/>
      <c r="U229" s="84"/>
      <c r="V229" s="84"/>
      <c r="W229" s="84"/>
      <c r="X229" s="85"/>
      <c r="Y229" s="68"/>
      <c r="Z229" s="68"/>
    </row>
    <row r="230" spans="1:26" ht="12.75" hidden="1" outlineLevel="1" x14ac:dyDescent="0.2">
      <c r="A230" s="68"/>
      <c r="B230" s="86"/>
      <c r="C230" s="70" t="s">
        <v>113</v>
      </c>
      <c r="D230" s="284"/>
      <c r="E230" s="283"/>
      <c r="F230" s="283"/>
      <c r="G230" s="74" t="e">
        <f t="shared" si="0"/>
        <v>#DIV/0!</v>
      </c>
      <c r="H230" s="75" t="e">
        <f t="shared" si="1"/>
        <v>#DIV/0!</v>
      </c>
      <c r="I230" s="76" t="e">
        <f t="shared" si="2"/>
        <v>#DIV/0!</v>
      </c>
      <c r="J230" s="87">
        <v>5.56</v>
      </c>
      <c r="K230" s="199">
        <v>3758</v>
      </c>
      <c r="L230" s="283"/>
      <c r="M230" s="88">
        <v>0</v>
      </c>
      <c r="N230" s="79" t="e">
        <f t="shared" si="127"/>
        <v>#DIV/0!</v>
      </c>
      <c r="O230" s="80">
        <f t="shared" si="4"/>
        <v>0</v>
      </c>
      <c r="P230" s="79" t="e">
        <f t="shared" si="5"/>
        <v>#DIV/0!</v>
      </c>
      <c r="Q230" s="81" t="e">
        <f t="shared" si="6"/>
        <v>#DIV/0!</v>
      </c>
      <c r="R230" s="89">
        <f t="shared" si="132"/>
        <v>0</v>
      </c>
      <c r="S230" s="83" t="e">
        <f t="shared" si="8"/>
        <v>#DIV/0!</v>
      </c>
      <c r="T230" s="84"/>
      <c r="U230" s="84"/>
      <c r="V230" s="84"/>
      <c r="W230" s="84"/>
      <c r="X230" s="85"/>
      <c r="Y230" s="68"/>
      <c r="Z230" s="68"/>
    </row>
    <row r="231" spans="1:26" ht="12.75" hidden="1" outlineLevel="1" x14ac:dyDescent="0.2">
      <c r="A231" s="68"/>
      <c r="B231" s="86"/>
      <c r="C231" s="70" t="s">
        <v>114</v>
      </c>
      <c r="D231" s="285"/>
      <c r="E231" s="283"/>
      <c r="F231" s="283"/>
      <c r="G231" s="74" t="e">
        <f t="shared" si="0"/>
        <v>#DIV/0!</v>
      </c>
      <c r="H231" s="75" t="e">
        <f t="shared" si="1"/>
        <v>#DIV/0!</v>
      </c>
      <c r="I231" s="76" t="e">
        <f t="shared" si="2"/>
        <v>#DIV/0!</v>
      </c>
      <c r="J231" s="90">
        <v>53.89</v>
      </c>
      <c r="K231" s="199">
        <v>14937</v>
      </c>
      <c r="L231" s="283"/>
      <c r="M231" s="91">
        <v>0</v>
      </c>
      <c r="N231" s="79" t="e">
        <f>(J231/M231)</f>
        <v>#DIV/0!</v>
      </c>
      <c r="O231" s="80">
        <f t="shared" si="4"/>
        <v>0</v>
      </c>
      <c r="P231" s="79" t="e">
        <f t="shared" si="5"/>
        <v>#DIV/0!</v>
      </c>
      <c r="Q231" s="81" t="e">
        <f t="shared" si="6"/>
        <v>#DIV/0!</v>
      </c>
      <c r="R231" s="92">
        <f t="shared" si="132"/>
        <v>0</v>
      </c>
      <c r="S231" s="83" t="e">
        <f t="shared" si="8"/>
        <v>#DIV/0!</v>
      </c>
      <c r="T231" s="84"/>
      <c r="U231" s="84"/>
      <c r="V231" s="84"/>
      <c r="W231" s="84"/>
      <c r="X231" s="85"/>
      <c r="Y231" s="68"/>
      <c r="Z231" s="68"/>
    </row>
    <row r="232" spans="1:26" ht="12.75" hidden="1" outlineLevel="1" x14ac:dyDescent="0.2">
      <c r="A232" s="68"/>
      <c r="B232" s="86"/>
      <c r="C232" s="70" t="s">
        <v>115</v>
      </c>
      <c r="D232" s="285"/>
      <c r="E232" s="283"/>
      <c r="F232" s="283"/>
      <c r="G232" s="74" t="e">
        <f t="shared" si="0"/>
        <v>#DIV/0!</v>
      </c>
      <c r="H232" s="75" t="e">
        <f t="shared" si="1"/>
        <v>#DIV/0!</v>
      </c>
      <c r="I232" s="76" t="e">
        <f t="shared" si="2"/>
        <v>#DIV/0!</v>
      </c>
      <c r="J232" s="90">
        <v>2.56</v>
      </c>
      <c r="K232" s="199">
        <v>1277</v>
      </c>
      <c r="L232" s="283"/>
      <c r="M232" s="91">
        <v>0</v>
      </c>
      <c r="N232" s="79" t="e">
        <f t="shared" ref="N232:N242" si="133">J232/M232</f>
        <v>#DIV/0!</v>
      </c>
      <c r="O232" s="80">
        <f t="shared" si="4"/>
        <v>0</v>
      </c>
      <c r="P232" s="79" t="e">
        <f t="shared" si="5"/>
        <v>#DIV/0!</v>
      </c>
      <c r="Q232" s="81" t="e">
        <f t="shared" si="6"/>
        <v>#DIV/0!</v>
      </c>
      <c r="R232" s="92">
        <f t="shared" si="132"/>
        <v>0</v>
      </c>
      <c r="S232" s="83" t="e">
        <f t="shared" si="8"/>
        <v>#DIV/0!</v>
      </c>
      <c r="T232" s="84"/>
      <c r="U232" s="84"/>
      <c r="V232" s="84"/>
      <c r="W232" s="84"/>
      <c r="X232" s="85"/>
      <c r="Y232" s="68"/>
      <c r="Z232" s="68"/>
    </row>
    <row r="233" spans="1:26" ht="12.75" hidden="1" outlineLevel="1" x14ac:dyDescent="0.2">
      <c r="A233" s="68"/>
      <c r="B233" s="86"/>
      <c r="C233" s="70" t="s">
        <v>116</v>
      </c>
      <c r="D233" s="286"/>
      <c r="E233" s="283"/>
      <c r="F233" s="283"/>
      <c r="G233" s="74" t="e">
        <f t="shared" si="0"/>
        <v>#DIV/0!</v>
      </c>
      <c r="H233" s="75" t="e">
        <f t="shared" si="1"/>
        <v>#DIV/0!</v>
      </c>
      <c r="I233" s="76" t="e">
        <f t="shared" si="2"/>
        <v>#DIV/0!</v>
      </c>
      <c r="J233" s="200">
        <v>0.02</v>
      </c>
      <c r="K233" s="199">
        <v>19</v>
      </c>
      <c r="L233" s="283"/>
      <c r="M233" s="200">
        <v>0</v>
      </c>
      <c r="N233" s="79" t="e">
        <f t="shared" si="133"/>
        <v>#DIV/0!</v>
      </c>
      <c r="O233" s="80">
        <f t="shared" si="4"/>
        <v>0</v>
      </c>
      <c r="P233" s="79" t="e">
        <f t="shared" si="5"/>
        <v>#DIV/0!</v>
      </c>
      <c r="Q233" s="81" t="e">
        <f t="shared" si="6"/>
        <v>#DIV/0!</v>
      </c>
      <c r="R233" s="92">
        <f t="shared" si="132"/>
        <v>0</v>
      </c>
      <c r="S233" s="83" t="e">
        <f t="shared" si="8"/>
        <v>#DIV/0!</v>
      </c>
      <c r="T233" s="84"/>
      <c r="U233" s="84"/>
      <c r="V233" s="84"/>
      <c r="W233" s="84"/>
      <c r="X233" s="85"/>
      <c r="Y233" s="68"/>
      <c r="Z233" s="68"/>
    </row>
    <row r="234" spans="1:26" ht="12.75" hidden="1" outlineLevel="1" x14ac:dyDescent="0.2">
      <c r="A234" s="68"/>
      <c r="B234" s="86"/>
      <c r="C234" s="70" t="s">
        <v>117</v>
      </c>
      <c r="D234" s="287"/>
      <c r="E234" s="283"/>
      <c r="F234" s="283"/>
      <c r="G234" s="74" t="e">
        <f t="shared" si="0"/>
        <v>#DIV/0!</v>
      </c>
      <c r="H234" s="75" t="e">
        <f t="shared" si="1"/>
        <v>#DIV/0!</v>
      </c>
      <c r="I234" s="76" t="e">
        <f t="shared" si="2"/>
        <v>#DIV/0!</v>
      </c>
      <c r="J234" s="201">
        <v>37.57</v>
      </c>
      <c r="K234" s="199">
        <v>7835</v>
      </c>
      <c r="L234" s="283"/>
      <c r="M234" s="202">
        <v>44.95</v>
      </c>
      <c r="N234" s="79">
        <f t="shared" si="133"/>
        <v>0.83581757508342602</v>
      </c>
      <c r="O234" s="80">
        <f t="shared" si="4"/>
        <v>1.1964333244610061</v>
      </c>
      <c r="P234" s="79" t="e">
        <f t="shared" si="5"/>
        <v>#DIV/0!</v>
      </c>
      <c r="Q234" s="81" t="e">
        <f t="shared" si="6"/>
        <v>#DIV/0!</v>
      </c>
      <c r="R234" s="203">
        <f t="shared" si="132"/>
        <v>-44.95</v>
      </c>
      <c r="S234" s="83" t="e">
        <f t="shared" si="8"/>
        <v>#DIV/0!</v>
      </c>
      <c r="T234" s="84"/>
      <c r="U234" s="84"/>
      <c r="V234" s="84"/>
      <c r="W234" s="84"/>
      <c r="X234" s="85"/>
      <c r="Y234" s="68"/>
      <c r="Z234" s="68"/>
    </row>
    <row r="235" spans="1:26" ht="12.75" hidden="1" outlineLevel="1" x14ac:dyDescent="0.2">
      <c r="A235" s="68"/>
      <c r="B235" s="86"/>
      <c r="C235" s="70" t="s">
        <v>118</v>
      </c>
      <c r="D235" s="285"/>
      <c r="E235" s="283"/>
      <c r="F235" s="283"/>
      <c r="G235" s="74" t="e">
        <f t="shared" si="0"/>
        <v>#DIV/0!</v>
      </c>
      <c r="H235" s="75" t="e">
        <f t="shared" si="1"/>
        <v>#DIV/0!</v>
      </c>
      <c r="I235" s="76" t="e">
        <f t="shared" si="2"/>
        <v>#DIV/0!</v>
      </c>
      <c r="J235" s="90">
        <v>21.6</v>
      </c>
      <c r="K235" s="199">
        <v>2991</v>
      </c>
      <c r="L235" s="283"/>
      <c r="M235" s="91">
        <v>0</v>
      </c>
      <c r="N235" s="79" t="e">
        <f t="shared" si="133"/>
        <v>#DIV/0!</v>
      </c>
      <c r="O235" s="80">
        <f t="shared" si="4"/>
        <v>0</v>
      </c>
      <c r="P235" s="79" t="e">
        <f t="shared" si="5"/>
        <v>#DIV/0!</v>
      </c>
      <c r="Q235" s="81" t="e">
        <f t="shared" si="6"/>
        <v>#DIV/0!</v>
      </c>
      <c r="R235" s="92">
        <f t="shared" si="132"/>
        <v>0</v>
      </c>
      <c r="S235" s="83" t="e">
        <f t="shared" si="8"/>
        <v>#DIV/0!</v>
      </c>
      <c r="T235" s="84"/>
      <c r="U235" s="84"/>
      <c r="V235" s="84"/>
      <c r="W235" s="84"/>
      <c r="X235" s="85"/>
      <c r="Y235" s="68"/>
      <c r="Z235" s="68"/>
    </row>
    <row r="236" spans="1:26" ht="12.75" hidden="1" outlineLevel="1" x14ac:dyDescent="0.2">
      <c r="A236" s="68"/>
      <c r="B236" s="69" t="s">
        <v>37</v>
      </c>
      <c r="C236" s="70" t="s">
        <v>119</v>
      </c>
      <c r="D236" s="288"/>
      <c r="E236" s="283"/>
      <c r="F236" s="283"/>
      <c r="G236" s="74" t="e">
        <f t="shared" si="0"/>
        <v>#DIV/0!</v>
      </c>
      <c r="H236" s="75" t="e">
        <f t="shared" si="1"/>
        <v>#DIV/0!</v>
      </c>
      <c r="I236" s="76" t="e">
        <f t="shared" si="2"/>
        <v>#DIV/0!</v>
      </c>
      <c r="J236" s="93">
        <v>40</v>
      </c>
      <c r="K236" s="199">
        <v>13431</v>
      </c>
      <c r="L236" s="283"/>
      <c r="M236" s="94">
        <v>0</v>
      </c>
      <c r="N236" s="79" t="e">
        <f t="shared" si="133"/>
        <v>#DIV/0!</v>
      </c>
      <c r="O236" s="80">
        <f t="shared" si="4"/>
        <v>0</v>
      </c>
      <c r="P236" s="79" t="e">
        <f t="shared" si="5"/>
        <v>#DIV/0!</v>
      </c>
      <c r="Q236" s="81" t="e">
        <f t="shared" si="6"/>
        <v>#DIV/0!</v>
      </c>
      <c r="R236" s="95">
        <f t="shared" si="132"/>
        <v>0</v>
      </c>
      <c r="S236" s="83" t="e">
        <f t="shared" si="8"/>
        <v>#DIV/0!</v>
      </c>
      <c r="T236" s="84"/>
      <c r="U236" s="84"/>
      <c r="V236" s="84"/>
      <c r="W236" s="84"/>
      <c r="X236" s="85"/>
      <c r="Y236" s="68"/>
      <c r="Z236" s="68"/>
    </row>
    <row r="237" spans="1:26" ht="12.75" hidden="1" outlineLevel="1" x14ac:dyDescent="0.2">
      <c r="A237" s="68"/>
      <c r="B237" s="86"/>
      <c r="C237" s="70" t="s">
        <v>120</v>
      </c>
      <c r="D237" s="289"/>
      <c r="E237" s="283"/>
      <c r="F237" s="283"/>
      <c r="G237" s="74" t="e">
        <f t="shared" si="0"/>
        <v>#DIV/0!</v>
      </c>
      <c r="H237" s="75" t="e">
        <f t="shared" si="1"/>
        <v>#DIV/0!</v>
      </c>
      <c r="I237" s="76" t="e">
        <f t="shared" si="2"/>
        <v>#DIV/0!</v>
      </c>
      <c r="J237" s="96">
        <v>31.2</v>
      </c>
      <c r="K237" s="199">
        <v>7513</v>
      </c>
      <c r="L237" s="283"/>
      <c r="M237" s="97">
        <v>0</v>
      </c>
      <c r="N237" s="79" t="e">
        <f t="shared" si="133"/>
        <v>#DIV/0!</v>
      </c>
      <c r="O237" s="80">
        <f t="shared" si="4"/>
        <v>0</v>
      </c>
      <c r="P237" s="79" t="e">
        <f t="shared" si="5"/>
        <v>#DIV/0!</v>
      </c>
      <c r="Q237" s="81" t="e">
        <f t="shared" si="6"/>
        <v>#DIV/0!</v>
      </c>
      <c r="R237" s="98">
        <f t="shared" si="132"/>
        <v>0</v>
      </c>
      <c r="S237" s="83" t="e">
        <f t="shared" si="8"/>
        <v>#DIV/0!</v>
      </c>
      <c r="T237" s="84"/>
      <c r="U237" s="84"/>
      <c r="V237" s="84"/>
      <c r="W237" s="84"/>
      <c r="X237" s="85"/>
      <c r="Y237" s="68"/>
      <c r="Z237" s="68"/>
    </row>
    <row r="238" spans="1:26" ht="12.75" hidden="1" outlineLevel="1" x14ac:dyDescent="0.2">
      <c r="A238" s="68"/>
      <c r="B238" s="86"/>
      <c r="C238" s="70" t="s">
        <v>121</v>
      </c>
      <c r="D238" s="290"/>
      <c r="E238" s="283"/>
      <c r="F238" s="283"/>
      <c r="G238" s="74" t="e">
        <f t="shared" si="0"/>
        <v>#DIV/0!</v>
      </c>
      <c r="H238" s="75" t="e">
        <f t="shared" si="1"/>
        <v>#DIV/0!</v>
      </c>
      <c r="I238" s="76" t="e">
        <f t="shared" si="2"/>
        <v>#DIV/0!</v>
      </c>
      <c r="J238" s="99">
        <v>38.86</v>
      </c>
      <c r="K238" s="199">
        <v>9256</v>
      </c>
      <c r="L238" s="283"/>
      <c r="M238" s="100">
        <v>87.9</v>
      </c>
      <c r="N238" s="79">
        <f t="shared" si="133"/>
        <v>0.44209328782707619</v>
      </c>
      <c r="O238" s="80">
        <f t="shared" si="4"/>
        <v>2.2619660319094188</v>
      </c>
      <c r="P238" s="79" t="e">
        <f t="shared" si="5"/>
        <v>#DIV/0!</v>
      </c>
      <c r="Q238" s="81" t="e">
        <f t="shared" si="6"/>
        <v>#DIV/0!</v>
      </c>
      <c r="R238" s="101">
        <f t="shared" si="132"/>
        <v>-87.9</v>
      </c>
      <c r="S238" s="83" t="e">
        <f t="shared" si="8"/>
        <v>#DIV/0!</v>
      </c>
      <c r="T238" s="84"/>
      <c r="U238" s="84"/>
      <c r="V238" s="84"/>
      <c r="W238" s="84"/>
      <c r="X238" s="85"/>
      <c r="Y238" s="68"/>
      <c r="Z238" s="68"/>
    </row>
    <row r="239" spans="1:26" ht="12.75" hidden="1" outlineLevel="1" x14ac:dyDescent="0.2">
      <c r="A239" s="118" t="str">
        <f t="shared" ref="A239:A240" si="134">IFERROR(IF(B239&gt;0,MONTH(B239)&amp;"-"&amp;YEAR(B239),B239),)</f>
        <v>7-2025</v>
      </c>
      <c r="B239" s="69">
        <v>45843</v>
      </c>
      <c r="C239" s="70" t="s">
        <v>123</v>
      </c>
      <c r="D239" s="293"/>
      <c r="E239" s="283"/>
      <c r="F239" s="283"/>
      <c r="G239" s="74" t="e">
        <f t="shared" si="0"/>
        <v>#DIV/0!</v>
      </c>
      <c r="H239" s="75" t="e">
        <f t="shared" si="1"/>
        <v>#DIV/0!</v>
      </c>
      <c r="I239" s="76" t="e">
        <f t="shared" si="2"/>
        <v>#DIV/0!</v>
      </c>
      <c r="J239" s="87">
        <v>0</v>
      </c>
      <c r="K239" s="199">
        <v>0</v>
      </c>
      <c r="L239" s="283"/>
      <c r="M239" s="88">
        <v>0</v>
      </c>
      <c r="N239" s="79" t="e">
        <f t="shared" si="133"/>
        <v>#DIV/0!</v>
      </c>
      <c r="O239" s="80" t="e">
        <f t="shared" si="4"/>
        <v>#DIV/0!</v>
      </c>
      <c r="P239" s="79" t="e">
        <f t="shared" si="5"/>
        <v>#DIV/0!</v>
      </c>
      <c r="Q239" s="81" t="e">
        <f t="shared" si="6"/>
        <v>#DIV/0!</v>
      </c>
      <c r="R239" s="82">
        <f t="shared" si="132"/>
        <v>0</v>
      </c>
      <c r="S239" s="83" t="e">
        <f t="shared" si="8"/>
        <v>#DIV/0!</v>
      </c>
      <c r="T239" s="84"/>
      <c r="U239" s="84"/>
      <c r="V239" s="84"/>
      <c r="W239" s="84"/>
      <c r="X239" s="85"/>
      <c r="Y239" s="68"/>
      <c r="Z239" s="68"/>
    </row>
    <row r="240" spans="1:26" ht="12.75" collapsed="1" x14ac:dyDescent="0.2">
      <c r="A240" s="68">
        <f t="shared" si="134"/>
        <v>0</v>
      </c>
      <c r="B240" s="52" t="s">
        <v>85</v>
      </c>
      <c r="C240" s="120"/>
      <c r="D240" s="121">
        <f t="shared" ref="D240:F240" si="135">SUM(D229:D239)</f>
        <v>0</v>
      </c>
      <c r="E240" s="123">
        <f t="shared" si="135"/>
        <v>0</v>
      </c>
      <c r="F240" s="123">
        <f t="shared" si="135"/>
        <v>0</v>
      </c>
      <c r="G240" s="124" t="e">
        <f t="shared" si="0"/>
        <v>#DIV/0!</v>
      </c>
      <c r="H240" s="125" t="e">
        <f t="shared" si="1"/>
        <v>#DIV/0!</v>
      </c>
      <c r="I240" s="126" t="e">
        <f t="shared" si="2"/>
        <v>#DIV/0!</v>
      </c>
      <c r="J240" s="121">
        <f t="shared" ref="J240:M240" si="136">SUM(J229:J239)</f>
        <v>236.16999999999996</v>
      </c>
      <c r="K240" s="294">
        <f t="shared" si="136"/>
        <v>64192</v>
      </c>
      <c r="L240" s="123">
        <f t="shared" si="136"/>
        <v>0</v>
      </c>
      <c r="M240" s="127">
        <f t="shared" si="136"/>
        <v>132.85000000000002</v>
      </c>
      <c r="N240" s="128">
        <f t="shared" si="133"/>
        <v>1.7777192322167852</v>
      </c>
      <c r="O240" s="129">
        <f t="shared" si="4"/>
        <v>0.56251852479146403</v>
      </c>
      <c r="P240" s="128" t="e">
        <f t="shared" si="5"/>
        <v>#DIV/0!</v>
      </c>
      <c r="Q240" s="130" t="e">
        <f t="shared" si="6"/>
        <v>#DIV/0!</v>
      </c>
      <c r="R240" s="131">
        <f>SUM(R229:R239)</f>
        <v>-132.85000000000002</v>
      </c>
      <c r="S240" s="132" t="e">
        <f t="shared" si="8"/>
        <v>#DIV/0!</v>
      </c>
      <c r="T240" s="134">
        <f t="shared" ref="T240:U240" si="137">IFERROR((D240-D48)/D240,)</f>
        <v>0</v>
      </c>
      <c r="U240" s="134">
        <f t="shared" si="137"/>
        <v>0</v>
      </c>
      <c r="V240" s="134" t="s">
        <v>139</v>
      </c>
      <c r="W240" s="134" t="s">
        <v>139</v>
      </c>
      <c r="X240" s="68"/>
      <c r="Y240" s="68"/>
      <c r="Z240" s="68"/>
    </row>
    <row r="241" spans="1:26" ht="12.75" hidden="1" outlineLevel="1" x14ac:dyDescent="0.2">
      <c r="A241" s="68"/>
      <c r="B241" s="69">
        <v>45844</v>
      </c>
      <c r="C241" s="70" t="s">
        <v>112</v>
      </c>
      <c r="D241" s="282"/>
      <c r="E241" s="283"/>
      <c r="F241" s="283"/>
      <c r="G241" s="74" t="e">
        <f t="shared" si="0"/>
        <v>#DIV/0!</v>
      </c>
      <c r="H241" s="75" t="e">
        <f t="shared" si="1"/>
        <v>#DIV/0!</v>
      </c>
      <c r="I241" s="76" t="e">
        <f t="shared" si="2"/>
        <v>#DIV/0!</v>
      </c>
      <c r="J241" s="77">
        <v>70.31</v>
      </c>
      <c r="K241" s="199">
        <v>18559</v>
      </c>
      <c r="L241" s="283"/>
      <c r="M241" s="78">
        <v>2554.81</v>
      </c>
      <c r="N241" s="79">
        <f t="shared" si="133"/>
        <v>2.752063754251784E-2</v>
      </c>
      <c r="O241" s="80">
        <f t="shared" si="4"/>
        <v>36.336367515289432</v>
      </c>
      <c r="P241" s="79" t="e">
        <f t="shared" si="5"/>
        <v>#DIV/0!</v>
      </c>
      <c r="Q241" s="81" t="e">
        <f t="shared" si="6"/>
        <v>#DIV/0!</v>
      </c>
      <c r="R241" s="82">
        <f t="shared" ref="R241:R251" si="138">D241-M241</f>
        <v>-2554.81</v>
      </c>
      <c r="S241" s="83" t="e">
        <f t="shared" si="8"/>
        <v>#DIV/0!</v>
      </c>
      <c r="T241" s="84"/>
      <c r="U241" s="84"/>
      <c r="V241" s="84"/>
      <c r="W241" s="84"/>
      <c r="X241" s="85"/>
      <c r="Y241" s="68"/>
      <c r="Z241" s="68"/>
    </row>
    <row r="242" spans="1:26" ht="12.75" hidden="1" outlineLevel="1" x14ac:dyDescent="0.2">
      <c r="A242" s="68"/>
      <c r="B242" s="86"/>
      <c r="C242" s="70" t="s">
        <v>113</v>
      </c>
      <c r="D242" s="284"/>
      <c r="E242" s="283"/>
      <c r="F242" s="283"/>
      <c r="G242" s="74" t="e">
        <f t="shared" si="0"/>
        <v>#DIV/0!</v>
      </c>
      <c r="H242" s="75" t="e">
        <f t="shared" si="1"/>
        <v>#DIV/0!</v>
      </c>
      <c r="I242" s="76" t="e">
        <f t="shared" si="2"/>
        <v>#DIV/0!</v>
      </c>
      <c r="J242" s="87">
        <v>1.65</v>
      </c>
      <c r="K242" s="199">
        <v>1311</v>
      </c>
      <c r="L242" s="283"/>
      <c r="M242" s="88">
        <v>0</v>
      </c>
      <c r="N242" s="79" t="e">
        <f t="shared" si="133"/>
        <v>#DIV/0!</v>
      </c>
      <c r="O242" s="80">
        <f t="shared" si="4"/>
        <v>0</v>
      </c>
      <c r="P242" s="79" t="e">
        <f t="shared" si="5"/>
        <v>#DIV/0!</v>
      </c>
      <c r="Q242" s="81" t="e">
        <f t="shared" si="6"/>
        <v>#DIV/0!</v>
      </c>
      <c r="R242" s="89">
        <f t="shared" si="138"/>
        <v>0</v>
      </c>
      <c r="S242" s="83" t="e">
        <f t="shared" si="8"/>
        <v>#DIV/0!</v>
      </c>
      <c r="T242" s="84"/>
      <c r="U242" s="84"/>
      <c r="V242" s="84"/>
      <c r="W242" s="84"/>
      <c r="X242" s="85"/>
      <c r="Y242" s="68"/>
      <c r="Z242" s="68"/>
    </row>
    <row r="243" spans="1:26" ht="12.75" hidden="1" outlineLevel="1" x14ac:dyDescent="0.2">
      <c r="A243" s="68"/>
      <c r="B243" s="86"/>
      <c r="C243" s="70" t="s">
        <v>114</v>
      </c>
      <c r="D243" s="285"/>
      <c r="E243" s="283"/>
      <c r="F243" s="283"/>
      <c r="G243" s="74" t="e">
        <f t="shared" si="0"/>
        <v>#DIV/0!</v>
      </c>
      <c r="H243" s="75" t="e">
        <f t="shared" si="1"/>
        <v>#DIV/0!</v>
      </c>
      <c r="I243" s="76" t="e">
        <f t="shared" si="2"/>
        <v>#DIV/0!</v>
      </c>
      <c r="J243" s="90">
        <v>22.95</v>
      </c>
      <c r="K243" s="199">
        <v>6777</v>
      </c>
      <c r="L243" s="283"/>
      <c r="M243" s="91">
        <v>0</v>
      </c>
      <c r="N243" s="79" t="e">
        <f>(J243/M243)</f>
        <v>#DIV/0!</v>
      </c>
      <c r="O243" s="80">
        <f t="shared" si="4"/>
        <v>0</v>
      </c>
      <c r="P243" s="79" t="e">
        <f t="shared" si="5"/>
        <v>#DIV/0!</v>
      </c>
      <c r="Q243" s="81" t="e">
        <f t="shared" si="6"/>
        <v>#DIV/0!</v>
      </c>
      <c r="R243" s="92">
        <f t="shared" si="138"/>
        <v>0</v>
      </c>
      <c r="S243" s="83" t="e">
        <f t="shared" si="8"/>
        <v>#DIV/0!</v>
      </c>
      <c r="T243" s="84"/>
      <c r="U243" s="84"/>
      <c r="V243" s="84"/>
      <c r="W243" s="84"/>
      <c r="X243" s="85"/>
      <c r="Y243" s="68"/>
      <c r="Z243" s="68"/>
    </row>
    <row r="244" spans="1:26" ht="12.75" hidden="1" outlineLevel="1" x14ac:dyDescent="0.2">
      <c r="A244" s="68"/>
      <c r="B244" s="86"/>
      <c r="C244" s="70" t="s">
        <v>115</v>
      </c>
      <c r="D244" s="285"/>
      <c r="E244" s="283"/>
      <c r="F244" s="283"/>
      <c r="G244" s="74" t="e">
        <f t="shared" si="0"/>
        <v>#DIV/0!</v>
      </c>
      <c r="H244" s="75" t="e">
        <f t="shared" si="1"/>
        <v>#DIV/0!</v>
      </c>
      <c r="I244" s="76" t="e">
        <f t="shared" si="2"/>
        <v>#DIV/0!</v>
      </c>
      <c r="J244" s="90">
        <v>18.149999999999999</v>
      </c>
      <c r="K244" s="199">
        <v>2690</v>
      </c>
      <c r="L244" s="283"/>
      <c r="M244" s="91">
        <v>0</v>
      </c>
      <c r="N244" s="79" t="e">
        <f t="shared" ref="N244:N254" si="139">J244/M244</f>
        <v>#DIV/0!</v>
      </c>
      <c r="O244" s="80">
        <f t="shared" si="4"/>
        <v>0</v>
      </c>
      <c r="P244" s="79" t="e">
        <f t="shared" si="5"/>
        <v>#DIV/0!</v>
      </c>
      <c r="Q244" s="81" t="e">
        <f t="shared" si="6"/>
        <v>#DIV/0!</v>
      </c>
      <c r="R244" s="92">
        <f t="shared" si="138"/>
        <v>0</v>
      </c>
      <c r="S244" s="83" t="e">
        <f t="shared" si="8"/>
        <v>#DIV/0!</v>
      </c>
      <c r="T244" s="84"/>
      <c r="U244" s="84"/>
      <c r="V244" s="84"/>
      <c r="W244" s="84"/>
      <c r="X244" s="85"/>
      <c r="Y244" s="68"/>
      <c r="Z244" s="68"/>
    </row>
    <row r="245" spans="1:26" ht="12.75" hidden="1" outlineLevel="1" x14ac:dyDescent="0.2">
      <c r="A245" s="68"/>
      <c r="B245" s="86"/>
      <c r="C245" s="70" t="s">
        <v>116</v>
      </c>
      <c r="D245" s="286"/>
      <c r="E245" s="283"/>
      <c r="F245" s="283"/>
      <c r="G245" s="74" t="e">
        <f t="shared" si="0"/>
        <v>#DIV/0!</v>
      </c>
      <c r="H245" s="75" t="e">
        <f t="shared" si="1"/>
        <v>#DIV/0!</v>
      </c>
      <c r="I245" s="76" t="e">
        <f t="shared" si="2"/>
        <v>#DIV/0!</v>
      </c>
      <c r="J245" s="200">
        <v>0.13</v>
      </c>
      <c r="K245" s="199">
        <v>104</v>
      </c>
      <c r="L245" s="283"/>
      <c r="M245" s="200">
        <v>0</v>
      </c>
      <c r="N245" s="79" t="e">
        <f t="shared" si="139"/>
        <v>#DIV/0!</v>
      </c>
      <c r="O245" s="80">
        <f t="shared" si="4"/>
        <v>0</v>
      </c>
      <c r="P245" s="79" t="e">
        <f t="shared" si="5"/>
        <v>#DIV/0!</v>
      </c>
      <c r="Q245" s="81" t="e">
        <f t="shared" si="6"/>
        <v>#DIV/0!</v>
      </c>
      <c r="R245" s="92">
        <f t="shared" si="138"/>
        <v>0</v>
      </c>
      <c r="S245" s="83" t="e">
        <f t="shared" si="8"/>
        <v>#DIV/0!</v>
      </c>
      <c r="T245" s="84"/>
      <c r="U245" s="84"/>
      <c r="V245" s="84"/>
      <c r="W245" s="84"/>
      <c r="X245" s="85"/>
      <c r="Y245" s="68"/>
      <c r="Z245" s="68"/>
    </row>
    <row r="246" spans="1:26" ht="12.75" hidden="1" outlineLevel="1" x14ac:dyDescent="0.2">
      <c r="A246" s="68"/>
      <c r="B246" s="86"/>
      <c r="C246" s="70" t="s">
        <v>117</v>
      </c>
      <c r="D246" s="287"/>
      <c r="E246" s="283"/>
      <c r="F246" s="283"/>
      <c r="G246" s="74" t="e">
        <f t="shared" si="0"/>
        <v>#DIV/0!</v>
      </c>
      <c r="H246" s="75" t="e">
        <f t="shared" si="1"/>
        <v>#DIV/0!</v>
      </c>
      <c r="I246" s="76" t="e">
        <f t="shared" si="2"/>
        <v>#DIV/0!</v>
      </c>
      <c r="J246" s="201">
        <v>9.81</v>
      </c>
      <c r="K246" s="199">
        <v>3784</v>
      </c>
      <c r="L246" s="283"/>
      <c r="M246" s="202">
        <v>0</v>
      </c>
      <c r="N246" s="79" t="e">
        <f t="shared" si="139"/>
        <v>#DIV/0!</v>
      </c>
      <c r="O246" s="80">
        <f t="shared" si="4"/>
        <v>0</v>
      </c>
      <c r="P246" s="79" t="e">
        <f t="shared" si="5"/>
        <v>#DIV/0!</v>
      </c>
      <c r="Q246" s="81" t="e">
        <f t="shared" si="6"/>
        <v>#DIV/0!</v>
      </c>
      <c r="R246" s="203">
        <f t="shared" si="138"/>
        <v>0</v>
      </c>
      <c r="S246" s="83" t="e">
        <f t="shared" si="8"/>
        <v>#DIV/0!</v>
      </c>
      <c r="T246" s="84"/>
      <c r="U246" s="84"/>
      <c r="V246" s="84"/>
      <c r="W246" s="84"/>
      <c r="X246" s="85"/>
      <c r="Y246" s="68"/>
      <c r="Z246" s="68"/>
    </row>
    <row r="247" spans="1:26" ht="12.75" hidden="1" outlineLevel="1" x14ac:dyDescent="0.2">
      <c r="A247" s="68"/>
      <c r="B247" s="86"/>
      <c r="C247" s="70" t="s">
        <v>118</v>
      </c>
      <c r="D247" s="285"/>
      <c r="E247" s="283"/>
      <c r="F247" s="283"/>
      <c r="G247" s="74" t="e">
        <f t="shared" si="0"/>
        <v>#DIV/0!</v>
      </c>
      <c r="H247" s="75" t="e">
        <f t="shared" si="1"/>
        <v>#DIV/0!</v>
      </c>
      <c r="I247" s="76" t="e">
        <f t="shared" si="2"/>
        <v>#DIV/0!</v>
      </c>
      <c r="J247" s="90">
        <v>4.29</v>
      </c>
      <c r="K247" s="199">
        <v>1029</v>
      </c>
      <c r="L247" s="283"/>
      <c r="M247" s="91">
        <v>179.9</v>
      </c>
      <c r="N247" s="79">
        <f t="shared" si="139"/>
        <v>2.3846581434130071E-2</v>
      </c>
      <c r="O247" s="80">
        <f t="shared" si="4"/>
        <v>41.934731934731936</v>
      </c>
      <c r="P247" s="79" t="e">
        <f t="shared" si="5"/>
        <v>#DIV/0!</v>
      </c>
      <c r="Q247" s="81" t="e">
        <f t="shared" si="6"/>
        <v>#DIV/0!</v>
      </c>
      <c r="R247" s="92">
        <f t="shared" si="138"/>
        <v>-179.9</v>
      </c>
      <c r="S247" s="83" t="e">
        <f t="shared" si="8"/>
        <v>#DIV/0!</v>
      </c>
      <c r="T247" s="84"/>
      <c r="U247" s="84"/>
      <c r="V247" s="84"/>
      <c r="W247" s="84"/>
      <c r="X247" s="85"/>
      <c r="Y247" s="68"/>
      <c r="Z247" s="68"/>
    </row>
    <row r="248" spans="1:26" ht="12.75" hidden="1" outlineLevel="1" x14ac:dyDescent="0.2">
      <c r="A248" s="68"/>
      <c r="B248" s="69" t="s">
        <v>37</v>
      </c>
      <c r="C248" s="70" t="s">
        <v>119</v>
      </c>
      <c r="D248" s="288"/>
      <c r="E248" s="283"/>
      <c r="F248" s="283"/>
      <c r="G248" s="74" t="e">
        <f t="shared" si="0"/>
        <v>#DIV/0!</v>
      </c>
      <c r="H248" s="75" t="e">
        <f t="shared" si="1"/>
        <v>#DIV/0!</v>
      </c>
      <c r="I248" s="76" t="e">
        <f t="shared" si="2"/>
        <v>#DIV/0!</v>
      </c>
      <c r="J248" s="93">
        <v>6.5</v>
      </c>
      <c r="K248" s="199">
        <v>1575</v>
      </c>
      <c r="L248" s="283"/>
      <c r="M248" s="94">
        <v>259.95</v>
      </c>
      <c r="N248" s="79">
        <f t="shared" si="139"/>
        <v>2.5004808617041741E-2</v>
      </c>
      <c r="O248" s="80">
        <f t="shared" si="4"/>
        <v>39.992307692307691</v>
      </c>
      <c r="P248" s="79" t="e">
        <f t="shared" si="5"/>
        <v>#DIV/0!</v>
      </c>
      <c r="Q248" s="81" t="e">
        <f t="shared" si="6"/>
        <v>#DIV/0!</v>
      </c>
      <c r="R248" s="95">
        <f t="shared" si="138"/>
        <v>-259.95</v>
      </c>
      <c r="S248" s="83" t="e">
        <f t="shared" si="8"/>
        <v>#DIV/0!</v>
      </c>
      <c r="T248" s="84"/>
      <c r="U248" s="84"/>
      <c r="V248" s="84"/>
      <c r="W248" s="84"/>
      <c r="X248" s="85"/>
      <c r="Y248" s="68"/>
      <c r="Z248" s="68"/>
    </row>
    <row r="249" spans="1:26" ht="12.75" hidden="1" outlineLevel="1" x14ac:dyDescent="0.2">
      <c r="A249" s="68"/>
      <c r="B249" s="86"/>
      <c r="C249" s="70" t="s">
        <v>120</v>
      </c>
      <c r="D249" s="289"/>
      <c r="E249" s="283"/>
      <c r="F249" s="283"/>
      <c r="G249" s="74" t="e">
        <f t="shared" si="0"/>
        <v>#DIV/0!</v>
      </c>
      <c r="H249" s="75" t="e">
        <f t="shared" si="1"/>
        <v>#DIV/0!</v>
      </c>
      <c r="I249" s="76" t="e">
        <f t="shared" si="2"/>
        <v>#DIV/0!</v>
      </c>
      <c r="J249" s="96">
        <v>0.63</v>
      </c>
      <c r="K249" s="199">
        <v>1097</v>
      </c>
      <c r="L249" s="283"/>
      <c r="M249" s="97">
        <v>0</v>
      </c>
      <c r="N249" s="79" t="e">
        <f t="shared" si="139"/>
        <v>#DIV/0!</v>
      </c>
      <c r="O249" s="80">
        <f t="shared" si="4"/>
        <v>0</v>
      </c>
      <c r="P249" s="79" t="e">
        <f t="shared" si="5"/>
        <v>#DIV/0!</v>
      </c>
      <c r="Q249" s="81" t="e">
        <f t="shared" si="6"/>
        <v>#DIV/0!</v>
      </c>
      <c r="R249" s="98">
        <f t="shared" si="138"/>
        <v>0</v>
      </c>
      <c r="S249" s="83" t="e">
        <f t="shared" si="8"/>
        <v>#DIV/0!</v>
      </c>
      <c r="T249" s="84"/>
      <c r="U249" s="84"/>
      <c r="V249" s="84"/>
      <c r="W249" s="84"/>
      <c r="X249" s="85"/>
      <c r="Y249" s="68"/>
      <c r="Z249" s="68"/>
    </row>
    <row r="250" spans="1:26" ht="12.75" hidden="1" outlineLevel="1" x14ac:dyDescent="0.2">
      <c r="A250" s="68"/>
      <c r="B250" s="86"/>
      <c r="C250" s="70" t="s">
        <v>121</v>
      </c>
      <c r="D250" s="290"/>
      <c r="E250" s="283"/>
      <c r="F250" s="283"/>
      <c r="G250" s="74" t="e">
        <f t="shared" si="0"/>
        <v>#DIV/0!</v>
      </c>
      <c r="H250" s="75" t="e">
        <f t="shared" si="1"/>
        <v>#DIV/0!</v>
      </c>
      <c r="I250" s="76" t="e">
        <f t="shared" si="2"/>
        <v>#DIV/0!</v>
      </c>
      <c r="J250" s="99">
        <v>43.49</v>
      </c>
      <c r="K250" s="199">
        <v>10220</v>
      </c>
      <c r="L250" s="283"/>
      <c r="M250" s="100">
        <v>304.77999999999997</v>
      </c>
      <c r="N250" s="79">
        <f t="shared" si="139"/>
        <v>0.14269309009777548</v>
      </c>
      <c r="O250" s="80">
        <f t="shared" si="4"/>
        <v>7.0080478270866857</v>
      </c>
      <c r="P250" s="79" t="e">
        <f t="shared" si="5"/>
        <v>#DIV/0!</v>
      </c>
      <c r="Q250" s="81" t="e">
        <f t="shared" si="6"/>
        <v>#DIV/0!</v>
      </c>
      <c r="R250" s="101">
        <f t="shared" si="138"/>
        <v>-304.77999999999997</v>
      </c>
      <c r="S250" s="83" t="e">
        <f t="shared" si="8"/>
        <v>#DIV/0!</v>
      </c>
      <c r="T250" s="84"/>
      <c r="U250" s="84"/>
      <c r="V250" s="84"/>
      <c r="W250" s="84"/>
      <c r="X250" s="85"/>
      <c r="Y250" s="68"/>
      <c r="Z250" s="68"/>
    </row>
    <row r="251" spans="1:26" ht="12.75" hidden="1" outlineLevel="1" x14ac:dyDescent="0.2">
      <c r="A251" s="118" t="str">
        <f t="shared" ref="A251:A252" si="140">IFERROR(IF(B251&gt;0,MONTH(B251)&amp;"-"&amp;YEAR(B251),B251),)</f>
        <v>7-2025</v>
      </c>
      <c r="B251" s="69">
        <v>45850</v>
      </c>
      <c r="C251" s="70" t="s">
        <v>123</v>
      </c>
      <c r="D251" s="293"/>
      <c r="E251" s="283"/>
      <c r="F251" s="283"/>
      <c r="G251" s="74" t="e">
        <f t="shared" si="0"/>
        <v>#DIV/0!</v>
      </c>
      <c r="H251" s="75" t="e">
        <f t="shared" si="1"/>
        <v>#DIV/0!</v>
      </c>
      <c r="I251" s="76" t="e">
        <f t="shared" si="2"/>
        <v>#DIV/0!</v>
      </c>
      <c r="J251" s="87">
        <v>0</v>
      </c>
      <c r="K251" s="199">
        <v>0</v>
      </c>
      <c r="L251" s="283"/>
      <c r="M251" s="88">
        <v>0</v>
      </c>
      <c r="N251" s="79" t="e">
        <f t="shared" si="139"/>
        <v>#DIV/0!</v>
      </c>
      <c r="O251" s="80" t="e">
        <f t="shared" si="4"/>
        <v>#DIV/0!</v>
      </c>
      <c r="P251" s="79" t="e">
        <f t="shared" si="5"/>
        <v>#DIV/0!</v>
      </c>
      <c r="Q251" s="81" t="e">
        <f t="shared" si="6"/>
        <v>#DIV/0!</v>
      </c>
      <c r="R251" s="82">
        <f t="shared" si="138"/>
        <v>0</v>
      </c>
      <c r="S251" s="83" t="e">
        <f t="shared" si="8"/>
        <v>#DIV/0!</v>
      </c>
      <c r="T251" s="84"/>
      <c r="U251" s="84"/>
      <c r="V251" s="84"/>
      <c r="W251" s="84"/>
      <c r="X251" s="85"/>
      <c r="Y251" s="68"/>
      <c r="Z251" s="68"/>
    </row>
    <row r="252" spans="1:26" ht="12.75" collapsed="1" x14ac:dyDescent="0.2">
      <c r="A252" s="68">
        <f t="shared" si="140"/>
        <v>0</v>
      </c>
      <c r="B252" s="52" t="s">
        <v>86</v>
      </c>
      <c r="C252" s="120"/>
      <c r="D252" s="121">
        <f t="shared" ref="D252:F252" si="141">SUM(D241:D251)</f>
        <v>0</v>
      </c>
      <c r="E252" s="123">
        <f t="shared" si="141"/>
        <v>0</v>
      </c>
      <c r="F252" s="123">
        <f t="shared" si="141"/>
        <v>0</v>
      </c>
      <c r="G252" s="124" t="e">
        <f t="shared" si="0"/>
        <v>#DIV/0!</v>
      </c>
      <c r="H252" s="125" t="e">
        <f t="shared" si="1"/>
        <v>#DIV/0!</v>
      </c>
      <c r="I252" s="126" t="e">
        <f t="shared" si="2"/>
        <v>#DIV/0!</v>
      </c>
      <c r="J252" s="121">
        <f t="shared" ref="J252:M252" si="142">SUM(J241:J251)</f>
        <v>177.91000000000003</v>
      </c>
      <c r="K252" s="294">
        <f t="shared" si="142"/>
        <v>47146</v>
      </c>
      <c r="L252" s="123">
        <f t="shared" si="142"/>
        <v>0</v>
      </c>
      <c r="M252" s="127">
        <f t="shared" si="142"/>
        <v>3299.4399999999996</v>
      </c>
      <c r="N252" s="128">
        <f t="shared" si="139"/>
        <v>5.3921271488495029E-2</v>
      </c>
      <c r="O252" s="129">
        <f t="shared" si="4"/>
        <v>18.545556742173005</v>
      </c>
      <c r="P252" s="128" t="e">
        <f t="shared" si="5"/>
        <v>#DIV/0!</v>
      </c>
      <c r="Q252" s="130" t="e">
        <f t="shared" si="6"/>
        <v>#DIV/0!</v>
      </c>
      <c r="R252" s="131">
        <f>SUM(R241:R251)</f>
        <v>-3299.4399999999996</v>
      </c>
      <c r="S252" s="132" t="e">
        <f t="shared" si="8"/>
        <v>#DIV/0!</v>
      </c>
      <c r="T252" s="134">
        <f t="shared" ref="T252:U252" si="143">IFERROR((D252-D48)/D252,)</f>
        <v>0</v>
      </c>
      <c r="U252" s="134">
        <f t="shared" si="143"/>
        <v>0</v>
      </c>
      <c r="V252" s="134" t="s">
        <v>139</v>
      </c>
      <c r="W252" s="134" t="s">
        <v>139</v>
      </c>
      <c r="X252" s="68"/>
      <c r="Y252" s="68"/>
      <c r="Z252" s="68"/>
    </row>
    <row r="253" spans="1:26" ht="12.75" hidden="1" outlineLevel="1" x14ac:dyDescent="0.2">
      <c r="A253" s="68"/>
      <c r="B253" s="69">
        <v>45851</v>
      </c>
      <c r="C253" s="70" t="s">
        <v>112</v>
      </c>
      <c r="D253" s="282"/>
      <c r="E253" s="283"/>
      <c r="F253" s="283"/>
      <c r="G253" s="74" t="e">
        <f t="shared" si="0"/>
        <v>#DIV/0!</v>
      </c>
      <c r="H253" s="75" t="e">
        <f t="shared" si="1"/>
        <v>#DIV/0!</v>
      </c>
      <c r="I253" s="76" t="e">
        <f t="shared" si="2"/>
        <v>#DIV/0!</v>
      </c>
      <c r="J253" s="77">
        <v>153.16999999999999</v>
      </c>
      <c r="K253" s="199">
        <v>31089</v>
      </c>
      <c r="L253" s="283"/>
      <c r="M253" s="78">
        <v>671.95</v>
      </c>
      <c r="N253" s="79">
        <f t="shared" si="139"/>
        <v>0.22794850807351735</v>
      </c>
      <c r="O253" s="80">
        <f t="shared" si="4"/>
        <v>4.3869556701703996</v>
      </c>
      <c r="P253" s="79" t="e">
        <f t="shared" si="5"/>
        <v>#DIV/0!</v>
      </c>
      <c r="Q253" s="81" t="e">
        <f t="shared" si="6"/>
        <v>#DIV/0!</v>
      </c>
      <c r="R253" s="82">
        <f t="shared" ref="R253:R263" si="144">D253-M253</f>
        <v>-671.95</v>
      </c>
      <c r="S253" s="83" t="e">
        <f t="shared" si="8"/>
        <v>#DIV/0!</v>
      </c>
      <c r="T253" s="84"/>
      <c r="U253" s="84"/>
      <c r="V253" s="84"/>
      <c r="W253" s="84"/>
      <c r="X253" s="85"/>
      <c r="Y253" s="68"/>
      <c r="Z253" s="68"/>
    </row>
    <row r="254" spans="1:26" ht="12.75" hidden="1" outlineLevel="1" x14ac:dyDescent="0.2">
      <c r="A254" s="68"/>
      <c r="B254" s="86"/>
      <c r="C254" s="70" t="s">
        <v>113</v>
      </c>
      <c r="D254" s="284"/>
      <c r="E254" s="283"/>
      <c r="F254" s="283"/>
      <c r="G254" s="74" t="e">
        <f t="shared" si="0"/>
        <v>#DIV/0!</v>
      </c>
      <c r="H254" s="75" t="e">
        <f t="shared" si="1"/>
        <v>#DIV/0!</v>
      </c>
      <c r="I254" s="76" t="e">
        <f t="shared" si="2"/>
        <v>#DIV/0!</v>
      </c>
      <c r="J254" s="87">
        <v>3.66</v>
      </c>
      <c r="K254" s="199">
        <v>1707</v>
      </c>
      <c r="L254" s="283"/>
      <c r="M254" s="88">
        <v>0</v>
      </c>
      <c r="N254" s="79" t="e">
        <f t="shared" si="139"/>
        <v>#DIV/0!</v>
      </c>
      <c r="O254" s="80">
        <f t="shared" si="4"/>
        <v>0</v>
      </c>
      <c r="P254" s="79" t="e">
        <f t="shared" si="5"/>
        <v>#DIV/0!</v>
      </c>
      <c r="Q254" s="81" t="e">
        <f t="shared" si="6"/>
        <v>#DIV/0!</v>
      </c>
      <c r="R254" s="89">
        <f t="shared" si="144"/>
        <v>0</v>
      </c>
      <c r="S254" s="83" t="e">
        <f t="shared" si="8"/>
        <v>#DIV/0!</v>
      </c>
      <c r="T254" s="84"/>
      <c r="U254" s="84"/>
      <c r="V254" s="84"/>
      <c r="W254" s="84"/>
      <c r="X254" s="85"/>
      <c r="Y254" s="68"/>
      <c r="Z254" s="68"/>
    </row>
    <row r="255" spans="1:26" ht="12.75" hidden="1" outlineLevel="1" x14ac:dyDescent="0.2">
      <c r="A255" s="68"/>
      <c r="B255" s="86"/>
      <c r="C255" s="70" t="s">
        <v>114</v>
      </c>
      <c r="D255" s="285"/>
      <c r="E255" s="283"/>
      <c r="F255" s="283"/>
      <c r="G255" s="74" t="e">
        <f t="shared" si="0"/>
        <v>#DIV/0!</v>
      </c>
      <c r="H255" s="75" t="e">
        <f t="shared" si="1"/>
        <v>#DIV/0!</v>
      </c>
      <c r="I255" s="76" t="e">
        <f t="shared" si="2"/>
        <v>#DIV/0!</v>
      </c>
      <c r="J255" s="90">
        <v>10.95</v>
      </c>
      <c r="K255" s="199">
        <v>4038</v>
      </c>
      <c r="L255" s="283"/>
      <c r="M255" s="91">
        <v>0</v>
      </c>
      <c r="N255" s="79" t="e">
        <f>(J255/M255)</f>
        <v>#DIV/0!</v>
      </c>
      <c r="O255" s="80">
        <f t="shared" si="4"/>
        <v>0</v>
      </c>
      <c r="P255" s="79" t="e">
        <f t="shared" si="5"/>
        <v>#DIV/0!</v>
      </c>
      <c r="Q255" s="81" t="e">
        <f t="shared" si="6"/>
        <v>#DIV/0!</v>
      </c>
      <c r="R255" s="92">
        <f t="shared" si="144"/>
        <v>0</v>
      </c>
      <c r="S255" s="83" t="e">
        <f t="shared" si="8"/>
        <v>#DIV/0!</v>
      </c>
      <c r="T255" s="84"/>
      <c r="U255" s="84"/>
      <c r="V255" s="84"/>
      <c r="W255" s="84"/>
      <c r="X255" s="85"/>
      <c r="Y255" s="68"/>
      <c r="Z255" s="68"/>
    </row>
    <row r="256" spans="1:26" ht="12.75" hidden="1" outlineLevel="1" x14ac:dyDescent="0.2">
      <c r="A256" s="68"/>
      <c r="B256" s="86"/>
      <c r="C256" s="70" t="s">
        <v>115</v>
      </c>
      <c r="D256" s="285"/>
      <c r="E256" s="283"/>
      <c r="F256" s="283"/>
      <c r="G256" s="74" t="e">
        <f t="shared" si="0"/>
        <v>#DIV/0!</v>
      </c>
      <c r="H256" s="75" t="e">
        <f t="shared" si="1"/>
        <v>#DIV/0!</v>
      </c>
      <c r="I256" s="76" t="e">
        <f t="shared" si="2"/>
        <v>#DIV/0!</v>
      </c>
      <c r="J256" s="90">
        <v>69.77</v>
      </c>
      <c r="K256" s="199">
        <v>13761</v>
      </c>
      <c r="L256" s="283"/>
      <c r="M256" s="91">
        <v>59.95</v>
      </c>
      <c r="N256" s="79">
        <f t="shared" ref="N256:N266" si="145">J256/M256</f>
        <v>1.1638031693077564</v>
      </c>
      <c r="O256" s="80">
        <f t="shared" si="4"/>
        <v>0.85925182743299422</v>
      </c>
      <c r="P256" s="79" t="e">
        <f t="shared" si="5"/>
        <v>#DIV/0!</v>
      </c>
      <c r="Q256" s="81" t="e">
        <f t="shared" si="6"/>
        <v>#DIV/0!</v>
      </c>
      <c r="R256" s="92">
        <f t="shared" si="144"/>
        <v>-59.95</v>
      </c>
      <c r="S256" s="83" t="e">
        <f t="shared" si="8"/>
        <v>#DIV/0!</v>
      </c>
      <c r="T256" s="84"/>
      <c r="U256" s="84"/>
      <c r="V256" s="84"/>
      <c r="W256" s="84"/>
      <c r="X256" s="85"/>
      <c r="Y256" s="68"/>
      <c r="Z256" s="68"/>
    </row>
    <row r="257" spans="1:26" ht="12.75" hidden="1" outlineLevel="1" x14ac:dyDescent="0.2">
      <c r="A257" s="68"/>
      <c r="B257" s="86"/>
      <c r="C257" s="70" t="s">
        <v>116</v>
      </c>
      <c r="D257" s="286"/>
      <c r="E257" s="283"/>
      <c r="F257" s="283"/>
      <c r="G257" s="74" t="e">
        <f t="shared" si="0"/>
        <v>#DIV/0!</v>
      </c>
      <c r="H257" s="75" t="e">
        <f t="shared" si="1"/>
        <v>#DIV/0!</v>
      </c>
      <c r="I257" s="76" t="e">
        <f t="shared" si="2"/>
        <v>#DIV/0!</v>
      </c>
      <c r="J257" s="200">
        <v>0</v>
      </c>
      <c r="K257" s="199">
        <v>0</v>
      </c>
      <c r="L257" s="283"/>
      <c r="M257" s="200">
        <v>0</v>
      </c>
      <c r="N257" s="79" t="e">
        <f t="shared" si="145"/>
        <v>#DIV/0!</v>
      </c>
      <c r="O257" s="80" t="e">
        <f t="shared" si="4"/>
        <v>#DIV/0!</v>
      </c>
      <c r="P257" s="79" t="e">
        <f t="shared" si="5"/>
        <v>#DIV/0!</v>
      </c>
      <c r="Q257" s="81" t="e">
        <f t="shared" si="6"/>
        <v>#DIV/0!</v>
      </c>
      <c r="R257" s="92">
        <f t="shared" si="144"/>
        <v>0</v>
      </c>
      <c r="S257" s="83" t="e">
        <f t="shared" si="8"/>
        <v>#DIV/0!</v>
      </c>
      <c r="T257" s="84"/>
      <c r="U257" s="84"/>
      <c r="V257" s="84"/>
      <c r="W257" s="84"/>
      <c r="X257" s="85"/>
      <c r="Y257" s="68"/>
      <c r="Z257" s="68"/>
    </row>
    <row r="258" spans="1:26" ht="12.75" hidden="1" outlineLevel="1" x14ac:dyDescent="0.2">
      <c r="A258" s="68"/>
      <c r="B258" s="86"/>
      <c r="C258" s="70" t="s">
        <v>117</v>
      </c>
      <c r="D258" s="287"/>
      <c r="E258" s="283"/>
      <c r="F258" s="283"/>
      <c r="G258" s="74" t="e">
        <f t="shared" si="0"/>
        <v>#DIV/0!</v>
      </c>
      <c r="H258" s="75" t="e">
        <f t="shared" si="1"/>
        <v>#DIV/0!</v>
      </c>
      <c r="I258" s="76" t="e">
        <f t="shared" si="2"/>
        <v>#DIV/0!</v>
      </c>
      <c r="J258" s="201">
        <v>8.14</v>
      </c>
      <c r="K258" s="199">
        <v>1395</v>
      </c>
      <c r="L258" s="283"/>
      <c r="M258" s="202">
        <v>44.95</v>
      </c>
      <c r="N258" s="79">
        <f t="shared" si="145"/>
        <v>0.18109010011123472</v>
      </c>
      <c r="O258" s="80">
        <f t="shared" si="4"/>
        <v>5.5221130221130217</v>
      </c>
      <c r="P258" s="79" t="e">
        <f t="shared" si="5"/>
        <v>#DIV/0!</v>
      </c>
      <c r="Q258" s="81" t="e">
        <f t="shared" si="6"/>
        <v>#DIV/0!</v>
      </c>
      <c r="R258" s="203">
        <f t="shared" si="144"/>
        <v>-44.95</v>
      </c>
      <c r="S258" s="83" t="e">
        <f t="shared" si="8"/>
        <v>#DIV/0!</v>
      </c>
      <c r="T258" s="84"/>
      <c r="U258" s="84"/>
      <c r="V258" s="84"/>
      <c r="W258" s="84"/>
      <c r="X258" s="85"/>
      <c r="Y258" s="68"/>
      <c r="Z258" s="68"/>
    </row>
    <row r="259" spans="1:26" ht="12.75" hidden="1" outlineLevel="1" x14ac:dyDescent="0.2">
      <c r="A259" s="68"/>
      <c r="B259" s="86"/>
      <c r="C259" s="70" t="s">
        <v>118</v>
      </c>
      <c r="D259" s="285"/>
      <c r="E259" s="283"/>
      <c r="F259" s="283"/>
      <c r="G259" s="74" t="e">
        <f t="shared" si="0"/>
        <v>#DIV/0!</v>
      </c>
      <c r="H259" s="75" t="e">
        <f t="shared" si="1"/>
        <v>#DIV/0!</v>
      </c>
      <c r="I259" s="76" t="e">
        <f t="shared" si="2"/>
        <v>#DIV/0!</v>
      </c>
      <c r="J259" s="90">
        <v>8.39</v>
      </c>
      <c r="K259" s="199">
        <v>1263</v>
      </c>
      <c r="L259" s="283"/>
      <c r="M259" s="91">
        <v>0</v>
      </c>
      <c r="N259" s="79" t="e">
        <f t="shared" si="145"/>
        <v>#DIV/0!</v>
      </c>
      <c r="O259" s="80">
        <f t="shared" si="4"/>
        <v>0</v>
      </c>
      <c r="P259" s="79" t="e">
        <f t="shared" si="5"/>
        <v>#DIV/0!</v>
      </c>
      <c r="Q259" s="81" t="e">
        <f t="shared" si="6"/>
        <v>#DIV/0!</v>
      </c>
      <c r="R259" s="92">
        <f t="shared" si="144"/>
        <v>0</v>
      </c>
      <c r="S259" s="83" t="e">
        <f t="shared" si="8"/>
        <v>#DIV/0!</v>
      </c>
      <c r="T259" s="84"/>
      <c r="U259" s="84"/>
      <c r="V259" s="84"/>
      <c r="W259" s="84"/>
      <c r="X259" s="85"/>
      <c r="Y259" s="68"/>
      <c r="Z259" s="68"/>
    </row>
    <row r="260" spans="1:26" ht="12.75" hidden="1" outlineLevel="1" x14ac:dyDescent="0.2">
      <c r="A260" s="68"/>
      <c r="B260" s="69" t="s">
        <v>37</v>
      </c>
      <c r="C260" s="70" t="s">
        <v>119</v>
      </c>
      <c r="D260" s="288"/>
      <c r="E260" s="283"/>
      <c r="F260" s="283"/>
      <c r="G260" s="74" t="e">
        <f t="shared" si="0"/>
        <v>#DIV/0!</v>
      </c>
      <c r="H260" s="75" t="e">
        <f t="shared" si="1"/>
        <v>#DIV/0!</v>
      </c>
      <c r="I260" s="76" t="e">
        <f t="shared" si="2"/>
        <v>#DIV/0!</v>
      </c>
      <c r="J260" s="93">
        <v>31.25</v>
      </c>
      <c r="K260" s="199">
        <v>6875</v>
      </c>
      <c r="L260" s="283"/>
      <c r="M260" s="94">
        <v>0</v>
      </c>
      <c r="N260" s="79" t="e">
        <f t="shared" si="145"/>
        <v>#DIV/0!</v>
      </c>
      <c r="O260" s="80">
        <f t="shared" si="4"/>
        <v>0</v>
      </c>
      <c r="P260" s="79" t="e">
        <f t="shared" si="5"/>
        <v>#DIV/0!</v>
      </c>
      <c r="Q260" s="81" t="e">
        <f t="shared" si="6"/>
        <v>#DIV/0!</v>
      </c>
      <c r="R260" s="95">
        <f t="shared" si="144"/>
        <v>0</v>
      </c>
      <c r="S260" s="83" t="e">
        <f t="shared" si="8"/>
        <v>#DIV/0!</v>
      </c>
      <c r="T260" s="84"/>
      <c r="U260" s="84"/>
      <c r="V260" s="84"/>
      <c r="W260" s="84"/>
      <c r="X260" s="85"/>
      <c r="Y260" s="68"/>
      <c r="Z260" s="68"/>
    </row>
    <row r="261" spans="1:26" ht="12.75" hidden="1" outlineLevel="1" x14ac:dyDescent="0.2">
      <c r="A261" s="68"/>
      <c r="B261" s="86"/>
      <c r="C261" s="70" t="s">
        <v>120</v>
      </c>
      <c r="D261" s="289"/>
      <c r="E261" s="283"/>
      <c r="F261" s="283"/>
      <c r="G261" s="74" t="e">
        <f t="shared" si="0"/>
        <v>#DIV/0!</v>
      </c>
      <c r="H261" s="75" t="e">
        <f t="shared" si="1"/>
        <v>#DIV/0!</v>
      </c>
      <c r="I261" s="76" t="e">
        <f t="shared" si="2"/>
        <v>#DIV/0!</v>
      </c>
      <c r="J261" s="96">
        <v>0.46</v>
      </c>
      <c r="K261" s="199">
        <v>451</v>
      </c>
      <c r="L261" s="283"/>
      <c r="M261" s="97">
        <v>0</v>
      </c>
      <c r="N261" s="79" t="e">
        <f t="shared" si="145"/>
        <v>#DIV/0!</v>
      </c>
      <c r="O261" s="80">
        <f t="shared" si="4"/>
        <v>0</v>
      </c>
      <c r="P261" s="79" t="e">
        <f t="shared" si="5"/>
        <v>#DIV/0!</v>
      </c>
      <c r="Q261" s="81" t="e">
        <f t="shared" si="6"/>
        <v>#DIV/0!</v>
      </c>
      <c r="R261" s="98">
        <f t="shared" si="144"/>
        <v>0</v>
      </c>
      <c r="S261" s="83" t="e">
        <f t="shared" si="8"/>
        <v>#DIV/0!</v>
      </c>
      <c r="T261" s="84"/>
      <c r="U261" s="84"/>
      <c r="V261" s="84"/>
      <c r="W261" s="84"/>
      <c r="X261" s="85"/>
      <c r="Y261" s="68"/>
      <c r="Z261" s="68"/>
    </row>
    <row r="262" spans="1:26" ht="12.75" hidden="1" outlineLevel="1" x14ac:dyDescent="0.2">
      <c r="A262" s="68"/>
      <c r="B262" s="86"/>
      <c r="C262" s="70" t="s">
        <v>121</v>
      </c>
      <c r="D262" s="290"/>
      <c r="E262" s="283"/>
      <c r="F262" s="283"/>
      <c r="G262" s="74" t="e">
        <f t="shared" si="0"/>
        <v>#DIV/0!</v>
      </c>
      <c r="H262" s="75" t="e">
        <f t="shared" si="1"/>
        <v>#DIV/0!</v>
      </c>
      <c r="I262" s="76" t="e">
        <f t="shared" si="2"/>
        <v>#DIV/0!</v>
      </c>
      <c r="J262" s="99">
        <v>79.75</v>
      </c>
      <c r="K262" s="199">
        <v>15271</v>
      </c>
      <c r="L262" s="283"/>
      <c r="M262" s="100">
        <v>151.71</v>
      </c>
      <c r="N262" s="79">
        <f t="shared" si="145"/>
        <v>0.52567398325753079</v>
      </c>
      <c r="O262" s="80">
        <f t="shared" si="4"/>
        <v>1.9023197492163011</v>
      </c>
      <c r="P262" s="79" t="e">
        <f t="shared" si="5"/>
        <v>#DIV/0!</v>
      </c>
      <c r="Q262" s="81" t="e">
        <f t="shared" si="6"/>
        <v>#DIV/0!</v>
      </c>
      <c r="R262" s="101">
        <f t="shared" si="144"/>
        <v>-151.71</v>
      </c>
      <c r="S262" s="83" t="e">
        <f t="shared" si="8"/>
        <v>#DIV/0!</v>
      </c>
      <c r="T262" s="84"/>
      <c r="U262" s="84"/>
      <c r="V262" s="84"/>
      <c r="W262" s="84"/>
      <c r="X262" s="85"/>
      <c r="Y262" s="68"/>
      <c r="Z262" s="68"/>
    </row>
    <row r="263" spans="1:26" ht="12.75" hidden="1" outlineLevel="1" x14ac:dyDescent="0.2">
      <c r="A263" s="118" t="str">
        <f t="shared" ref="A263:A264" si="146">IFERROR(IF(B263&gt;0,MONTH(B263)&amp;"-"&amp;YEAR(B263),B263),)</f>
        <v>7-2025</v>
      </c>
      <c r="B263" s="69">
        <v>45857</v>
      </c>
      <c r="C263" s="70" t="s">
        <v>123</v>
      </c>
      <c r="D263" s="293"/>
      <c r="E263" s="283"/>
      <c r="F263" s="283"/>
      <c r="G263" s="74" t="e">
        <f t="shared" si="0"/>
        <v>#DIV/0!</v>
      </c>
      <c r="H263" s="75" t="e">
        <f t="shared" si="1"/>
        <v>#DIV/0!</v>
      </c>
      <c r="I263" s="76" t="e">
        <f t="shared" si="2"/>
        <v>#DIV/0!</v>
      </c>
      <c r="J263" s="87">
        <v>0</v>
      </c>
      <c r="K263" s="199">
        <v>0</v>
      </c>
      <c r="L263" s="283"/>
      <c r="M263" s="88">
        <v>0</v>
      </c>
      <c r="N263" s="79" t="e">
        <f t="shared" si="145"/>
        <v>#DIV/0!</v>
      </c>
      <c r="O263" s="80" t="e">
        <f t="shared" si="4"/>
        <v>#DIV/0!</v>
      </c>
      <c r="P263" s="79" t="e">
        <f t="shared" si="5"/>
        <v>#DIV/0!</v>
      </c>
      <c r="Q263" s="81" t="e">
        <f t="shared" si="6"/>
        <v>#DIV/0!</v>
      </c>
      <c r="R263" s="82">
        <f t="shared" si="144"/>
        <v>0</v>
      </c>
      <c r="S263" s="83" t="e">
        <f t="shared" si="8"/>
        <v>#DIV/0!</v>
      </c>
      <c r="T263" s="84"/>
      <c r="U263" s="84"/>
      <c r="V263" s="84"/>
      <c r="W263" s="84"/>
      <c r="X263" s="85"/>
      <c r="Y263" s="68"/>
      <c r="Z263" s="68"/>
    </row>
    <row r="264" spans="1:26" ht="12.75" collapsed="1" x14ac:dyDescent="0.2">
      <c r="A264" s="68">
        <f t="shared" si="146"/>
        <v>0</v>
      </c>
      <c r="B264" s="52" t="s">
        <v>87</v>
      </c>
      <c r="C264" s="120"/>
      <c r="D264" s="121">
        <f t="shared" ref="D264:F264" si="147">SUM(D253:D263)</f>
        <v>0</v>
      </c>
      <c r="E264" s="123">
        <f t="shared" si="147"/>
        <v>0</v>
      </c>
      <c r="F264" s="123">
        <f t="shared" si="147"/>
        <v>0</v>
      </c>
      <c r="G264" s="124" t="e">
        <f t="shared" si="0"/>
        <v>#DIV/0!</v>
      </c>
      <c r="H264" s="125" t="e">
        <f t="shared" si="1"/>
        <v>#DIV/0!</v>
      </c>
      <c r="I264" s="126" t="e">
        <f t="shared" si="2"/>
        <v>#DIV/0!</v>
      </c>
      <c r="J264" s="121">
        <f t="shared" ref="J264:M264" si="148">SUM(J253:J263)</f>
        <v>365.53999999999991</v>
      </c>
      <c r="K264" s="294">
        <f t="shared" si="148"/>
        <v>75850</v>
      </c>
      <c r="L264" s="123">
        <f t="shared" si="148"/>
        <v>0</v>
      </c>
      <c r="M264" s="127">
        <f t="shared" si="148"/>
        <v>928.56000000000017</v>
      </c>
      <c r="N264" s="128">
        <f t="shared" si="145"/>
        <v>0.39366330662531213</v>
      </c>
      <c r="O264" s="129">
        <f t="shared" si="4"/>
        <v>2.5402418339990165</v>
      </c>
      <c r="P264" s="128" t="e">
        <f t="shared" si="5"/>
        <v>#DIV/0!</v>
      </c>
      <c r="Q264" s="130" t="e">
        <f t="shared" si="6"/>
        <v>#DIV/0!</v>
      </c>
      <c r="R264" s="131">
        <f>SUM(R253:R263)</f>
        <v>-928.56000000000017</v>
      </c>
      <c r="S264" s="132" t="e">
        <f t="shared" si="8"/>
        <v>#DIV/0!</v>
      </c>
      <c r="T264" s="134">
        <f t="shared" ref="T264:U264" si="149">IFERROR((D264-D48)/D264,)</f>
        <v>0</v>
      </c>
      <c r="U264" s="134">
        <f t="shared" si="149"/>
        <v>0</v>
      </c>
      <c r="V264" s="134" t="s">
        <v>139</v>
      </c>
      <c r="W264" s="134" t="s">
        <v>139</v>
      </c>
      <c r="X264" s="68"/>
      <c r="Y264" s="68"/>
      <c r="Z264" s="68"/>
    </row>
    <row r="265" spans="1:26" ht="12.75" hidden="1" outlineLevel="1" x14ac:dyDescent="0.2">
      <c r="A265" s="68"/>
      <c r="B265" s="69">
        <v>45858</v>
      </c>
      <c r="C265" s="70" t="s">
        <v>112</v>
      </c>
      <c r="D265" s="282"/>
      <c r="E265" s="283"/>
      <c r="F265" s="283"/>
      <c r="G265" s="74" t="e">
        <f t="shared" si="0"/>
        <v>#DIV/0!</v>
      </c>
      <c r="H265" s="75" t="e">
        <f t="shared" si="1"/>
        <v>#DIV/0!</v>
      </c>
      <c r="I265" s="76" t="e">
        <f t="shared" si="2"/>
        <v>#DIV/0!</v>
      </c>
      <c r="J265" s="77">
        <v>19.27</v>
      </c>
      <c r="K265" s="199">
        <v>8645</v>
      </c>
      <c r="L265" s="283"/>
      <c r="M265" s="78">
        <v>0</v>
      </c>
      <c r="N265" s="79" t="e">
        <f t="shared" si="145"/>
        <v>#DIV/0!</v>
      </c>
      <c r="O265" s="80">
        <f t="shared" si="4"/>
        <v>0</v>
      </c>
      <c r="P265" s="79" t="e">
        <f t="shared" si="5"/>
        <v>#DIV/0!</v>
      </c>
      <c r="Q265" s="81" t="e">
        <f t="shared" si="6"/>
        <v>#DIV/0!</v>
      </c>
      <c r="R265" s="82">
        <f t="shared" ref="R265:R275" si="150">D265-M265</f>
        <v>0</v>
      </c>
      <c r="S265" s="83" t="e">
        <f t="shared" si="8"/>
        <v>#DIV/0!</v>
      </c>
      <c r="T265" s="84"/>
      <c r="U265" s="84"/>
      <c r="V265" s="84"/>
      <c r="W265" s="84"/>
      <c r="X265" s="85"/>
      <c r="Y265" s="68"/>
      <c r="Z265" s="68"/>
    </row>
    <row r="266" spans="1:26" ht="12.75" hidden="1" outlineLevel="1" x14ac:dyDescent="0.2">
      <c r="A266" s="68"/>
      <c r="B266" s="86"/>
      <c r="C266" s="70" t="s">
        <v>113</v>
      </c>
      <c r="D266" s="284"/>
      <c r="E266" s="283"/>
      <c r="F266" s="283"/>
      <c r="G266" s="74" t="e">
        <f t="shared" si="0"/>
        <v>#DIV/0!</v>
      </c>
      <c r="H266" s="75" t="e">
        <f t="shared" si="1"/>
        <v>#DIV/0!</v>
      </c>
      <c r="I266" s="76" t="e">
        <f t="shared" si="2"/>
        <v>#DIV/0!</v>
      </c>
      <c r="J266" s="87">
        <v>3.81</v>
      </c>
      <c r="K266" s="199">
        <v>1112</v>
      </c>
      <c r="L266" s="283"/>
      <c r="M266" s="88">
        <v>0</v>
      </c>
      <c r="N266" s="79" t="e">
        <f t="shared" si="145"/>
        <v>#DIV/0!</v>
      </c>
      <c r="O266" s="80">
        <f t="shared" si="4"/>
        <v>0</v>
      </c>
      <c r="P266" s="79" t="e">
        <f t="shared" si="5"/>
        <v>#DIV/0!</v>
      </c>
      <c r="Q266" s="81" t="e">
        <f t="shared" si="6"/>
        <v>#DIV/0!</v>
      </c>
      <c r="R266" s="89">
        <f t="shared" si="150"/>
        <v>0</v>
      </c>
      <c r="S266" s="83" t="e">
        <f t="shared" si="8"/>
        <v>#DIV/0!</v>
      </c>
      <c r="T266" s="84"/>
      <c r="U266" s="84"/>
      <c r="V266" s="84"/>
      <c r="W266" s="84"/>
      <c r="X266" s="85"/>
      <c r="Y266" s="68"/>
      <c r="Z266" s="68"/>
    </row>
    <row r="267" spans="1:26" ht="12.75" hidden="1" outlineLevel="1" x14ac:dyDescent="0.2">
      <c r="A267" s="68"/>
      <c r="B267" s="86"/>
      <c r="C267" s="70" t="s">
        <v>114</v>
      </c>
      <c r="D267" s="285"/>
      <c r="E267" s="283"/>
      <c r="F267" s="283"/>
      <c r="G267" s="74" t="e">
        <f t="shared" si="0"/>
        <v>#DIV/0!</v>
      </c>
      <c r="H267" s="75" t="e">
        <f t="shared" si="1"/>
        <v>#DIV/0!</v>
      </c>
      <c r="I267" s="76" t="e">
        <f t="shared" si="2"/>
        <v>#DIV/0!</v>
      </c>
      <c r="J267" s="90">
        <v>5.96</v>
      </c>
      <c r="K267" s="199">
        <v>2620</v>
      </c>
      <c r="L267" s="283"/>
      <c r="M267" s="91">
        <v>0</v>
      </c>
      <c r="N267" s="79" t="e">
        <f>(J267/M267)</f>
        <v>#DIV/0!</v>
      </c>
      <c r="O267" s="80">
        <f t="shared" si="4"/>
        <v>0</v>
      </c>
      <c r="P267" s="79" t="e">
        <f t="shared" si="5"/>
        <v>#DIV/0!</v>
      </c>
      <c r="Q267" s="81" t="e">
        <f t="shared" si="6"/>
        <v>#DIV/0!</v>
      </c>
      <c r="R267" s="92">
        <f t="shared" si="150"/>
        <v>0</v>
      </c>
      <c r="S267" s="83" t="e">
        <f t="shared" si="8"/>
        <v>#DIV/0!</v>
      </c>
      <c r="T267" s="84"/>
      <c r="U267" s="84"/>
      <c r="V267" s="84"/>
      <c r="W267" s="84"/>
      <c r="X267" s="85"/>
      <c r="Y267" s="68"/>
      <c r="Z267" s="68"/>
    </row>
    <row r="268" spans="1:26" ht="12.75" hidden="1" outlineLevel="1" x14ac:dyDescent="0.2">
      <c r="A268" s="68"/>
      <c r="B268" s="86"/>
      <c r="C268" s="70" t="s">
        <v>115</v>
      </c>
      <c r="D268" s="285"/>
      <c r="E268" s="283"/>
      <c r="F268" s="283"/>
      <c r="G268" s="74" t="e">
        <f t="shared" ref="G268:G454" si="151">E268/F268</f>
        <v>#DIV/0!</v>
      </c>
      <c r="H268" s="75" t="e">
        <f t="shared" ref="H268:H454" si="152">D268/E268</f>
        <v>#DIV/0!</v>
      </c>
      <c r="I268" s="76" t="e">
        <f t="shared" ref="I268:I454" si="153">H268/G268</f>
        <v>#DIV/0!</v>
      </c>
      <c r="J268" s="90">
        <v>2.75</v>
      </c>
      <c r="K268" s="199">
        <v>1283</v>
      </c>
      <c r="L268" s="283"/>
      <c r="M268" s="91">
        <v>0</v>
      </c>
      <c r="N268" s="79" t="e">
        <f t="shared" ref="N268:N278" si="154">J268/M268</f>
        <v>#DIV/0!</v>
      </c>
      <c r="O268" s="80">
        <f t="shared" ref="O268:O522" si="155">M268/J268</f>
        <v>0</v>
      </c>
      <c r="P268" s="79" t="e">
        <f t="shared" ref="P268:P522" si="156">J268/D268</f>
        <v>#DIV/0!</v>
      </c>
      <c r="Q268" s="81" t="e">
        <f t="shared" ref="Q268:Q522" si="157">M268/D268</f>
        <v>#DIV/0!</v>
      </c>
      <c r="R268" s="92">
        <f t="shared" si="150"/>
        <v>0</v>
      </c>
      <c r="S268" s="83" t="e">
        <f t="shared" ref="S268:S522" si="158">J268/L268</f>
        <v>#DIV/0!</v>
      </c>
      <c r="T268" s="84"/>
      <c r="U268" s="84"/>
      <c r="V268" s="84"/>
      <c r="W268" s="84"/>
      <c r="X268" s="85"/>
      <c r="Y268" s="68"/>
      <c r="Z268" s="68"/>
    </row>
    <row r="269" spans="1:26" ht="12.75" hidden="1" outlineLevel="1" x14ac:dyDescent="0.2">
      <c r="A269" s="68"/>
      <c r="B269" s="86"/>
      <c r="C269" s="70" t="s">
        <v>116</v>
      </c>
      <c r="D269" s="286"/>
      <c r="E269" s="283"/>
      <c r="F269" s="283"/>
      <c r="G269" s="74" t="e">
        <f t="shared" si="151"/>
        <v>#DIV/0!</v>
      </c>
      <c r="H269" s="75" t="e">
        <f t="shared" si="152"/>
        <v>#DIV/0!</v>
      </c>
      <c r="I269" s="76" t="e">
        <f t="shared" si="153"/>
        <v>#DIV/0!</v>
      </c>
      <c r="J269" s="200">
        <v>0.05</v>
      </c>
      <c r="K269" s="199">
        <v>9</v>
      </c>
      <c r="L269" s="283"/>
      <c r="M269" s="200">
        <v>0</v>
      </c>
      <c r="N269" s="79" t="e">
        <f t="shared" si="154"/>
        <v>#DIV/0!</v>
      </c>
      <c r="O269" s="80">
        <f t="shared" si="155"/>
        <v>0</v>
      </c>
      <c r="P269" s="79" t="e">
        <f t="shared" si="156"/>
        <v>#DIV/0!</v>
      </c>
      <c r="Q269" s="81" t="e">
        <f t="shared" si="157"/>
        <v>#DIV/0!</v>
      </c>
      <c r="R269" s="92">
        <f t="shared" si="150"/>
        <v>0</v>
      </c>
      <c r="S269" s="83" t="e">
        <f t="shared" si="158"/>
        <v>#DIV/0!</v>
      </c>
      <c r="T269" s="84"/>
      <c r="U269" s="84"/>
      <c r="V269" s="84"/>
      <c r="W269" s="84"/>
      <c r="X269" s="85"/>
      <c r="Y269" s="68"/>
      <c r="Z269" s="68"/>
    </row>
    <row r="270" spans="1:26" ht="12.75" hidden="1" outlineLevel="1" x14ac:dyDescent="0.2">
      <c r="A270" s="68"/>
      <c r="B270" s="86"/>
      <c r="C270" s="70" t="s">
        <v>117</v>
      </c>
      <c r="D270" s="287"/>
      <c r="E270" s="283"/>
      <c r="F270" s="283"/>
      <c r="G270" s="74" t="e">
        <f t="shared" si="151"/>
        <v>#DIV/0!</v>
      </c>
      <c r="H270" s="75" t="e">
        <f t="shared" si="152"/>
        <v>#DIV/0!</v>
      </c>
      <c r="I270" s="76" t="e">
        <f t="shared" si="153"/>
        <v>#DIV/0!</v>
      </c>
      <c r="J270" s="201">
        <v>3</v>
      </c>
      <c r="K270" s="199">
        <v>586</v>
      </c>
      <c r="L270" s="283"/>
      <c r="M270" s="202">
        <v>0</v>
      </c>
      <c r="N270" s="79" t="e">
        <f t="shared" si="154"/>
        <v>#DIV/0!</v>
      </c>
      <c r="O270" s="80">
        <f t="shared" si="155"/>
        <v>0</v>
      </c>
      <c r="P270" s="79" t="e">
        <f t="shared" si="156"/>
        <v>#DIV/0!</v>
      </c>
      <c r="Q270" s="81" t="e">
        <f t="shared" si="157"/>
        <v>#DIV/0!</v>
      </c>
      <c r="R270" s="203">
        <f t="shared" si="150"/>
        <v>0</v>
      </c>
      <c r="S270" s="83" t="e">
        <f t="shared" si="158"/>
        <v>#DIV/0!</v>
      </c>
      <c r="T270" s="84"/>
      <c r="U270" s="84"/>
      <c r="V270" s="84"/>
      <c r="W270" s="84"/>
      <c r="X270" s="85"/>
      <c r="Y270" s="68"/>
      <c r="Z270" s="68"/>
    </row>
    <row r="271" spans="1:26" ht="12.75" hidden="1" outlineLevel="1" x14ac:dyDescent="0.2">
      <c r="A271" s="68"/>
      <c r="B271" s="86"/>
      <c r="C271" s="70" t="s">
        <v>118</v>
      </c>
      <c r="D271" s="285"/>
      <c r="E271" s="283"/>
      <c r="F271" s="283"/>
      <c r="G271" s="74" t="e">
        <f t="shared" si="151"/>
        <v>#DIV/0!</v>
      </c>
      <c r="H271" s="75" t="e">
        <f t="shared" si="152"/>
        <v>#DIV/0!</v>
      </c>
      <c r="I271" s="76" t="e">
        <f t="shared" si="153"/>
        <v>#DIV/0!</v>
      </c>
      <c r="J271" s="90">
        <v>8.15</v>
      </c>
      <c r="K271" s="199">
        <v>1740</v>
      </c>
      <c r="L271" s="283"/>
      <c r="M271" s="91">
        <v>69.95</v>
      </c>
      <c r="N271" s="79">
        <f t="shared" si="154"/>
        <v>0.11651179413867048</v>
      </c>
      <c r="O271" s="80">
        <f t="shared" si="155"/>
        <v>8.5828220858895712</v>
      </c>
      <c r="P271" s="79" t="e">
        <f t="shared" si="156"/>
        <v>#DIV/0!</v>
      </c>
      <c r="Q271" s="81" t="e">
        <f t="shared" si="157"/>
        <v>#DIV/0!</v>
      </c>
      <c r="R271" s="92">
        <f t="shared" si="150"/>
        <v>-69.95</v>
      </c>
      <c r="S271" s="83" t="e">
        <f t="shared" si="158"/>
        <v>#DIV/0!</v>
      </c>
      <c r="T271" s="84"/>
      <c r="U271" s="84"/>
      <c r="V271" s="84"/>
      <c r="W271" s="84"/>
      <c r="X271" s="85"/>
      <c r="Y271" s="68"/>
      <c r="Z271" s="68"/>
    </row>
    <row r="272" spans="1:26" ht="12.75" hidden="1" outlineLevel="1" x14ac:dyDescent="0.2">
      <c r="A272" s="68"/>
      <c r="B272" s="69" t="s">
        <v>37</v>
      </c>
      <c r="C272" s="70" t="s">
        <v>119</v>
      </c>
      <c r="D272" s="288"/>
      <c r="E272" s="283"/>
      <c r="F272" s="283"/>
      <c r="G272" s="74" t="e">
        <f t="shared" si="151"/>
        <v>#DIV/0!</v>
      </c>
      <c r="H272" s="75" t="e">
        <f t="shared" si="152"/>
        <v>#DIV/0!</v>
      </c>
      <c r="I272" s="76" t="e">
        <f t="shared" si="153"/>
        <v>#DIV/0!</v>
      </c>
      <c r="J272" s="93">
        <v>5.21</v>
      </c>
      <c r="K272" s="199">
        <v>982</v>
      </c>
      <c r="L272" s="283"/>
      <c r="M272" s="94">
        <v>0</v>
      </c>
      <c r="N272" s="79" t="e">
        <f t="shared" si="154"/>
        <v>#DIV/0!</v>
      </c>
      <c r="O272" s="80">
        <f t="shared" si="155"/>
        <v>0</v>
      </c>
      <c r="P272" s="79" t="e">
        <f t="shared" si="156"/>
        <v>#DIV/0!</v>
      </c>
      <c r="Q272" s="81" t="e">
        <f t="shared" si="157"/>
        <v>#DIV/0!</v>
      </c>
      <c r="R272" s="95">
        <f t="shared" si="150"/>
        <v>0</v>
      </c>
      <c r="S272" s="83" t="e">
        <f t="shared" si="158"/>
        <v>#DIV/0!</v>
      </c>
      <c r="T272" s="84"/>
      <c r="U272" s="84"/>
      <c r="V272" s="84"/>
      <c r="W272" s="84"/>
      <c r="X272" s="85"/>
      <c r="Y272" s="68"/>
      <c r="Z272" s="68"/>
    </row>
    <row r="273" spans="1:26" ht="12.75" hidden="1" outlineLevel="1" x14ac:dyDescent="0.2">
      <c r="A273" s="68"/>
      <c r="B273" s="86"/>
      <c r="C273" s="70" t="s">
        <v>120</v>
      </c>
      <c r="D273" s="289"/>
      <c r="E273" s="283"/>
      <c r="F273" s="283"/>
      <c r="G273" s="74" t="e">
        <f t="shared" si="151"/>
        <v>#DIV/0!</v>
      </c>
      <c r="H273" s="75" t="e">
        <f t="shared" si="152"/>
        <v>#DIV/0!</v>
      </c>
      <c r="I273" s="76" t="e">
        <f t="shared" si="153"/>
        <v>#DIV/0!</v>
      </c>
      <c r="J273" s="96">
        <v>0.12</v>
      </c>
      <c r="K273" s="199">
        <v>73</v>
      </c>
      <c r="L273" s="283"/>
      <c r="M273" s="97">
        <v>0</v>
      </c>
      <c r="N273" s="79" t="e">
        <f t="shared" si="154"/>
        <v>#DIV/0!</v>
      </c>
      <c r="O273" s="80">
        <f t="shared" si="155"/>
        <v>0</v>
      </c>
      <c r="P273" s="79" t="e">
        <f t="shared" si="156"/>
        <v>#DIV/0!</v>
      </c>
      <c r="Q273" s="81" t="e">
        <f t="shared" si="157"/>
        <v>#DIV/0!</v>
      </c>
      <c r="R273" s="98">
        <f t="shared" si="150"/>
        <v>0</v>
      </c>
      <c r="S273" s="83" t="e">
        <f t="shared" si="158"/>
        <v>#DIV/0!</v>
      </c>
      <c r="T273" s="84"/>
      <c r="U273" s="84"/>
      <c r="V273" s="84"/>
      <c r="W273" s="84"/>
      <c r="X273" s="85"/>
      <c r="Y273" s="68"/>
      <c r="Z273" s="68"/>
    </row>
    <row r="274" spans="1:26" ht="12.75" hidden="1" outlineLevel="1" x14ac:dyDescent="0.2">
      <c r="A274" s="68"/>
      <c r="B274" s="86"/>
      <c r="C274" s="70" t="s">
        <v>121</v>
      </c>
      <c r="D274" s="290"/>
      <c r="E274" s="283"/>
      <c r="F274" s="283"/>
      <c r="G274" s="74" t="e">
        <f t="shared" si="151"/>
        <v>#DIV/0!</v>
      </c>
      <c r="H274" s="75" t="e">
        <f t="shared" si="152"/>
        <v>#DIV/0!</v>
      </c>
      <c r="I274" s="76" t="e">
        <f t="shared" si="153"/>
        <v>#DIV/0!</v>
      </c>
      <c r="J274" s="99">
        <v>29.83</v>
      </c>
      <c r="K274" s="199">
        <v>8774</v>
      </c>
      <c r="L274" s="283"/>
      <c r="M274" s="100">
        <v>134.85</v>
      </c>
      <c r="N274" s="79">
        <f t="shared" si="154"/>
        <v>0.22120875046347793</v>
      </c>
      <c r="O274" s="80">
        <f t="shared" si="155"/>
        <v>4.5206168286959434</v>
      </c>
      <c r="P274" s="79" t="e">
        <f t="shared" si="156"/>
        <v>#DIV/0!</v>
      </c>
      <c r="Q274" s="81" t="e">
        <f t="shared" si="157"/>
        <v>#DIV/0!</v>
      </c>
      <c r="R274" s="101">
        <f t="shared" si="150"/>
        <v>-134.85</v>
      </c>
      <c r="S274" s="83" t="e">
        <f t="shared" si="158"/>
        <v>#DIV/0!</v>
      </c>
      <c r="T274" s="84"/>
      <c r="U274" s="84"/>
      <c r="V274" s="84"/>
      <c r="W274" s="84"/>
      <c r="X274" s="85"/>
      <c r="Y274" s="68"/>
      <c r="Z274" s="68"/>
    </row>
    <row r="275" spans="1:26" ht="12.75" hidden="1" outlineLevel="1" x14ac:dyDescent="0.2">
      <c r="A275" s="118" t="str">
        <f t="shared" ref="A275:A276" si="159">IFERROR(IF(B275&gt;0,MONTH(B275)&amp;"-"&amp;YEAR(B275),B275),)</f>
        <v>7-2025</v>
      </c>
      <c r="B275" s="69">
        <v>45864</v>
      </c>
      <c r="C275" s="70" t="s">
        <v>123</v>
      </c>
      <c r="D275" s="293"/>
      <c r="E275" s="283"/>
      <c r="F275" s="283"/>
      <c r="G275" s="74" t="e">
        <f t="shared" si="151"/>
        <v>#DIV/0!</v>
      </c>
      <c r="H275" s="75" t="e">
        <f t="shared" si="152"/>
        <v>#DIV/0!</v>
      </c>
      <c r="I275" s="76" t="e">
        <f t="shared" si="153"/>
        <v>#DIV/0!</v>
      </c>
      <c r="J275" s="87">
        <v>0</v>
      </c>
      <c r="K275" s="199">
        <v>0</v>
      </c>
      <c r="L275" s="283"/>
      <c r="M275" s="88">
        <v>0</v>
      </c>
      <c r="N275" s="79" t="e">
        <f t="shared" si="154"/>
        <v>#DIV/0!</v>
      </c>
      <c r="O275" s="80" t="e">
        <f t="shared" si="155"/>
        <v>#DIV/0!</v>
      </c>
      <c r="P275" s="79" t="e">
        <f t="shared" si="156"/>
        <v>#DIV/0!</v>
      </c>
      <c r="Q275" s="81" t="e">
        <f t="shared" si="157"/>
        <v>#DIV/0!</v>
      </c>
      <c r="R275" s="82">
        <f t="shared" si="150"/>
        <v>0</v>
      </c>
      <c r="S275" s="83" t="e">
        <f t="shared" si="158"/>
        <v>#DIV/0!</v>
      </c>
      <c r="T275" s="84"/>
      <c r="U275" s="84"/>
      <c r="V275" s="84"/>
      <c r="W275" s="84"/>
      <c r="X275" s="85"/>
      <c r="Y275" s="68"/>
      <c r="Z275" s="68"/>
    </row>
    <row r="276" spans="1:26" ht="12.75" collapsed="1" x14ac:dyDescent="0.2">
      <c r="A276" s="68">
        <f t="shared" si="159"/>
        <v>0</v>
      </c>
      <c r="B276" s="52" t="s">
        <v>88</v>
      </c>
      <c r="C276" s="120"/>
      <c r="D276" s="121">
        <f t="shared" ref="D276:F276" si="160">SUM(D265:D275)</f>
        <v>0</v>
      </c>
      <c r="E276" s="123">
        <f t="shared" si="160"/>
        <v>0</v>
      </c>
      <c r="F276" s="123">
        <f t="shared" si="160"/>
        <v>0</v>
      </c>
      <c r="G276" s="124" t="e">
        <f t="shared" si="151"/>
        <v>#DIV/0!</v>
      </c>
      <c r="H276" s="125" t="e">
        <f t="shared" si="152"/>
        <v>#DIV/0!</v>
      </c>
      <c r="I276" s="126" t="e">
        <f t="shared" si="153"/>
        <v>#DIV/0!</v>
      </c>
      <c r="J276" s="121">
        <f t="shared" ref="J276:M276" si="161">SUM(J265:J275)</f>
        <v>78.150000000000006</v>
      </c>
      <c r="K276" s="294">
        <f t="shared" si="161"/>
        <v>25824</v>
      </c>
      <c r="L276" s="123">
        <f t="shared" si="161"/>
        <v>0</v>
      </c>
      <c r="M276" s="127">
        <f t="shared" si="161"/>
        <v>204.8</v>
      </c>
      <c r="N276" s="128">
        <f t="shared" si="154"/>
        <v>0.381591796875</v>
      </c>
      <c r="O276" s="129">
        <f t="shared" si="155"/>
        <v>2.620601407549584</v>
      </c>
      <c r="P276" s="128" t="e">
        <f t="shared" si="156"/>
        <v>#DIV/0!</v>
      </c>
      <c r="Q276" s="130" t="e">
        <f t="shared" si="157"/>
        <v>#DIV/0!</v>
      </c>
      <c r="R276" s="131">
        <f>SUM(R265:R275)</f>
        <v>-204.8</v>
      </c>
      <c r="S276" s="132" t="e">
        <f t="shared" si="158"/>
        <v>#DIV/0!</v>
      </c>
      <c r="T276" s="134">
        <f t="shared" ref="T276:U276" si="162">IFERROR((D276-D48)/D276,)</f>
        <v>0</v>
      </c>
      <c r="U276" s="134">
        <f t="shared" si="162"/>
        <v>0</v>
      </c>
      <c r="V276" s="134" t="s">
        <v>139</v>
      </c>
      <c r="W276" s="134" t="s">
        <v>139</v>
      </c>
      <c r="X276" s="68"/>
      <c r="Y276" s="68"/>
      <c r="Z276" s="68"/>
    </row>
    <row r="277" spans="1:26" ht="12.75" hidden="1" outlineLevel="1" x14ac:dyDescent="0.2">
      <c r="A277" s="34"/>
      <c r="B277" s="147">
        <v>45865</v>
      </c>
      <c r="C277" s="70" t="s">
        <v>112</v>
      </c>
      <c r="D277" s="71"/>
      <c r="E277" s="73"/>
      <c r="F277" s="73"/>
      <c r="G277" s="74" t="e">
        <f t="shared" si="151"/>
        <v>#DIV/0!</v>
      </c>
      <c r="H277" s="75" t="e">
        <f t="shared" si="152"/>
        <v>#DIV/0!</v>
      </c>
      <c r="I277" s="76" t="e">
        <f t="shared" si="153"/>
        <v>#DIV/0!</v>
      </c>
      <c r="J277" s="77">
        <v>93.34</v>
      </c>
      <c r="K277" s="199">
        <v>31583</v>
      </c>
      <c r="L277" s="73"/>
      <c r="M277" s="78">
        <v>789.36</v>
      </c>
      <c r="N277" s="155">
        <f t="shared" si="154"/>
        <v>0.11824769433465086</v>
      </c>
      <c r="O277" s="156">
        <f t="shared" si="155"/>
        <v>8.4568245125348191</v>
      </c>
      <c r="P277" s="155" t="e">
        <f t="shared" si="156"/>
        <v>#DIV/0!</v>
      </c>
      <c r="Q277" s="225" t="e">
        <f t="shared" si="157"/>
        <v>#DIV/0!</v>
      </c>
      <c r="R277" s="226">
        <f t="shared" ref="R277:R287" si="163">D277-M277</f>
        <v>-789.36</v>
      </c>
      <c r="S277" s="227" t="e">
        <f t="shared" si="158"/>
        <v>#DIV/0!</v>
      </c>
      <c r="T277" s="160"/>
      <c r="U277" s="160"/>
      <c r="V277" s="160"/>
      <c r="W277" s="160"/>
      <c r="X277" s="1"/>
    </row>
    <row r="278" spans="1:26" ht="12.75" hidden="1" outlineLevel="1" x14ac:dyDescent="0.2">
      <c r="A278" s="34"/>
      <c r="B278" s="147"/>
      <c r="C278" s="70" t="s">
        <v>113</v>
      </c>
      <c r="D278" s="87"/>
      <c r="E278" s="73"/>
      <c r="F278" s="73"/>
      <c r="G278" s="74" t="e">
        <f t="shared" si="151"/>
        <v>#DIV/0!</v>
      </c>
      <c r="H278" s="75" t="e">
        <f t="shared" si="152"/>
        <v>#DIV/0!</v>
      </c>
      <c r="I278" s="76" t="e">
        <f t="shared" si="153"/>
        <v>#DIV/0!</v>
      </c>
      <c r="J278" s="87">
        <v>2.34</v>
      </c>
      <c r="K278" s="199">
        <v>909</v>
      </c>
      <c r="L278" s="73"/>
      <c r="M278" s="88">
        <v>0</v>
      </c>
      <c r="N278" s="155" t="e">
        <f t="shared" si="154"/>
        <v>#DIV/0!</v>
      </c>
      <c r="O278" s="156">
        <f t="shared" si="155"/>
        <v>0</v>
      </c>
      <c r="P278" s="155" t="e">
        <f t="shared" si="156"/>
        <v>#DIV/0!</v>
      </c>
      <c r="Q278" s="225" t="e">
        <f t="shared" si="157"/>
        <v>#DIV/0!</v>
      </c>
      <c r="R278" s="228">
        <f t="shared" si="163"/>
        <v>0</v>
      </c>
      <c r="S278" s="227" t="e">
        <f t="shared" si="158"/>
        <v>#DIV/0!</v>
      </c>
      <c r="T278" s="160"/>
      <c r="U278" s="160"/>
      <c r="V278" s="160"/>
      <c r="W278" s="160"/>
      <c r="X278" s="1"/>
    </row>
    <row r="279" spans="1:26" ht="12.75" hidden="1" outlineLevel="1" x14ac:dyDescent="0.2">
      <c r="A279" s="34"/>
      <c r="B279" s="147"/>
      <c r="C279" s="70" t="s">
        <v>114</v>
      </c>
      <c r="D279" s="90"/>
      <c r="E279" s="73"/>
      <c r="F279" s="73"/>
      <c r="G279" s="74" t="e">
        <f t="shared" si="151"/>
        <v>#DIV/0!</v>
      </c>
      <c r="H279" s="75" t="e">
        <f t="shared" si="152"/>
        <v>#DIV/0!</v>
      </c>
      <c r="I279" s="76" t="e">
        <f t="shared" si="153"/>
        <v>#DIV/0!</v>
      </c>
      <c r="J279" s="90">
        <v>17.260000000000002</v>
      </c>
      <c r="K279" s="199">
        <v>4782</v>
      </c>
      <c r="L279" s="73"/>
      <c r="M279" s="91">
        <v>0</v>
      </c>
      <c r="N279" s="155" t="e">
        <f>(J279/M279)</f>
        <v>#DIV/0!</v>
      </c>
      <c r="O279" s="156">
        <f t="shared" si="155"/>
        <v>0</v>
      </c>
      <c r="P279" s="155" t="e">
        <f t="shared" si="156"/>
        <v>#DIV/0!</v>
      </c>
      <c r="Q279" s="225" t="e">
        <f t="shared" si="157"/>
        <v>#DIV/0!</v>
      </c>
      <c r="R279" s="231">
        <f t="shared" si="163"/>
        <v>0</v>
      </c>
      <c r="S279" s="227" t="e">
        <f t="shared" si="158"/>
        <v>#DIV/0!</v>
      </c>
      <c r="T279" s="160"/>
      <c r="U279" s="160"/>
      <c r="V279" s="160"/>
      <c r="W279" s="160"/>
      <c r="X279" s="1"/>
    </row>
    <row r="280" spans="1:26" ht="12.75" hidden="1" outlineLevel="1" x14ac:dyDescent="0.2">
      <c r="A280" s="34"/>
      <c r="B280" s="147"/>
      <c r="C280" s="70" t="s">
        <v>115</v>
      </c>
      <c r="D280" s="90"/>
      <c r="E280" s="73"/>
      <c r="F280" s="73"/>
      <c r="G280" s="74" t="e">
        <f t="shared" si="151"/>
        <v>#DIV/0!</v>
      </c>
      <c r="H280" s="75" t="e">
        <f t="shared" si="152"/>
        <v>#DIV/0!</v>
      </c>
      <c r="I280" s="76" t="e">
        <f t="shared" si="153"/>
        <v>#DIV/0!</v>
      </c>
      <c r="J280" s="90">
        <v>19.82</v>
      </c>
      <c r="K280" s="199">
        <v>4736</v>
      </c>
      <c r="L280" s="73"/>
      <c r="M280" s="91">
        <v>59.95</v>
      </c>
      <c r="N280" s="155">
        <f t="shared" ref="N280:N290" si="164">J280/M280</f>
        <v>0.33060884070058383</v>
      </c>
      <c r="O280" s="156">
        <f t="shared" si="155"/>
        <v>3.0247225025227045</v>
      </c>
      <c r="P280" s="155" t="e">
        <f t="shared" si="156"/>
        <v>#DIV/0!</v>
      </c>
      <c r="Q280" s="225" t="e">
        <f t="shared" si="157"/>
        <v>#DIV/0!</v>
      </c>
      <c r="R280" s="231">
        <f t="shared" si="163"/>
        <v>-59.95</v>
      </c>
      <c r="S280" s="227" t="e">
        <f t="shared" si="158"/>
        <v>#DIV/0!</v>
      </c>
      <c r="T280" s="160"/>
      <c r="U280" s="160"/>
      <c r="V280" s="160"/>
      <c r="W280" s="160"/>
      <c r="X280" s="1"/>
    </row>
    <row r="281" spans="1:26" ht="12.75" hidden="1" outlineLevel="1" x14ac:dyDescent="0.2">
      <c r="A281" s="34"/>
      <c r="B281" s="147"/>
      <c r="C281" s="70" t="s">
        <v>116</v>
      </c>
      <c r="D281" s="200"/>
      <c r="E281" s="73"/>
      <c r="F281" s="73"/>
      <c r="G281" s="74" t="e">
        <f t="shared" si="151"/>
        <v>#DIV/0!</v>
      </c>
      <c r="H281" s="75" t="e">
        <f t="shared" si="152"/>
        <v>#DIV/0!</v>
      </c>
      <c r="I281" s="76" t="e">
        <f t="shared" si="153"/>
        <v>#DIV/0!</v>
      </c>
      <c r="J281" s="200">
        <v>0.64</v>
      </c>
      <c r="K281" s="73">
        <v>163</v>
      </c>
      <c r="L281" s="73"/>
      <c r="M281" s="200">
        <v>0</v>
      </c>
      <c r="N281" s="155" t="e">
        <f t="shared" si="164"/>
        <v>#DIV/0!</v>
      </c>
      <c r="O281" s="156">
        <f t="shared" si="155"/>
        <v>0</v>
      </c>
      <c r="P281" s="155" t="e">
        <f t="shared" si="156"/>
        <v>#DIV/0!</v>
      </c>
      <c r="Q281" s="225" t="e">
        <f t="shared" si="157"/>
        <v>#DIV/0!</v>
      </c>
      <c r="R281" s="231">
        <f t="shared" si="163"/>
        <v>0</v>
      </c>
      <c r="S281" s="227" t="e">
        <f t="shared" si="158"/>
        <v>#DIV/0!</v>
      </c>
      <c r="T281" s="160"/>
      <c r="U281" s="160"/>
      <c r="V281" s="160"/>
      <c r="W281" s="160"/>
      <c r="X281" s="1"/>
    </row>
    <row r="282" spans="1:26" ht="12.75" hidden="1" outlineLevel="1" x14ac:dyDescent="0.2">
      <c r="A282" s="34"/>
      <c r="B282" s="147"/>
      <c r="C282" s="70" t="s">
        <v>117</v>
      </c>
      <c r="D282" s="201"/>
      <c r="E282" s="73"/>
      <c r="F282" s="73"/>
      <c r="G282" s="74" t="e">
        <f t="shared" si="151"/>
        <v>#DIV/0!</v>
      </c>
      <c r="H282" s="75" t="e">
        <f t="shared" si="152"/>
        <v>#DIV/0!</v>
      </c>
      <c r="I282" s="76" t="e">
        <f t="shared" si="153"/>
        <v>#DIV/0!</v>
      </c>
      <c r="J282" s="201">
        <v>14.92</v>
      </c>
      <c r="K282" s="199">
        <v>3368</v>
      </c>
      <c r="L282" s="73"/>
      <c r="M282" s="202">
        <v>0</v>
      </c>
      <c r="N282" s="155" t="e">
        <f t="shared" si="164"/>
        <v>#DIV/0!</v>
      </c>
      <c r="O282" s="156">
        <f t="shared" si="155"/>
        <v>0</v>
      </c>
      <c r="P282" s="155" t="e">
        <f t="shared" si="156"/>
        <v>#DIV/0!</v>
      </c>
      <c r="Q282" s="225" t="e">
        <f t="shared" si="157"/>
        <v>#DIV/0!</v>
      </c>
      <c r="R282" s="234">
        <f t="shared" si="163"/>
        <v>0</v>
      </c>
      <c r="S282" s="227" t="e">
        <f t="shared" si="158"/>
        <v>#DIV/0!</v>
      </c>
      <c r="T282" s="160"/>
      <c r="U282" s="160"/>
      <c r="V282" s="160"/>
      <c r="W282" s="160"/>
      <c r="X282" s="1"/>
    </row>
    <row r="283" spans="1:26" ht="12.75" hidden="1" outlineLevel="1" x14ac:dyDescent="0.2">
      <c r="A283" s="34"/>
      <c r="B283" s="147"/>
      <c r="C283" s="70" t="s">
        <v>118</v>
      </c>
      <c r="D283" s="90"/>
      <c r="E283" s="73"/>
      <c r="F283" s="73"/>
      <c r="G283" s="74" t="e">
        <f t="shared" si="151"/>
        <v>#DIV/0!</v>
      </c>
      <c r="H283" s="75" t="e">
        <f t="shared" si="152"/>
        <v>#DIV/0!</v>
      </c>
      <c r="I283" s="76" t="e">
        <f t="shared" si="153"/>
        <v>#DIV/0!</v>
      </c>
      <c r="J283" s="90">
        <v>23.84</v>
      </c>
      <c r="K283" s="199">
        <v>4292</v>
      </c>
      <c r="L283" s="73"/>
      <c r="M283" s="91">
        <v>134.94999999999999</v>
      </c>
      <c r="N283" s="155">
        <f t="shared" si="164"/>
        <v>0.17665802148944054</v>
      </c>
      <c r="O283" s="156">
        <f t="shared" si="155"/>
        <v>5.660654362416107</v>
      </c>
      <c r="P283" s="155" t="e">
        <f t="shared" si="156"/>
        <v>#DIV/0!</v>
      </c>
      <c r="Q283" s="225" t="e">
        <f t="shared" si="157"/>
        <v>#DIV/0!</v>
      </c>
      <c r="R283" s="231">
        <f t="shared" si="163"/>
        <v>-134.94999999999999</v>
      </c>
      <c r="S283" s="227" t="e">
        <f t="shared" si="158"/>
        <v>#DIV/0!</v>
      </c>
      <c r="T283" s="160"/>
      <c r="U283" s="160"/>
      <c r="V283" s="160"/>
      <c r="W283" s="160"/>
      <c r="X283" s="1"/>
    </row>
    <row r="284" spans="1:26" ht="12.75" hidden="1" outlineLevel="1" x14ac:dyDescent="0.2">
      <c r="A284" s="34"/>
      <c r="B284" s="235" t="s">
        <v>37</v>
      </c>
      <c r="C284" s="70" t="s">
        <v>119</v>
      </c>
      <c r="D284" s="93"/>
      <c r="E284" s="73"/>
      <c r="F284" s="73"/>
      <c r="G284" s="74" t="e">
        <f t="shared" si="151"/>
        <v>#DIV/0!</v>
      </c>
      <c r="H284" s="75" t="e">
        <f t="shared" si="152"/>
        <v>#DIV/0!</v>
      </c>
      <c r="I284" s="76" t="e">
        <f t="shared" si="153"/>
        <v>#DIV/0!</v>
      </c>
      <c r="J284" s="93">
        <v>26.33</v>
      </c>
      <c r="K284" s="199">
        <v>5093</v>
      </c>
      <c r="L284" s="73"/>
      <c r="M284" s="94">
        <v>79.95</v>
      </c>
      <c r="N284" s="155">
        <f t="shared" si="164"/>
        <v>0.32933083176985611</v>
      </c>
      <c r="O284" s="156">
        <f t="shared" si="155"/>
        <v>3.0364603114318269</v>
      </c>
      <c r="P284" s="155" t="e">
        <f t="shared" si="156"/>
        <v>#DIV/0!</v>
      </c>
      <c r="Q284" s="225" t="e">
        <f t="shared" si="157"/>
        <v>#DIV/0!</v>
      </c>
      <c r="R284" s="238">
        <f t="shared" si="163"/>
        <v>-79.95</v>
      </c>
      <c r="S284" s="227" t="e">
        <f t="shared" si="158"/>
        <v>#DIV/0!</v>
      </c>
      <c r="T284" s="160"/>
      <c r="U284" s="160"/>
      <c r="V284" s="160"/>
      <c r="W284" s="160"/>
      <c r="X284" s="1"/>
    </row>
    <row r="285" spans="1:26" ht="12.75" hidden="1" outlineLevel="1" x14ac:dyDescent="0.2">
      <c r="A285" s="34"/>
      <c r="B285" s="147"/>
      <c r="C285" s="70" t="s">
        <v>120</v>
      </c>
      <c r="D285" s="96"/>
      <c r="E285" s="73"/>
      <c r="F285" s="73"/>
      <c r="G285" s="74" t="e">
        <f t="shared" si="151"/>
        <v>#DIV/0!</v>
      </c>
      <c r="H285" s="75" t="e">
        <f t="shared" si="152"/>
        <v>#DIV/0!</v>
      </c>
      <c r="I285" s="76" t="e">
        <f t="shared" si="153"/>
        <v>#DIV/0!</v>
      </c>
      <c r="J285" s="96">
        <v>4.05</v>
      </c>
      <c r="K285" s="199">
        <v>1359</v>
      </c>
      <c r="L285" s="73"/>
      <c r="M285" s="97">
        <v>0</v>
      </c>
      <c r="N285" s="155" t="e">
        <f t="shared" si="164"/>
        <v>#DIV/0!</v>
      </c>
      <c r="O285" s="156">
        <f t="shared" si="155"/>
        <v>0</v>
      </c>
      <c r="P285" s="155" t="e">
        <f t="shared" si="156"/>
        <v>#DIV/0!</v>
      </c>
      <c r="Q285" s="225" t="e">
        <f t="shared" si="157"/>
        <v>#DIV/0!</v>
      </c>
      <c r="R285" s="241">
        <f t="shared" si="163"/>
        <v>0</v>
      </c>
      <c r="S285" s="227" t="e">
        <f t="shared" si="158"/>
        <v>#DIV/0!</v>
      </c>
      <c r="T285" s="160"/>
      <c r="U285" s="160"/>
      <c r="V285" s="160"/>
      <c r="W285" s="160"/>
      <c r="X285" s="1"/>
    </row>
    <row r="286" spans="1:26" ht="12.75" hidden="1" outlineLevel="1" x14ac:dyDescent="0.2">
      <c r="A286" s="34"/>
      <c r="B286" s="147"/>
      <c r="C286" s="70" t="s">
        <v>121</v>
      </c>
      <c r="D286" s="99"/>
      <c r="E286" s="73"/>
      <c r="F286" s="73"/>
      <c r="G286" s="74" t="e">
        <f t="shared" si="151"/>
        <v>#DIV/0!</v>
      </c>
      <c r="H286" s="75" t="e">
        <f t="shared" si="152"/>
        <v>#DIV/0!</v>
      </c>
      <c r="I286" s="76" t="e">
        <f t="shared" si="153"/>
        <v>#DIV/0!</v>
      </c>
      <c r="J286" s="99">
        <v>95.06</v>
      </c>
      <c r="K286" s="199">
        <v>23563</v>
      </c>
      <c r="L286" s="73"/>
      <c r="M286" s="100">
        <v>179.8</v>
      </c>
      <c r="N286" s="155">
        <f t="shared" si="164"/>
        <v>0.52869855394883203</v>
      </c>
      <c r="O286" s="156">
        <f t="shared" si="155"/>
        <v>1.8914369871660004</v>
      </c>
      <c r="P286" s="155" t="e">
        <f t="shared" si="156"/>
        <v>#DIV/0!</v>
      </c>
      <c r="Q286" s="225" t="e">
        <f t="shared" si="157"/>
        <v>#DIV/0!</v>
      </c>
      <c r="R286" s="244">
        <f t="shared" si="163"/>
        <v>-179.8</v>
      </c>
      <c r="S286" s="227" t="e">
        <f t="shared" si="158"/>
        <v>#DIV/0!</v>
      </c>
      <c r="T286" s="160"/>
      <c r="U286" s="160"/>
      <c r="V286" s="160"/>
      <c r="W286" s="160"/>
      <c r="X286" s="1"/>
    </row>
    <row r="287" spans="1:26" ht="12.75" hidden="1" outlineLevel="1" x14ac:dyDescent="0.2">
      <c r="A287" s="34" t="str">
        <f t="shared" ref="A287:A288" si="165">IFERROR(IF(B287&gt;0,MONTH(B287)&amp;"-"&amp;YEAR(B287),B287),)</f>
        <v>8-2025</v>
      </c>
      <c r="B287" s="147">
        <v>45871</v>
      </c>
      <c r="C287" s="70" t="s">
        <v>123</v>
      </c>
      <c r="D287" s="251"/>
      <c r="E287" s="151"/>
      <c r="F287" s="151"/>
      <c r="G287" s="152" t="e">
        <f t="shared" si="151"/>
        <v>#DIV/0!</v>
      </c>
      <c r="H287" s="150" t="e">
        <f t="shared" si="152"/>
        <v>#DIV/0!</v>
      </c>
      <c r="I287" s="222" t="e">
        <f t="shared" si="153"/>
        <v>#DIV/0!</v>
      </c>
      <c r="J287" s="87">
        <v>0</v>
      </c>
      <c r="K287" s="73">
        <v>0</v>
      </c>
      <c r="L287" s="73"/>
      <c r="M287" s="88">
        <v>0</v>
      </c>
      <c r="N287" s="155" t="e">
        <f t="shared" si="164"/>
        <v>#DIV/0!</v>
      </c>
      <c r="O287" s="156" t="e">
        <f t="shared" si="155"/>
        <v>#DIV/0!</v>
      </c>
      <c r="P287" s="155" t="e">
        <f t="shared" si="156"/>
        <v>#DIV/0!</v>
      </c>
      <c r="Q287" s="225" t="e">
        <f t="shared" si="157"/>
        <v>#DIV/0!</v>
      </c>
      <c r="R287" s="226">
        <f t="shared" si="163"/>
        <v>0</v>
      </c>
      <c r="S287" s="227" t="e">
        <f t="shared" si="158"/>
        <v>#DIV/0!</v>
      </c>
      <c r="T287" s="160"/>
      <c r="U287" s="160"/>
      <c r="V287" s="160"/>
      <c r="W287" s="160"/>
      <c r="X287" s="1"/>
    </row>
    <row r="288" spans="1:26" ht="12.75" collapsed="1" x14ac:dyDescent="0.2">
      <c r="A288" s="68">
        <f t="shared" si="165"/>
        <v>0</v>
      </c>
      <c r="B288" s="52" t="s">
        <v>89</v>
      </c>
      <c r="C288" s="120"/>
      <c r="D288" s="121">
        <f t="shared" ref="D288:F288" si="166">SUM(D277:D287)</f>
        <v>0</v>
      </c>
      <c r="E288" s="123">
        <f t="shared" si="166"/>
        <v>0</v>
      </c>
      <c r="F288" s="123">
        <f t="shared" si="166"/>
        <v>0</v>
      </c>
      <c r="G288" s="124" t="e">
        <f t="shared" si="151"/>
        <v>#DIV/0!</v>
      </c>
      <c r="H288" s="125" t="e">
        <f t="shared" si="152"/>
        <v>#DIV/0!</v>
      </c>
      <c r="I288" s="126" t="e">
        <f t="shared" si="153"/>
        <v>#DIV/0!</v>
      </c>
      <c r="J288" s="121">
        <f t="shared" ref="J288:M288" si="167">SUM(J277:J287)</f>
        <v>297.60000000000002</v>
      </c>
      <c r="K288" s="294">
        <f t="shared" si="167"/>
        <v>79848</v>
      </c>
      <c r="L288" s="123">
        <f t="shared" si="167"/>
        <v>0</v>
      </c>
      <c r="M288" s="127">
        <f t="shared" si="167"/>
        <v>1244.01</v>
      </c>
      <c r="N288" s="128">
        <f t="shared" si="164"/>
        <v>0.2392263727783539</v>
      </c>
      <c r="O288" s="129">
        <f t="shared" si="155"/>
        <v>4.1801411290322577</v>
      </c>
      <c r="P288" s="128" t="e">
        <f t="shared" si="156"/>
        <v>#DIV/0!</v>
      </c>
      <c r="Q288" s="130" t="e">
        <f t="shared" si="157"/>
        <v>#DIV/0!</v>
      </c>
      <c r="R288" s="131">
        <f>SUM(R277:R287)</f>
        <v>-1244.01</v>
      </c>
      <c r="S288" s="132" t="e">
        <f t="shared" si="158"/>
        <v>#DIV/0!</v>
      </c>
      <c r="T288" s="133">
        <f t="shared" ref="T288:U288" si="168">IFERROR((D288-D36)/D288,)</f>
        <v>0</v>
      </c>
      <c r="U288" s="133">
        <f t="shared" si="168"/>
        <v>0</v>
      </c>
      <c r="V288" s="133" t="s">
        <v>139</v>
      </c>
      <c r="W288" s="133" t="s">
        <v>139</v>
      </c>
      <c r="X288" s="68"/>
      <c r="Y288" s="68"/>
      <c r="Z288" s="68"/>
    </row>
    <row r="289" spans="1:26" ht="12.75" hidden="1" outlineLevel="1" x14ac:dyDescent="0.2">
      <c r="A289" s="68"/>
      <c r="B289" s="69">
        <v>45872</v>
      </c>
      <c r="C289" s="70" t="s">
        <v>112</v>
      </c>
      <c r="D289" s="282"/>
      <c r="E289" s="283"/>
      <c r="F289" s="283"/>
      <c r="G289" s="74" t="e">
        <f t="shared" si="151"/>
        <v>#DIV/0!</v>
      </c>
      <c r="H289" s="75" t="e">
        <f t="shared" si="152"/>
        <v>#DIV/0!</v>
      </c>
      <c r="I289" s="76" t="e">
        <f t="shared" si="153"/>
        <v>#DIV/0!</v>
      </c>
      <c r="J289" s="77">
        <v>305.5</v>
      </c>
      <c r="K289" s="199">
        <v>87905</v>
      </c>
      <c r="L289" s="283"/>
      <c r="M289" s="78">
        <v>528.75</v>
      </c>
      <c r="N289" s="79">
        <f t="shared" si="164"/>
        <v>0.57777777777777772</v>
      </c>
      <c r="O289" s="80">
        <f t="shared" si="155"/>
        <v>1.7307692307692308</v>
      </c>
      <c r="P289" s="79" t="e">
        <f t="shared" si="156"/>
        <v>#DIV/0!</v>
      </c>
      <c r="Q289" s="81" t="e">
        <f t="shared" si="157"/>
        <v>#DIV/0!</v>
      </c>
      <c r="R289" s="82">
        <f t="shared" ref="R289:R299" si="169">D289-M289</f>
        <v>-528.75</v>
      </c>
      <c r="S289" s="83" t="e">
        <f t="shared" si="158"/>
        <v>#DIV/0!</v>
      </c>
      <c r="T289" s="84"/>
      <c r="U289" s="84"/>
      <c r="V289" s="84"/>
      <c r="W289" s="84"/>
      <c r="X289" s="85"/>
      <c r="Y289" s="68"/>
      <c r="Z289" s="68"/>
    </row>
    <row r="290" spans="1:26" ht="12.75" hidden="1" outlineLevel="1" x14ac:dyDescent="0.2">
      <c r="A290" s="68"/>
      <c r="B290" s="86"/>
      <c r="C290" s="70" t="s">
        <v>113</v>
      </c>
      <c r="D290" s="284"/>
      <c r="E290" s="283"/>
      <c r="F290" s="283"/>
      <c r="G290" s="74" t="e">
        <f t="shared" si="151"/>
        <v>#DIV/0!</v>
      </c>
      <c r="H290" s="75" t="e">
        <f t="shared" si="152"/>
        <v>#DIV/0!</v>
      </c>
      <c r="I290" s="76" t="e">
        <f t="shared" si="153"/>
        <v>#DIV/0!</v>
      </c>
      <c r="J290" s="87">
        <v>0</v>
      </c>
      <c r="K290" s="199">
        <v>0</v>
      </c>
      <c r="L290" s="283"/>
      <c r="M290" s="88">
        <v>0</v>
      </c>
      <c r="N290" s="79" t="e">
        <f t="shared" si="164"/>
        <v>#DIV/0!</v>
      </c>
      <c r="O290" s="80" t="e">
        <f t="shared" si="155"/>
        <v>#DIV/0!</v>
      </c>
      <c r="P290" s="79" t="e">
        <f t="shared" si="156"/>
        <v>#DIV/0!</v>
      </c>
      <c r="Q290" s="81" t="e">
        <f t="shared" si="157"/>
        <v>#DIV/0!</v>
      </c>
      <c r="R290" s="89">
        <f t="shared" si="169"/>
        <v>0</v>
      </c>
      <c r="S290" s="83" t="e">
        <f t="shared" si="158"/>
        <v>#DIV/0!</v>
      </c>
      <c r="T290" s="84"/>
      <c r="U290" s="84"/>
      <c r="V290" s="84"/>
      <c r="W290" s="84"/>
      <c r="X290" s="85"/>
      <c r="Y290" s="68"/>
      <c r="Z290" s="68"/>
    </row>
    <row r="291" spans="1:26" ht="12.75" hidden="1" outlineLevel="1" x14ac:dyDescent="0.2">
      <c r="A291" s="68"/>
      <c r="B291" s="86"/>
      <c r="C291" s="70" t="s">
        <v>114</v>
      </c>
      <c r="D291" s="285"/>
      <c r="E291" s="283"/>
      <c r="F291" s="283"/>
      <c r="G291" s="74" t="e">
        <f t="shared" si="151"/>
        <v>#DIV/0!</v>
      </c>
      <c r="H291" s="75" t="e">
        <f t="shared" si="152"/>
        <v>#DIV/0!</v>
      </c>
      <c r="I291" s="76" t="e">
        <f t="shared" si="153"/>
        <v>#DIV/0!</v>
      </c>
      <c r="J291" s="90">
        <v>0.91</v>
      </c>
      <c r="K291" s="199">
        <v>640</v>
      </c>
      <c r="L291" s="283"/>
      <c r="M291" s="91">
        <v>0</v>
      </c>
      <c r="N291" s="79" t="e">
        <f>(J291/M291)</f>
        <v>#DIV/0!</v>
      </c>
      <c r="O291" s="80">
        <f t="shared" si="155"/>
        <v>0</v>
      </c>
      <c r="P291" s="79" t="e">
        <f t="shared" si="156"/>
        <v>#DIV/0!</v>
      </c>
      <c r="Q291" s="81" t="e">
        <f t="shared" si="157"/>
        <v>#DIV/0!</v>
      </c>
      <c r="R291" s="92">
        <f t="shared" si="169"/>
        <v>0</v>
      </c>
      <c r="S291" s="83" t="e">
        <f t="shared" si="158"/>
        <v>#DIV/0!</v>
      </c>
      <c r="T291" s="84"/>
      <c r="U291" s="84"/>
      <c r="V291" s="84"/>
      <c r="W291" s="84"/>
      <c r="X291" s="85"/>
      <c r="Y291" s="68"/>
      <c r="Z291" s="68"/>
    </row>
    <row r="292" spans="1:26" ht="12.75" hidden="1" outlineLevel="1" x14ac:dyDescent="0.2">
      <c r="A292" s="68"/>
      <c r="B292" s="86"/>
      <c r="C292" s="70" t="s">
        <v>115</v>
      </c>
      <c r="D292" s="285"/>
      <c r="E292" s="283"/>
      <c r="F292" s="283"/>
      <c r="G292" s="74" t="e">
        <f t="shared" si="151"/>
        <v>#DIV/0!</v>
      </c>
      <c r="H292" s="75" t="e">
        <f t="shared" si="152"/>
        <v>#DIV/0!</v>
      </c>
      <c r="I292" s="76" t="e">
        <f t="shared" si="153"/>
        <v>#DIV/0!</v>
      </c>
      <c r="J292" s="90">
        <v>93.38</v>
      </c>
      <c r="K292" s="199">
        <v>20458</v>
      </c>
      <c r="L292" s="283"/>
      <c r="M292" s="91">
        <v>269.77999999999997</v>
      </c>
      <c r="N292" s="79">
        <f t="shared" ref="N292:N302" si="170">J292/M292</f>
        <v>0.34613388687078361</v>
      </c>
      <c r="O292" s="80">
        <f t="shared" si="155"/>
        <v>2.8890554722638679</v>
      </c>
      <c r="P292" s="79" t="e">
        <f t="shared" si="156"/>
        <v>#DIV/0!</v>
      </c>
      <c r="Q292" s="81" t="e">
        <f t="shared" si="157"/>
        <v>#DIV/0!</v>
      </c>
      <c r="R292" s="92">
        <f t="shared" si="169"/>
        <v>-269.77999999999997</v>
      </c>
      <c r="S292" s="83" t="e">
        <f t="shared" si="158"/>
        <v>#DIV/0!</v>
      </c>
      <c r="T292" s="84"/>
      <c r="U292" s="84"/>
      <c r="V292" s="84"/>
      <c r="W292" s="84"/>
      <c r="X292" s="85"/>
      <c r="Y292" s="68"/>
      <c r="Z292" s="68"/>
    </row>
    <row r="293" spans="1:26" ht="12.75" hidden="1" outlineLevel="1" x14ac:dyDescent="0.2">
      <c r="A293" s="68"/>
      <c r="B293" s="86"/>
      <c r="C293" s="70" t="s">
        <v>116</v>
      </c>
      <c r="D293" s="286"/>
      <c r="E293" s="283"/>
      <c r="F293" s="283"/>
      <c r="G293" s="74" t="e">
        <f t="shared" si="151"/>
        <v>#DIV/0!</v>
      </c>
      <c r="H293" s="75" t="e">
        <f t="shared" si="152"/>
        <v>#DIV/0!</v>
      </c>
      <c r="I293" s="76" t="e">
        <f t="shared" si="153"/>
        <v>#DIV/0!</v>
      </c>
      <c r="J293" s="200">
        <v>11.67</v>
      </c>
      <c r="K293" s="199">
        <v>2447</v>
      </c>
      <c r="L293" s="283"/>
      <c r="M293" s="200">
        <v>0</v>
      </c>
      <c r="N293" s="79" t="e">
        <f t="shared" si="170"/>
        <v>#DIV/0!</v>
      </c>
      <c r="O293" s="80">
        <f t="shared" si="155"/>
        <v>0</v>
      </c>
      <c r="P293" s="79" t="e">
        <f t="shared" si="156"/>
        <v>#DIV/0!</v>
      </c>
      <c r="Q293" s="81" t="e">
        <f t="shared" si="157"/>
        <v>#DIV/0!</v>
      </c>
      <c r="R293" s="92">
        <f t="shared" si="169"/>
        <v>0</v>
      </c>
      <c r="S293" s="83" t="e">
        <f t="shared" si="158"/>
        <v>#DIV/0!</v>
      </c>
      <c r="T293" s="84"/>
      <c r="U293" s="84"/>
      <c r="V293" s="84"/>
      <c r="W293" s="84"/>
      <c r="X293" s="85"/>
      <c r="Y293" s="68"/>
      <c r="Z293" s="68"/>
    </row>
    <row r="294" spans="1:26" ht="12.75" hidden="1" outlineLevel="1" x14ac:dyDescent="0.2">
      <c r="A294" s="68"/>
      <c r="B294" s="86"/>
      <c r="C294" s="70" t="s">
        <v>117</v>
      </c>
      <c r="D294" s="287"/>
      <c r="E294" s="283"/>
      <c r="F294" s="283"/>
      <c r="G294" s="74" t="e">
        <f t="shared" si="151"/>
        <v>#DIV/0!</v>
      </c>
      <c r="H294" s="75" t="e">
        <f t="shared" si="152"/>
        <v>#DIV/0!</v>
      </c>
      <c r="I294" s="76" t="e">
        <f t="shared" si="153"/>
        <v>#DIV/0!</v>
      </c>
      <c r="J294" s="201">
        <v>23.99</v>
      </c>
      <c r="K294" s="199">
        <v>5546</v>
      </c>
      <c r="L294" s="283"/>
      <c r="M294" s="202">
        <v>134.85</v>
      </c>
      <c r="N294" s="79">
        <f t="shared" si="170"/>
        <v>0.17790137189469782</v>
      </c>
      <c r="O294" s="80">
        <f t="shared" si="155"/>
        <v>5.6210921217173819</v>
      </c>
      <c r="P294" s="79" t="e">
        <f t="shared" si="156"/>
        <v>#DIV/0!</v>
      </c>
      <c r="Q294" s="81" t="e">
        <f t="shared" si="157"/>
        <v>#DIV/0!</v>
      </c>
      <c r="R294" s="203">
        <f t="shared" si="169"/>
        <v>-134.85</v>
      </c>
      <c r="S294" s="83" t="e">
        <f t="shared" si="158"/>
        <v>#DIV/0!</v>
      </c>
      <c r="T294" s="84"/>
      <c r="U294" s="84"/>
      <c r="V294" s="84"/>
      <c r="W294" s="84"/>
      <c r="X294" s="85"/>
      <c r="Y294" s="68"/>
      <c r="Z294" s="68"/>
    </row>
    <row r="295" spans="1:26" ht="12.75" hidden="1" outlineLevel="1" x14ac:dyDescent="0.2">
      <c r="A295" s="68"/>
      <c r="B295" s="86"/>
      <c r="C295" s="70" t="s">
        <v>118</v>
      </c>
      <c r="D295" s="285"/>
      <c r="E295" s="283"/>
      <c r="F295" s="283"/>
      <c r="G295" s="74" t="e">
        <f t="shared" si="151"/>
        <v>#DIV/0!</v>
      </c>
      <c r="H295" s="75" t="e">
        <f t="shared" si="152"/>
        <v>#DIV/0!</v>
      </c>
      <c r="I295" s="76" t="e">
        <f t="shared" si="153"/>
        <v>#DIV/0!</v>
      </c>
      <c r="J295" s="90">
        <v>44.97</v>
      </c>
      <c r="K295" s="199">
        <v>10031</v>
      </c>
      <c r="L295" s="283"/>
      <c r="M295" s="91">
        <v>239.15</v>
      </c>
      <c r="N295" s="79">
        <f t="shared" si="170"/>
        <v>0.18804097846539827</v>
      </c>
      <c r="O295" s="80">
        <f t="shared" si="155"/>
        <v>5.317989770958417</v>
      </c>
      <c r="P295" s="79" t="e">
        <f t="shared" si="156"/>
        <v>#DIV/0!</v>
      </c>
      <c r="Q295" s="81" t="e">
        <f t="shared" si="157"/>
        <v>#DIV/0!</v>
      </c>
      <c r="R295" s="92">
        <f t="shared" si="169"/>
        <v>-239.15</v>
      </c>
      <c r="S295" s="83" t="e">
        <f t="shared" si="158"/>
        <v>#DIV/0!</v>
      </c>
      <c r="T295" s="84"/>
      <c r="U295" s="84"/>
      <c r="V295" s="84"/>
      <c r="W295" s="84"/>
      <c r="X295" s="85"/>
      <c r="Y295" s="68"/>
      <c r="Z295" s="68"/>
    </row>
    <row r="296" spans="1:26" ht="12.75" hidden="1" outlineLevel="1" x14ac:dyDescent="0.2">
      <c r="A296" s="68"/>
      <c r="B296" s="69" t="s">
        <v>37</v>
      </c>
      <c r="C296" s="70" t="s">
        <v>119</v>
      </c>
      <c r="D296" s="288"/>
      <c r="E296" s="283"/>
      <c r="F296" s="283"/>
      <c r="G296" s="74" t="e">
        <f t="shared" si="151"/>
        <v>#DIV/0!</v>
      </c>
      <c r="H296" s="75" t="e">
        <f t="shared" si="152"/>
        <v>#DIV/0!</v>
      </c>
      <c r="I296" s="76" t="e">
        <f t="shared" si="153"/>
        <v>#DIV/0!</v>
      </c>
      <c r="J296" s="93">
        <v>51.82</v>
      </c>
      <c r="K296" s="199">
        <v>8704</v>
      </c>
      <c r="L296" s="283"/>
      <c r="M296" s="94">
        <v>439.95</v>
      </c>
      <c r="N296" s="79">
        <f t="shared" si="170"/>
        <v>0.11778611205818844</v>
      </c>
      <c r="O296" s="80">
        <f t="shared" si="155"/>
        <v>8.4899652643766874</v>
      </c>
      <c r="P296" s="79" t="e">
        <f t="shared" si="156"/>
        <v>#DIV/0!</v>
      </c>
      <c r="Q296" s="81" t="e">
        <f t="shared" si="157"/>
        <v>#DIV/0!</v>
      </c>
      <c r="R296" s="95">
        <f t="shared" si="169"/>
        <v>-439.95</v>
      </c>
      <c r="S296" s="83" t="e">
        <f t="shared" si="158"/>
        <v>#DIV/0!</v>
      </c>
      <c r="T296" s="84"/>
      <c r="U296" s="84"/>
      <c r="V296" s="84"/>
      <c r="W296" s="84"/>
      <c r="X296" s="85"/>
      <c r="Y296" s="68"/>
      <c r="Z296" s="68"/>
    </row>
    <row r="297" spans="1:26" ht="12.75" hidden="1" outlineLevel="1" x14ac:dyDescent="0.2">
      <c r="A297" s="68"/>
      <c r="B297" s="86"/>
      <c r="C297" s="70" t="s">
        <v>120</v>
      </c>
      <c r="D297" s="289"/>
      <c r="E297" s="283"/>
      <c r="F297" s="283"/>
      <c r="G297" s="74" t="e">
        <f t="shared" si="151"/>
        <v>#DIV/0!</v>
      </c>
      <c r="H297" s="75" t="e">
        <f t="shared" si="152"/>
        <v>#DIV/0!</v>
      </c>
      <c r="I297" s="76" t="e">
        <f t="shared" si="153"/>
        <v>#DIV/0!</v>
      </c>
      <c r="J297" s="96">
        <v>40.07</v>
      </c>
      <c r="K297" s="199">
        <v>10014</v>
      </c>
      <c r="L297" s="283"/>
      <c r="M297" s="97">
        <v>290.87</v>
      </c>
      <c r="N297" s="79">
        <f t="shared" si="170"/>
        <v>0.1377591363839516</v>
      </c>
      <c r="O297" s="80">
        <f t="shared" si="155"/>
        <v>7.2590466683304218</v>
      </c>
      <c r="P297" s="79" t="e">
        <f t="shared" si="156"/>
        <v>#DIV/0!</v>
      </c>
      <c r="Q297" s="81" t="e">
        <f t="shared" si="157"/>
        <v>#DIV/0!</v>
      </c>
      <c r="R297" s="98">
        <f t="shared" si="169"/>
        <v>-290.87</v>
      </c>
      <c r="S297" s="83" t="e">
        <f t="shared" si="158"/>
        <v>#DIV/0!</v>
      </c>
      <c r="T297" s="84"/>
      <c r="U297" s="84"/>
      <c r="V297" s="84"/>
      <c r="W297" s="84"/>
      <c r="X297" s="85"/>
      <c r="Y297" s="68"/>
      <c r="Z297" s="68"/>
    </row>
    <row r="298" spans="1:26" ht="12.75" hidden="1" outlineLevel="1" x14ac:dyDescent="0.2">
      <c r="A298" s="68"/>
      <c r="B298" s="86"/>
      <c r="C298" s="70" t="s">
        <v>121</v>
      </c>
      <c r="D298" s="290"/>
      <c r="E298" s="283"/>
      <c r="F298" s="283"/>
      <c r="G298" s="74" t="e">
        <f t="shared" si="151"/>
        <v>#DIV/0!</v>
      </c>
      <c r="H298" s="75" t="e">
        <f t="shared" si="152"/>
        <v>#DIV/0!</v>
      </c>
      <c r="I298" s="76" t="e">
        <f t="shared" si="153"/>
        <v>#DIV/0!</v>
      </c>
      <c r="J298" s="99">
        <v>32.56</v>
      </c>
      <c r="K298" s="199">
        <v>10561</v>
      </c>
      <c r="L298" s="283"/>
      <c r="M298" s="100">
        <v>0</v>
      </c>
      <c r="N298" s="79" t="e">
        <f t="shared" si="170"/>
        <v>#DIV/0!</v>
      </c>
      <c r="O298" s="80">
        <f t="shared" si="155"/>
        <v>0</v>
      </c>
      <c r="P298" s="79" t="e">
        <f t="shared" si="156"/>
        <v>#DIV/0!</v>
      </c>
      <c r="Q298" s="81" t="e">
        <f t="shared" si="157"/>
        <v>#DIV/0!</v>
      </c>
      <c r="R298" s="101">
        <f t="shared" si="169"/>
        <v>0</v>
      </c>
      <c r="S298" s="83" t="e">
        <f t="shared" si="158"/>
        <v>#DIV/0!</v>
      </c>
      <c r="T298" s="84"/>
      <c r="U298" s="84"/>
      <c r="V298" s="84"/>
      <c r="W298" s="84"/>
      <c r="X298" s="85"/>
      <c r="Y298" s="68"/>
      <c r="Z298" s="68"/>
    </row>
    <row r="299" spans="1:26" ht="12.75" hidden="1" outlineLevel="1" x14ac:dyDescent="0.2">
      <c r="A299" s="118" t="str">
        <f t="shared" ref="A299:A300" si="171">IFERROR(IF(B299&gt;0,MONTH(B299)&amp;"-"&amp;YEAR(B299),B299),)</f>
        <v>8-2025</v>
      </c>
      <c r="B299" s="69">
        <v>45878</v>
      </c>
      <c r="C299" s="70" t="s">
        <v>123</v>
      </c>
      <c r="D299" s="293"/>
      <c r="E299" s="283"/>
      <c r="F299" s="283"/>
      <c r="G299" s="74" t="e">
        <f t="shared" si="151"/>
        <v>#DIV/0!</v>
      </c>
      <c r="H299" s="75" t="e">
        <f t="shared" si="152"/>
        <v>#DIV/0!</v>
      </c>
      <c r="I299" s="76" t="e">
        <f t="shared" si="153"/>
        <v>#DIV/0!</v>
      </c>
      <c r="J299" s="87">
        <v>0</v>
      </c>
      <c r="K299" s="199">
        <v>0</v>
      </c>
      <c r="L299" s="283"/>
      <c r="M299" s="88">
        <v>0</v>
      </c>
      <c r="N299" s="79" t="e">
        <f t="shared" si="170"/>
        <v>#DIV/0!</v>
      </c>
      <c r="O299" s="80" t="e">
        <f t="shared" si="155"/>
        <v>#DIV/0!</v>
      </c>
      <c r="P299" s="79" t="e">
        <f t="shared" si="156"/>
        <v>#DIV/0!</v>
      </c>
      <c r="Q299" s="81" t="e">
        <f t="shared" si="157"/>
        <v>#DIV/0!</v>
      </c>
      <c r="R299" s="82">
        <f t="shared" si="169"/>
        <v>0</v>
      </c>
      <c r="S299" s="83" t="e">
        <f t="shared" si="158"/>
        <v>#DIV/0!</v>
      </c>
      <c r="T299" s="84"/>
      <c r="U299" s="84"/>
      <c r="V299" s="84"/>
      <c r="W299" s="84"/>
      <c r="X299" s="85"/>
      <c r="Y299" s="68"/>
      <c r="Z299" s="68"/>
    </row>
    <row r="300" spans="1:26" ht="12.75" collapsed="1" x14ac:dyDescent="0.2">
      <c r="A300" s="68">
        <f t="shared" si="171"/>
        <v>0</v>
      </c>
      <c r="B300" s="52" t="s">
        <v>90</v>
      </c>
      <c r="C300" s="120"/>
      <c r="D300" s="121">
        <f t="shared" ref="D300:F300" si="172">SUM(D289:D299)</f>
        <v>0</v>
      </c>
      <c r="E300" s="123">
        <f t="shared" si="172"/>
        <v>0</v>
      </c>
      <c r="F300" s="123">
        <f t="shared" si="172"/>
        <v>0</v>
      </c>
      <c r="G300" s="124" t="e">
        <f t="shared" si="151"/>
        <v>#DIV/0!</v>
      </c>
      <c r="H300" s="125" t="e">
        <f t="shared" si="152"/>
        <v>#DIV/0!</v>
      </c>
      <c r="I300" s="126" t="e">
        <f t="shared" si="153"/>
        <v>#DIV/0!</v>
      </c>
      <c r="J300" s="121">
        <f t="shared" ref="J300:M300" si="173">SUM(J289:J299)</f>
        <v>604.87000000000012</v>
      </c>
      <c r="K300" s="294">
        <f t="shared" si="173"/>
        <v>156306</v>
      </c>
      <c r="L300" s="123">
        <f t="shared" si="173"/>
        <v>0</v>
      </c>
      <c r="M300" s="127">
        <f t="shared" si="173"/>
        <v>1903.35</v>
      </c>
      <c r="N300" s="128">
        <f t="shared" si="170"/>
        <v>0.31779231355242082</v>
      </c>
      <c r="O300" s="129">
        <f t="shared" si="155"/>
        <v>3.1467092102435226</v>
      </c>
      <c r="P300" s="128" t="e">
        <f t="shared" si="156"/>
        <v>#DIV/0!</v>
      </c>
      <c r="Q300" s="130" t="e">
        <f t="shared" si="157"/>
        <v>#DIV/0!</v>
      </c>
      <c r="R300" s="131">
        <f>SUM(R289:R299)</f>
        <v>-1903.35</v>
      </c>
      <c r="S300" s="132" t="e">
        <f t="shared" si="158"/>
        <v>#DIV/0!</v>
      </c>
      <c r="T300" s="134">
        <f t="shared" ref="T300:U300" si="174">IFERROR((D300-D48)/D300,)</f>
        <v>0</v>
      </c>
      <c r="U300" s="134">
        <f t="shared" si="174"/>
        <v>0</v>
      </c>
      <c r="V300" s="134" t="s">
        <v>139</v>
      </c>
      <c r="W300" s="134" t="s">
        <v>139</v>
      </c>
      <c r="X300" s="68"/>
      <c r="Y300" s="68"/>
      <c r="Z300" s="68"/>
    </row>
    <row r="301" spans="1:26" ht="12.75" hidden="1" outlineLevel="1" x14ac:dyDescent="0.2">
      <c r="A301" s="68"/>
      <c r="B301" s="69">
        <v>45879</v>
      </c>
      <c r="C301" s="70" t="s">
        <v>112</v>
      </c>
      <c r="D301" s="282"/>
      <c r="E301" s="283"/>
      <c r="F301" s="283"/>
      <c r="G301" s="74" t="e">
        <f t="shared" si="151"/>
        <v>#DIV/0!</v>
      </c>
      <c r="H301" s="75" t="e">
        <f t="shared" si="152"/>
        <v>#DIV/0!</v>
      </c>
      <c r="I301" s="76" t="e">
        <f t="shared" si="153"/>
        <v>#DIV/0!</v>
      </c>
      <c r="J301" s="77">
        <v>666.28</v>
      </c>
      <c r="K301" s="199">
        <v>126695</v>
      </c>
      <c r="L301" s="283"/>
      <c r="M301" s="78">
        <v>1305</v>
      </c>
      <c r="N301" s="79">
        <f t="shared" si="170"/>
        <v>0.51055938697318004</v>
      </c>
      <c r="O301" s="80">
        <f t="shared" si="155"/>
        <v>1.9586360088851535</v>
      </c>
      <c r="P301" s="79" t="e">
        <f t="shared" si="156"/>
        <v>#DIV/0!</v>
      </c>
      <c r="Q301" s="81" t="e">
        <f t="shared" si="157"/>
        <v>#DIV/0!</v>
      </c>
      <c r="R301" s="82">
        <f t="shared" ref="R301:R311" si="175">D301-M301</f>
        <v>-1305</v>
      </c>
      <c r="S301" s="83" t="e">
        <f t="shared" si="158"/>
        <v>#DIV/0!</v>
      </c>
      <c r="T301" s="84"/>
      <c r="U301" s="84"/>
      <c r="V301" s="84"/>
      <c r="W301" s="84"/>
      <c r="X301" s="85"/>
      <c r="Y301" s="68"/>
      <c r="Z301" s="68"/>
    </row>
    <row r="302" spans="1:26" ht="12.75" hidden="1" outlineLevel="1" x14ac:dyDescent="0.2">
      <c r="A302" s="68"/>
      <c r="B302" s="86"/>
      <c r="C302" s="70" t="s">
        <v>113</v>
      </c>
      <c r="D302" s="284"/>
      <c r="E302" s="283"/>
      <c r="F302" s="283"/>
      <c r="G302" s="74" t="e">
        <f t="shared" si="151"/>
        <v>#DIV/0!</v>
      </c>
      <c r="H302" s="75" t="e">
        <f t="shared" si="152"/>
        <v>#DIV/0!</v>
      </c>
      <c r="I302" s="76" t="e">
        <f t="shared" si="153"/>
        <v>#DIV/0!</v>
      </c>
      <c r="J302" s="87">
        <v>0</v>
      </c>
      <c r="K302" s="199">
        <v>0</v>
      </c>
      <c r="L302" s="283"/>
      <c r="M302" s="88">
        <v>0</v>
      </c>
      <c r="N302" s="79" t="e">
        <f t="shared" si="170"/>
        <v>#DIV/0!</v>
      </c>
      <c r="O302" s="80" t="e">
        <f t="shared" si="155"/>
        <v>#DIV/0!</v>
      </c>
      <c r="P302" s="79" t="e">
        <f t="shared" si="156"/>
        <v>#DIV/0!</v>
      </c>
      <c r="Q302" s="81" t="e">
        <f t="shared" si="157"/>
        <v>#DIV/0!</v>
      </c>
      <c r="R302" s="89">
        <f t="shared" si="175"/>
        <v>0</v>
      </c>
      <c r="S302" s="83" t="e">
        <f t="shared" si="158"/>
        <v>#DIV/0!</v>
      </c>
      <c r="T302" s="84"/>
      <c r="U302" s="84"/>
      <c r="V302" s="84"/>
      <c r="W302" s="84"/>
      <c r="X302" s="85"/>
      <c r="Y302" s="68"/>
      <c r="Z302" s="68"/>
    </row>
    <row r="303" spans="1:26" ht="12.75" hidden="1" outlineLevel="1" x14ac:dyDescent="0.2">
      <c r="A303" s="68"/>
      <c r="B303" s="86"/>
      <c r="C303" s="70" t="s">
        <v>114</v>
      </c>
      <c r="D303" s="285"/>
      <c r="E303" s="283"/>
      <c r="F303" s="283"/>
      <c r="G303" s="74" t="e">
        <f t="shared" si="151"/>
        <v>#DIV/0!</v>
      </c>
      <c r="H303" s="75" t="e">
        <f t="shared" si="152"/>
        <v>#DIV/0!</v>
      </c>
      <c r="I303" s="76" t="e">
        <f t="shared" si="153"/>
        <v>#DIV/0!</v>
      </c>
      <c r="J303" s="90">
        <v>7.27</v>
      </c>
      <c r="K303" s="199">
        <v>1200</v>
      </c>
      <c r="L303" s="283"/>
      <c r="M303" s="91">
        <v>54.99</v>
      </c>
      <c r="N303" s="79">
        <f>(J303/M303)</f>
        <v>0.13220585561011092</v>
      </c>
      <c r="O303" s="80">
        <f t="shared" si="155"/>
        <v>7.5639614855570843</v>
      </c>
      <c r="P303" s="79" t="e">
        <f t="shared" si="156"/>
        <v>#DIV/0!</v>
      </c>
      <c r="Q303" s="81" t="e">
        <f t="shared" si="157"/>
        <v>#DIV/0!</v>
      </c>
      <c r="R303" s="92">
        <f t="shared" si="175"/>
        <v>-54.99</v>
      </c>
      <c r="S303" s="83" t="e">
        <f t="shared" si="158"/>
        <v>#DIV/0!</v>
      </c>
      <c r="T303" s="84"/>
      <c r="U303" s="84"/>
      <c r="V303" s="84"/>
      <c r="W303" s="84"/>
      <c r="X303" s="85"/>
      <c r="Y303" s="68"/>
      <c r="Z303" s="68"/>
    </row>
    <row r="304" spans="1:26" ht="12.75" hidden="1" outlineLevel="1" x14ac:dyDescent="0.2">
      <c r="A304" s="68"/>
      <c r="B304" s="86"/>
      <c r="C304" s="70" t="s">
        <v>115</v>
      </c>
      <c r="D304" s="285"/>
      <c r="E304" s="283"/>
      <c r="F304" s="283"/>
      <c r="G304" s="74" t="e">
        <f t="shared" si="151"/>
        <v>#DIV/0!</v>
      </c>
      <c r="H304" s="75" t="e">
        <f t="shared" si="152"/>
        <v>#DIV/0!</v>
      </c>
      <c r="I304" s="76" t="e">
        <f t="shared" si="153"/>
        <v>#DIV/0!</v>
      </c>
      <c r="J304" s="90">
        <v>193.57</v>
      </c>
      <c r="K304" s="199">
        <v>21580</v>
      </c>
      <c r="L304" s="283"/>
      <c r="M304" s="91">
        <v>329.73</v>
      </c>
      <c r="N304" s="79">
        <f t="shared" ref="N304:N314" si="176">J304/M304</f>
        <v>0.58705607618354405</v>
      </c>
      <c r="O304" s="80">
        <f t="shared" si="155"/>
        <v>1.7034147853489696</v>
      </c>
      <c r="P304" s="79" t="e">
        <f t="shared" si="156"/>
        <v>#DIV/0!</v>
      </c>
      <c r="Q304" s="81" t="e">
        <f t="shared" si="157"/>
        <v>#DIV/0!</v>
      </c>
      <c r="R304" s="92">
        <f t="shared" si="175"/>
        <v>-329.73</v>
      </c>
      <c r="S304" s="83" t="e">
        <f t="shared" si="158"/>
        <v>#DIV/0!</v>
      </c>
      <c r="T304" s="84"/>
      <c r="U304" s="84"/>
      <c r="V304" s="84"/>
      <c r="W304" s="84"/>
      <c r="X304" s="85"/>
      <c r="Y304" s="68"/>
      <c r="Z304" s="68"/>
    </row>
    <row r="305" spans="1:26" ht="12.75" hidden="1" outlineLevel="1" x14ac:dyDescent="0.2">
      <c r="A305" s="68"/>
      <c r="B305" s="86"/>
      <c r="C305" s="70" t="s">
        <v>116</v>
      </c>
      <c r="D305" s="286"/>
      <c r="E305" s="283"/>
      <c r="F305" s="283"/>
      <c r="G305" s="74" t="e">
        <f t="shared" si="151"/>
        <v>#DIV/0!</v>
      </c>
      <c r="H305" s="75" t="e">
        <f t="shared" si="152"/>
        <v>#DIV/0!</v>
      </c>
      <c r="I305" s="76" t="e">
        <f t="shared" si="153"/>
        <v>#DIV/0!</v>
      </c>
      <c r="J305" s="200">
        <v>50.07</v>
      </c>
      <c r="K305" s="199">
        <v>8043</v>
      </c>
      <c r="L305" s="283"/>
      <c r="M305" s="200">
        <v>0</v>
      </c>
      <c r="N305" s="79" t="e">
        <f t="shared" si="176"/>
        <v>#DIV/0!</v>
      </c>
      <c r="O305" s="80">
        <f t="shared" si="155"/>
        <v>0</v>
      </c>
      <c r="P305" s="79" t="e">
        <f t="shared" si="156"/>
        <v>#DIV/0!</v>
      </c>
      <c r="Q305" s="81" t="e">
        <f t="shared" si="157"/>
        <v>#DIV/0!</v>
      </c>
      <c r="R305" s="92">
        <f t="shared" si="175"/>
        <v>0</v>
      </c>
      <c r="S305" s="83" t="e">
        <f t="shared" si="158"/>
        <v>#DIV/0!</v>
      </c>
      <c r="T305" s="84"/>
      <c r="U305" s="84"/>
      <c r="V305" s="84"/>
      <c r="W305" s="84"/>
      <c r="X305" s="85"/>
      <c r="Y305" s="68"/>
      <c r="Z305" s="68"/>
    </row>
    <row r="306" spans="1:26" ht="12.75" hidden="1" outlineLevel="1" x14ac:dyDescent="0.2">
      <c r="A306" s="68"/>
      <c r="B306" s="86"/>
      <c r="C306" s="70" t="s">
        <v>117</v>
      </c>
      <c r="D306" s="287"/>
      <c r="E306" s="283"/>
      <c r="F306" s="283"/>
      <c r="G306" s="74" t="e">
        <f t="shared" si="151"/>
        <v>#DIV/0!</v>
      </c>
      <c r="H306" s="75" t="e">
        <f t="shared" si="152"/>
        <v>#DIV/0!</v>
      </c>
      <c r="I306" s="76" t="e">
        <f t="shared" si="153"/>
        <v>#DIV/0!</v>
      </c>
      <c r="J306" s="201">
        <v>29.56</v>
      </c>
      <c r="K306" s="199">
        <v>6368</v>
      </c>
      <c r="L306" s="283"/>
      <c r="M306" s="202">
        <v>0</v>
      </c>
      <c r="N306" s="79" t="e">
        <f t="shared" si="176"/>
        <v>#DIV/0!</v>
      </c>
      <c r="O306" s="80">
        <f t="shared" si="155"/>
        <v>0</v>
      </c>
      <c r="P306" s="79" t="e">
        <f t="shared" si="156"/>
        <v>#DIV/0!</v>
      </c>
      <c r="Q306" s="81" t="e">
        <f t="shared" si="157"/>
        <v>#DIV/0!</v>
      </c>
      <c r="R306" s="203">
        <f t="shared" si="175"/>
        <v>0</v>
      </c>
      <c r="S306" s="83" t="e">
        <f t="shared" si="158"/>
        <v>#DIV/0!</v>
      </c>
      <c r="T306" s="84"/>
      <c r="U306" s="84"/>
      <c r="V306" s="84"/>
      <c r="W306" s="84"/>
      <c r="X306" s="85"/>
      <c r="Y306" s="68"/>
      <c r="Z306" s="68"/>
    </row>
    <row r="307" spans="1:26" ht="12.75" hidden="1" outlineLevel="1" x14ac:dyDescent="0.2">
      <c r="A307" s="68"/>
      <c r="B307" s="86"/>
      <c r="C307" s="70" t="s">
        <v>118</v>
      </c>
      <c r="D307" s="285"/>
      <c r="E307" s="283"/>
      <c r="F307" s="283"/>
      <c r="G307" s="74" t="e">
        <f t="shared" si="151"/>
        <v>#DIV/0!</v>
      </c>
      <c r="H307" s="75" t="e">
        <f t="shared" si="152"/>
        <v>#DIV/0!</v>
      </c>
      <c r="I307" s="76" t="e">
        <f t="shared" si="153"/>
        <v>#DIV/0!</v>
      </c>
      <c r="J307" s="90">
        <v>16.79</v>
      </c>
      <c r="K307" s="199">
        <v>3270</v>
      </c>
      <c r="L307" s="283"/>
      <c r="M307" s="91">
        <v>0</v>
      </c>
      <c r="N307" s="79" t="e">
        <f t="shared" si="176"/>
        <v>#DIV/0!</v>
      </c>
      <c r="O307" s="80">
        <f t="shared" si="155"/>
        <v>0</v>
      </c>
      <c r="P307" s="79" t="e">
        <f t="shared" si="156"/>
        <v>#DIV/0!</v>
      </c>
      <c r="Q307" s="81" t="e">
        <f t="shared" si="157"/>
        <v>#DIV/0!</v>
      </c>
      <c r="R307" s="92">
        <f t="shared" si="175"/>
        <v>0</v>
      </c>
      <c r="S307" s="83" t="e">
        <f t="shared" si="158"/>
        <v>#DIV/0!</v>
      </c>
      <c r="T307" s="84"/>
      <c r="U307" s="84"/>
      <c r="V307" s="84"/>
      <c r="W307" s="84"/>
      <c r="X307" s="85"/>
      <c r="Y307" s="68"/>
      <c r="Z307" s="68"/>
    </row>
    <row r="308" spans="1:26" ht="12.75" hidden="1" outlineLevel="1" x14ac:dyDescent="0.2">
      <c r="A308" s="68"/>
      <c r="B308" s="69" t="s">
        <v>37</v>
      </c>
      <c r="C308" s="70" t="s">
        <v>119</v>
      </c>
      <c r="D308" s="288"/>
      <c r="E308" s="283"/>
      <c r="F308" s="283"/>
      <c r="G308" s="74" t="e">
        <f t="shared" si="151"/>
        <v>#DIV/0!</v>
      </c>
      <c r="H308" s="75" t="e">
        <f t="shared" si="152"/>
        <v>#DIV/0!</v>
      </c>
      <c r="I308" s="76" t="e">
        <f t="shared" si="153"/>
        <v>#DIV/0!</v>
      </c>
      <c r="J308" s="93">
        <v>23.78</v>
      </c>
      <c r="K308" s="199">
        <v>5316</v>
      </c>
      <c r="L308" s="283"/>
      <c r="M308" s="94">
        <v>393.9</v>
      </c>
      <c r="N308" s="79">
        <f t="shared" si="176"/>
        <v>6.0370652449860375E-2</v>
      </c>
      <c r="O308" s="80">
        <f t="shared" si="155"/>
        <v>16.564339781328847</v>
      </c>
      <c r="P308" s="79" t="e">
        <f t="shared" si="156"/>
        <v>#DIV/0!</v>
      </c>
      <c r="Q308" s="81" t="e">
        <f t="shared" si="157"/>
        <v>#DIV/0!</v>
      </c>
      <c r="R308" s="95">
        <f t="shared" si="175"/>
        <v>-393.9</v>
      </c>
      <c r="S308" s="83" t="e">
        <f t="shared" si="158"/>
        <v>#DIV/0!</v>
      </c>
      <c r="T308" s="84"/>
      <c r="U308" s="84"/>
      <c r="V308" s="84"/>
      <c r="W308" s="84"/>
      <c r="X308" s="85"/>
      <c r="Y308" s="68"/>
      <c r="Z308" s="68"/>
    </row>
    <row r="309" spans="1:26" ht="12.75" hidden="1" outlineLevel="1" x14ac:dyDescent="0.2">
      <c r="A309" s="68"/>
      <c r="B309" s="86"/>
      <c r="C309" s="70" t="s">
        <v>120</v>
      </c>
      <c r="D309" s="289"/>
      <c r="E309" s="283"/>
      <c r="F309" s="283"/>
      <c r="G309" s="74" t="e">
        <f t="shared" si="151"/>
        <v>#DIV/0!</v>
      </c>
      <c r="H309" s="75" t="e">
        <f t="shared" si="152"/>
        <v>#DIV/0!</v>
      </c>
      <c r="I309" s="76" t="e">
        <f t="shared" si="153"/>
        <v>#DIV/0!</v>
      </c>
      <c r="J309" s="96">
        <v>107.1</v>
      </c>
      <c r="K309" s="199">
        <v>35098</v>
      </c>
      <c r="L309" s="283"/>
      <c r="M309" s="97">
        <v>503.1</v>
      </c>
      <c r="N309" s="79">
        <f t="shared" si="176"/>
        <v>0.21288014311270123</v>
      </c>
      <c r="O309" s="80">
        <f t="shared" si="155"/>
        <v>4.6974789915966388</v>
      </c>
      <c r="P309" s="79" t="e">
        <f t="shared" si="156"/>
        <v>#DIV/0!</v>
      </c>
      <c r="Q309" s="81" t="e">
        <f t="shared" si="157"/>
        <v>#DIV/0!</v>
      </c>
      <c r="R309" s="98">
        <f t="shared" si="175"/>
        <v>-503.1</v>
      </c>
      <c r="S309" s="83" t="e">
        <f t="shared" si="158"/>
        <v>#DIV/0!</v>
      </c>
      <c r="T309" s="84"/>
      <c r="U309" s="84"/>
      <c r="V309" s="84"/>
      <c r="W309" s="84"/>
      <c r="X309" s="85"/>
      <c r="Y309" s="68"/>
      <c r="Z309" s="68"/>
    </row>
    <row r="310" spans="1:26" ht="12.75" hidden="1" outlineLevel="1" x14ac:dyDescent="0.2">
      <c r="A310" s="68"/>
      <c r="B310" s="86"/>
      <c r="C310" s="70" t="s">
        <v>121</v>
      </c>
      <c r="D310" s="290"/>
      <c r="E310" s="283"/>
      <c r="F310" s="283"/>
      <c r="G310" s="74" t="e">
        <f t="shared" si="151"/>
        <v>#DIV/0!</v>
      </c>
      <c r="H310" s="75" t="e">
        <f t="shared" si="152"/>
        <v>#DIV/0!</v>
      </c>
      <c r="I310" s="76" t="e">
        <f t="shared" si="153"/>
        <v>#DIV/0!</v>
      </c>
      <c r="J310" s="99">
        <v>13.82</v>
      </c>
      <c r="K310" s="199">
        <v>3944</v>
      </c>
      <c r="L310" s="283"/>
      <c r="M310" s="100">
        <v>89.9</v>
      </c>
      <c r="N310" s="79">
        <f t="shared" si="176"/>
        <v>0.15372636262513903</v>
      </c>
      <c r="O310" s="80">
        <f t="shared" si="155"/>
        <v>6.5050651230101302</v>
      </c>
      <c r="P310" s="79" t="e">
        <f t="shared" si="156"/>
        <v>#DIV/0!</v>
      </c>
      <c r="Q310" s="81" t="e">
        <f t="shared" si="157"/>
        <v>#DIV/0!</v>
      </c>
      <c r="R310" s="101">
        <f t="shared" si="175"/>
        <v>-89.9</v>
      </c>
      <c r="S310" s="83" t="e">
        <f t="shared" si="158"/>
        <v>#DIV/0!</v>
      </c>
      <c r="T310" s="84"/>
      <c r="U310" s="84"/>
      <c r="V310" s="84"/>
      <c r="W310" s="84"/>
      <c r="X310" s="85"/>
      <c r="Y310" s="68"/>
      <c r="Z310" s="68"/>
    </row>
    <row r="311" spans="1:26" ht="12.75" hidden="1" outlineLevel="1" x14ac:dyDescent="0.2">
      <c r="A311" s="118" t="str">
        <f t="shared" ref="A311:A312" si="177">IFERROR(IF(B311&gt;0,MONTH(B311)&amp;"-"&amp;YEAR(B311),B311),)</f>
        <v>8-2025</v>
      </c>
      <c r="B311" s="69">
        <v>45885</v>
      </c>
      <c r="C311" s="70" t="s">
        <v>123</v>
      </c>
      <c r="D311" s="293"/>
      <c r="E311" s="283"/>
      <c r="F311" s="283"/>
      <c r="G311" s="74" t="e">
        <f t="shared" si="151"/>
        <v>#DIV/0!</v>
      </c>
      <c r="H311" s="75" t="e">
        <f t="shared" si="152"/>
        <v>#DIV/0!</v>
      </c>
      <c r="I311" s="76" t="e">
        <f t="shared" si="153"/>
        <v>#DIV/0!</v>
      </c>
      <c r="J311" s="87">
        <v>0</v>
      </c>
      <c r="K311" s="199">
        <v>0</v>
      </c>
      <c r="L311" s="283"/>
      <c r="M311" s="88">
        <v>0</v>
      </c>
      <c r="N311" s="79" t="e">
        <f t="shared" si="176"/>
        <v>#DIV/0!</v>
      </c>
      <c r="O311" s="80" t="e">
        <f t="shared" si="155"/>
        <v>#DIV/0!</v>
      </c>
      <c r="P311" s="79" t="e">
        <f t="shared" si="156"/>
        <v>#DIV/0!</v>
      </c>
      <c r="Q311" s="81" t="e">
        <f t="shared" si="157"/>
        <v>#DIV/0!</v>
      </c>
      <c r="R311" s="82">
        <f t="shared" si="175"/>
        <v>0</v>
      </c>
      <c r="S311" s="83" t="e">
        <f t="shared" si="158"/>
        <v>#DIV/0!</v>
      </c>
      <c r="T311" s="84"/>
      <c r="U311" s="84"/>
      <c r="V311" s="84"/>
      <c r="W311" s="84"/>
      <c r="X311" s="85"/>
      <c r="Y311" s="68"/>
      <c r="Z311" s="68"/>
    </row>
    <row r="312" spans="1:26" ht="12.75" collapsed="1" x14ac:dyDescent="0.2">
      <c r="A312" s="68">
        <f t="shared" si="177"/>
        <v>0</v>
      </c>
      <c r="B312" s="52" t="s">
        <v>91</v>
      </c>
      <c r="C312" s="120"/>
      <c r="D312" s="121">
        <f t="shared" ref="D312:F312" si="178">SUM(D301:D311)</f>
        <v>0</v>
      </c>
      <c r="E312" s="123">
        <f t="shared" si="178"/>
        <v>0</v>
      </c>
      <c r="F312" s="123">
        <f t="shared" si="178"/>
        <v>0</v>
      </c>
      <c r="G312" s="124" t="e">
        <f t="shared" si="151"/>
        <v>#DIV/0!</v>
      </c>
      <c r="H312" s="125" t="e">
        <f t="shared" si="152"/>
        <v>#DIV/0!</v>
      </c>
      <c r="I312" s="126" t="e">
        <f t="shared" si="153"/>
        <v>#DIV/0!</v>
      </c>
      <c r="J312" s="121">
        <f t="shared" ref="J312:M312" si="179">SUM(J301:J311)</f>
        <v>1108.2399999999998</v>
      </c>
      <c r="K312" s="294">
        <f t="shared" si="179"/>
        <v>211514</v>
      </c>
      <c r="L312" s="123">
        <f t="shared" si="179"/>
        <v>0</v>
      </c>
      <c r="M312" s="127">
        <f t="shared" si="179"/>
        <v>2676.62</v>
      </c>
      <c r="N312" s="128">
        <f t="shared" si="176"/>
        <v>0.41404457861033683</v>
      </c>
      <c r="O312" s="129">
        <f t="shared" si="155"/>
        <v>2.4151988738901324</v>
      </c>
      <c r="P312" s="128" t="e">
        <f t="shared" si="156"/>
        <v>#DIV/0!</v>
      </c>
      <c r="Q312" s="130" t="e">
        <f t="shared" si="157"/>
        <v>#DIV/0!</v>
      </c>
      <c r="R312" s="131">
        <f>SUM(R301:R311)</f>
        <v>-2676.62</v>
      </c>
      <c r="S312" s="132" t="e">
        <f t="shared" si="158"/>
        <v>#DIV/0!</v>
      </c>
      <c r="T312" s="134">
        <f t="shared" ref="T312:U312" si="180">IFERROR((D312-D48)/D312,)</f>
        <v>0</v>
      </c>
      <c r="U312" s="134">
        <f t="shared" si="180"/>
        <v>0</v>
      </c>
      <c r="V312" s="134" t="s">
        <v>139</v>
      </c>
      <c r="W312" s="134" t="s">
        <v>139</v>
      </c>
      <c r="X312" s="68"/>
      <c r="Y312" s="68"/>
      <c r="Z312" s="68"/>
    </row>
    <row r="313" spans="1:26" ht="12.75" hidden="1" outlineLevel="1" x14ac:dyDescent="0.2">
      <c r="A313" s="68"/>
      <c r="B313" s="69">
        <v>45886</v>
      </c>
      <c r="C313" s="70" t="s">
        <v>112</v>
      </c>
      <c r="D313" s="282"/>
      <c r="E313" s="283"/>
      <c r="F313" s="283"/>
      <c r="G313" s="74" t="e">
        <f t="shared" si="151"/>
        <v>#DIV/0!</v>
      </c>
      <c r="H313" s="75" t="e">
        <f t="shared" si="152"/>
        <v>#DIV/0!</v>
      </c>
      <c r="I313" s="76" t="e">
        <f t="shared" si="153"/>
        <v>#DIV/0!</v>
      </c>
      <c r="J313" s="77">
        <v>197.36</v>
      </c>
      <c r="K313" s="199">
        <v>73051</v>
      </c>
      <c r="L313" s="283"/>
      <c r="M313" s="78">
        <v>750</v>
      </c>
      <c r="N313" s="79">
        <f t="shared" si="176"/>
        <v>0.2631466666666667</v>
      </c>
      <c r="O313" s="80">
        <f t="shared" si="155"/>
        <v>3.800162140251317</v>
      </c>
      <c r="P313" s="79" t="e">
        <f t="shared" si="156"/>
        <v>#DIV/0!</v>
      </c>
      <c r="Q313" s="81" t="e">
        <f t="shared" si="157"/>
        <v>#DIV/0!</v>
      </c>
      <c r="R313" s="82">
        <f t="shared" ref="R313:R323" si="181">D313-M313</f>
        <v>-750</v>
      </c>
      <c r="S313" s="83" t="e">
        <f t="shared" si="158"/>
        <v>#DIV/0!</v>
      </c>
      <c r="T313" s="84"/>
      <c r="U313" s="84"/>
      <c r="V313" s="84"/>
      <c r="W313" s="84"/>
      <c r="X313" s="85"/>
      <c r="Y313" s="68"/>
      <c r="Z313" s="68"/>
    </row>
    <row r="314" spans="1:26" ht="12.75" hidden="1" outlineLevel="1" x14ac:dyDescent="0.2">
      <c r="A314" s="68"/>
      <c r="B314" s="86"/>
      <c r="C314" s="70" t="s">
        <v>113</v>
      </c>
      <c r="D314" s="284"/>
      <c r="E314" s="283"/>
      <c r="F314" s="283"/>
      <c r="G314" s="74" t="e">
        <f t="shared" si="151"/>
        <v>#DIV/0!</v>
      </c>
      <c r="H314" s="75" t="e">
        <f t="shared" si="152"/>
        <v>#DIV/0!</v>
      </c>
      <c r="I314" s="76" t="e">
        <f t="shared" si="153"/>
        <v>#DIV/0!</v>
      </c>
      <c r="J314" s="87">
        <v>2.39</v>
      </c>
      <c r="K314" s="199">
        <v>319</v>
      </c>
      <c r="L314" s="283"/>
      <c r="M314" s="88">
        <v>0</v>
      </c>
      <c r="N314" s="79" t="e">
        <f t="shared" si="176"/>
        <v>#DIV/0!</v>
      </c>
      <c r="O314" s="80">
        <f t="shared" si="155"/>
        <v>0</v>
      </c>
      <c r="P314" s="79" t="e">
        <f t="shared" si="156"/>
        <v>#DIV/0!</v>
      </c>
      <c r="Q314" s="81" t="e">
        <f t="shared" si="157"/>
        <v>#DIV/0!</v>
      </c>
      <c r="R314" s="89">
        <f t="shared" si="181"/>
        <v>0</v>
      </c>
      <c r="S314" s="83" t="e">
        <f t="shared" si="158"/>
        <v>#DIV/0!</v>
      </c>
      <c r="T314" s="84"/>
      <c r="U314" s="84"/>
      <c r="V314" s="84"/>
      <c r="W314" s="84"/>
      <c r="X314" s="85"/>
      <c r="Y314" s="68"/>
      <c r="Z314" s="68"/>
    </row>
    <row r="315" spans="1:26" ht="12.75" hidden="1" outlineLevel="1" x14ac:dyDescent="0.2">
      <c r="A315" s="68"/>
      <c r="B315" s="86"/>
      <c r="C315" s="70" t="s">
        <v>114</v>
      </c>
      <c r="D315" s="285"/>
      <c r="E315" s="283"/>
      <c r="F315" s="283"/>
      <c r="G315" s="74" t="e">
        <f t="shared" si="151"/>
        <v>#DIV/0!</v>
      </c>
      <c r="H315" s="75" t="e">
        <f t="shared" si="152"/>
        <v>#DIV/0!</v>
      </c>
      <c r="I315" s="76" t="e">
        <f t="shared" si="153"/>
        <v>#DIV/0!</v>
      </c>
      <c r="J315" s="90">
        <v>3.86</v>
      </c>
      <c r="K315" s="199">
        <v>1255</v>
      </c>
      <c r="L315" s="283"/>
      <c r="M315" s="91">
        <v>0</v>
      </c>
      <c r="N315" s="79" t="e">
        <f>(J315/M315)</f>
        <v>#DIV/0!</v>
      </c>
      <c r="O315" s="80">
        <f t="shared" si="155"/>
        <v>0</v>
      </c>
      <c r="P315" s="79" t="e">
        <f t="shared" si="156"/>
        <v>#DIV/0!</v>
      </c>
      <c r="Q315" s="81" t="e">
        <f t="shared" si="157"/>
        <v>#DIV/0!</v>
      </c>
      <c r="R315" s="92">
        <f t="shared" si="181"/>
        <v>0</v>
      </c>
      <c r="S315" s="83" t="e">
        <f t="shared" si="158"/>
        <v>#DIV/0!</v>
      </c>
      <c r="T315" s="84"/>
      <c r="U315" s="84"/>
      <c r="V315" s="84"/>
      <c r="W315" s="84"/>
      <c r="X315" s="85"/>
      <c r="Y315" s="68"/>
      <c r="Z315" s="68"/>
    </row>
    <row r="316" spans="1:26" ht="12.75" hidden="1" outlineLevel="1" x14ac:dyDescent="0.2">
      <c r="A316" s="68"/>
      <c r="B316" s="86"/>
      <c r="C316" s="70" t="s">
        <v>115</v>
      </c>
      <c r="D316" s="285"/>
      <c r="E316" s="283"/>
      <c r="F316" s="283"/>
      <c r="G316" s="74" t="e">
        <f t="shared" si="151"/>
        <v>#DIV/0!</v>
      </c>
      <c r="H316" s="75" t="e">
        <f t="shared" si="152"/>
        <v>#DIV/0!</v>
      </c>
      <c r="I316" s="76" t="e">
        <f t="shared" si="153"/>
        <v>#DIV/0!</v>
      </c>
      <c r="J316" s="90">
        <v>4.13</v>
      </c>
      <c r="K316" s="199">
        <v>1716</v>
      </c>
      <c r="L316" s="283"/>
      <c r="M316" s="91">
        <v>59.95</v>
      </c>
      <c r="N316" s="79">
        <f t="shared" ref="N316:N326" si="182">J316/M316</f>
        <v>6.8890742285237699E-2</v>
      </c>
      <c r="O316" s="80">
        <f t="shared" si="155"/>
        <v>14.515738498789347</v>
      </c>
      <c r="P316" s="79" t="e">
        <f t="shared" si="156"/>
        <v>#DIV/0!</v>
      </c>
      <c r="Q316" s="81" t="e">
        <f t="shared" si="157"/>
        <v>#DIV/0!</v>
      </c>
      <c r="R316" s="92">
        <f t="shared" si="181"/>
        <v>-59.95</v>
      </c>
      <c r="S316" s="83" t="e">
        <f t="shared" si="158"/>
        <v>#DIV/0!</v>
      </c>
      <c r="T316" s="84"/>
      <c r="U316" s="84"/>
      <c r="V316" s="84"/>
      <c r="W316" s="84"/>
      <c r="X316" s="85"/>
      <c r="Y316" s="68"/>
      <c r="Z316" s="68"/>
    </row>
    <row r="317" spans="1:26" ht="12.75" hidden="1" outlineLevel="1" x14ac:dyDescent="0.2">
      <c r="A317" s="68"/>
      <c r="B317" s="86"/>
      <c r="C317" s="70" t="s">
        <v>116</v>
      </c>
      <c r="D317" s="286"/>
      <c r="E317" s="283"/>
      <c r="F317" s="283"/>
      <c r="G317" s="74" t="e">
        <f t="shared" si="151"/>
        <v>#DIV/0!</v>
      </c>
      <c r="H317" s="75" t="e">
        <f t="shared" si="152"/>
        <v>#DIV/0!</v>
      </c>
      <c r="I317" s="76" t="e">
        <f t="shared" si="153"/>
        <v>#DIV/0!</v>
      </c>
      <c r="J317" s="200">
        <v>42.13</v>
      </c>
      <c r="K317" s="199">
        <v>7355</v>
      </c>
      <c r="L317" s="283"/>
      <c r="M317" s="200">
        <v>0</v>
      </c>
      <c r="N317" s="79" t="e">
        <f t="shared" si="182"/>
        <v>#DIV/0!</v>
      </c>
      <c r="O317" s="80">
        <f t="shared" si="155"/>
        <v>0</v>
      </c>
      <c r="P317" s="79" t="e">
        <f t="shared" si="156"/>
        <v>#DIV/0!</v>
      </c>
      <c r="Q317" s="81" t="e">
        <f t="shared" si="157"/>
        <v>#DIV/0!</v>
      </c>
      <c r="R317" s="92">
        <f t="shared" si="181"/>
        <v>0</v>
      </c>
      <c r="S317" s="83" t="e">
        <f t="shared" si="158"/>
        <v>#DIV/0!</v>
      </c>
      <c r="T317" s="84"/>
      <c r="U317" s="84"/>
      <c r="V317" s="84"/>
      <c r="W317" s="84"/>
      <c r="X317" s="85"/>
      <c r="Y317" s="68"/>
      <c r="Z317" s="68"/>
    </row>
    <row r="318" spans="1:26" ht="12.75" hidden="1" outlineLevel="1" x14ac:dyDescent="0.2">
      <c r="A318" s="68"/>
      <c r="B318" s="86"/>
      <c r="C318" s="70" t="s">
        <v>117</v>
      </c>
      <c r="D318" s="287"/>
      <c r="E318" s="283"/>
      <c r="F318" s="283"/>
      <c r="G318" s="74" t="e">
        <f t="shared" si="151"/>
        <v>#DIV/0!</v>
      </c>
      <c r="H318" s="75" t="e">
        <f t="shared" si="152"/>
        <v>#DIV/0!</v>
      </c>
      <c r="I318" s="76" t="e">
        <f t="shared" si="153"/>
        <v>#DIV/0!</v>
      </c>
      <c r="J318" s="201">
        <v>26.68</v>
      </c>
      <c r="K318" s="199">
        <v>5266</v>
      </c>
      <c r="L318" s="283"/>
      <c r="M318" s="202">
        <v>44.95</v>
      </c>
      <c r="N318" s="79">
        <f t="shared" si="182"/>
        <v>0.59354838709677415</v>
      </c>
      <c r="O318" s="80">
        <f t="shared" si="155"/>
        <v>1.6847826086956523</v>
      </c>
      <c r="P318" s="79" t="e">
        <f t="shared" si="156"/>
        <v>#DIV/0!</v>
      </c>
      <c r="Q318" s="81" t="e">
        <f t="shared" si="157"/>
        <v>#DIV/0!</v>
      </c>
      <c r="R318" s="203">
        <f t="shared" si="181"/>
        <v>-44.95</v>
      </c>
      <c r="S318" s="83" t="e">
        <f t="shared" si="158"/>
        <v>#DIV/0!</v>
      </c>
      <c r="T318" s="84"/>
      <c r="U318" s="84"/>
      <c r="V318" s="84"/>
      <c r="W318" s="84"/>
      <c r="X318" s="85"/>
      <c r="Y318" s="68"/>
      <c r="Z318" s="68"/>
    </row>
    <row r="319" spans="1:26" ht="12.75" hidden="1" outlineLevel="1" x14ac:dyDescent="0.2">
      <c r="A319" s="68"/>
      <c r="B319" s="86"/>
      <c r="C319" s="70" t="s">
        <v>118</v>
      </c>
      <c r="D319" s="285"/>
      <c r="E319" s="283"/>
      <c r="F319" s="283"/>
      <c r="G319" s="74" t="e">
        <f t="shared" si="151"/>
        <v>#DIV/0!</v>
      </c>
      <c r="H319" s="75" t="e">
        <f t="shared" si="152"/>
        <v>#DIV/0!</v>
      </c>
      <c r="I319" s="76" t="e">
        <f t="shared" si="153"/>
        <v>#DIV/0!</v>
      </c>
      <c r="J319" s="90">
        <v>33.380000000000003</v>
      </c>
      <c r="K319" s="199">
        <v>5955</v>
      </c>
      <c r="L319" s="283"/>
      <c r="M319" s="91">
        <v>178.95</v>
      </c>
      <c r="N319" s="79">
        <f t="shared" si="182"/>
        <v>0.18653255099189719</v>
      </c>
      <c r="O319" s="80">
        <f t="shared" si="155"/>
        <v>5.3609946075494301</v>
      </c>
      <c r="P319" s="79" t="e">
        <f t="shared" si="156"/>
        <v>#DIV/0!</v>
      </c>
      <c r="Q319" s="81" t="e">
        <f t="shared" si="157"/>
        <v>#DIV/0!</v>
      </c>
      <c r="R319" s="92">
        <f t="shared" si="181"/>
        <v>-178.95</v>
      </c>
      <c r="S319" s="83" t="e">
        <f t="shared" si="158"/>
        <v>#DIV/0!</v>
      </c>
      <c r="T319" s="84"/>
      <c r="U319" s="84"/>
      <c r="V319" s="84"/>
      <c r="W319" s="84"/>
      <c r="X319" s="85"/>
      <c r="Y319" s="68"/>
      <c r="Z319" s="68"/>
    </row>
    <row r="320" spans="1:26" ht="12.75" hidden="1" outlineLevel="1" x14ac:dyDescent="0.2">
      <c r="A320" s="68"/>
      <c r="B320" s="69" t="s">
        <v>37</v>
      </c>
      <c r="C320" s="70" t="s">
        <v>119</v>
      </c>
      <c r="D320" s="288"/>
      <c r="E320" s="283"/>
      <c r="F320" s="283"/>
      <c r="G320" s="74" t="e">
        <f t="shared" si="151"/>
        <v>#DIV/0!</v>
      </c>
      <c r="H320" s="75" t="e">
        <f t="shared" si="152"/>
        <v>#DIV/0!</v>
      </c>
      <c r="I320" s="76" t="e">
        <f t="shared" si="153"/>
        <v>#DIV/0!</v>
      </c>
      <c r="J320" s="93">
        <v>43.19</v>
      </c>
      <c r="K320" s="199">
        <v>7242</v>
      </c>
      <c r="L320" s="283"/>
      <c r="M320" s="94">
        <v>360</v>
      </c>
      <c r="N320" s="79">
        <f t="shared" si="182"/>
        <v>0.11997222222222222</v>
      </c>
      <c r="O320" s="80">
        <f t="shared" si="155"/>
        <v>8.3352627923130367</v>
      </c>
      <c r="P320" s="79" t="e">
        <f t="shared" si="156"/>
        <v>#DIV/0!</v>
      </c>
      <c r="Q320" s="81" t="e">
        <f t="shared" si="157"/>
        <v>#DIV/0!</v>
      </c>
      <c r="R320" s="95">
        <f t="shared" si="181"/>
        <v>-360</v>
      </c>
      <c r="S320" s="83" t="e">
        <f t="shared" si="158"/>
        <v>#DIV/0!</v>
      </c>
      <c r="T320" s="84"/>
      <c r="U320" s="84"/>
      <c r="V320" s="84"/>
      <c r="W320" s="84"/>
      <c r="X320" s="85"/>
      <c r="Y320" s="68"/>
      <c r="Z320" s="68"/>
    </row>
    <row r="321" spans="1:26" ht="12.75" hidden="1" outlineLevel="1" x14ac:dyDescent="0.2">
      <c r="A321" s="68"/>
      <c r="B321" s="86"/>
      <c r="C321" s="70" t="s">
        <v>120</v>
      </c>
      <c r="D321" s="289"/>
      <c r="E321" s="283"/>
      <c r="F321" s="283"/>
      <c r="G321" s="74" t="e">
        <f t="shared" si="151"/>
        <v>#DIV/0!</v>
      </c>
      <c r="H321" s="75" t="e">
        <f t="shared" si="152"/>
        <v>#DIV/0!</v>
      </c>
      <c r="I321" s="76" t="e">
        <f t="shared" si="153"/>
        <v>#DIV/0!</v>
      </c>
      <c r="J321" s="96">
        <v>47.62</v>
      </c>
      <c r="K321" s="199">
        <v>20221</v>
      </c>
      <c r="L321" s="283"/>
      <c r="M321" s="97">
        <v>0</v>
      </c>
      <c r="N321" s="79" t="e">
        <f t="shared" si="182"/>
        <v>#DIV/0!</v>
      </c>
      <c r="O321" s="80">
        <f t="shared" si="155"/>
        <v>0</v>
      </c>
      <c r="P321" s="79" t="e">
        <f t="shared" si="156"/>
        <v>#DIV/0!</v>
      </c>
      <c r="Q321" s="81" t="e">
        <f t="shared" si="157"/>
        <v>#DIV/0!</v>
      </c>
      <c r="R321" s="98">
        <f t="shared" si="181"/>
        <v>0</v>
      </c>
      <c r="S321" s="83" t="e">
        <f t="shared" si="158"/>
        <v>#DIV/0!</v>
      </c>
      <c r="T321" s="84"/>
      <c r="U321" s="84"/>
      <c r="V321" s="84"/>
      <c r="W321" s="84"/>
      <c r="X321" s="85"/>
      <c r="Y321" s="68"/>
      <c r="Z321" s="68"/>
    </row>
    <row r="322" spans="1:26" ht="12.75" hidden="1" outlineLevel="1" x14ac:dyDescent="0.2">
      <c r="A322" s="68"/>
      <c r="B322" s="86"/>
      <c r="C322" s="70" t="s">
        <v>121</v>
      </c>
      <c r="D322" s="290"/>
      <c r="E322" s="283"/>
      <c r="F322" s="283"/>
      <c r="G322" s="74" t="e">
        <f t="shared" si="151"/>
        <v>#DIV/0!</v>
      </c>
      <c r="H322" s="75" t="e">
        <f t="shared" si="152"/>
        <v>#DIV/0!</v>
      </c>
      <c r="I322" s="76" t="e">
        <f t="shared" si="153"/>
        <v>#DIV/0!</v>
      </c>
      <c r="J322" s="99">
        <v>26.17</v>
      </c>
      <c r="K322" s="199">
        <v>5592</v>
      </c>
      <c r="L322" s="283"/>
      <c r="M322" s="100">
        <v>42.95</v>
      </c>
      <c r="N322" s="79">
        <f t="shared" si="182"/>
        <v>0.60931315483119908</v>
      </c>
      <c r="O322" s="80">
        <f t="shared" si="155"/>
        <v>1.6411922048146732</v>
      </c>
      <c r="P322" s="79" t="e">
        <f t="shared" si="156"/>
        <v>#DIV/0!</v>
      </c>
      <c r="Q322" s="81" t="e">
        <f t="shared" si="157"/>
        <v>#DIV/0!</v>
      </c>
      <c r="R322" s="101">
        <f t="shared" si="181"/>
        <v>-42.95</v>
      </c>
      <c r="S322" s="83" t="e">
        <f t="shared" si="158"/>
        <v>#DIV/0!</v>
      </c>
      <c r="T322" s="84"/>
      <c r="U322" s="84"/>
      <c r="V322" s="84"/>
      <c r="W322" s="84"/>
      <c r="X322" s="85"/>
      <c r="Y322" s="68"/>
      <c r="Z322" s="68"/>
    </row>
    <row r="323" spans="1:26" ht="12.75" hidden="1" outlineLevel="1" x14ac:dyDescent="0.2">
      <c r="A323" s="118" t="str">
        <f t="shared" ref="A323:A324" si="183">IFERROR(IF(B323&gt;0,MONTH(B323)&amp;"-"&amp;YEAR(B323),B323),)</f>
        <v>8-2025</v>
      </c>
      <c r="B323" s="69">
        <v>45892</v>
      </c>
      <c r="C323" s="70" t="s">
        <v>123</v>
      </c>
      <c r="D323" s="293"/>
      <c r="E323" s="283"/>
      <c r="F323" s="283"/>
      <c r="G323" s="74" t="e">
        <f t="shared" si="151"/>
        <v>#DIV/0!</v>
      </c>
      <c r="H323" s="75" t="e">
        <f t="shared" si="152"/>
        <v>#DIV/0!</v>
      </c>
      <c r="I323" s="76" t="e">
        <f t="shared" si="153"/>
        <v>#DIV/0!</v>
      </c>
      <c r="J323" s="87">
        <v>0</v>
      </c>
      <c r="K323" s="199">
        <v>0</v>
      </c>
      <c r="L323" s="283"/>
      <c r="M323" s="88">
        <v>0</v>
      </c>
      <c r="N323" s="79" t="e">
        <f t="shared" si="182"/>
        <v>#DIV/0!</v>
      </c>
      <c r="O323" s="80" t="e">
        <f t="shared" si="155"/>
        <v>#DIV/0!</v>
      </c>
      <c r="P323" s="79" t="e">
        <f t="shared" si="156"/>
        <v>#DIV/0!</v>
      </c>
      <c r="Q323" s="81" t="e">
        <f t="shared" si="157"/>
        <v>#DIV/0!</v>
      </c>
      <c r="R323" s="82">
        <f t="shared" si="181"/>
        <v>0</v>
      </c>
      <c r="S323" s="83" t="e">
        <f t="shared" si="158"/>
        <v>#DIV/0!</v>
      </c>
      <c r="T323" s="84"/>
      <c r="U323" s="84"/>
      <c r="V323" s="84"/>
      <c r="W323" s="84"/>
      <c r="X323" s="85"/>
      <c r="Y323" s="68"/>
      <c r="Z323" s="68"/>
    </row>
    <row r="324" spans="1:26" ht="12.75" collapsed="1" x14ac:dyDescent="0.2">
      <c r="A324" s="68">
        <f t="shared" si="183"/>
        <v>0</v>
      </c>
      <c r="B324" s="52" t="s">
        <v>92</v>
      </c>
      <c r="C324" s="120"/>
      <c r="D324" s="121">
        <f t="shared" ref="D324:F324" si="184">SUM(D313:D323)</f>
        <v>0</v>
      </c>
      <c r="E324" s="123">
        <f t="shared" si="184"/>
        <v>0</v>
      </c>
      <c r="F324" s="123">
        <f t="shared" si="184"/>
        <v>0</v>
      </c>
      <c r="G324" s="124" t="e">
        <f t="shared" si="151"/>
        <v>#DIV/0!</v>
      </c>
      <c r="H324" s="125" t="e">
        <f t="shared" si="152"/>
        <v>#DIV/0!</v>
      </c>
      <c r="I324" s="126" t="e">
        <f t="shared" si="153"/>
        <v>#DIV/0!</v>
      </c>
      <c r="J324" s="121">
        <f t="shared" ref="J324:M324" si="185">SUM(J313:J323)</f>
        <v>426.91</v>
      </c>
      <c r="K324" s="294">
        <f t="shared" si="185"/>
        <v>127972</v>
      </c>
      <c r="L324" s="123">
        <f t="shared" si="185"/>
        <v>0</v>
      </c>
      <c r="M324" s="127">
        <f t="shared" si="185"/>
        <v>1436.8000000000002</v>
      </c>
      <c r="N324" s="128">
        <f t="shared" si="182"/>
        <v>0.29712555679287306</v>
      </c>
      <c r="O324" s="129">
        <f t="shared" si="155"/>
        <v>3.3655805673326933</v>
      </c>
      <c r="P324" s="128" t="e">
        <f t="shared" si="156"/>
        <v>#DIV/0!</v>
      </c>
      <c r="Q324" s="130" t="e">
        <f t="shared" si="157"/>
        <v>#DIV/0!</v>
      </c>
      <c r="R324" s="131">
        <f>SUM(R313:R323)</f>
        <v>-1436.8000000000002</v>
      </c>
      <c r="S324" s="132" t="e">
        <f t="shared" si="158"/>
        <v>#DIV/0!</v>
      </c>
      <c r="T324" s="134">
        <f t="shared" ref="T324:U324" si="186">IFERROR((D324-D48)/D324,)</f>
        <v>0</v>
      </c>
      <c r="U324" s="134">
        <f t="shared" si="186"/>
        <v>0</v>
      </c>
      <c r="V324" s="134" t="s">
        <v>139</v>
      </c>
      <c r="W324" s="134" t="s">
        <v>139</v>
      </c>
      <c r="X324" s="68"/>
      <c r="Y324" s="68"/>
      <c r="Z324" s="68"/>
    </row>
    <row r="325" spans="1:26" ht="12.75" hidden="1" outlineLevel="1" x14ac:dyDescent="0.2">
      <c r="A325" s="68"/>
      <c r="B325" s="69">
        <v>45893</v>
      </c>
      <c r="C325" s="70" t="s">
        <v>112</v>
      </c>
      <c r="D325" s="282"/>
      <c r="E325" s="283"/>
      <c r="F325" s="283"/>
      <c r="G325" s="74" t="e">
        <f t="shared" si="151"/>
        <v>#DIV/0!</v>
      </c>
      <c r="H325" s="75" t="e">
        <f t="shared" si="152"/>
        <v>#DIV/0!</v>
      </c>
      <c r="I325" s="76" t="e">
        <f t="shared" si="153"/>
        <v>#DIV/0!</v>
      </c>
      <c r="J325" s="77">
        <v>138.85</v>
      </c>
      <c r="K325" s="199">
        <v>41160</v>
      </c>
      <c r="L325" s="283"/>
      <c r="M325" s="78">
        <v>104.55</v>
      </c>
      <c r="N325" s="79">
        <f t="shared" si="182"/>
        <v>1.3280726924916308</v>
      </c>
      <c r="O325" s="80">
        <f t="shared" si="155"/>
        <v>0.75297083183291325</v>
      </c>
      <c r="P325" s="79" t="e">
        <f t="shared" si="156"/>
        <v>#DIV/0!</v>
      </c>
      <c r="Q325" s="81" t="e">
        <f t="shared" si="157"/>
        <v>#DIV/0!</v>
      </c>
      <c r="R325" s="82">
        <f t="shared" ref="R325:R335" si="187">D325-M325</f>
        <v>-104.55</v>
      </c>
      <c r="S325" s="83" t="e">
        <f t="shared" si="158"/>
        <v>#DIV/0!</v>
      </c>
      <c r="T325" s="84"/>
      <c r="U325" s="84"/>
      <c r="V325" s="84"/>
      <c r="W325" s="84"/>
      <c r="X325" s="85"/>
      <c r="Y325" s="68"/>
      <c r="Z325" s="68"/>
    </row>
    <row r="326" spans="1:26" ht="12.75" hidden="1" outlineLevel="1" x14ac:dyDescent="0.2">
      <c r="A326" s="68"/>
      <c r="B326" s="86"/>
      <c r="C326" s="70" t="s">
        <v>113</v>
      </c>
      <c r="D326" s="284"/>
      <c r="E326" s="283"/>
      <c r="F326" s="283"/>
      <c r="G326" s="74" t="e">
        <f t="shared" si="151"/>
        <v>#DIV/0!</v>
      </c>
      <c r="H326" s="75" t="e">
        <f t="shared" si="152"/>
        <v>#DIV/0!</v>
      </c>
      <c r="I326" s="76" t="e">
        <f t="shared" si="153"/>
        <v>#DIV/0!</v>
      </c>
      <c r="J326" s="87">
        <v>57.4</v>
      </c>
      <c r="K326" s="199">
        <v>7635</v>
      </c>
      <c r="L326" s="283"/>
      <c r="M326" s="88">
        <v>199.85</v>
      </c>
      <c r="N326" s="79">
        <f t="shared" si="182"/>
        <v>0.28721541155866898</v>
      </c>
      <c r="O326" s="80">
        <f t="shared" si="155"/>
        <v>3.4817073170731709</v>
      </c>
      <c r="P326" s="79" t="e">
        <f t="shared" si="156"/>
        <v>#DIV/0!</v>
      </c>
      <c r="Q326" s="81" t="e">
        <f t="shared" si="157"/>
        <v>#DIV/0!</v>
      </c>
      <c r="R326" s="89">
        <f t="shared" si="187"/>
        <v>-199.85</v>
      </c>
      <c r="S326" s="83" t="e">
        <f t="shared" si="158"/>
        <v>#DIV/0!</v>
      </c>
      <c r="T326" s="84"/>
      <c r="U326" s="84"/>
      <c r="V326" s="84"/>
      <c r="W326" s="84"/>
      <c r="X326" s="85"/>
      <c r="Y326" s="68"/>
      <c r="Z326" s="68"/>
    </row>
    <row r="327" spans="1:26" ht="12.75" hidden="1" outlineLevel="1" x14ac:dyDescent="0.2">
      <c r="A327" s="68"/>
      <c r="B327" s="86"/>
      <c r="C327" s="70" t="s">
        <v>114</v>
      </c>
      <c r="D327" s="285"/>
      <c r="E327" s="283"/>
      <c r="F327" s="283"/>
      <c r="G327" s="74" t="e">
        <f t="shared" si="151"/>
        <v>#DIV/0!</v>
      </c>
      <c r="H327" s="75" t="e">
        <f t="shared" si="152"/>
        <v>#DIV/0!</v>
      </c>
      <c r="I327" s="76" t="e">
        <f t="shared" si="153"/>
        <v>#DIV/0!</v>
      </c>
      <c r="J327" s="90">
        <v>107.82</v>
      </c>
      <c r="K327" s="199">
        <v>16774</v>
      </c>
      <c r="L327" s="283"/>
      <c r="M327" s="91">
        <v>486.97</v>
      </c>
      <c r="N327" s="79">
        <f>(J327/M327)</f>
        <v>0.22140994311764584</v>
      </c>
      <c r="O327" s="80">
        <f t="shared" si="155"/>
        <v>4.5165089964756078</v>
      </c>
      <c r="P327" s="79" t="e">
        <f t="shared" si="156"/>
        <v>#DIV/0!</v>
      </c>
      <c r="Q327" s="81" t="e">
        <f t="shared" si="157"/>
        <v>#DIV/0!</v>
      </c>
      <c r="R327" s="92">
        <f t="shared" si="187"/>
        <v>-486.97</v>
      </c>
      <c r="S327" s="83" t="e">
        <f t="shared" si="158"/>
        <v>#DIV/0!</v>
      </c>
      <c r="T327" s="84"/>
      <c r="U327" s="84"/>
      <c r="V327" s="84"/>
      <c r="W327" s="84"/>
      <c r="X327" s="85"/>
      <c r="Y327" s="68"/>
      <c r="Z327" s="68"/>
    </row>
    <row r="328" spans="1:26" ht="12.75" hidden="1" outlineLevel="1" x14ac:dyDescent="0.2">
      <c r="A328" s="68"/>
      <c r="B328" s="86"/>
      <c r="C328" s="70" t="s">
        <v>115</v>
      </c>
      <c r="D328" s="285"/>
      <c r="E328" s="283"/>
      <c r="F328" s="283"/>
      <c r="G328" s="74" t="e">
        <f t="shared" si="151"/>
        <v>#DIV/0!</v>
      </c>
      <c r="H328" s="75" t="e">
        <f t="shared" si="152"/>
        <v>#DIV/0!</v>
      </c>
      <c r="I328" s="76" t="e">
        <f t="shared" si="153"/>
        <v>#DIV/0!</v>
      </c>
      <c r="J328" s="90">
        <v>11.59</v>
      </c>
      <c r="K328" s="199">
        <v>5653</v>
      </c>
      <c r="L328" s="283"/>
      <c r="M328" s="91">
        <v>125.9</v>
      </c>
      <c r="N328" s="79">
        <f t="shared" ref="N328:N338" si="188">J328/M328</f>
        <v>9.2057188244638599E-2</v>
      </c>
      <c r="O328" s="80">
        <f t="shared" si="155"/>
        <v>10.862812769628992</v>
      </c>
      <c r="P328" s="79" t="e">
        <f t="shared" si="156"/>
        <v>#DIV/0!</v>
      </c>
      <c r="Q328" s="81" t="e">
        <f t="shared" si="157"/>
        <v>#DIV/0!</v>
      </c>
      <c r="R328" s="92">
        <f t="shared" si="187"/>
        <v>-125.9</v>
      </c>
      <c r="S328" s="83" t="e">
        <f t="shared" si="158"/>
        <v>#DIV/0!</v>
      </c>
      <c r="T328" s="84"/>
      <c r="U328" s="84"/>
      <c r="V328" s="84"/>
      <c r="W328" s="84"/>
      <c r="X328" s="85"/>
      <c r="Y328" s="68"/>
      <c r="Z328" s="68"/>
    </row>
    <row r="329" spans="1:26" ht="12.75" hidden="1" outlineLevel="1" x14ac:dyDescent="0.2">
      <c r="A329" s="68"/>
      <c r="B329" s="86"/>
      <c r="C329" s="70" t="s">
        <v>116</v>
      </c>
      <c r="D329" s="286"/>
      <c r="E329" s="283"/>
      <c r="F329" s="283"/>
      <c r="G329" s="74" t="e">
        <f t="shared" si="151"/>
        <v>#DIV/0!</v>
      </c>
      <c r="H329" s="75" t="e">
        <f t="shared" si="152"/>
        <v>#DIV/0!</v>
      </c>
      <c r="I329" s="76" t="e">
        <f t="shared" si="153"/>
        <v>#DIV/0!</v>
      </c>
      <c r="J329" s="200">
        <v>7.18</v>
      </c>
      <c r="K329" s="199">
        <v>2014</v>
      </c>
      <c r="L329" s="283"/>
      <c r="M329" s="200">
        <v>0</v>
      </c>
      <c r="N329" s="79" t="e">
        <f t="shared" si="188"/>
        <v>#DIV/0!</v>
      </c>
      <c r="O329" s="80">
        <f t="shared" si="155"/>
        <v>0</v>
      </c>
      <c r="P329" s="79" t="e">
        <f t="shared" si="156"/>
        <v>#DIV/0!</v>
      </c>
      <c r="Q329" s="81" t="e">
        <f t="shared" si="157"/>
        <v>#DIV/0!</v>
      </c>
      <c r="R329" s="92">
        <f t="shared" si="187"/>
        <v>0</v>
      </c>
      <c r="S329" s="83" t="e">
        <f t="shared" si="158"/>
        <v>#DIV/0!</v>
      </c>
      <c r="T329" s="84"/>
      <c r="U329" s="84"/>
      <c r="V329" s="84"/>
      <c r="W329" s="84"/>
      <c r="X329" s="85"/>
      <c r="Y329" s="68"/>
      <c r="Z329" s="68"/>
    </row>
    <row r="330" spans="1:26" ht="12.75" hidden="1" outlineLevel="1" x14ac:dyDescent="0.2">
      <c r="A330" s="68"/>
      <c r="B330" s="86"/>
      <c r="C330" s="70" t="s">
        <v>117</v>
      </c>
      <c r="D330" s="287"/>
      <c r="E330" s="283"/>
      <c r="F330" s="283"/>
      <c r="G330" s="74" t="e">
        <f t="shared" si="151"/>
        <v>#DIV/0!</v>
      </c>
      <c r="H330" s="75" t="e">
        <f t="shared" si="152"/>
        <v>#DIV/0!</v>
      </c>
      <c r="I330" s="76" t="e">
        <f t="shared" si="153"/>
        <v>#DIV/0!</v>
      </c>
      <c r="J330" s="201">
        <v>24.12</v>
      </c>
      <c r="K330" s="199">
        <v>5546</v>
      </c>
      <c r="L330" s="283"/>
      <c r="M330" s="202">
        <v>44.95</v>
      </c>
      <c r="N330" s="79">
        <f t="shared" si="188"/>
        <v>0.53659621802002222</v>
      </c>
      <c r="O330" s="80">
        <f t="shared" si="155"/>
        <v>1.8635986733001659</v>
      </c>
      <c r="P330" s="79" t="e">
        <f t="shared" si="156"/>
        <v>#DIV/0!</v>
      </c>
      <c r="Q330" s="81" t="e">
        <f t="shared" si="157"/>
        <v>#DIV/0!</v>
      </c>
      <c r="R330" s="203">
        <f t="shared" si="187"/>
        <v>-44.95</v>
      </c>
      <c r="S330" s="83" t="e">
        <f t="shared" si="158"/>
        <v>#DIV/0!</v>
      </c>
      <c r="T330" s="84"/>
      <c r="U330" s="84"/>
      <c r="V330" s="84"/>
      <c r="W330" s="84"/>
      <c r="X330" s="85"/>
      <c r="Y330" s="68"/>
      <c r="Z330" s="68"/>
    </row>
    <row r="331" spans="1:26" ht="12.75" hidden="1" outlineLevel="1" x14ac:dyDescent="0.2">
      <c r="A331" s="68"/>
      <c r="B331" s="86"/>
      <c r="C331" s="70" t="s">
        <v>118</v>
      </c>
      <c r="D331" s="285"/>
      <c r="E331" s="283"/>
      <c r="F331" s="283"/>
      <c r="G331" s="74" t="e">
        <f t="shared" si="151"/>
        <v>#DIV/0!</v>
      </c>
      <c r="H331" s="75" t="e">
        <f t="shared" si="152"/>
        <v>#DIV/0!</v>
      </c>
      <c r="I331" s="76" t="e">
        <f t="shared" si="153"/>
        <v>#DIV/0!</v>
      </c>
      <c r="J331" s="90">
        <v>49.71</v>
      </c>
      <c r="K331" s="199">
        <v>6343</v>
      </c>
      <c r="L331" s="283"/>
      <c r="M331" s="91">
        <v>415.85</v>
      </c>
      <c r="N331" s="79">
        <f t="shared" si="188"/>
        <v>0.11953829505831429</v>
      </c>
      <c r="O331" s="80">
        <f t="shared" si="155"/>
        <v>8.3655200160933418</v>
      </c>
      <c r="P331" s="79" t="e">
        <f t="shared" si="156"/>
        <v>#DIV/0!</v>
      </c>
      <c r="Q331" s="81" t="e">
        <f t="shared" si="157"/>
        <v>#DIV/0!</v>
      </c>
      <c r="R331" s="92">
        <f t="shared" si="187"/>
        <v>-415.85</v>
      </c>
      <c r="S331" s="83" t="e">
        <f t="shared" si="158"/>
        <v>#DIV/0!</v>
      </c>
      <c r="T331" s="84"/>
      <c r="U331" s="84"/>
      <c r="V331" s="84"/>
      <c r="W331" s="84"/>
      <c r="X331" s="85"/>
      <c r="Y331" s="68"/>
      <c r="Z331" s="68"/>
    </row>
    <row r="332" spans="1:26" ht="12.75" hidden="1" outlineLevel="1" x14ac:dyDescent="0.2">
      <c r="A332" s="68"/>
      <c r="B332" s="69" t="s">
        <v>37</v>
      </c>
      <c r="C332" s="70" t="s">
        <v>119</v>
      </c>
      <c r="D332" s="288"/>
      <c r="E332" s="283"/>
      <c r="F332" s="283"/>
      <c r="G332" s="74" t="e">
        <f t="shared" si="151"/>
        <v>#DIV/0!</v>
      </c>
      <c r="H332" s="75" t="e">
        <f t="shared" si="152"/>
        <v>#DIV/0!</v>
      </c>
      <c r="I332" s="76" t="e">
        <f t="shared" si="153"/>
        <v>#DIV/0!</v>
      </c>
      <c r="J332" s="93">
        <v>33.200000000000003</v>
      </c>
      <c r="K332" s="199">
        <v>7775</v>
      </c>
      <c r="L332" s="283"/>
      <c r="M332" s="94">
        <v>540</v>
      </c>
      <c r="N332" s="79">
        <f t="shared" si="188"/>
        <v>6.1481481481481484E-2</v>
      </c>
      <c r="O332" s="80">
        <f t="shared" si="155"/>
        <v>16.265060240963855</v>
      </c>
      <c r="P332" s="79" t="e">
        <f t="shared" si="156"/>
        <v>#DIV/0!</v>
      </c>
      <c r="Q332" s="81" t="e">
        <f t="shared" si="157"/>
        <v>#DIV/0!</v>
      </c>
      <c r="R332" s="95">
        <f t="shared" si="187"/>
        <v>-540</v>
      </c>
      <c r="S332" s="83" t="e">
        <f t="shared" si="158"/>
        <v>#DIV/0!</v>
      </c>
      <c r="T332" s="84"/>
      <c r="U332" s="84"/>
      <c r="V332" s="84"/>
      <c r="W332" s="84"/>
      <c r="X332" s="85"/>
      <c r="Y332" s="68"/>
      <c r="Z332" s="68"/>
    </row>
    <row r="333" spans="1:26" ht="12.75" hidden="1" outlineLevel="1" x14ac:dyDescent="0.2">
      <c r="A333" s="68"/>
      <c r="B333" s="86"/>
      <c r="C333" s="70" t="s">
        <v>120</v>
      </c>
      <c r="D333" s="289"/>
      <c r="E333" s="283"/>
      <c r="F333" s="283"/>
      <c r="G333" s="74" t="e">
        <f t="shared" si="151"/>
        <v>#DIV/0!</v>
      </c>
      <c r="H333" s="75" t="e">
        <f t="shared" si="152"/>
        <v>#DIV/0!</v>
      </c>
      <c r="I333" s="76" t="e">
        <f t="shared" si="153"/>
        <v>#DIV/0!</v>
      </c>
      <c r="J333" s="96">
        <v>178.98</v>
      </c>
      <c r="K333" s="199">
        <v>43016</v>
      </c>
      <c r="L333" s="283"/>
      <c r="M333" s="97">
        <v>894.4</v>
      </c>
      <c r="N333" s="79">
        <f t="shared" si="188"/>
        <v>0.20011180679785331</v>
      </c>
      <c r="O333" s="80">
        <f t="shared" si="155"/>
        <v>4.9972063917756175</v>
      </c>
      <c r="P333" s="79" t="e">
        <f t="shared" si="156"/>
        <v>#DIV/0!</v>
      </c>
      <c r="Q333" s="81" t="e">
        <f t="shared" si="157"/>
        <v>#DIV/0!</v>
      </c>
      <c r="R333" s="98">
        <f t="shared" si="187"/>
        <v>-894.4</v>
      </c>
      <c r="S333" s="83" t="e">
        <f t="shared" si="158"/>
        <v>#DIV/0!</v>
      </c>
      <c r="T333" s="84"/>
      <c r="U333" s="84"/>
      <c r="V333" s="84"/>
      <c r="W333" s="84"/>
      <c r="X333" s="85"/>
      <c r="Y333" s="68"/>
      <c r="Z333" s="68"/>
    </row>
    <row r="334" spans="1:26" ht="12.75" hidden="1" outlineLevel="1" x14ac:dyDescent="0.2">
      <c r="A334" s="68"/>
      <c r="B334" s="86"/>
      <c r="C334" s="70" t="s">
        <v>121</v>
      </c>
      <c r="D334" s="290"/>
      <c r="E334" s="283"/>
      <c r="F334" s="283"/>
      <c r="G334" s="74" t="e">
        <f t="shared" si="151"/>
        <v>#DIV/0!</v>
      </c>
      <c r="H334" s="75" t="e">
        <f t="shared" si="152"/>
        <v>#DIV/0!</v>
      </c>
      <c r="I334" s="76" t="e">
        <f t="shared" si="153"/>
        <v>#DIV/0!</v>
      </c>
      <c r="J334" s="99">
        <v>49.64</v>
      </c>
      <c r="K334" s="199">
        <v>9986</v>
      </c>
      <c r="L334" s="283"/>
      <c r="M334" s="100">
        <v>85.9</v>
      </c>
      <c r="N334" s="79">
        <f t="shared" si="188"/>
        <v>0.57788125727590223</v>
      </c>
      <c r="O334" s="80">
        <f t="shared" si="155"/>
        <v>1.7304593070104755</v>
      </c>
      <c r="P334" s="79" t="e">
        <f t="shared" si="156"/>
        <v>#DIV/0!</v>
      </c>
      <c r="Q334" s="81" t="e">
        <f t="shared" si="157"/>
        <v>#DIV/0!</v>
      </c>
      <c r="R334" s="101">
        <f t="shared" si="187"/>
        <v>-85.9</v>
      </c>
      <c r="S334" s="83" t="e">
        <f t="shared" si="158"/>
        <v>#DIV/0!</v>
      </c>
      <c r="T334" s="84"/>
      <c r="U334" s="84"/>
      <c r="V334" s="84"/>
      <c r="W334" s="84"/>
      <c r="X334" s="85"/>
      <c r="Y334" s="68"/>
      <c r="Z334" s="68"/>
    </row>
    <row r="335" spans="1:26" ht="12.75" hidden="1" outlineLevel="1" x14ac:dyDescent="0.2">
      <c r="A335" s="118" t="str">
        <f t="shared" ref="A335:A336" si="189">IFERROR(IF(B335&gt;0,MONTH(B335)&amp;"-"&amp;YEAR(B335),B335),)</f>
        <v>8-2025</v>
      </c>
      <c r="B335" s="69">
        <v>45899</v>
      </c>
      <c r="C335" s="70" t="s">
        <v>123</v>
      </c>
      <c r="D335" s="293"/>
      <c r="E335" s="283"/>
      <c r="F335" s="283"/>
      <c r="G335" s="74" t="e">
        <f t="shared" si="151"/>
        <v>#DIV/0!</v>
      </c>
      <c r="H335" s="75" t="e">
        <f t="shared" si="152"/>
        <v>#DIV/0!</v>
      </c>
      <c r="I335" s="76" t="e">
        <f t="shared" si="153"/>
        <v>#DIV/0!</v>
      </c>
      <c r="J335" s="87">
        <v>0</v>
      </c>
      <c r="K335" s="199">
        <v>0</v>
      </c>
      <c r="L335" s="283"/>
      <c r="M335" s="88">
        <v>0</v>
      </c>
      <c r="N335" s="79" t="e">
        <f t="shared" si="188"/>
        <v>#DIV/0!</v>
      </c>
      <c r="O335" s="80" t="e">
        <f t="shared" si="155"/>
        <v>#DIV/0!</v>
      </c>
      <c r="P335" s="79" t="e">
        <f t="shared" si="156"/>
        <v>#DIV/0!</v>
      </c>
      <c r="Q335" s="81" t="e">
        <f t="shared" si="157"/>
        <v>#DIV/0!</v>
      </c>
      <c r="R335" s="82">
        <f t="shared" si="187"/>
        <v>0</v>
      </c>
      <c r="S335" s="83" t="e">
        <f t="shared" si="158"/>
        <v>#DIV/0!</v>
      </c>
      <c r="T335" s="84"/>
      <c r="U335" s="84"/>
      <c r="V335" s="84"/>
      <c r="W335" s="84"/>
      <c r="X335" s="85"/>
      <c r="Y335" s="68"/>
      <c r="Z335" s="68"/>
    </row>
    <row r="336" spans="1:26" ht="12.75" collapsed="1" x14ac:dyDescent="0.2">
      <c r="A336" s="68">
        <f t="shared" si="189"/>
        <v>0</v>
      </c>
      <c r="B336" s="52" t="s">
        <v>93</v>
      </c>
      <c r="C336" s="120"/>
      <c r="D336" s="121">
        <f t="shared" ref="D336:F336" si="190">SUM(D325:D335)</f>
        <v>0</v>
      </c>
      <c r="E336" s="123">
        <f t="shared" si="190"/>
        <v>0</v>
      </c>
      <c r="F336" s="123">
        <f t="shared" si="190"/>
        <v>0</v>
      </c>
      <c r="G336" s="124" t="e">
        <f t="shared" si="151"/>
        <v>#DIV/0!</v>
      </c>
      <c r="H336" s="125" t="e">
        <f t="shared" si="152"/>
        <v>#DIV/0!</v>
      </c>
      <c r="I336" s="126" t="e">
        <f t="shared" si="153"/>
        <v>#DIV/0!</v>
      </c>
      <c r="J336" s="121">
        <f t="shared" ref="J336:M336" si="191">SUM(J325:J335)</f>
        <v>658.4899999999999</v>
      </c>
      <c r="K336" s="294">
        <f t="shared" si="191"/>
        <v>145902</v>
      </c>
      <c r="L336" s="123">
        <f t="shared" si="191"/>
        <v>0</v>
      </c>
      <c r="M336" s="127">
        <f t="shared" si="191"/>
        <v>2898.3700000000003</v>
      </c>
      <c r="N336" s="128">
        <f t="shared" si="188"/>
        <v>0.22719321549698618</v>
      </c>
      <c r="O336" s="129">
        <f t="shared" si="155"/>
        <v>4.4015398867105056</v>
      </c>
      <c r="P336" s="128" t="e">
        <f t="shared" si="156"/>
        <v>#DIV/0!</v>
      </c>
      <c r="Q336" s="130" t="e">
        <f t="shared" si="157"/>
        <v>#DIV/0!</v>
      </c>
      <c r="R336" s="131">
        <f>SUM(R325:R335)</f>
        <v>-2898.3700000000003</v>
      </c>
      <c r="S336" s="132" t="e">
        <f t="shared" si="158"/>
        <v>#DIV/0!</v>
      </c>
      <c r="T336" s="134">
        <f t="shared" ref="T336:U336" si="192">IFERROR((D336-D48)/D336,)</f>
        <v>0</v>
      </c>
      <c r="U336" s="134">
        <f t="shared" si="192"/>
        <v>0</v>
      </c>
      <c r="V336" s="134" t="s">
        <v>139</v>
      </c>
      <c r="W336" s="134" t="s">
        <v>139</v>
      </c>
      <c r="X336" s="68"/>
      <c r="Y336" s="68"/>
      <c r="Z336" s="68"/>
    </row>
    <row r="337" spans="1:26" ht="12.75" hidden="1" outlineLevel="1" x14ac:dyDescent="0.2">
      <c r="A337" s="68"/>
      <c r="B337" s="69">
        <v>45900</v>
      </c>
      <c r="C337" s="70" t="s">
        <v>112</v>
      </c>
      <c r="D337" s="282"/>
      <c r="E337" s="283"/>
      <c r="F337" s="283"/>
      <c r="G337" s="74" t="e">
        <f t="shared" si="151"/>
        <v>#DIV/0!</v>
      </c>
      <c r="H337" s="75" t="e">
        <f t="shared" si="152"/>
        <v>#DIV/0!</v>
      </c>
      <c r="I337" s="76" t="e">
        <f t="shared" si="153"/>
        <v>#DIV/0!</v>
      </c>
      <c r="J337" s="77">
        <v>25.42</v>
      </c>
      <c r="K337" s="199">
        <v>9244</v>
      </c>
      <c r="L337" s="283"/>
      <c r="M337" s="78">
        <v>395</v>
      </c>
      <c r="N337" s="79">
        <f t="shared" si="188"/>
        <v>6.4354430379746835E-2</v>
      </c>
      <c r="O337" s="80">
        <f t="shared" si="155"/>
        <v>15.538945712037764</v>
      </c>
      <c r="P337" s="79" t="e">
        <f t="shared" si="156"/>
        <v>#DIV/0!</v>
      </c>
      <c r="Q337" s="81" t="e">
        <f t="shared" si="157"/>
        <v>#DIV/0!</v>
      </c>
      <c r="R337" s="82">
        <f t="shared" ref="R337:R347" si="193">D337-M337</f>
        <v>-395</v>
      </c>
      <c r="S337" s="83" t="e">
        <f t="shared" si="158"/>
        <v>#DIV/0!</v>
      </c>
      <c r="T337" s="84"/>
      <c r="U337" s="84"/>
      <c r="V337" s="84"/>
      <c r="W337" s="84"/>
      <c r="X337" s="85"/>
      <c r="Y337" s="68"/>
      <c r="Z337" s="68"/>
    </row>
    <row r="338" spans="1:26" ht="12.75" hidden="1" outlineLevel="1" x14ac:dyDescent="0.2">
      <c r="A338" s="68"/>
      <c r="B338" s="86"/>
      <c r="C338" s="70" t="s">
        <v>113</v>
      </c>
      <c r="D338" s="284"/>
      <c r="E338" s="283"/>
      <c r="F338" s="283"/>
      <c r="G338" s="74" t="e">
        <f t="shared" si="151"/>
        <v>#DIV/0!</v>
      </c>
      <c r="H338" s="75" t="e">
        <f t="shared" si="152"/>
        <v>#DIV/0!</v>
      </c>
      <c r="I338" s="76" t="e">
        <f t="shared" si="153"/>
        <v>#DIV/0!</v>
      </c>
      <c r="J338" s="87">
        <v>84.28</v>
      </c>
      <c r="K338" s="199">
        <v>20455</v>
      </c>
      <c r="L338" s="283"/>
      <c r="M338" s="88">
        <v>249.8</v>
      </c>
      <c r="N338" s="79">
        <f t="shared" si="188"/>
        <v>0.33738991192954365</v>
      </c>
      <c r="O338" s="80">
        <f t="shared" si="155"/>
        <v>2.9639297579496917</v>
      </c>
      <c r="P338" s="79" t="e">
        <f t="shared" si="156"/>
        <v>#DIV/0!</v>
      </c>
      <c r="Q338" s="81" t="e">
        <f t="shared" si="157"/>
        <v>#DIV/0!</v>
      </c>
      <c r="R338" s="89">
        <f t="shared" si="193"/>
        <v>-249.8</v>
      </c>
      <c r="S338" s="83" t="e">
        <f t="shared" si="158"/>
        <v>#DIV/0!</v>
      </c>
      <c r="T338" s="84"/>
      <c r="U338" s="84"/>
      <c r="V338" s="84"/>
      <c r="W338" s="84"/>
      <c r="X338" s="85"/>
      <c r="Y338" s="68"/>
      <c r="Z338" s="68"/>
    </row>
    <row r="339" spans="1:26" ht="12.75" hidden="1" outlineLevel="1" x14ac:dyDescent="0.2">
      <c r="A339" s="68"/>
      <c r="B339" s="86"/>
      <c r="C339" s="70" t="s">
        <v>114</v>
      </c>
      <c r="D339" s="285"/>
      <c r="E339" s="283"/>
      <c r="F339" s="283"/>
      <c r="G339" s="74" t="e">
        <f t="shared" si="151"/>
        <v>#DIV/0!</v>
      </c>
      <c r="H339" s="75" t="e">
        <f t="shared" si="152"/>
        <v>#DIV/0!</v>
      </c>
      <c r="I339" s="76" t="e">
        <f t="shared" si="153"/>
        <v>#DIV/0!</v>
      </c>
      <c r="J339" s="90">
        <v>160.78</v>
      </c>
      <c r="K339" s="199">
        <v>34310</v>
      </c>
      <c r="L339" s="283"/>
      <c r="M339" s="91">
        <v>164.97</v>
      </c>
      <c r="N339" s="79">
        <f>(J339/M339)</f>
        <v>0.97460144268654914</v>
      </c>
      <c r="O339" s="80">
        <f t="shared" si="155"/>
        <v>1.0260604552805075</v>
      </c>
      <c r="P339" s="79" t="e">
        <f t="shared" si="156"/>
        <v>#DIV/0!</v>
      </c>
      <c r="Q339" s="81" t="e">
        <f t="shared" si="157"/>
        <v>#DIV/0!</v>
      </c>
      <c r="R339" s="92">
        <f t="shared" si="193"/>
        <v>-164.97</v>
      </c>
      <c r="S339" s="83" t="e">
        <f t="shared" si="158"/>
        <v>#DIV/0!</v>
      </c>
      <c r="T339" s="84"/>
      <c r="U339" s="84"/>
      <c r="V339" s="84"/>
      <c r="W339" s="84"/>
      <c r="X339" s="85"/>
      <c r="Y339" s="68"/>
      <c r="Z339" s="68"/>
    </row>
    <row r="340" spans="1:26" ht="12.75" hidden="1" outlineLevel="1" x14ac:dyDescent="0.2">
      <c r="A340" s="68"/>
      <c r="B340" s="86"/>
      <c r="C340" s="70" t="s">
        <v>115</v>
      </c>
      <c r="D340" s="285"/>
      <c r="E340" s="283"/>
      <c r="F340" s="283"/>
      <c r="G340" s="74" t="e">
        <f t="shared" si="151"/>
        <v>#DIV/0!</v>
      </c>
      <c r="H340" s="75" t="e">
        <f t="shared" si="152"/>
        <v>#DIV/0!</v>
      </c>
      <c r="I340" s="76" t="e">
        <f t="shared" si="153"/>
        <v>#DIV/0!</v>
      </c>
      <c r="J340" s="90">
        <v>24.74</v>
      </c>
      <c r="K340" s="199">
        <v>8681</v>
      </c>
      <c r="L340" s="283"/>
      <c r="M340" s="91">
        <v>0</v>
      </c>
      <c r="N340" s="79" t="e">
        <f t="shared" ref="N340:N350" si="194">J340/M340</f>
        <v>#DIV/0!</v>
      </c>
      <c r="O340" s="80">
        <f t="shared" si="155"/>
        <v>0</v>
      </c>
      <c r="P340" s="79" t="e">
        <f t="shared" si="156"/>
        <v>#DIV/0!</v>
      </c>
      <c r="Q340" s="81" t="e">
        <f t="shared" si="157"/>
        <v>#DIV/0!</v>
      </c>
      <c r="R340" s="92">
        <f t="shared" si="193"/>
        <v>0</v>
      </c>
      <c r="S340" s="83" t="e">
        <f t="shared" si="158"/>
        <v>#DIV/0!</v>
      </c>
      <c r="T340" s="84"/>
      <c r="U340" s="84"/>
      <c r="V340" s="84"/>
      <c r="W340" s="84"/>
      <c r="X340" s="85"/>
      <c r="Y340" s="68"/>
      <c r="Z340" s="68"/>
    </row>
    <row r="341" spans="1:26" ht="12.75" hidden="1" outlineLevel="1" x14ac:dyDescent="0.2">
      <c r="A341" s="68"/>
      <c r="B341" s="86"/>
      <c r="C341" s="70" t="s">
        <v>116</v>
      </c>
      <c r="D341" s="286"/>
      <c r="E341" s="283"/>
      <c r="F341" s="283"/>
      <c r="G341" s="74" t="e">
        <f t="shared" si="151"/>
        <v>#DIV/0!</v>
      </c>
      <c r="H341" s="75" t="e">
        <f t="shared" si="152"/>
        <v>#DIV/0!</v>
      </c>
      <c r="I341" s="76" t="e">
        <f t="shared" si="153"/>
        <v>#DIV/0!</v>
      </c>
      <c r="J341" s="200">
        <v>0</v>
      </c>
      <c r="K341" s="199">
        <v>0</v>
      </c>
      <c r="L341" s="283"/>
      <c r="M341" s="200">
        <v>0</v>
      </c>
      <c r="N341" s="79" t="e">
        <f t="shared" si="194"/>
        <v>#DIV/0!</v>
      </c>
      <c r="O341" s="80" t="e">
        <f t="shared" si="155"/>
        <v>#DIV/0!</v>
      </c>
      <c r="P341" s="79" t="e">
        <f t="shared" si="156"/>
        <v>#DIV/0!</v>
      </c>
      <c r="Q341" s="81" t="e">
        <f t="shared" si="157"/>
        <v>#DIV/0!</v>
      </c>
      <c r="R341" s="92">
        <f t="shared" si="193"/>
        <v>0</v>
      </c>
      <c r="S341" s="83" t="e">
        <f t="shared" si="158"/>
        <v>#DIV/0!</v>
      </c>
      <c r="T341" s="84"/>
      <c r="U341" s="84"/>
      <c r="V341" s="84"/>
      <c r="W341" s="84"/>
      <c r="X341" s="85"/>
      <c r="Y341" s="68"/>
      <c r="Z341" s="68"/>
    </row>
    <row r="342" spans="1:26" ht="12.75" hidden="1" outlineLevel="1" x14ac:dyDescent="0.2">
      <c r="A342" s="68"/>
      <c r="B342" s="86"/>
      <c r="C342" s="70" t="s">
        <v>117</v>
      </c>
      <c r="D342" s="287"/>
      <c r="E342" s="283"/>
      <c r="F342" s="283"/>
      <c r="G342" s="74" t="e">
        <f t="shared" si="151"/>
        <v>#DIV/0!</v>
      </c>
      <c r="H342" s="75" t="e">
        <f t="shared" si="152"/>
        <v>#DIV/0!</v>
      </c>
      <c r="I342" s="76" t="e">
        <f t="shared" si="153"/>
        <v>#DIV/0!</v>
      </c>
      <c r="J342" s="201">
        <v>10.99</v>
      </c>
      <c r="K342" s="199">
        <v>1612</v>
      </c>
      <c r="L342" s="283"/>
      <c r="M342" s="202">
        <v>0</v>
      </c>
      <c r="N342" s="79" t="e">
        <f t="shared" si="194"/>
        <v>#DIV/0!</v>
      </c>
      <c r="O342" s="80">
        <f t="shared" si="155"/>
        <v>0</v>
      </c>
      <c r="P342" s="79" t="e">
        <f t="shared" si="156"/>
        <v>#DIV/0!</v>
      </c>
      <c r="Q342" s="81" t="e">
        <f t="shared" si="157"/>
        <v>#DIV/0!</v>
      </c>
      <c r="R342" s="203">
        <f t="shared" si="193"/>
        <v>0</v>
      </c>
      <c r="S342" s="83" t="e">
        <f t="shared" si="158"/>
        <v>#DIV/0!</v>
      </c>
      <c r="T342" s="84"/>
      <c r="U342" s="84"/>
      <c r="V342" s="84"/>
      <c r="W342" s="84"/>
      <c r="X342" s="85"/>
      <c r="Y342" s="68"/>
      <c r="Z342" s="68"/>
    </row>
    <row r="343" spans="1:26" ht="12.75" hidden="1" outlineLevel="1" x14ac:dyDescent="0.2">
      <c r="A343" s="68"/>
      <c r="B343" s="86"/>
      <c r="C343" s="70" t="s">
        <v>118</v>
      </c>
      <c r="D343" s="285"/>
      <c r="E343" s="283"/>
      <c r="F343" s="283"/>
      <c r="G343" s="74" t="e">
        <f t="shared" si="151"/>
        <v>#DIV/0!</v>
      </c>
      <c r="H343" s="75" t="e">
        <f t="shared" si="152"/>
        <v>#DIV/0!</v>
      </c>
      <c r="I343" s="76" t="e">
        <f t="shared" si="153"/>
        <v>#DIV/0!</v>
      </c>
      <c r="J343" s="90">
        <v>55.34</v>
      </c>
      <c r="K343" s="199">
        <v>7325</v>
      </c>
      <c r="L343" s="283"/>
      <c r="M343" s="91">
        <v>988.65</v>
      </c>
      <c r="N343" s="79">
        <f t="shared" si="194"/>
        <v>5.597531988064533E-2</v>
      </c>
      <c r="O343" s="80">
        <f t="shared" si="155"/>
        <v>17.865016263100831</v>
      </c>
      <c r="P343" s="79" t="e">
        <f t="shared" si="156"/>
        <v>#DIV/0!</v>
      </c>
      <c r="Q343" s="81" t="e">
        <f t="shared" si="157"/>
        <v>#DIV/0!</v>
      </c>
      <c r="R343" s="92">
        <f t="shared" si="193"/>
        <v>-988.65</v>
      </c>
      <c r="S343" s="83" t="e">
        <f t="shared" si="158"/>
        <v>#DIV/0!</v>
      </c>
      <c r="T343" s="84"/>
      <c r="U343" s="84"/>
      <c r="V343" s="84"/>
      <c r="W343" s="84"/>
      <c r="X343" s="85"/>
      <c r="Y343" s="68"/>
      <c r="Z343" s="68"/>
    </row>
    <row r="344" spans="1:26" ht="12.75" hidden="1" outlineLevel="1" x14ac:dyDescent="0.2">
      <c r="A344" s="68"/>
      <c r="B344" s="69" t="s">
        <v>37</v>
      </c>
      <c r="C344" s="70" t="s">
        <v>119</v>
      </c>
      <c r="D344" s="288"/>
      <c r="E344" s="283"/>
      <c r="F344" s="283"/>
      <c r="G344" s="74" t="e">
        <f t="shared" si="151"/>
        <v>#DIV/0!</v>
      </c>
      <c r="H344" s="75" t="e">
        <f t="shared" si="152"/>
        <v>#DIV/0!</v>
      </c>
      <c r="I344" s="76" t="e">
        <f t="shared" si="153"/>
        <v>#DIV/0!</v>
      </c>
      <c r="J344" s="93">
        <v>40.869999999999997</v>
      </c>
      <c r="K344" s="199">
        <v>7685</v>
      </c>
      <c r="L344" s="283"/>
      <c r="M344" s="94">
        <v>299.89999999999998</v>
      </c>
      <c r="N344" s="79">
        <f t="shared" si="194"/>
        <v>0.13627875958652885</v>
      </c>
      <c r="O344" s="80">
        <f t="shared" si="155"/>
        <v>7.33790066063127</v>
      </c>
      <c r="P344" s="79" t="e">
        <f t="shared" si="156"/>
        <v>#DIV/0!</v>
      </c>
      <c r="Q344" s="81" t="e">
        <f t="shared" si="157"/>
        <v>#DIV/0!</v>
      </c>
      <c r="R344" s="95">
        <f t="shared" si="193"/>
        <v>-299.89999999999998</v>
      </c>
      <c r="S344" s="83" t="e">
        <f t="shared" si="158"/>
        <v>#DIV/0!</v>
      </c>
      <c r="T344" s="84"/>
      <c r="U344" s="84"/>
      <c r="V344" s="84"/>
      <c r="W344" s="84"/>
      <c r="X344" s="85"/>
      <c r="Y344" s="68"/>
      <c r="Z344" s="68"/>
    </row>
    <row r="345" spans="1:26" ht="12.75" hidden="1" outlineLevel="1" x14ac:dyDescent="0.2">
      <c r="A345" s="68"/>
      <c r="B345" s="86"/>
      <c r="C345" s="70" t="s">
        <v>120</v>
      </c>
      <c r="D345" s="289"/>
      <c r="E345" s="283"/>
      <c r="F345" s="283"/>
      <c r="G345" s="74" t="e">
        <f t="shared" si="151"/>
        <v>#DIV/0!</v>
      </c>
      <c r="H345" s="75" t="e">
        <f t="shared" si="152"/>
        <v>#DIV/0!</v>
      </c>
      <c r="I345" s="76" t="e">
        <f t="shared" si="153"/>
        <v>#DIV/0!</v>
      </c>
      <c r="J345" s="96">
        <v>403.2</v>
      </c>
      <c r="K345" s="199">
        <v>88324</v>
      </c>
      <c r="L345" s="283"/>
      <c r="M345" s="97">
        <v>82.48</v>
      </c>
      <c r="N345" s="79">
        <f t="shared" si="194"/>
        <v>4.8884578079534426</v>
      </c>
      <c r="O345" s="80">
        <f t="shared" si="155"/>
        <v>0.20456349206349209</v>
      </c>
      <c r="P345" s="79" t="e">
        <f t="shared" si="156"/>
        <v>#DIV/0!</v>
      </c>
      <c r="Q345" s="81" t="e">
        <f t="shared" si="157"/>
        <v>#DIV/0!</v>
      </c>
      <c r="R345" s="98">
        <f t="shared" si="193"/>
        <v>-82.48</v>
      </c>
      <c r="S345" s="83" t="e">
        <f t="shared" si="158"/>
        <v>#DIV/0!</v>
      </c>
      <c r="T345" s="84"/>
      <c r="U345" s="84"/>
      <c r="V345" s="84"/>
      <c r="W345" s="84"/>
      <c r="X345" s="85"/>
      <c r="Y345" s="68"/>
      <c r="Z345" s="68"/>
    </row>
    <row r="346" spans="1:26" ht="12.75" hidden="1" outlineLevel="1" x14ac:dyDescent="0.2">
      <c r="A346" s="68"/>
      <c r="B346" s="86"/>
      <c r="C346" s="70" t="s">
        <v>121</v>
      </c>
      <c r="D346" s="290"/>
      <c r="E346" s="283"/>
      <c r="F346" s="283"/>
      <c r="G346" s="74" t="e">
        <f t="shared" si="151"/>
        <v>#DIV/0!</v>
      </c>
      <c r="H346" s="75" t="e">
        <f t="shared" si="152"/>
        <v>#DIV/0!</v>
      </c>
      <c r="I346" s="76" t="e">
        <f t="shared" si="153"/>
        <v>#DIV/0!</v>
      </c>
      <c r="J346" s="99">
        <v>34</v>
      </c>
      <c r="K346" s="199">
        <v>10401</v>
      </c>
      <c r="L346" s="283"/>
      <c r="M346" s="100">
        <v>304.64999999999998</v>
      </c>
      <c r="N346" s="79">
        <f t="shared" si="194"/>
        <v>0.11160347940259314</v>
      </c>
      <c r="O346" s="80">
        <f t="shared" si="155"/>
        <v>8.9602941176470576</v>
      </c>
      <c r="P346" s="79" t="e">
        <f t="shared" si="156"/>
        <v>#DIV/0!</v>
      </c>
      <c r="Q346" s="81" t="e">
        <f t="shared" si="157"/>
        <v>#DIV/0!</v>
      </c>
      <c r="R346" s="101">
        <f t="shared" si="193"/>
        <v>-304.64999999999998</v>
      </c>
      <c r="S346" s="83" t="e">
        <f t="shared" si="158"/>
        <v>#DIV/0!</v>
      </c>
      <c r="T346" s="84"/>
      <c r="U346" s="84"/>
      <c r="V346" s="84"/>
      <c r="W346" s="84"/>
      <c r="X346" s="85"/>
      <c r="Y346" s="68"/>
      <c r="Z346" s="68"/>
    </row>
    <row r="347" spans="1:26" ht="12.75" hidden="1" outlineLevel="1" x14ac:dyDescent="0.2">
      <c r="A347" s="118" t="str">
        <f t="shared" ref="A347:A348" si="195">IFERROR(IF(B347&gt;0,MONTH(B347)&amp;"-"&amp;YEAR(B347),B347),)</f>
        <v>9-2025</v>
      </c>
      <c r="B347" s="69">
        <v>45906</v>
      </c>
      <c r="C347" s="70" t="s">
        <v>123</v>
      </c>
      <c r="D347" s="293"/>
      <c r="E347" s="283"/>
      <c r="F347" s="283"/>
      <c r="G347" s="74" t="e">
        <f t="shared" si="151"/>
        <v>#DIV/0!</v>
      </c>
      <c r="H347" s="75" t="e">
        <f t="shared" si="152"/>
        <v>#DIV/0!</v>
      </c>
      <c r="I347" s="76" t="e">
        <f t="shared" si="153"/>
        <v>#DIV/0!</v>
      </c>
      <c r="J347" s="87">
        <v>0</v>
      </c>
      <c r="K347" s="199">
        <v>0</v>
      </c>
      <c r="L347" s="283"/>
      <c r="M347" s="88">
        <v>0</v>
      </c>
      <c r="N347" s="79" t="e">
        <f t="shared" si="194"/>
        <v>#DIV/0!</v>
      </c>
      <c r="O347" s="80" t="e">
        <f t="shared" si="155"/>
        <v>#DIV/0!</v>
      </c>
      <c r="P347" s="79" t="e">
        <f t="shared" si="156"/>
        <v>#DIV/0!</v>
      </c>
      <c r="Q347" s="81" t="e">
        <f t="shared" si="157"/>
        <v>#DIV/0!</v>
      </c>
      <c r="R347" s="82">
        <f t="shared" si="193"/>
        <v>0</v>
      </c>
      <c r="S347" s="83" t="e">
        <f t="shared" si="158"/>
        <v>#DIV/0!</v>
      </c>
      <c r="T347" s="84"/>
      <c r="U347" s="84"/>
      <c r="V347" s="84"/>
      <c r="W347" s="84"/>
      <c r="X347" s="85"/>
      <c r="Y347" s="68"/>
      <c r="Z347" s="68"/>
    </row>
    <row r="348" spans="1:26" ht="12.75" collapsed="1" x14ac:dyDescent="0.2">
      <c r="A348" s="68">
        <f t="shared" si="195"/>
        <v>0</v>
      </c>
      <c r="B348" s="52" t="s">
        <v>94</v>
      </c>
      <c r="C348" s="120"/>
      <c r="D348" s="121">
        <f t="shared" ref="D348:F348" si="196">SUM(D337:D347)</f>
        <v>0</v>
      </c>
      <c r="E348" s="123">
        <f t="shared" si="196"/>
        <v>0</v>
      </c>
      <c r="F348" s="123">
        <f t="shared" si="196"/>
        <v>0</v>
      </c>
      <c r="G348" s="124" t="e">
        <f t="shared" si="151"/>
        <v>#DIV/0!</v>
      </c>
      <c r="H348" s="125" t="e">
        <f t="shared" si="152"/>
        <v>#DIV/0!</v>
      </c>
      <c r="I348" s="126" t="e">
        <f t="shared" si="153"/>
        <v>#DIV/0!</v>
      </c>
      <c r="J348" s="121">
        <f t="shared" ref="J348:M348" si="197">SUM(J337:J347)</f>
        <v>839.62000000000012</v>
      </c>
      <c r="K348" s="294">
        <f t="shared" si="197"/>
        <v>188037</v>
      </c>
      <c r="L348" s="123">
        <f t="shared" si="197"/>
        <v>0</v>
      </c>
      <c r="M348" s="127">
        <f t="shared" si="197"/>
        <v>2485.4500000000003</v>
      </c>
      <c r="N348" s="128">
        <f t="shared" si="194"/>
        <v>0.33781407793357343</v>
      </c>
      <c r="O348" s="129">
        <f t="shared" si="155"/>
        <v>2.9602081894190229</v>
      </c>
      <c r="P348" s="128" t="e">
        <f t="shared" si="156"/>
        <v>#DIV/0!</v>
      </c>
      <c r="Q348" s="130" t="e">
        <f t="shared" si="157"/>
        <v>#DIV/0!</v>
      </c>
      <c r="R348" s="131">
        <f>SUM(R337:R347)</f>
        <v>-2485.4500000000003</v>
      </c>
      <c r="S348" s="132" t="e">
        <f t="shared" si="158"/>
        <v>#DIV/0!</v>
      </c>
      <c r="T348" s="134">
        <f t="shared" ref="T348:U348" si="198">IFERROR((D348-D48)/D348,)</f>
        <v>0</v>
      </c>
      <c r="U348" s="134">
        <f t="shared" si="198"/>
        <v>0</v>
      </c>
      <c r="V348" s="134" t="s">
        <v>139</v>
      </c>
      <c r="W348" s="134" t="s">
        <v>139</v>
      </c>
      <c r="X348" s="68"/>
      <c r="Y348" s="68"/>
      <c r="Z348" s="68"/>
    </row>
    <row r="349" spans="1:26" ht="12.75" hidden="1" outlineLevel="1" x14ac:dyDescent="0.2">
      <c r="A349" s="68"/>
      <c r="B349" s="69">
        <v>45907</v>
      </c>
      <c r="C349" s="70" t="s">
        <v>112</v>
      </c>
      <c r="D349" s="282"/>
      <c r="E349" s="283"/>
      <c r="F349" s="283"/>
      <c r="G349" s="74" t="e">
        <f t="shared" si="151"/>
        <v>#DIV/0!</v>
      </c>
      <c r="H349" s="75" t="e">
        <f t="shared" si="152"/>
        <v>#DIV/0!</v>
      </c>
      <c r="I349" s="76" t="e">
        <f t="shared" si="153"/>
        <v>#DIV/0!</v>
      </c>
      <c r="J349" s="77">
        <v>19.86</v>
      </c>
      <c r="K349" s="199">
        <v>7420</v>
      </c>
      <c r="L349" s="283"/>
      <c r="M349" s="78">
        <v>454.95</v>
      </c>
      <c r="N349" s="79">
        <f t="shared" si="194"/>
        <v>4.3653148697659086E-2</v>
      </c>
      <c r="O349" s="80">
        <f t="shared" si="155"/>
        <v>22.907854984894261</v>
      </c>
      <c r="P349" s="79" t="e">
        <f t="shared" si="156"/>
        <v>#DIV/0!</v>
      </c>
      <c r="Q349" s="81" t="e">
        <f t="shared" si="157"/>
        <v>#DIV/0!</v>
      </c>
      <c r="R349" s="82">
        <f t="shared" ref="R349:R359" si="199">D349-M349</f>
        <v>-454.95</v>
      </c>
      <c r="S349" s="83" t="e">
        <f t="shared" si="158"/>
        <v>#DIV/0!</v>
      </c>
      <c r="T349" s="84"/>
      <c r="U349" s="84"/>
      <c r="V349" s="84"/>
      <c r="W349" s="84"/>
      <c r="X349" s="85"/>
      <c r="Y349" s="68"/>
      <c r="Z349" s="68"/>
    </row>
    <row r="350" spans="1:26" ht="12.75" hidden="1" outlineLevel="1" x14ac:dyDescent="0.2">
      <c r="A350" s="68"/>
      <c r="B350" s="86"/>
      <c r="C350" s="70" t="s">
        <v>113</v>
      </c>
      <c r="D350" s="284"/>
      <c r="E350" s="283"/>
      <c r="F350" s="283"/>
      <c r="G350" s="74" t="e">
        <f t="shared" si="151"/>
        <v>#DIV/0!</v>
      </c>
      <c r="H350" s="75" t="e">
        <f t="shared" si="152"/>
        <v>#DIV/0!</v>
      </c>
      <c r="I350" s="76" t="e">
        <f t="shared" si="153"/>
        <v>#DIV/0!</v>
      </c>
      <c r="J350" s="87">
        <v>65.290000000000006</v>
      </c>
      <c r="K350" s="199">
        <v>15833</v>
      </c>
      <c r="L350" s="283"/>
      <c r="M350" s="88">
        <v>129.9</v>
      </c>
      <c r="N350" s="79">
        <f t="shared" si="194"/>
        <v>0.50261739799846039</v>
      </c>
      <c r="O350" s="80">
        <f t="shared" si="155"/>
        <v>1.9895849287792924</v>
      </c>
      <c r="P350" s="79" t="e">
        <f t="shared" si="156"/>
        <v>#DIV/0!</v>
      </c>
      <c r="Q350" s="81" t="e">
        <f t="shared" si="157"/>
        <v>#DIV/0!</v>
      </c>
      <c r="R350" s="89">
        <f t="shared" si="199"/>
        <v>-129.9</v>
      </c>
      <c r="S350" s="83" t="e">
        <f t="shared" si="158"/>
        <v>#DIV/0!</v>
      </c>
      <c r="T350" s="84"/>
      <c r="U350" s="84"/>
      <c r="V350" s="84"/>
      <c r="W350" s="84"/>
      <c r="X350" s="85"/>
      <c r="Y350" s="68"/>
      <c r="Z350" s="68"/>
    </row>
    <row r="351" spans="1:26" ht="12.75" hidden="1" outlineLevel="1" x14ac:dyDescent="0.2">
      <c r="A351" s="68"/>
      <c r="B351" s="86"/>
      <c r="C351" s="70" t="s">
        <v>114</v>
      </c>
      <c r="D351" s="285"/>
      <c r="E351" s="283"/>
      <c r="F351" s="283"/>
      <c r="G351" s="74" t="e">
        <f t="shared" si="151"/>
        <v>#DIV/0!</v>
      </c>
      <c r="H351" s="75" t="e">
        <f t="shared" si="152"/>
        <v>#DIV/0!</v>
      </c>
      <c r="I351" s="76" t="e">
        <f t="shared" si="153"/>
        <v>#DIV/0!</v>
      </c>
      <c r="J351" s="90">
        <v>69.650000000000006</v>
      </c>
      <c r="K351" s="199">
        <v>18507</v>
      </c>
      <c r="L351" s="283"/>
      <c r="M351" s="91">
        <v>256.7</v>
      </c>
      <c r="N351" s="79">
        <f>(J351/M351)</f>
        <v>0.2713283989092326</v>
      </c>
      <c r="O351" s="80">
        <f t="shared" si="155"/>
        <v>3.6855707106963385</v>
      </c>
      <c r="P351" s="79" t="e">
        <f t="shared" si="156"/>
        <v>#DIV/0!</v>
      </c>
      <c r="Q351" s="81" t="e">
        <f t="shared" si="157"/>
        <v>#DIV/0!</v>
      </c>
      <c r="R351" s="92">
        <f t="shared" si="199"/>
        <v>-256.7</v>
      </c>
      <c r="S351" s="83" t="e">
        <f t="shared" si="158"/>
        <v>#DIV/0!</v>
      </c>
      <c r="T351" s="84"/>
      <c r="U351" s="84"/>
      <c r="V351" s="84"/>
      <c r="W351" s="84"/>
      <c r="X351" s="85"/>
      <c r="Y351" s="68"/>
      <c r="Z351" s="68"/>
    </row>
    <row r="352" spans="1:26" ht="12.75" hidden="1" outlineLevel="1" x14ac:dyDescent="0.2">
      <c r="A352" s="68"/>
      <c r="B352" s="86"/>
      <c r="C352" s="70" t="s">
        <v>115</v>
      </c>
      <c r="D352" s="285"/>
      <c r="E352" s="283"/>
      <c r="F352" s="283"/>
      <c r="G352" s="74" t="e">
        <f t="shared" si="151"/>
        <v>#DIV/0!</v>
      </c>
      <c r="H352" s="75" t="e">
        <f t="shared" si="152"/>
        <v>#DIV/0!</v>
      </c>
      <c r="I352" s="76" t="e">
        <f t="shared" si="153"/>
        <v>#DIV/0!</v>
      </c>
      <c r="J352" s="90">
        <v>15.87</v>
      </c>
      <c r="K352" s="199">
        <v>5443</v>
      </c>
      <c r="L352" s="283"/>
      <c r="M352" s="91">
        <v>0</v>
      </c>
      <c r="N352" s="79" t="e">
        <f t="shared" ref="N352:N362" si="200">J352/M352</f>
        <v>#DIV/0!</v>
      </c>
      <c r="O352" s="80">
        <f t="shared" si="155"/>
        <v>0</v>
      </c>
      <c r="P352" s="79" t="e">
        <f t="shared" si="156"/>
        <v>#DIV/0!</v>
      </c>
      <c r="Q352" s="81" t="e">
        <f t="shared" si="157"/>
        <v>#DIV/0!</v>
      </c>
      <c r="R352" s="92">
        <f t="shared" si="199"/>
        <v>0</v>
      </c>
      <c r="S352" s="83" t="e">
        <f t="shared" si="158"/>
        <v>#DIV/0!</v>
      </c>
      <c r="T352" s="84"/>
      <c r="U352" s="84"/>
      <c r="V352" s="84"/>
      <c r="W352" s="84"/>
      <c r="X352" s="85"/>
      <c r="Y352" s="68"/>
      <c r="Z352" s="68"/>
    </row>
    <row r="353" spans="1:26" ht="12.75" hidden="1" outlineLevel="1" x14ac:dyDescent="0.2">
      <c r="A353" s="68"/>
      <c r="B353" s="86"/>
      <c r="C353" s="70" t="s">
        <v>116</v>
      </c>
      <c r="D353" s="286"/>
      <c r="E353" s="283"/>
      <c r="F353" s="283"/>
      <c r="G353" s="74" t="e">
        <f t="shared" si="151"/>
        <v>#DIV/0!</v>
      </c>
      <c r="H353" s="75" t="e">
        <f t="shared" si="152"/>
        <v>#DIV/0!</v>
      </c>
      <c r="I353" s="76" t="e">
        <f t="shared" si="153"/>
        <v>#DIV/0!</v>
      </c>
      <c r="J353" s="200">
        <v>0</v>
      </c>
      <c r="K353" s="199">
        <v>0</v>
      </c>
      <c r="L353" s="283"/>
      <c r="M353" s="200">
        <v>0</v>
      </c>
      <c r="N353" s="79" t="e">
        <f t="shared" si="200"/>
        <v>#DIV/0!</v>
      </c>
      <c r="O353" s="80" t="e">
        <f t="shared" si="155"/>
        <v>#DIV/0!</v>
      </c>
      <c r="P353" s="79" t="e">
        <f t="shared" si="156"/>
        <v>#DIV/0!</v>
      </c>
      <c r="Q353" s="81" t="e">
        <f t="shared" si="157"/>
        <v>#DIV/0!</v>
      </c>
      <c r="R353" s="92">
        <f t="shared" si="199"/>
        <v>0</v>
      </c>
      <c r="S353" s="83" t="e">
        <f t="shared" si="158"/>
        <v>#DIV/0!</v>
      </c>
      <c r="T353" s="84"/>
      <c r="U353" s="84"/>
      <c r="V353" s="84"/>
      <c r="W353" s="84"/>
      <c r="X353" s="85"/>
      <c r="Y353" s="68"/>
      <c r="Z353" s="68"/>
    </row>
    <row r="354" spans="1:26" ht="12.75" hidden="1" outlineLevel="1" x14ac:dyDescent="0.2">
      <c r="A354" s="68"/>
      <c r="B354" s="86"/>
      <c r="C354" s="70" t="s">
        <v>117</v>
      </c>
      <c r="D354" s="287"/>
      <c r="E354" s="283"/>
      <c r="F354" s="283"/>
      <c r="G354" s="74" t="e">
        <f t="shared" si="151"/>
        <v>#DIV/0!</v>
      </c>
      <c r="H354" s="75" t="e">
        <f t="shared" si="152"/>
        <v>#DIV/0!</v>
      </c>
      <c r="I354" s="76" t="e">
        <f t="shared" si="153"/>
        <v>#DIV/0!</v>
      </c>
      <c r="J354" s="201">
        <v>4.5</v>
      </c>
      <c r="K354" s="199">
        <v>685</v>
      </c>
      <c r="L354" s="283"/>
      <c r="M354" s="202">
        <v>0</v>
      </c>
      <c r="N354" s="79" t="e">
        <f t="shared" si="200"/>
        <v>#DIV/0!</v>
      </c>
      <c r="O354" s="80">
        <f t="shared" si="155"/>
        <v>0</v>
      </c>
      <c r="P354" s="79" t="e">
        <f t="shared" si="156"/>
        <v>#DIV/0!</v>
      </c>
      <c r="Q354" s="81" t="e">
        <f t="shared" si="157"/>
        <v>#DIV/0!</v>
      </c>
      <c r="R354" s="203">
        <f t="shared" si="199"/>
        <v>0</v>
      </c>
      <c r="S354" s="83" t="e">
        <f t="shared" si="158"/>
        <v>#DIV/0!</v>
      </c>
      <c r="T354" s="84"/>
      <c r="U354" s="84"/>
      <c r="V354" s="84"/>
      <c r="W354" s="84"/>
      <c r="X354" s="85"/>
      <c r="Y354" s="68"/>
      <c r="Z354" s="68"/>
    </row>
    <row r="355" spans="1:26" ht="12.75" hidden="1" outlineLevel="1" x14ac:dyDescent="0.2">
      <c r="A355" s="68"/>
      <c r="B355" s="86"/>
      <c r="C355" s="70" t="s">
        <v>118</v>
      </c>
      <c r="D355" s="285"/>
      <c r="E355" s="283"/>
      <c r="F355" s="283"/>
      <c r="G355" s="74" t="e">
        <f t="shared" si="151"/>
        <v>#DIV/0!</v>
      </c>
      <c r="H355" s="75" t="e">
        <f t="shared" si="152"/>
        <v>#DIV/0!</v>
      </c>
      <c r="I355" s="76" t="e">
        <f t="shared" si="153"/>
        <v>#DIV/0!</v>
      </c>
      <c r="J355" s="90">
        <v>38.4</v>
      </c>
      <c r="K355" s="199">
        <v>5279</v>
      </c>
      <c r="L355" s="283"/>
      <c r="M355" s="91">
        <v>239.15</v>
      </c>
      <c r="N355" s="79">
        <f t="shared" si="200"/>
        <v>0.16056868074430272</v>
      </c>
      <c r="O355" s="80">
        <f t="shared" si="155"/>
        <v>6.2278645833333339</v>
      </c>
      <c r="P355" s="79" t="e">
        <f t="shared" si="156"/>
        <v>#DIV/0!</v>
      </c>
      <c r="Q355" s="81" t="e">
        <f t="shared" si="157"/>
        <v>#DIV/0!</v>
      </c>
      <c r="R355" s="92">
        <f t="shared" si="199"/>
        <v>-239.15</v>
      </c>
      <c r="S355" s="83" t="e">
        <f t="shared" si="158"/>
        <v>#DIV/0!</v>
      </c>
      <c r="T355" s="84"/>
      <c r="U355" s="84"/>
      <c r="V355" s="84"/>
      <c r="W355" s="84"/>
      <c r="X355" s="85"/>
      <c r="Y355" s="68"/>
      <c r="Z355" s="68"/>
    </row>
    <row r="356" spans="1:26" ht="12.75" hidden="1" outlineLevel="1" x14ac:dyDescent="0.2">
      <c r="A356" s="68"/>
      <c r="B356" s="69" t="s">
        <v>37</v>
      </c>
      <c r="C356" s="70" t="s">
        <v>119</v>
      </c>
      <c r="D356" s="288"/>
      <c r="E356" s="283"/>
      <c r="F356" s="283"/>
      <c r="G356" s="74" t="e">
        <f t="shared" si="151"/>
        <v>#DIV/0!</v>
      </c>
      <c r="H356" s="75" t="e">
        <f t="shared" si="152"/>
        <v>#DIV/0!</v>
      </c>
      <c r="I356" s="76" t="e">
        <f t="shared" si="153"/>
        <v>#DIV/0!</v>
      </c>
      <c r="J356" s="93">
        <v>28.05</v>
      </c>
      <c r="K356" s="199">
        <v>4898</v>
      </c>
      <c r="L356" s="283"/>
      <c r="M356" s="94">
        <v>79.95</v>
      </c>
      <c r="N356" s="79">
        <f t="shared" si="200"/>
        <v>0.35084427767354598</v>
      </c>
      <c r="O356" s="80">
        <f t="shared" si="155"/>
        <v>2.8502673796791442</v>
      </c>
      <c r="P356" s="79" t="e">
        <f t="shared" si="156"/>
        <v>#DIV/0!</v>
      </c>
      <c r="Q356" s="81" t="e">
        <f t="shared" si="157"/>
        <v>#DIV/0!</v>
      </c>
      <c r="R356" s="95">
        <f t="shared" si="199"/>
        <v>-79.95</v>
      </c>
      <c r="S356" s="83" t="e">
        <f t="shared" si="158"/>
        <v>#DIV/0!</v>
      </c>
      <c r="T356" s="84"/>
      <c r="U356" s="84"/>
      <c r="V356" s="84"/>
      <c r="W356" s="84"/>
      <c r="X356" s="85"/>
      <c r="Y356" s="68"/>
      <c r="Z356" s="68"/>
    </row>
    <row r="357" spans="1:26" ht="12.75" hidden="1" outlineLevel="1" x14ac:dyDescent="0.2">
      <c r="A357" s="68"/>
      <c r="B357" s="86"/>
      <c r="C357" s="70" t="s">
        <v>120</v>
      </c>
      <c r="D357" s="289"/>
      <c r="E357" s="283"/>
      <c r="F357" s="283"/>
      <c r="G357" s="74" t="e">
        <f t="shared" si="151"/>
        <v>#DIV/0!</v>
      </c>
      <c r="H357" s="75" t="e">
        <f t="shared" si="152"/>
        <v>#DIV/0!</v>
      </c>
      <c r="I357" s="76" t="e">
        <f t="shared" si="153"/>
        <v>#DIV/0!</v>
      </c>
      <c r="J357" s="96">
        <v>59.72</v>
      </c>
      <c r="K357" s="199">
        <v>13929</v>
      </c>
      <c r="L357" s="283"/>
      <c r="M357" s="97">
        <v>0</v>
      </c>
      <c r="N357" s="79" t="e">
        <f t="shared" si="200"/>
        <v>#DIV/0!</v>
      </c>
      <c r="O357" s="80">
        <f t="shared" si="155"/>
        <v>0</v>
      </c>
      <c r="P357" s="79" t="e">
        <f t="shared" si="156"/>
        <v>#DIV/0!</v>
      </c>
      <c r="Q357" s="81" t="e">
        <f t="shared" si="157"/>
        <v>#DIV/0!</v>
      </c>
      <c r="R357" s="98">
        <f t="shared" si="199"/>
        <v>0</v>
      </c>
      <c r="S357" s="83" t="e">
        <f t="shared" si="158"/>
        <v>#DIV/0!</v>
      </c>
      <c r="T357" s="84"/>
      <c r="U357" s="84"/>
      <c r="V357" s="84"/>
      <c r="W357" s="84"/>
      <c r="X357" s="85"/>
      <c r="Y357" s="68"/>
      <c r="Z357" s="68"/>
    </row>
    <row r="358" spans="1:26" ht="12.75" hidden="1" outlineLevel="1" x14ac:dyDescent="0.2">
      <c r="A358" s="68"/>
      <c r="B358" s="86"/>
      <c r="C358" s="70" t="s">
        <v>121</v>
      </c>
      <c r="D358" s="290"/>
      <c r="E358" s="283"/>
      <c r="F358" s="283"/>
      <c r="G358" s="74" t="e">
        <f t="shared" si="151"/>
        <v>#DIV/0!</v>
      </c>
      <c r="H358" s="75" t="e">
        <f t="shared" si="152"/>
        <v>#DIV/0!</v>
      </c>
      <c r="I358" s="76" t="e">
        <f t="shared" si="153"/>
        <v>#DIV/0!</v>
      </c>
      <c r="J358" s="99">
        <v>37.770000000000003</v>
      </c>
      <c r="K358" s="199">
        <v>9364</v>
      </c>
      <c r="L358" s="283"/>
      <c r="M358" s="100">
        <v>87.9</v>
      </c>
      <c r="N358" s="79">
        <f t="shared" si="200"/>
        <v>0.42969283276450515</v>
      </c>
      <c r="O358" s="80">
        <f t="shared" si="155"/>
        <v>2.3272438443208894</v>
      </c>
      <c r="P358" s="79" t="e">
        <f t="shared" si="156"/>
        <v>#DIV/0!</v>
      </c>
      <c r="Q358" s="81" t="e">
        <f t="shared" si="157"/>
        <v>#DIV/0!</v>
      </c>
      <c r="R358" s="101">
        <f t="shared" si="199"/>
        <v>-87.9</v>
      </c>
      <c r="S358" s="83" t="e">
        <f t="shared" si="158"/>
        <v>#DIV/0!</v>
      </c>
      <c r="T358" s="84"/>
      <c r="U358" s="84"/>
      <c r="V358" s="84"/>
      <c r="W358" s="84"/>
      <c r="X358" s="85"/>
      <c r="Y358" s="68"/>
      <c r="Z358" s="68"/>
    </row>
    <row r="359" spans="1:26" ht="12.75" hidden="1" outlineLevel="1" x14ac:dyDescent="0.2">
      <c r="A359" s="118" t="str">
        <f t="shared" ref="A359:A360" si="201">IFERROR(IF(B359&gt;0,MONTH(B359)&amp;"-"&amp;YEAR(B359),B359),)</f>
        <v>9-2025</v>
      </c>
      <c r="B359" s="69">
        <v>45913</v>
      </c>
      <c r="C359" s="70" t="s">
        <v>123</v>
      </c>
      <c r="D359" s="293"/>
      <c r="E359" s="283"/>
      <c r="F359" s="283"/>
      <c r="G359" s="74" t="e">
        <f t="shared" si="151"/>
        <v>#DIV/0!</v>
      </c>
      <c r="H359" s="75" t="e">
        <f t="shared" si="152"/>
        <v>#DIV/0!</v>
      </c>
      <c r="I359" s="76" t="e">
        <f t="shared" si="153"/>
        <v>#DIV/0!</v>
      </c>
      <c r="J359" s="87">
        <v>0</v>
      </c>
      <c r="K359" s="199">
        <v>0</v>
      </c>
      <c r="L359" s="283"/>
      <c r="M359" s="88">
        <v>0</v>
      </c>
      <c r="N359" s="79" t="e">
        <f t="shared" si="200"/>
        <v>#DIV/0!</v>
      </c>
      <c r="O359" s="80" t="e">
        <f t="shared" si="155"/>
        <v>#DIV/0!</v>
      </c>
      <c r="P359" s="79" t="e">
        <f t="shared" si="156"/>
        <v>#DIV/0!</v>
      </c>
      <c r="Q359" s="81" t="e">
        <f t="shared" si="157"/>
        <v>#DIV/0!</v>
      </c>
      <c r="R359" s="82">
        <f t="shared" si="199"/>
        <v>0</v>
      </c>
      <c r="S359" s="83" t="e">
        <f t="shared" si="158"/>
        <v>#DIV/0!</v>
      </c>
      <c r="T359" s="84"/>
      <c r="U359" s="84"/>
      <c r="V359" s="84"/>
      <c r="W359" s="84"/>
      <c r="X359" s="85"/>
      <c r="Y359" s="68"/>
      <c r="Z359" s="68"/>
    </row>
    <row r="360" spans="1:26" ht="12.75" collapsed="1" x14ac:dyDescent="0.2">
      <c r="A360" s="68">
        <f t="shared" si="201"/>
        <v>0</v>
      </c>
      <c r="B360" s="52" t="s">
        <v>95</v>
      </c>
      <c r="C360" s="120"/>
      <c r="D360" s="121">
        <f t="shared" ref="D360:F360" si="202">SUM(D349:D359)</f>
        <v>0</v>
      </c>
      <c r="E360" s="123">
        <f t="shared" si="202"/>
        <v>0</v>
      </c>
      <c r="F360" s="123">
        <f t="shared" si="202"/>
        <v>0</v>
      </c>
      <c r="G360" s="124" t="e">
        <f t="shared" si="151"/>
        <v>#DIV/0!</v>
      </c>
      <c r="H360" s="125" t="e">
        <f t="shared" si="152"/>
        <v>#DIV/0!</v>
      </c>
      <c r="I360" s="126" t="e">
        <f t="shared" si="153"/>
        <v>#DIV/0!</v>
      </c>
      <c r="J360" s="121">
        <f t="shared" ref="J360:M360" si="203">SUM(J349:J359)</f>
        <v>339.11</v>
      </c>
      <c r="K360" s="294">
        <f t="shared" si="203"/>
        <v>81358</v>
      </c>
      <c r="L360" s="123">
        <f t="shared" si="203"/>
        <v>0</v>
      </c>
      <c r="M360" s="127">
        <f t="shared" si="203"/>
        <v>1248.5500000000002</v>
      </c>
      <c r="N360" s="128">
        <f t="shared" si="200"/>
        <v>0.27160305954907688</v>
      </c>
      <c r="O360" s="129">
        <f t="shared" si="155"/>
        <v>3.6818436495532425</v>
      </c>
      <c r="P360" s="128" t="e">
        <f t="shared" si="156"/>
        <v>#DIV/0!</v>
      </c>
      <c r="Q360" s="130" t="e">
        <f t="shared" si="157"/>
        <v>#DIV/0!</v>
      </c>
      <c r="R360" s="131">
        <f>SUM(R349:R359)</f>
        <v>-1248.5500000000002</v>
      </c>
      <c r="S360" s="132" t="e">
        <f t="shared" si="158"/>
        <v>#DIV/0!</v>
      </c>
      <c r="T360" s="134">
        <f t="shared" ref="T360:U360" si="204">IFERROR((D360-D48)/D360,)</f>
        <v>0</v>
      </c>
      <c r="U360" s="134">
        <f t="shared" si="204"/>
        <v>0</v>
      </c>
      <c r="V360" s="134" t="s">
        <v>139</v>
      </c>
      <c r="W360" s="134" t="s">
        <v>139</v>
      </c>
      <c r="X360" s="68"/>
      <c r="Y360" s="68"/>
      <c r="Z360" s="68"/>
    </row>
    <row r="361" spans="1:26" ht="12.75" hidden="1" outlineLevel="1" x14ac:dyDescent="0.2">
      <c r="A361" s="68"/>
      <c r="B361" s="69">
        <v>45914</v>
      </c>
      <c r="C361" s="70" t="s">
        <v>112</v>
      </c>
      <c r="D361" s="282"/>
      <c r="E361" s="283"/>
      <c r="F361" s="283"/>
      <c r="G361" s="74" t="e">
        <f t="shared" si="151"/>
        <v>#DIV/0!</v>
      </c>
      <c r="H361" s="75" t="e">
        <f t="shared" si="152"/>
        <v>#DIV/0!</v>
      </c>
      <c r="I361" s="76" t="e">
        <f t="shared" si="153"/>
        <v>#DIV/0!</v>
      </c>
      <c r="J361" s="77">
        <v>54.78</v>
      </c>
      <c r="K361" s="199">
        <v>17922</v>
      </c>
      <c r="L361" s="283"/>
      <c r="M361" s="78">
        <v>0</v>
      </c>
      <c r="N361" s="79" t="e">
        <f t="shared" si="200"/>
        <v>#DIV/0!</v>
      </c>
      <c r="O361" s="80">
        <f t="shared" si="155"/>
        <v>0</v>
      </c>
      <c r="P361" s="79" t="e">
        <f t="shared" si="156"/>
        <v>#DIV/0!</v>
      </c>
      <c r="Q361" s="81" t="e">
        <f t="shared" si="157"/>
        <v>#DIV/0!</v>
      </c>
      <c r="R361" s="82">
        <f t="shared" ref="R361:R371" si="205">D361-M361</f>
        <v>0</v>
      </c>
      <c r="S361" s="83" t="e">
        <f t="shared" si="158"/>
        <v>#DIV/0!</v>
      </c>
      <c r="T361" s="84"/>
      <c r="U361" s="84"/>
      <c r="V361" s="84"/>
      <c r="W361" s="84"/>
      <c r="X361" s="85"/>
      <c r="Y361" s="68"/>
      <c r="Z361" s="68"/>
    </row>
    <row r="362" spans="1:26" ht="12.75" hidden="1" outlineLevel="1" x14ac:dyDescent="0.2">
      <c r="A362" s="68"/>
      <c r="B362" s="86"/>
      <c r="C362" s="70" t="s">
        <v>113</v>
      </c>
      <c r="D362" s="284"/>
      <c r="E362" s="283"/>
      <c r="F362" s="283"/>
      <c r="G362" s="74" t="e">
        <f t="shared" si="151"/>
        <v>#DIV/0!</v>
      </c>
      <c r="H362" s="75" t="e">
        <f t="shared" si="152"/>
        <v>#DIV/0!</v>
      </c>
      <c r="I362" s="76" t="e">
        <f t="shared" si="153"/>
        <v>#DIV/0!</v>
      </c>
      <c r="J362" s="87">
        <v>36.89</v>
      </c>
      <c r="K362" s="199">
        <v>8020</v>
      </c>
      <c r="L362" s="283"/>
      <c r="M362" s="88">
        <v>0</v>
      </c>
      <c r="N362" s="79" t="e">
        <f t="shared" si="200"/>
        <v>#DIV/0!</v>
      </c>
      <c r="O362" s="80">
        <f t="shared" si="155"/>
        <v>0</v>
      </c>
      <c r="P362" s="79" t="e">
        <f t="shared" si="156"/>
        <v>#DIV/0!</v>
      </c>
      <c r="Q362" s="81" t="e">
        <f t="shared" si="157"/>
        <v>#DIV/0!</v>
      </c>
      <c r="R362" s="89">
        <f t="shared" si="205"/>
        <v>0</v>
      </c>
      <c r="S362" s="83" t="e">
        <f t="shared" si="158"/>
        <v>#DIV/0!</v>
      </c>
      <c r="T362" s="84"/>
      <c r="U362" s="84"/>
      <c r="V362" s="84"/>
      <c r="W362" s="84"/>
      <c r="X362" s="85"/>
      <c r="Y362" s="68"/>
      <c r="Z362" s="68"/>
    </row>
    <row r="363" spans="1:26" ht="12.75" hidden="1" outlineLevel="1" x14ac:dyDescent="0.2">
      <c r="A363" s="68"/>
      <c r="B363" s="86"/>
      <c r="C363" s="70" t="s">
        <v>114</v>
      </c>
      <c r="D363" s="285"/>
      <c r="E363" s="283"/>
      <c r="F363" s="283"/>
      <c r="G363" s="74" t="e">
        <f t="shared" si="151"/>
        <v>#DIV/0!</v>
      </c>
      <c r="H363" s="75" t="e">
        <f t="shared" si="152"/>
        <v>#DIV/0!</v>
      </c>
      <c r="I363" s="76" t="e">
        <f t="shared" si="153"/>
        <v>#DIV/0!</v>
      </c>
      <c r="J363" s="90">
        <v>103.68</v>
      </c>
      <c r="K363" s="199">
        <v>20478</v>
      </c>
      <c r="L363" s="283"/>
      <c r="M363" s="91">
        <v>270.98</v>
      </c>
      <c r="N363" s="79">
        <f>(J363/M363)</f>
        <v>0.38261126282382463</v>
      </c>
      <c r="O363" s="80">
        <f t="shared" si="155"/>
        <v>2.6136188271604937</v>
      </c>
      <c r="P363" s="79" t="e">
        <f t="shared" si="156"/>
        <v>#DIV/0!</v>
      </c>
      <c r="Q363" s="81" t="e">
        <f t="shared" si="157"/>
        <v>#DIV/0!</v>
      </c>
      <c r="R363" s="92">
        <f t="shared" si="205"/>
        <v>-270.98</v>
      </c>
      <c r="S363" s="83" t="e">
        <f t="shared" si="158"/>
        <v>#DIV/0!</v>
      </c>
      <c r="T363" s="84"/>
      <c r="U363" s="84"/>
      <c r="V363" s="84"/>
      <c r="W363" s="84"/>
      <c r="X363" s="85"/>
      <c r="Y363" s="68"/>
      <c r="Z363" s="68"/>
    </row>
    <row r="364" spans="1:26" ht="12.75" hidden="1" outlineLevel="1" x14ac:dyDescent="0.2">
      <c r="A364" s="68"/>
      <c r="B364" s="86"/>
      <c r="C364" s="70" t="s">
        <v>115</v>
      </c>
      <c r="D364" s="285"/>
      <c r="E364" s="283"/>
      <c r="F364" s="283"/>
      <c r="G364" s="74" t="e">
        <f t="shared" si="151"/>
        <v>#DIV/0!</v>
      </c>
      <c r="H364" s="75" t="e">
        <f t="shared" si="152"/>
        <v>#DIV/0!</v>
      </c>
      <c r="I364" s="76" t="e">
        <f t="shared" si="153"/>
        <v>#DIV/0!</v>
      </c>
      <c r="J364" s="90">
        <v>5.16</v>
      </c>
      <c r="K364" s="199">
        <v>1744</v>
      </c>
      <c r="L364" s="283"/>
      <c r="M364" s="91">
        <v>119.9</v>
      </c>
      <c r="N364" s="79">
        <f t="shared" ref="N364:N374" si="206">J364/M364</f>
        <v>4.3035863219349456E-2</v>
      </c>
      <c r="O364" s="80">
        <f t="shared" si="155"/>
        <v>23.236434108527131</v>
      </c>
      <c r="P364" s="79" t="e">
        <f t="shared" si="156"/>
        <v>#DIV/0!</v>
      </c>
      <c r="Q364" s="81" t="e">
        <f t="shared" si="157"/>
        <v>#DIV/0!</v>
      </c>
      <c r="R364" s="92">
        <f t="shared" si="205"/>
        <v>-119.9</v>
      </c>
      <c r="S364" s="83" t="e">
        <f t="shared" si="158"/>
        <v>#DIV/0!</v>
      </c>
      <c r="T364" s="84"/>
      <c r="U364" s="84"/>
      <c r="V364" s="84"/>
      <c r="W364" s="84"/>
      <c r="X364" s="85"/>
      <c r="Y364" s="68"/>
      <c r="Z364" s="68"/>
    </row>
    <row r="365" spans="1:26" ht="12.75" hidden="1" outlineLevel="1" x14ac:dyDescent="0.2">
      <c r="A365" s="68"/>
      <c r="B365" s="86"/>
      <c r="C365" s="70" t="s">
        <v>116</v>
      </c>
      <c r="D365" s="286"/>
      <c r="E365" s="283"/>
      <c r="F365" s="283"/>
      <c r="G365" s="74" t="e">
        <f t="shared" si="151"/>
        <v>#DIV/0!</v>
      </c>
      <c r="H365" s="75" t="e">
        <f t="shared" si="152"/>
        <v>#DIV/0!</v>
      </c>
      <c r="I365" s="76" t="e">
        <f t="shared" si="153"/>
        <v>#DIV/0!</v>
      </c>
      <c r="J365" s="200">
        <v>0.09</v>
      </c>
      <c r="K365" s="199">
        <v>109</v>
      </c>
      <c r="L365" s="283"/>
      <c r="M365" s="200">
        <v>0</v>
      </c>
      <c r="N365" s="79" t="e">
        <f t="shared" si="206"/>
        <v>#DIV/0!</v>
      </c>
      <c r="O365" s="80">
        <f t="shared" si="155"/>
        <v>0</v>
      </c>
      <c r="P365" s="79" t="e">
        <f t="shared" si="156"/>
        <v>#DIV/0!</v>
      </c>
      <c r="Q365" s="81" t="e">
        <f t="shared" si="157"/>
        <v>#DIV/0!</v>
      </c>
      <c r="R365" s="92">
        <f t="shared" si="205"/>
        <v>0</v>
      </c>
      <c r="S365" s="83" t="e">
        <f t="shared" si="158"/>
        <v>#DIV/0!</v>
      </c>
      <c r="T365" s="84"/>
      <c r="U365" s="84"/>
      <c r="V365" s="84"/>
      <c r="W365" s="84"/>
      <c r="X365" s="85"/>
      <c r="Y365" s="68"/>
      <c r="Z365" s="68"/>
    </row>
    <row r="366" spans="1:26" ht="12.75" hidden="1" outlineLevel="1" x14ac:dyDescent="0.2">
      <c r="A366" s="68"/>
      <c r="B366" s="86"/>
      <c r="C366" s="70" t="s">
        <v>117</v>
      </c>
      <c r="D366" s="287"/>
      <c r="E366" s="283"/>
      <c r="F366" s="283"/>
      <c r="G366" s="74" t="e">
        <f t="shared" si="151"/>
        <v>#DIV/0!</v>
      </c>
      <c r="H366" s="75" t="e">
        <f t="shared" si="152"/>
        <v>#DIV/0!</v>
      </c>
      <c r="I366" s="76" t="e">
        <f t="shared" si="153"/>
        <v>#DIV/0!</v>
      </c>
      <c r="J366" s="201">
        <v>2.76</v>
      </c>
      <c r="K366" s="199">
        <v>366</v>
      </c>
      <c r="L366" s="283"/>
      <c r="M366" s="202">
        <v>0</v>
      </c>
      <c r="N366" s="79" t="e">
        <f t="shared" si="206"/>
        <v>#DIV/0!</v>
      </c>
      <c r="O366" s="80">
        <f t="shared" si="155"/>
        <v>0</v>
      </c>
      <c r="P366" s="79" t="e">
        <f t="shared" si="156"/>
        <v>#DIV/0!</v>
      </c>
      <c r="Q366" s="81" t="e">
        <f t="shared" si="157"/>
        <v>#DIV/0!</v>
      </c>
      <c r="R366" s="203">
        <f t="shared" si="205"/>
        <v>0</v>
      </c>
      <c r="S366" s="83" t="e">
        <f t="shared" si="158"/>
        <v>#DIV/0!</v>
      </c>
      <c r="T366" s="84"/>
      <c r="U366" s="84"/>
      <c r="V366" s="84"/>
      <c r="W366" s="84"/>
      <c r="X366" s="85"/>
      <c r="Y366" s="68"/>
      <c r="Z366" s="68"/>
    </row>
    <row r="367" spans="1:26" ht="12.75" hidden="1" outlineLevel="1" x14ac:dyDescent="0.2">
      <c r="A367" s="68"/>
      <c r="B367" s="86"/>
      <c r="C367" s="70" t="s">
        <v>118</v>
      </c>
      <c r="D367" s="285"/>
      <c r="E367" s="283"/>
      <c r="F367" s="283"/>
      <c r="G367" s="74" t="e">
        <f t="shared" si="151"/>
        <v>#DIV/0!</v>
      </c>
      <c r="H367" s="75" t="e">
        <f t="shared" si="152"/>
        <v>#DIV/0!</v>
      </c>
      <c r="I367" s="76" t="e">
        <f t="shared" si="153"/>
        <v>#DIV/0!</v>
      </c>
      <c r="J367" s="90">
        <v>49.45</v>
      </c>
      <c r="K367" s="199">
        <v>7246</v>
      </c>
      <c r="L367" s="283"/>
      <c r="M367" s="91">
        <v>536.85</v>
      </c>
      <c r="N367" s="79">
        <f t="shared" si="206"/>
        <v>9.2111390518766878E-2</v>
      </c>
      <c r="O367" s="80">
        <f t="shared" si="155"/>
        <v>10.856420626895854</v>
      </c>
      <c r="P367" s="79" t="e">
        <f t="shared" si="156"/>
        <v>#DIV/0!</v>
      </c>
      <c r="Q367" s="81" t="e">
        <f t="shared" si="157"/>
        <v>#DIV/0!</v>
      </c>
      <c r="R367" s="92">
        <f t="shared" si="205"/>
        <v>-536.85</v>
      </c>
      <c r="S367" s="83" t="e">
        <f t="shared" si="158"/>
        <v>#DIV/0!</v>
      </c>
      <c r="T367" s="84"/>
      <c r="U367" s="84"/>
      <c r="V367" s="84"/>
      <c r="W367" s="84"/>
      <c r="X367" s="85"/>
      <c r="Y367" s="68"/>
      <c r="Z367" s="68"/>
    </row>
    <row r="368" spans="1:26" ht="12.75" hidden="1" outlineLevel="1" x14ac:dyDescent="0.2">
      <c r="A368" s="68"/>
      <c r="B368" s="69" t="s">
        <v>37</v>
      </c>
      <c r="C368" s="70" t="s">
        <v>119</v>
      </c>
      <c r="D368" s="288"/>
      <c r="E368" s="283"/>
      <c r="F368" s="283"/>
      <c r="G368" s="74" t="e">
        <f t="shared" si="151"/>
        <v>#DIV/0!</v>
      </c>
      <c r="H368" s="75" t="e">
        <f t="shared" si="152"/>
        <v>#DIV/0!</v>
      </c>
      <c r="I368" s="76" t="e">
        <f t="shared" si="153"/>
        <v>#DIV/0!</v>
      </c>
      <c r="J368" s="93">
        <v>32.35</v>
      </c>
      <c r="K368" s="199">
        <v>4253</v>
      </c>
      <c r="L368" s="283"/>
      <c r="M368" s="94">
        <v>180</v>
      </c>
      <c r="N368" s="79">
        <f t="shared" si="206"/>
        <v>0.17972222222222223</v>
      </c>
      <c r="O368" s="80">
        <f t="shared" si="155"/>
        <v>5.564142194744977</v>
      </c>
      <c r="P368" s="79" t="e">
        <f t="shared" si="156"/>
        <v>#DIV/0!</v>
      </c>
      <c r="Q368" s="81" t="e">
        <f t="shared" si="157"/>
        <v>#DIV/0!</v>
      </c>
      <c r="R368" s="95">
        <f t="shared" si="205"/>
        <v>-180</v>
      </c>
      <c r="S368" s="83" t="e">
        <f t="shared" si="158"/>
        <v>#DIV/0!</v>
      </c>
      <c r="T368" s="84"/>
      <c r="U368" s="84"/>
      <c r="V368" s="84"/>
      <c r="W368" s="84"/>
      <c r="X368" s="85"/>
      <c r="Y368" s="68"/>
      <c r="Z368" s="68"/>
    </row>
    <row r="369" spans="1:26" ht="12.75" hidden="1" outlineLevel="1" x14ac:dyDescent="0.2">
      <c r="A369" s="68"/>
      <c r="B369" s="86"/>
      <c r="C369" s="70" t="s">
        <v>120</v>
      </c>
      <c r="D369" s="289"/>
      <c r="E369" s="283"/>
      <c r="F369" s="283"/>
      <c r="G369" s="74" t="e">
        <f t="shared" si="151"/>
        <v>#DIV/0!</v>
      </c>
      <c r="H369" s="75" t="e">
        <f t="shared" si="152"/>
        <v>#DIV/0!</v>
      </c>
      <c r="I369" s="76" t="e">
        <f t="shared" si="153"/>
        <v>#DIV/0!</v>
      </c>
      <c r="J369" s="96">
        <v>69.14</v>
      </c>
      <c r="K369" s="199">
        <v>19894</v>
      </c>
      <c r="L369" s="283"/>
      <c r="M369" s="97">
        <v>0</v>
      </c>
      <c r="N369" s="79" t="e">
        <f t="shared" si="206"/>
        <v>#DIV/0!</v>
      </c>
      <c r="O369" s="80">
        <f t="shared" si="155"/>
        <v>0</v>
      </c>
      <c r="P369" s="79" t="e">
        <f t="shared" si="156"/>
        <v>#DIV/0!</v>
      </c>
      <c r="Q369" s="81" t="e">
        <f t="shared" si="157"/>
        <v>#DIV/0!</v>
      </c>
      <c r="R369" s="98">
        <f t="shared" si="205"/>
        <v>0</v>
      </c>
      <c r="S369" s="83" t="e">
        <f t="shared" si="158"/>
        <v>#DIV/0!</v>
      </c>
      <c r="T369" s="84"/>
      <c r="U369" s="84"/>
      <c r="V369" s="84"/>
      <c r="W369" s="84"/>
      <c r="X369" s="85"/>
      <c r="Y369" s="68"/>
      <c r="Z369" s="68"/>
    </row>
    <row r="370" spans="1:26" ht="12.75" hidden="1" outlineLevel="1" x14ac:dyDescent="0.2">
      <c r="A370" s="68"/>
      <c r="B370" s="86"/>
      <c r="C370" s="70" t="s">
        <v>121</v>
      </c>
      <c r="D370" s="290"/>
      <c r="E370" s="283"/>
      <c r="F370" s="283"/>
      <c r="G370" s="74" t="e">
        <f t="shared" si="151"/>
        <v>#DIV/0!</v>
      </c>
      <c r="H370" s="75" t="e">
        <f t="shared" si="152"/>
        <v>#DIV/0!</v>
      </c>
      <c r="I370" s="76" t="e">
        <f t="shared" si="153"/>
        <v>#DIV/0!</v>
      </c>
      <c r="J370" s="99">
        <v>58.84</v>
      </c>
      <c r="K370" s="199">
        <v>16288</v>
      </c>
      <c r="L370" s="283"/>
      <c r="M370" s="100">
        <v>261.7</v>
      </c>
      <c r="N370" s="79">
        <f t="shared" si="206"/>
        <v>0.22483760030569355</v>
      </c>
      <c r="O370" s="80">
        <f t="shared" si="155"/>
        <v>4.447654656696125</v>
      </c>
      <c r="P370" s="79" t="e">
        <f t="shared" si="156"/>
        <v>#DIV/0!</v>
      </c>
      <c r="Q370" s="81" t="e">
        <f t="shared" si="157"/>
        <v>#DIV/0!</v>
      </c>
      <c r="R370" s="101">
        <f t="shared" si="205"/>
        <v>-261.7</v>
      </c>
      <c r="S370" s="83" t="e">
        <f t="shared" si="158"/>
        <v>#DIV/0!</v>
      </c>
      <c r="T370" s="84"/>
      <c r="U370" s="84"/>
      <c r="V370" s="84"/>
      <c r="W370" s="84"/>
      <c r="X370" s="85"/>
      <c r="Y370" s="68"/>
      <c r="Z370" s="68"/>
    </row>
    <row r="371" spans="1:26" ht="12.75" hidden="1" outlineLevel="1" x14ac:dyDescent="0.2">
      <c r="A371" s="118" t="str">
        <f t="shared" ref="A371:A372" si="207">IFERROR(IF(B371&gt;0,MONTH(B371)&amp;"-"&amp;YEAR(B371),B371),)</f>
        <v>9-2025</v>
      </c>
      <c r="B371" s="69">
        <v>45920</v>
      </c>
      <c r="C371" s="70" t="s">
        <v>123</v>
      </c>
      <c r="D371" s="293"/>
      <c r="E371" s="283"/>
      <c r="F371" s="283"/>
      <c r="G371" s="74" t="e">
        <f t="shared" si="151"/>
        <v>#DIV/0!</v>
      </c>
      <c r="H371" s="75" t="e">
        <f t="shared" si="152"/>
        <v>#DIV/0!</v>
      </c>
      <c r="I371" s="76" t="e">
        <f t="shared" si="153"/>
        <v>#DIV/0!</v>
      </c>
      <c r="J371" s="87">
        <v>0</v>
      </c>
      <c r="K371" s="199">
        <v>0</v>
      </c>
      <c r="L371" s="283"/>
      <c r="M371" s="88">
        <v>0</v>
      </c>
      <c r="N371" s="79" t="e">
        <f t="shared" si="206"/>
        <v>#DIV/0!</v>
      </c>
      <c r="O371" s="80" t="e">
        <f t="shared" si="155"/>
        <v>#DIV/0!</v>
      </c>
      <c r="P371" s="79" t="e">
        <f t="shared" si="156"/>
        <v>#DIV/0!</v>
      </c>
      <c r="Q371" s="81" t="e">
        <f t="shared" si="157"/>
        <v>#DIV/0!</v>
      </c>
      <c r="R371" s="82">
        <f t="shared" si="205"/>
        <v>0</v>
      </c>
      <c r="S371" s="83" t="e">
        <f t="shared" si="158"/>
        <v>#DIV/0!</v>
      </c>
      <c r="T371" s="84"/>
      <c r="U371" s="84"/>
      <c r="V371" s="84"/>
      <c r="W371" s="84"/>
      <c r="X371" s="85"/>
      <c r="Y371" s="68"/>
      <c r="Z371" s="68"/>
    </row>
    <row r="372" spans="1:26" ht="12.75" collapsed="1" x14ac:dyDescent="0.2">
      <c r="A372" s="68">
        <f t="shared" si="207"/>
        <v>0</v>
      </c>
      <c r="B372" s="52" t="s">
        <v>96</v>
      </c>
      <c r="C372" s="120"/>
      <c r="D372" s="121">
        <f t="shared" ref="D372:F372" si="208">SUM(D361:D371)</f>
        <v>0</v>
      </c>
      <c r="E372" s="123">
        <f t="shared" si="208"/>
        <v>0</v>
      </c>
      <c r="F372" s="123">
        <f t="shared" si="208"/>
        <v>0</v>
      </c>
      <c r="G372" s="124" t="e">
        <f t="shared" si="151"/>
        <v>#DIV/0!</v>
      </c>
      <c r="H372" s="125" t="e">
        <f t="shared" si="152"/>
        <v>#DIV/0!</v>
      </c>
      <c r="I372" s="126" t="e">
        <f t="shared" si="153"/>
        <v>#DIV/0!</v>
      </c>
      <c r="J372" s="121">
        <f t="shared" ref="J372:M372" si="209">SUM(J361:J371)</f>
        <v>413.14</v>
      </c>
      <c r="K372" s="294">
        <f t="shared" si="209"/>
        <v>96320</v>
      </c>
      <c r="L372" s="123">
        <f t="shared" si="209"/>
        <v>0</v>
      </c>
      <c r="M372" s="127">
        <f t="shared" si="209"/>
        <v>1369.43</v>
      </c>
      <c r="N372" s="128">
        <f t="shared" si="206"/>
        <v>0.30168756343880299</v>
      </c>
      <c r="O372" s="129">
        <f t="shared" si="155"/>
        <v>3.3146875151280439</v>
      </c>
      <c r="P372" s="128" t="e">
        <f t="shared" si="156"/>
        <v>#DIV/0!</v>
      </c>
      <c r="Q372" s="130" t="e">
        <f t="shared" si="157"/>
        <v>#DIV/0!</v>
      </c>
      <c r="R372" s="131">
        <f>SUM(R361:R371)</f>
        <v>-1369.43</v>
      </c>
      <c r="S372" s="132" t="e">
        <f t="shared" si="158"/>
        <v>#DIV/0!</v>
      </c>
      <c r="T372" s="134">
        <f t="shared" ref="T372:U372" si="210">IFERROR((D372-D48)/D372,)</f>
        <v>0</v>
      </c>
      <c r="U372" s="134">
        <f t="shared" si="210"/>
        <v>0</v>
      </c>
      <c r="V372" s="134" t="s">
        <v>139</v>
      </c>
      <c r="W372" s="134" t="s">
        <v>139</v>
      </c>
      <c r="X372" s="68"/>
      <c r="Y372" s="68"/>
      <c r="Z372" s="68"/>
    </row>
    <row r="373" spans="1:26" ht="12.75" hidden="1" outlineLevel="1" x14ac:dyDescent="0.2">
      <c r="A373" s="68"/>
      <c r="B373" s="69">
        <v>45921</v>
      </c>
      <c r="C373" s="70" t="s">
        <v>112</v>
      </c>
      <c r="D373" s="282"/>
      <c r="E373" s="283"/>
      <c r="F373" s="283"/>
      <c r="G373" s="74" t="e">
        <f t="shared" si="151"/>
        <v>#DIV/0!</v>
      </c>
      <c r="H373" s="75" t="e">
        <f t="shared" si="152"/>
        <v>#DIV/0!</v>
      </c>
      <c r="I373" s="76" t="e">
        <f t="shared" si="153"/>
        <v>#DIV/0!</v>
      </c>
      <c r="J373" s="77">
        <v>122.44</v>
      </c>
      <c r="K373" s="199">
        <v>42784</v>
      </c>
      <c r="L373" s="283"/>
      <c r="M373" s="78">
        <v>0</v>
      </c>
      <c r="N373" s="79" t="e">
        <f t="shared" si="206"/>
        <v>#DIV/0!</v>
      </c>
      <c r="O373" s="80">
        <f t="shared" si="155"/>
        <v>0</v>
      </c>
      <c r="P373" s="79" t="e">
        <f t="shared" si="156"/>
        <v>#DIV/0!</v>
      </c>
      <c r="Q373" s="81" t="e">
        <f t="shared" si="157"/>
        <v>#DIV/0!</v>
      </c>
      <c r="R373" s="82">
        <f t="shared" ref="R373:R383" si="211">D373-M373</f>
        <v>0</v>
      </c>
      <c r="S373" s="83" t="e">
        <f t="shared" si="158"/>
        <v>#DIV/0!</v>
      </c>
      <c r="T373" s="84"/>
      <c r="U373" s="84"/>
      <c r="V373" s="84"/>
      <c r="W373" s="84"/>
      <c r="X373" s="85"/>
      <c r="Y373" s="68"/>
      <c r="Z373" s="68"/>
    </row>
    <row r="374" spans="1:26" ht="12.75" hidden="1" outlineLevel="1" x14ac:dyDescent="0.2">
      <c r="A374" s="68"/>
      <c r="B374" s="86"/>
      <c r="C374" s="70" t="s">
        <v>113</v>
      </c>
      <c r="D374" s="284"/>
      <c r="E374" s="283"/>
      <c r="F374" s="283"/>
      <c r="G374" s="74" t="e">
        <f t="shared" si="151"/>
        <v>#DIV/0!</v>
      </c>
      <c r="H374" s="75" t="e">
        <f t="shared" si="152"/>
        <v>#DIV/0!</v>
      </c>
      <c r="I374" s="76" t="e">
        <f t="shared" si="153"/>
        <v>#DIV/0!</v>
      </c>
      <c r="J374" s="87">
        <v>46.25</v>
      </c>
      <c r="K374" s="199">
        <v>12567</v>
      </c>
      <c r="L374" s="283"/>
      <c r="M374" s="88">
        <v>189.85</v>
      </c>
      <c r="N374" s="79">
        <f t="shared" si="206"/>
        <v>0.24361337898340796</v>
      </c>
      <c r="O374" s="80">
        <f t="shared" si="155"/>
        <v>4.1048648648648651</v>
      </c>
      <c r="P374" s="79" t="e">
        <f t="shared" si="156"/>
        <v>#DIV/0!</v>
      </c>
      <c r="Q374" s="81" t="e">
        <f t="shared" si="157"/>
        <v>#DIV/0!</v>
      </c>
      <c r="R374" s="89">
        <f t="shared" si="211"/>
        <v>-189.85</v>
      </c>
      <c r="S374" s="83" t="e">
        <f t="shared" si="158"/>
        <v>#DIV/0!</v>
      </c>
      <c r="T374" s="84"/>
      <c r="U374" s="84"/>
      <c r="V374" s="84"/>
      <c r="W374" s="84"/>
      <c r="X374" s="85"/>
      <c r="Y374" s="68"/>
      <c r="Z374" s="68"/>
    </row>
    <row r="375" spans="1:26" ht="12.75" hidden="1" outlineLevel="1" x14ac:dyDescent="0.2">
      <c r="A375" s="68"/>
      <c r="B375" s="86"/>
      <c r="C375" s="70" t="s">
        <v>114</v>
      </c>
      <c r="D375" s="285"/>
      <c r="E375" s="283"/>
      <c r="F375" s="283"/>
      <c r="G375" s="74" t="e">
        <f t="shared" si="151"/>
        <v>#DIV/0!</v>
      </c>
      <c r="H375" s="75" t="e">
        <f t="shared" si="152"/>
        <v>#DIV/0!</v>
      </c>
      <c r="I375" s="76" t="e">
        <f t="shared" si="153"/>
        <v>#DIV/0!</v>
      </c>
      <c r="J375" s="90">
        <v>57.69</v>
      </c>
      <c r="K375" s="199">
        <v>17553</v>
      </c>
      <c r="L375" s="283"/>
      <c r="M375" s="91">
        <v>181.64</v>
      </c>
      <c r="N375" s="79">
        <f>(J375/M375)</f>
        <v>0.31760625412904647</v>
      </c>
      <c r="O375" s="80">
        <f t="shared" si="155"/>
        <v>3.1485526087710176</v>
      </c>
      <c r="P375" s="79" t="e">
        <f t="shared" si="156"/>
        <v>#DIV/0!</v>
      </c>
      <c r="Q375" s="81" t="e">
        <f t="shared" si="157"/>
        <v>#DIV/0!</v>
      </c>
      <c r="R375" s="92">
        <f t="shared" si="211"/>
        <v>-181.64</v>
      </c>
      <c r="S375" s="83" t="e">
        <f t="shared" si="158"/>
        <v>#DIV/0!</v>
      </c>
      <c r="T375" s="84"/>
      <c r="U375" s="84"/>
      <c r="V375" s="84"/>
      <c r="W375" s="84"/>
      <c r="X375" s="85"/>
      <c r="Y375" s="68"/>
      <c r="Z375" s="68"/>
    </row>
    <row r="376" spans="1:26" ht="12.75" hidden="1" outlineLevel="1" x14ac:dyDescent="0.2">
      <c r="A376" s="68"/>
      <c r="B376" s="86"/>
      <c r="C376" s="70" t="s">
        <v>115</v>
      </c>
      <c r="D376" s="285"/>
      <c r="E376" s="283"/>
      <c r="F376" s="283"/>
      <c r="G376" s="74" t="e">
        <f t="shared" si="151"/>
        <v>#DIV/0!</v>
      </c>
      <c r="H376" s="75" t="e">
        <f t="shared" si="152"/>
        <v>#DIV/0!</v>
      </c>
      <c r="I376" s="76" t="e">
        <f t="shared" si="153"/>
        <v>#DIV/0!</v>
      </c>
      <c r="J376" s="90">
        <v>11.56</v>
      </c>
      <c r="K376" s="199">
        <v>4915</v>
      </c>
      <c r="L376" s="283"/>
      <c r="M376" s="91">
        <v>0</v>
      </c>
      <c r="N376" s="79" t="e">
        <f t="shared" ref="N376:N386" si="212">J376/M376</f>
        <v>#DIV/0!</v>
      </c>
      <c r="O376" s="80">
        <f t="shared" si="155"/>
        <v>0</v>
      </c>
      <c r="P376" s="79" t="e">
        <f t="shared" si="156"/>
        <v>#DIV/0!</v>
      </c>
      <c r="Q376" s="81" t="e">
        <f t="shared" si="157"/>
        <v>#DIV/0!</v>
      </c>
      <c r="R376" s="92">
        <f t="shared" si="211"/>
        <v>0</v>
      </c>
      <c r="S376" s="83" t="e">
        <f t="shared" si="158"/>
        <v>#DIV/0!</v>
      </c>
      <c r="T376" s="84"/>
      <c r="U376" s="84"/>
      <c r="V376" s="84"/>
      <c r="W376" s="84"/>
      <c r="X376" s="85"/>
      <c r="Y376" s="68"/>
      <c r="Z376" s="68"/>
    </row>
    <row r="377" spans="1:26" ht="12.75" hidden="1" outlineLevel="1" x14ac:dyDescent="0.2">
      <c r="A377" s="68"/>
      <c r="B377" s="86"/>
      <c r="C377" s="70" t="s">
        <v>116</v>
      </c>
      <c r="D377" s="286"/>
      <c r="E377" s="283"/>
      <c r="F377" s="283"/>
      <c r="G377" s="74" t="e">
        <f t="shared" si="151"/>
        <v>#DIV/0!</v>
      </c>
      <c r="H377" s="75" t="e">
        <f t="shared" si="152"/>
        <v>#DIV/0!</v>
      </c>
      <c r="I377" s="76" t="e">
        <f t="shared" si="153"/>
        <v>#DIV/0!</v>
      </c>
      <c r="J377" s="200">
        <v>0.24</v>
      </c>
      <c r="K377" s="199">
        <v>214</v>
      </c>
      <c r="L377" s="283"/>
      <c r="M377" s="200">
        <v>0</v>
      </c>
      <c r="N377" s="79" t="e">
        <f t="shared" si="212"/>
        <v>#DIV/0!</v>
      </c>
      <c r="O377" s="80">
        <f t="shared" si="155"/>
        <v>0</v>
      </c>
      <c r="P377" s="79" t="e">
        <f t="shared" si="156"/>
        <v>#DIV/0!</v>
      </c>
      <c r="Q377" s="81" t="e">
        <f t="shared" si="157"/>
        <v>#DIV/0!</v>
      </c>
      <c r="R377" s="92">
        <f t="shared" si="211"/>
        <v>0</v>
      </c>
      <c r="S377" s="83" t="e">
        <f t="shared" si="158"/>
        <v>#DIV/0!</v>
      </c>
      <c r="T377" s="84"/>
      <c r="U377" s="84"/>
      <c r="V377" s="84"/>
      <c r="W377" s="84"/>
      <c r="X377" s="85"/>
      <c r="Y377" s="68"/>
      <c r="Z377" s="68"/>
    </row>
    <row r="378" spans="1:26" ht="12.75" hidden="1" outlineLevel="1" x14ac:dyDescent="0.2">
      <c r="A378" s="68"/>
      <c r="B378" s="86"/>
      <c r="C378" s="70" t="s">
        <v>117</v>
      </c>
      <c r="D378" s="287"/>
      <c r="E378" s="283"/>
      <c r="F378" s="283"/>
      <c r="G378" s="74" t="e">
        <f t="shared" si="151"/>
        <v>#DIV/0!</v>
      </c>
      <c r="H378" s="75" t="e">
        <f t="shared" si="152"/>
        <v>#DIV/0!</v>
      </c>
      <c r="I378" s="76" t="e">
        <f t="shared" si="153"/>
        <v>#DIV/0!</v>
      </c>
      <c r="J378" s="201">
        <v>6.78</v>
      </c>
      <c r="K378" s="199">
        <v>949</v>
      </c>
      <c r="L378" s="283"/>
      <c r="M378" s="202">
        <v>89.9</v>
      </c>
      <c r="N378" s="79">
        <f t="shared" si="212"/>
        <v>7.5417130144605118E-2</v>
      </c>
      <c r="O378" s="80">
        <f t="shared" si="155"/>
        <v>13.259587020648969</v>
      </c>
      <c r="P378" s="79" t="e">
        <f t="shared" si="156"/>
        <v>#DIV/0!</v>
      </c>
      <c r="Q378" s="81" t="e">
        <f t="shared" si="157"/>
        <v>#DIV/0!</v>
      </c>
      <c r="R378" s="203">
        <f t="shared" si="211"/>
        <v>-89.9</v>
      </c>
      <c r="S378" s="83" t="e">
        <f t="shared" si="158"/>
        <v>#DIV/0!</v>
      </c>
      <c r="T378" s="84"/>
      <c r="U378" s="84"/>
      <c r="V378" s="84"/>
      <c r="W378" s="84"/>
      <c r="X378" s="85"/>
      <c r="Y378" s="68"/>
      <c r="Z378" s="68"/>
    </row>
    <row r="379" spans="1:26" ht="12.75" hidden="1" outlineLevel="1" x14ac:dyDescent="0.2">
      <c r="A379" s="68"/>
      <c r="B379" s="86"/>
      <c r="C379" s="70" t="s">
        <v>118</v>
      </c>
      <c r="D379" s="285"/>
      <c r="E379" s="283"/>
      <c r="F379" s="283"/>
      <c r="G379" s="74" t="e">
        <f t="shared" si="151"/>
        <v>#DIV/0!</v>
      </c>
      <c r="H379" s="75" t="e">
        <f t="shared" si="152"/>
        <v>#DIV/0!</v>
      </c>
      <c r="I379" s="76" t="e">
        <f t="shared" si="153"/>
        <v>#DIV/0!</v>
      </c>
      <c r="J379" s="90">
        <v>27.1</v>
      </c>
      <c r="K379" s="199">
        <v>3844</v>
      </c>
      <c r="L379" s="283"/>
      <c r="M379" s="91">
        <v>555.6</v>
      </c>
      <c r="N379" s="79">
        <f t="shared" si="212"/>
        <v>4.8776097912167027E-2</v>
      </c>
      <c r="O379" s="80">
        <f t="shared" si="155"/>
        <v>20.501845018450183</v>
      </c>
      <c r="P379" s="79" t="e">
        <f t="shared" si="156"/>
        <v>#DIV/0!</v>
      </c>
      <c r="Q379" s="81" t="e">
        <f t="shared" si="157"/>
        <v>#DIV/0!</v>
      </c>
      <c r="R379" s="92">
        <f t="shared" si="211"/>
        <v>-555.6</v>
      </c>
      <c r="S379" s="83" t="e">
        <f t="shared" si="158"/>
        <v>#DIV/0!</v>
      </c>
      <c r="T379" s="84"/>
      <c r="U379" s="84"/>
      <c r="V379" s="84"/>
      <c r="W379" s="84"/>
      <c r="X379" s="85"/>
      <c r="Y379" s="68"/>
      <c r="Z379" s="68"/>
    </row>
    <row r="380" spans="1:26" ht="12.75" hidden="1" outlineLevel="1" x14ac:dyDescent="0.2">
      <c r="A380" s="68"/>
      <c r="B380" s="69" t="s">
        <v>37</v>
      </c>
      <c r="C380" s="70" t="s">
        <v>119</v>
      </c>
      <c r="D380" s="288"/>
      <c r="E380" s="283"/>
      <c r="F380" s="283"/>
      <c r="G380" s="74" t="e">
        <f t="shared" si="151"/>
        <v>#DIV/0!</v>
      </c>
      <c r="H380" s="75" t="e">
        <f t="shared" si="152"/>
        <v>#DIV/0!</v>
      </c>
      <c r="I380" s="76" t="e">
        <f t="shared" si="153"/>
        <v>#DIV/0!</v>
      </c>
      <c r="J380" s="93">
        <v>24.43</v>
      </c>
      <c r="K380" s="199">
        <v>5017</v>
      </c>
      <c r="L380" s="283"/>
      <c r="M380" s="94">
        <v>0</v>
      </c>
      <c r="N380" s="79" t="e">
        <f t="shared" si="212"/>
        <v>#DIV/0!</v>
      </c>
      <c r="O380" s="80">
        <f t="shared" si="155"/>
        <v>0</v>
      </c>
      <c r="P380" s="79" t="e">
        <f t="shared" si="156"/>
        <v>#DIV/0!</v>
      </c>
      <c r="Q380" s="81" t="e">
        <f t="shared" si="157"/>
        <v>#DIV/0!</v>
      </c>
      <c r="R380" s="95">
        <f t="shared" si="211"/>
        <v>0</v>
      </c>
      <c r="S380" s="83" t="e">
        <f t="shared" si="158"/>
        <v>#DIV/0!</v>
      </c>
      <c r="T380" s="84"/>
      <c r="U380" s="84"/>
      <c r="V380" s="84"/>
      <c r="W380" s="84"/>
      <c r="X380" s="85"/>
      <c r="Y380" s="68"/>
      <c r="Z380" s="68"/>
    </row>
    <row r="381" spans="1:26" ht="12.75" hidden="1" outlineLevel="1" x14ac:dyDescent="0.2">
      <c r="A381" s="68"/>
      <c r="B381" s="86"/>
      <c r="C381" s="70" t="s">
        <v>120</v>
      </c>
      <c r="D381" s="289"/>
      <c r="E381" s="283"/>
      <c r="F381" s="283"/>
      <c r="G381" s="74" t="e">
        <f t="shared" si="151"/>
        <v>#DIV/0!</v>
      </c>
      <c r="H381" s="75" t="e">
        <f t="shared" si="152"/>
        <v>#DIV/0!</v>
      </c>
      <c r="I381" s="76" t="e">
        <f t="shared" si="153"/>
        <v>#DIV/0!</v>
      </c>
      <c r="J381" s="96">
        <v>39.43</v>
      </c>
      <c r="K381" s="199">
        <v>9264</v>
      </c>
      <c r="L381" s="283"/>
      <c r="M381" s="97">
        <v>0</v>
      </c>
      <c r="N381" s="79" t="e">
        <f t="shared" si="212"/>
        <v>#DIV/0!</v>
      </c>
      <c r="O381" s="80">
        <f t="shared" si="155"/>
        <v>0</v>
      </c>
      <c r="P381" s="79" t="e">
        <f t="shared" si="156"/>
        <v>#DIV/0!</v>
      </c>
      <c r="Q381" s="81" t="e">
        <f t="shared" si="157"/>
        <v>#DIV/0!</v>
      </c>
      <c r="R381" s="98">
        <f t="shared" si="211"/>
        <v>0</v>
      </c>
      <c r="S381" s="83" t="e">
        <f t="shared" si="158"/>
        <v>#DIV/0!</v>
      </c>
      <c r="T381" s="84"/>
      <c r="U381" s="84"/>
      <c r="V381" s="84"/>
      <c r="W381" s="84"/>
      <c r="X381" s="85"/>
      <c r="Y381" s="68"/>
      <c r="Z381" s="68"/>
    </row>
    <row r="382" spans="1:26" ht="12.75" hidden="1" outlineLevel="1" x14ac:dyDescent="0.2">
      <c r="A382" s="68"/>
      <c r="B382" s="86"/>
      <c r="C382" s="70" t="s">
        <v>121</v>
      </c>
      <c r="D382" s="290"/>
      <c r="E382" s="283"/>
      <c r="F382" s="283"/>
      <c r="G382" s="74" t="e">
        <f t="shared" si="151"/>
        <v>#DIV/0!</v>
      </c>
      <c r="H382" s="75" t="e">
        <f t="shared" si="152"/>
        <v>#DIV/0!</v>
      </c>
      <c r="I382" s="76" t="e">
        <f t="shared" si="153"/>
        <v>#DIV/0!</v>
      </c>
      <c r="J382" s="99">
        <v>100.46</v>
      </c>
      <c r="K382" s="199">
        <v>27976</v>
      </c>
      <c r="L382" s="283"/>
      <c r="M382" s="100">
        <v>42.95</v>
      </c>
      <c r="N382" s="79">
        <f t="shared" si="212"/>
        <v>2.3389988358556457</v>
      </c>
      <c r="O382" s="80">
        <f t="shared" si="155"/>
        <v>0.42753334660561421</v>
      </c>
      <c r="P382" s="79" t="e">
        <f t="shared" si="156"/>
        <v>#DIV/0!</v>
      </c>
      <c r="Q382" s="81" t="e">
        <f t="shared" si="157"/>
        <v>#DIV/0!</v>
      </c>
      <c r="R382" s="101">
        <f t="shared" si="211"/>
        <v>-42.95</v>
      </c>
      <c r="S382" s="83" t="e">
        <f t="shared" si="158"/>
        <v>#DIV/0!</v>
      </c>
      <c r="T382" s="84"/>
      <c r="U382" s="84"/>
      <c r="V382" s="84"/>
      <c r="W382" s="84"/>
      <c r="X382" s="85"/>
      <c r="Y382" s="68"/>
      <c r="Z382" s="68"/>
    </row>
    <row r="383" spans="1:26" ht="12.75" hidden="1" outlineLevel="1" x14ac:dyDescent="0.2">
      <c r="A383" s="118" t="str">
        <f t="shared" ref="A383:A384" si="213">IFERROR(IF(B383&gt;0,MONTH(B383)&amp;"-"&amp;YEAR(B383),B383),)</f>
        <v>9-2025</v>
      </c>
      <c r="B383" s="69">
        <v>45927</v>
      </c>
      <c r="C383" s="70" t="s">
        <v>123</v>
      </c>
      <c r="D383" s="293"/>
      <c r="E383" s="283"/>
      <c r="F383" s="283"/>
      <c r="G383" s="74" t="e">
        <f t="shared" si="151"/>
        <v>#DIV/0!</v>
      </c>
      <c r="H383" s="75" t="e">
        <f t="shared" si="152"/>
        <v>#DIV/0!</v>
      </c>
      <c r="I383" s="76" t="e">
        <f t="shared" si="153"/>
        <v>#DIV/0!</v>
      </c>
      <c r="J383" s="87">
        <v>0</v>
      </c>
      <c r="K383" s="199">
        <v>0</v>
      </c>
      <c r="L383" s="283"/>
      <c r="M383" s="88">
        <v>0</v>
      </c>
      <c r="N383" s="79" t="e">
        <f t="shared" si="212"/>
        <v>#DIV/0!</v>
      </c>
      <c r="O383" s="80" t="e">
        <f t="shared" si="155"/>
        <v>#DIV/0!</v>
      </c>
      <c r="P383" s="79" t="e">
        <f t="shared" si="156"/>
        <v>#DIV/0!</v>
      </c>
      <c r="Q383" s="81" t="e">
        <f t="shared" si="157"/>
        <v>#DIV/0!</v>
      </c>
      <c r="R383" s="82">
        <f t="shared" si="211"/>
        <v>0</v>
      </c>
      <c r="S383" s="83" t="e">
        <f t="shared" si="158"/>
        <v>#DIV/0!</v>
      </c>
      <c r="T383" s="84"/>
      <c r="U383" s="84"/>
      <c r="V383" s="84"/>
      <c r="W383" s="84"/>
      <c r="X383" s="85"/>
      <c r="Y383" s="68"/>
      <c r="Z383" s="68"/>
    </row>
    <row r="384" spans="1:26" ht="12.75" collapsed="1" x14ac:dyDescent="0.2">
      <c r="A384" s="68">
        <f t="shared" si="213"/>
        <v>0</v>
      </c>
      <c r="B384" s="52" t="s">
        <v>97</v>
      </c>
      <c r="C384" s="120"/>
      <c r="D384" s="121">
        <f t="shared" ref="D384:F384" si="214">SUM(D373:D383)</f>
        <v>0</v>
      </c>
      <c r="E384" s="123">
        <f t="shared" si="214"/>
        <v>0</v>
      </c>
      <c r="F384" s="123">
        <f t="shared" si="214"/>
        <v>0</v>
      </c>
      <c r="G384" s="124" t="e">
        <f t="shared" si="151"/>
        <v>#DIV/0!</v>
      </c>
      <c r="H384" s="125" t="e">
        <f t="shared" si="152"/>
        <v>#DIV/0!</v>
      </c>
      <c r="I384" s="126" t="e">
        <f t="shared" si="153"/>
        <v>#DIV/0!</v>
      </c>
      <c r="J384" s="121">
        <f t="shared" ref="J384:M384" si="215">SUM(J373:J383)</f>
        <v>436.38</v>
      </c>
      <c r="K384" s="294">
        <f t="shared" si="215"/>
        <v>125083</v>
      </c>
      <c r="L384" s="123">
        <f t="shared" si="215"/>
        <v>0</v>
      </c>
      <c r="M384" s="127">
        <f t="shared" si="215"/>
        <v>1059.94</v>
      </c>
      <c r="N384" s="128">
        <f t="shared" si="212"/>
        <v>0.41170254920089816</v>
      </c>
      <c r="O384" s="129">
        <f t="shared" si="155"/>
        <v>2.428938081488611</v>
      </c>
      <c r="P384" s="128" t="e">
        <f t="shared" si="156"/>
        <v>#DIV/0!</v>
      </c>
      <c r="Q384" s="130" t="e">
        <f t="shared" si="157"/>
        <v>#DIV/0!</v>
      </c>
      <c r="R384" s="131">
        <f>SUM(R373:R383)</f>
        <v>-1059.94</v>
      </c>
      <c r="S384" s="132" t="e">
        <f t="shared" si="158"/>
        <v>#DIV/0!</v>
      </c>
      <c r="T384" s="134">
        <f t="shared" ref="T384:U384" si="216">IFERROR((D384-D48)/D384,)</f>
        <v>0</v>
      </c>
      <c r="U384" s="134">
        <f t="shared" si="216"/>
        <v>0</v>
      </c>
      <c r="V384" s="134" t="s">
        <v>139</v>
      </c>
      <c r="W384" s="134" t="s">
        <v>139</v>
      </c>
      <c r="X384" s="68"/>
      <c r="Y384" s="68"/>
      <c r="Z384" s="68"/>
    </row>
    <row r="385" spans="1:26" ht="12.75" hidden="1" outlineLevel="1" x14ac:dyDescent="0.2">
      <c r="A385" s="68"/>
      <c r="B385" s="69">
        <v>45928</v>
      </c>
      <c r="C385" s="70" t="s">
        <v>112</v>
      </c>
      <c r="D385" s="282"/>
      <c r="E385" s="283"/>
      <c r="F385" s="283"/>
      <c r="G385" s="74" t="e">
        <f t="shared" si="151"/>
        <v>#DIV/0!</v>
      </c>
      <c r="H385" s="75" t="e">
        <f t="shared" si="152"/>
        <v>#DIV/0!</v>
      </c>
      <c r="I385" s="76" t="e">
        <f t="shared" si="153"/>
        <v>#DIV/0!</v>
      </c>
      <c r="J385" s="77">
        <v>26.77</v>
      </c>
      <c r="K385" s="199">
        <v>10460</v>
      </c>
      <c r="L385" s="283"/>
      <c r="M385" s="78">
        <v>0</v>
      </c>
      <c r="N385" s="79" t="e">
        <f t="shared" si="212"/>
        <v>#DIV/0!</v>
      </c>
      <c r="O385" s="80">
        <f t="shared" si="155"/>
        <v>0</v>
      </c>
      <c r="P385" s="79" t="e">
        <f t="shared" si="156"/>
        <v>#DIV/0!</v>
      </c>
      <c r="Q385" s="81" t="e">
        <f t="shared" si="157"/>
        <v>#DIV/0!</v>
      </c>
      <c r="R385" s="82">
        <f t="shared" ref="R385:R395" si="217">D385-M385</f>
        <v>0</v>
      </c>
      <c r="S385" s="83" t="e">
        <f t="shared" si="158"/>
        <v>#DIV/0!</v>
      </c>
      <c r="T385" s="84"/>
      <c r="U385" s="84"/>
      <c r="V385" s="84"/>
      <c r="W385" s="84"/>
      <c r="X385" s="85"/>
      <c r="Y385" s="68"/>
      <c r="Z385" s="68"/>
    </row>
    <row r="386" spans="1:26" ht="12.75" hidden="1" outlineLevel="1" x14ac:dyDescent="0.2">
      <c r="A386" s="68"/>
      <c r="B386" s="86"/>
      <c r="C386" s="70" t="s">
        <v>113</v>
      </c>
      <c r="D386" s="284"/>
      <c r="E386" s="283"/>
      <c r="F386" s="283"/>
      <c r="G386" s="74" t="e">
        <f t="shared" si="151"/>
        <v>#DIV/0!</v>
      </c>
      <c r="H386" s="75" t="e">
        <f t="shared" si="152"/>
        <v>#DIV/0!</v>
      </c>
      <c r="I386" s="76" t="e">
        <f t="shared" si="153"/>
        <v>#DIV/0!</v>
      </c>
      <c r="J386" s="87">
        <v>32.19</v>
      </c>
      <c r="K386" s="199">
        <v>8664</v>
      </c>
      <c r="L386" s="283"/>
      <c r="M386" s="88">
        <v>69.95</v>
      </c>
      <c r="N386" s="79">
        <f t="shared" si="212"/>
        <v>0.46018584703359539</v>
      </c>
      <c r="O386" s="80">
        <f t="shared" si="155"/>
        <v>2.1730351040695872</v>
      </c>
      <c r="P386" s="79" t="e">
        <f t="shared" si="156"/>
        <v>#DIV/0!</v>
      </c>
      <c r="Q386" s="81" t="e">
        <f t="shared" si="157"/>
        <v>#DIV/0!</v>
      </c>
      <c r="R386" s="89">
        <f t="shared" si="217"/>
        <v>-69.95</v>
      </c>
      <c r="S386" s="83" t="e">
        <f t="shared" si="158"/>
        <v>#DIV/0!</v>
      </c>
      <c r="T386" s="84"/>
      <c r="U386" s="84"/>
      <c r="V386" s="84"/>
      <c r="W386" s="84"/>
      <c r="X386" s="85"/>
      <c r="Y386" s="68"/>
      <c r="Z386" s="68"/>
    </row>
    <row r="387" spans="1:26" ht="12.75" hidden="1" outlineLevel="1" x14ac:dyDescent="0.2">
      <c r="A387" s="68"/>
      <c r="B387" s="86"/>
      <c r="C387" s="70" t="s">
        <v>114</v>
      </c>
      <c r="D387" s="285"/>
      <c r="E387" s="283"/>
      <c r="F387" s="283"/>
      <c r="G387" s="74" t="e">
        <f t="shared" si="151"/>
        <v>#DIV/0!</v>
      </c>
      <c r="H387" s="75" t="e">
        <f t="shared" si="152"/>
        <v>#DIV/0!</v>
      </c>
      <c r="I387" s="76" t="e">
        <f t="shared" si="153"/>
        <v>#DIV/0!</v>
      </c>
      <c r="J387" s="90">
        <v>92.7</v>
      </c>
      <c r="K387" s="199">
        <v>21792</v>
      </c>
      <c r="L387" s="283"/>
      <c r="M387" s="91">
        <v>473.26</v>
      </c>
      <c r="N387" s="79">
        <f>(J387/M387)</f>
        <v>0.19587541731817606</v>
      </c>
      <c r="O387" s="80">
        <f t="shared" si="155"/>
        <v>5.1052858683926639</v>
      </c>
      <c r="P387" s="79" t="e">
        <f t="shared" si="156"/>
        <v>#DIV/0!</v>
      </c>
      <c r="Q387" s="81" t="e">
        <f t="shared" si="157"/>
        <v>#DIV/0!</v>
      </c>
      <c r="R387" s="92">
        <f t="shared" si="217"/>
        <v>-473.26</v>
      </c>
      <c r="S387" s="83" t="e">
        <f t="shared" si="158"/>
        <v>#DIV/0!</v>
      </c>
      <c r="T387" s="84"/>
      <c r="U387" s="84"/>
      <c r="V387" s="84"/>
      <c r="W387" s="84"/>
      <c r="X387" s="85"/>
      <c r="Y387" s="68"/>
      <c r="Z387" s="68"/>
    </row>
    <row r="388" spans="1:26" ht="12.75" hidden="1" outlineLevel="1" x14ac:dyDescent="0.2">
      <c r="A388" s="68"/>
      <c r="B388" s="86"/>
      <c r="C388" s="70" t="s">
        <v>115</v>
      </c>
      <c r="D388" s="285"/>
      <c r="E388" s="283"/>
      <c r="F388" s="283"/>
      <c r="G388" s="74" t="e">
        <f t="shared" si="151"/>
        <v>#DIV/0!</v>
      </c>
      <c r="H388" s="75" t="e">
        <f t="shared" si="152"/>
        <v>#DIV/0!</v>
      </c>
      <c r="I388" s="76" t="e">
        <f t="shared" si="153"/>
        <v>#DIV/0!</v>
      </c>
      <c r="J388" s="90">
        <v>16.52</v>
      </c>
      <c r="K388" s="199">
        <v>7301</v>
      </c>
      <c r="L388" s="283"/>
      <c r="M388" s="91">
        <v>0</v>
      </c>
      <c r="N388" s="79" t="e">
        <f t="shared" ref="N388:N398" si="218">J388/M388</f>
        <v>#DIV/0!</v>
      </c>
      <c r="O388" s="80">
        <f t="shared" si="155"/>
        <v>0</v>
      </c>
      <c r="P388" s="79" t="e">
        <f t="shared" si="156"/>
        <v>#DIV/0!</v>
      </c>
      <c r="Q388" s="81" t="e">
        <f t="shared" si="157"/>
        <v>#DIV/0!</v>
      </c>
      <c r="R388" s="92">
        <f t="shared" si="217"/>
        <v>0</v>
      </c>
      <c r="S388" s="83" t="e">
        <f t="shared" si="158"/>
        <v>#DIV/0!</v>
      </c>
      <c r="T388" s="84"/>
      <c r="U388" s="84"/>
      <c r="V388" s="84"/>
      <c r="W388" s="84"/>
      <c r="X388" s="85"/>
      <c r="Y388" s="68"/>
      <c r="Z388" s="68"/>
    </row>
    <row r="389" spans="1:26" ht="12.75" hidden="1" outlineLevel="1" x14ac:dyDescent="0.2">
      <c r="A389" s="68"/>
      <c r="B389" s="86"/>
      <c r="C389" s="70" t="s">
        <v>116</v>
      </c>
      <c r="D389" s="286"/>
      <c r="E389" s="283"/>
      <c r="F389" s="283"/>
      <c r="G389" s="74" t="e">
        <f t="shared" si="151"/>
        <v>#DIV/0!</v>
      </c>
      <c r="H389" s="75" t="e">
        <f t="shared" si="152"/>
        <v>#DIV/0!</v>
      </c>
      <c r="I389" s="76" t="e">
        <f t="shared" si="153"/>
        <v>#DIV/0!</v>
      </c>
      <c r="J389" s="200">
        <v>0.15</v>
      </c>
      <c r="K389" s="199">
        <v>161</v>
      </c>
      <c r="L389" s="283"/>
      <c r="M389" s="200">
        <v>0</v>
      </c>
      <c r="N389" s="79" t="e">
        <f t="shared" si="218"/>
        <v>#DIV/0!</v>
      </c>
      <c r="O389" s="80">
        <f t="shared" si="155"/>
        <v>0</v>
      </c>
      <c r="P389" s="79" t="e">
        <f t="shared" si="156"/>
        <v>#DIV/0!</v>
      </c>
      <c r="Q389" s="81" t="e">
        <f t="shared" si="157"/>
        <v>#DIV/0!</v>
      </c>
      <c r="R389" s="92">
        <f t="shared" si="217"/>
        <v>0</v>
      </c>
      <c r="S389" s="83" t="e">
        <f t="shared" si="158"/>
        <v>#DIV/0!</v>
      </c>
      <c r="T389" s="84"/>
      <c r="U389" s="84"/>
      <c r="V389" s="84"/>
      <c r="W389" s="84"/>
      <c r="X389" s="85"/>
      <c r="Y389" s="68"/>
      <c r="Z389" s="68"/>
    </row>
    <row r="390" spans="1:26" ht="12.75" hidden="1" outlineLevel="1" x14ac:dyDescent="0.2">
      <c r="A390" s="68"/>
      <c r="B390" s="86"/>
      <c r="C390" s="70" t="s">
        <v>117</v>
      </c>
      <c r="D390" s="287"/>
      <c r="E390" s="283"/>
      <c r="F390" s="283"/>
      <c r="G390" s="74" t="e">
        <f t="shared" si="151"/>
        <v>#DIV/0!</v>
      </c>
      <c r="H390" s="75" t="e">
        <f t="shared" si="152"/>
        <v>#DIV/0!</v>
      </c>
      <c r="I390" s="76" t="e">
        <f t="shared" si="153"/>
        <v>#DIV/0!</v>
      </c>
      <c r="J390" s="201">
        <v>7.19</v>
      </c>
      <c r="K390" s="199">
        <v>1123</v>
      </c>
      <c r="L390" s="283"/>
      <c r="M390" s="202">
        <v>0</v>
      </c>
      <c r="N390" s="79" t="e">
        <f t="shared" si="218"/>
        <v>#DIV/0!</v>
      </c>
      <c r="O390" s="80">
        <f t="shared" si="155"/>
        <v>0</v>
      </c>
      <c r="P390" s="79" t="e">
        <f t="shared" si="156"/>
        <v>#DIV/0!</v>
      </c>
      <c r="Q390" s="81" t="e">
        <f t="shared" si="157"/>
        <v>#DIV/0!</v>
      </c>
      <c r="R390" s="203">
        <f t="shared" si="217"/>
        <v>0</v>
      </c>
      <c r="S390" s="83" t="e">
        <f t="shared" si="158"/>
        <v>#DIV/0!</v>
      </c>
      <c r="T390" s="84"/>
      <c r="U390" s="84"/>
      <c r="V390" s="84"/>
      <c r="W390" s="84"/>
      <c r="X390" s="85"/>
      <c r="Y390" s="68"/>
      <c r="Z390" s="68"/>
    </row>
    <row r="391" spans="1:26" ht="12.75" hidden="1" outlineLevel="1" x14ac:dyDescent="0.2">
      <c r="A391" s="68"/>
      <c r="B391" s="86"/>
      <c r="C391" s="70" t="s">
        <v>118</v>
      </c>
      <c r="D391" s="285"/>
      <c r="E391" s="283"/>
      <c r="F391" s="283"/>
      <c r="G391" s="74" t="e">
        <f t="shared" si="151"/>
        <v>#DIV/0!</v>
      </c>
      <c r="H391" s="75" t="e">
        <f t="shared" si="152"/>
        <v>#DIV/0!</v>
      </c>
      <c r="I391" s="76" t="e">
        <f t="shared" si="153"/>
        <v>#DIV/0!</v>
      </c>
      <c r="J391" s="90">
        <v>70.510000000000005</v>
      </c>
      <c r="K391" s="199">
        <v>7591</v>
      </c>
      <c r="L391" s="283"/>
      <c r="M391" s="91">
        <v>214.9</v>
      </c>
      <c r="N391" s="79">
        <f t="shared" si="218"/>
        <v>0.32810609585853889</v>
      </c>
      <c r="O391" s="80">
        <f t="shared" si="155"/>
        <v>3.0477946390582895</v>
      </c>
      <c r="P391" s="79" t="e">
        <f t="shared" si="156"/>
        <v>#DIV/0!</v>
      </c>
      <c r="Q391" s="81" t="e">
        <f t="shared" si="157"/>
        <v>#DIV/0!</v>
      </c>
      <c r="R391" s="92">
        <f t="shared" si="217"/>
        <v>-214.9</v>
      </c>
      <c r="S391" s="83" t="e">
        <f t="shared" si="158"/>
        <v>#DIV/0!</v>
      </c>
      <c r="T391" s="84"/>
      <c r="U391" s="84"/>
      <c r="V391" s="84"/>
      <c r="W391" s="84"/>
      <c r="X391" s="85"/>
      <c r="Y391" s="68"/>
      <c r="Z391" s="68"/>
    </row>
    <row r="392" spans="1:26" ht="12.75" hidden="1" outlineLevel="1" x14ac:dyDescent="0.2">
      <c r="A392" s="68"/>
      <c r="B392" s="69" t="s">
        <v>37</v>
      </c>
      <c r="C392" s="70" t="s">
        <v>119</v>
      </c>
      <c r="D392" s="288"/>
      <c r="E392" s="283"/>
      <c r="F392" s="283"/>
      <c r="G392" s="74" t="e">
        <f t="shared" si="151"/>
        <v>#DIV/0!</v>
      </c>
      <c r="H392" s="75" t="e">
        <f t="shared" si="152"/>
        <v>#DIV/0!</v>
      </c>
      <c r="I392" s="76" t="e">
        <f t="shared" si="153"/>
        <v>#DIV/0!</v>
      </c>
      <c r="J392" s="93">
        <v>59.19</v>
      </c>
      <c r="K392" s="199">
        <v>7035</v>
      </c>
      <c r="L392" s="283"/>
      <c r="M392" s="94">
        <v>240</v>
      </c>
      <c r="N392" s="79">
        <f t="shared" si="218"/>
        <v>0.24662499999999998</v>
      </c>
      <c r="O392" s="80">
        <f t="shared" si="155"/>
        <v>4.0547389761784087</v>
      </c>
      <c r="P392" s="79" t="e">
        <f t="shared" si="156"/>
        <v>#DIV/0!</v>
      </c>
      <c r="Q392" s="81" t="e">
        <f t="shared" si="157"/>
        <v>#DIV/0!</v>
      </c>
      <c r="R392" s="95">
        <f t="shared" si="217"/>
        <v>-240</v>
      </c>
      <c r="S392" s="83" t="e">
        <f t="shared" si="158"/>
        <v>#DIV/0!</v>
      </c>
      <c r="T392" s="84"/>
      <c r="U392" s="84"/>
      <c r="V392" s="84"/>
      <c r="W392" s="84"/>
      <c r="X392" s="85"/>
      <c r="Y392" s="68"/>
      <c r="Z392" s="68"/>
    </row>
    <row r="393" spans="1:26" ht="12.75" hidden="1" outlineLevel="1" x14ac:dyDescent="0.2">
      <c r="A393" s="68"/>
      <c r="B393" s="86"/>
      <c r="C393" s="70" t="s">
        <v>120</v>
      </c>
      <c r="D393" s="289"/>
      <c r="E393" s="283"/>
      <c r="F393" s="283"/>
      <c r="G393" s="74" t="e">
        <f t="shared" si="151"/>
        <v>#DIV/0!</v>
      </c>
      <c r="H393" s="75" t="e">
        <f t="shared" si="152"/>
        <v>#DIV/0!</v>
      </c>
      <c r="I393" s="76" t="e">
        <f t="shared" si="153"/>
        <v>#DIV/0!</v>
      </c>
      <c r="J393" s="96">
        <v>20.59</v>
      </c>
      <c r="K393" s="199">
        <v>5518</v>
      </c>
      <c r="L393" s="283"/>
      <c r="M393" s="97">
        <v>0</v>
      </c>
      <c r="N393" s="79" t="e">
        <f t="shared" si="218"/>
        <v>#DIV/0!</v>
      </c>
      <c r="O393" s="80">
        <f t="shared" si="155"/>
        <v>0</v>
      </c>
      <c r="P393" s="79" t="e">
        <f t="shared" si="156"/>
        <v>#DIV/0!</v>
      </c>
      <c r="Q393" s="81" t="e">
        <f t="shared" si="157"/>
        <v>#DIV/0!</v>
      </c>
      <c r="R393" s="98">
        <f t="shared" si="217"/>
        <v>0</v>
      </c>
      <c r="S393" s="83" t="e">
        <f t="shared" si="158"/>
        <v>#DIV/0!</v>
      </c>
      <c r="T393" s="84"/>
      <c r="U393" s="84"/>
      <c r="V393" s="84"/>
      <c r="W393" s="84"/>
      <c r="X393" s="85"/>
      <c r="Y393" s="68"/>
      <c r="Z393" s="68"/>
    </row>
    <row r="394" spans="1:26" ht="12.75" hidden="1" outlineLevel="1" x14ac:dyDescent="0.2">
      <c r="A394" s="68"/>
      <c r="B394" s="86"/>
      <c r="C394" s="70" t="s">
        <v>121</v>
      </c>
      <c r="D394" s="290"/>
      <c r="E394" s="283"/>
      <c r="F394" s="283"/>
      <c r="G394" s="74" t="e">
        <f t="shared" si="151"/>
        <v>#DIV/0!</v>
      </c>
      <c r="H394" s="75" t="e">
        <f t="shared" si="152"/>
        <v>#DIV/0!</v>
      </c>
      <c r="I394" s="76" t="e">
        <f t="shared" si="153"/>
        <v>#DIV/0!</v>
      </c>
      <c r="J394" s="99">
        <v>36.58</v>
      </c>
      <c r="K394" s="199">
        <v>11908</v>
      </c>
      <c r="L394" s="283"/>
      <c r="M394" s="100">
        <v>87.9</v>
      </c>
      <c r="N394" s="79">
        <f t="shared" si="218"/>
        <v>0.41615472127417513</v>
      </c>
      <c r="O394" s="80">
        <f t="shared" si="155"/>
        <v>2.4029524330235104</v>
      </c>
      <c r="P394" s="79" t="e">
        <f t="shared" si="156"/>
        <v>#DIV/0!</v>
      </c>
      <c r="Q394" s="81" t="e">
        <f t="shared" si="157"/>
        <v>#DIV/0!</v>
      </c>
      <c r="R394" s="101">
        <f t="shared" si="217"/>
        <v>-87.9</v>
      </c>
      <c r="S394" s="83" t="e">
        <f t="shared" si="158"/>
        <v>#DIV/0!</v>
      </c>
      <c r="T394" s="84"/>
      <c r="U394" s="84"/>
      <c r="V394" s="84"/>
      <c r="W394" s="84"/>
      <c r="X394" s="85"/>
      <c r="Y394" s="68"/>
      <c r="Z394" s="68"/>
    </row>
    <row r="395" spans="1:26" ht="12.75" hidden="1" outlineLevel="1" x14ac:dyDescent="0.2">
      <c r="A395" s="118" t="str">
        <f t="shared" ref="A395:A396" si="219">IFERROR(IF(B395&gt;0,MONTH(B395)&amp;"-"&amp;YEAR(B395),B395),)</f>
        <v>10-2025</v>
      </c>
      <c r="B395" s="69">
        <v>45934</v>
      </c>
      <c r="C395" s="70" t="s">
        <v>123</v>
      </c>
      <c r="D395" s="293"/>
      <c r="E395" s="283"/>
      <c r="F395" s="283"/>
      <c r="G395" s="74" t="e">
        <f t="shared" si="151"/>
        <v>#DIV/0!</v>
      </c>
      <c r="H395" s="75" t="e">
        <f t="shared" si="152"/>
        <v>#DIV/0!</v>
      </c>
      <c r="I395" s="76" t="e">
        <f t="shared" si="153"/>
        <v>#DIV/0!</v>
      </c>
      <c r="J395" s="87">
        <v>0</v>
      </c>
      <c r="K395" s="199">
        <v>0</v>
      </c>
      <c r="L395" s="283"/>
      <c r="M395" s="88">
        <v>0</v>
      </c>
      <c r="N395" s="79" t="e">
        <f t="shared" si="218"/>
        <v>#DIV/0!</v>
      </c>
      <c r="O395" s="80" t="e">
        <f t="shared" si="155"/>
        <v>#DIV/0!</v>
      </c>
      <c r="P395" s="79" t="e">
        <f t="shared" si="156"/>
        <v>#DIV/0!</v>
      </c>
      <c r="Q395" s="81" t="e">
        <f t="shared" si="157"/>
        <v>#DIV/0!</v>
      </c>
      <c r="R395" s="82">
        <f t="shared" si="217"/>
        <v>0</v>
      </c>
      <c r="S395" s="83" t="e">
        <f t="shared" si="158"/>
        <v>#DIV/0!</v>
      </c>
      <c r="T395" s="84"/>
      <c r="U395" s="84"/>
      <c r="V395" s="84"/>
      <c r="W395" s="84"/>
      <c r="X395" s="85"/>
      <c r="Y395" s="68"/>
      <c r="Z395" s="68"/>
    </row>
    <row r="396" spans="1:26" ht="12.75" collapsed="1" x14ac:dyDescent="0.2">
      <c r="A396" s="68">
        <f t="shared" si="219"/>
        <v>0</v>
      </c>
      <c r="B396" s="52" t="s">
        <v>98</v>
      </c>
      <c r="C396" s="120"/>
      <c r="D396" s="121">
        <f t="shared" ref="D396:F396" si="220">SUM(D385:D395)</f>
        <v>0</v>
      </c>
      <c r="E396" s="123">
        <f t="shared" si="220"/>
        <v>0</v>
      </c>
      <c r="F396" s="123">
        <f t="shared" si="220"/>
        <v>0</v>
      </c>
      <c r="G396" s="124" t="e">
        <f t="shared" si="151"/>
        <v>#DIV/0!</v>
      </c>
      <c r="H396" s="125" t="e">
        <f t="shared" si="152"/>
        <v>#DIV/0!</v>
      </c>
      <c r="I396" s="126" t="e">
        <f t="shared" si="153"/>
        <v>#DIV/0!</v>
      </c>
      <c r="J396" s="121">
        <f t="shared" ref="J396:M396" si="221">SUM(J385:J395)</f>
        <v>362.39</v>
      </c>
      <c r="K396" s="294">
        <f t="shared" si="221"/>
        <v>81553</v>
      </c>
      <c r="L396" s="123">
        <f t="shared" si="221"/>
        <v>0</v>
      </c>
      <c r="M396" s="127">
        <f t="shared" si="221"/>
        <v>1086.01</v>
      </c>
      <c r="N396" s="128">
        <f t="shared" si="218"/>
        <v>0.33368937670923837</v>
      </c>
      <c r="O396" s="129">
        <f t="shared" si="155"/>
        <v>2.9967990286707691</v>
      </c>
      <c r="P396" s="128" t="e">
        <f t="shared" si="156"/>
        <v>#DIV/0!</v>
      </c>
      <c r="Q396" s="130" t="e">
        <f t="shared" si="157"/>
        <v>#DIV/0!</v>
      </c>
      <c r="R396" s="131">
        <f>SUM(R385:R395)</f>
        <v>-1086.01</v>
      </c>
      <c r="S396" s="132" t="e">
        <f t="shared" si="158"/>
        <v>#DIV/0!</v>
      </c>
      <c r="T396" s="134">
        <f t="shared" ref="T396:U396" si="222">IFERROR((D396-D48)/D396,)</f>
        <v>0</v>
      </c>
      <c r="U396" s="134">
        <f t="shared" si="222"/>
        <v>0</v>
      </c>
      <c r="V396" s="134" t="s">
        <v>139</v>
      </c>
      <c r="W396" s="134" t="s">
        <v>139</v>
      </c>
      <c r="X396" s="68"/>
      <c r="Y396" s="68"/>
      <c r="Z396" s="68"/>
    </row>
    <row r="397" spans="1:26" ht="12.75" hidden="1" outlineLevel="1" x14ac:dyDescent="0.2">
      <c r="A397" s="68"/>
      <c r="B397" s="69">
        <v>45935</v>
      </c>
      <c r="C397" s="70" t="s">
        <v>112</v>
      </c>
      <c r="D397" s="282"/>
      <c r="E397" s="283"/>
      <c r="F397" s="283"/>
      <c r="G397" s="74" t="e">
        <f t="shared" si="151"/>
        <v>#DIV/0!</v>
      </c>
      <c r="H397" s="75" t="e">
        <f t="shared" si="152"/>
        <v>#DIV/0!</v>
      </c>
      <c r="I397" s="76" t="e">
        <f t="shared" si="153"/>
        <v>#DIV/0!</v>
      </c>
      <c r="J397" s="77">
        <v>8.9700000000000006</v>
      </c>
      <c r="K397" s="199">
        <v>4786</v>
      </c>
      <c r="L397" s="283"/>
      <c r="M397" s="78">
        <v>1403.45</v>
      </c>
      <c r="N397" s="79">
        <f t="shared" si="218"/>
        <v>6.3913926395667824E-3</v>
      </c>
      <c r="O397" s="80">
        <f t="shared" si="155"/>
        <v>156.46042363433668</v>
      </c>
      <c r="P397" s="79" t="e">
        <f t="shared" si="156"/>
        <v>#DIV/0!</v>
      </c>
      <c r="Q397" s="81" t="e">
        <f t="shared" si="157"/>
        <v>#DIV/0!</v>
      </c>
      <c r="R397" s="82">
        <f t="shared" ref="R397:R407" si="223">D397-M397</f>
        <v>-1403.45</v>
      </c>
      <c r="S397" s="83" t="e">
        <f t="shared" si="158"/>
        <v>#DIV/0!</v>
      </c>
      <c r="T397" s="84"/>
      <c r="U397" s="84"/>
      <c r="V397" s="84"/>
      <c r="W397" s="84"/>
      <c r="X397" s="85"/>
      <c r="Y397" s="68"/>
      <c r="Z397" s="68"/>
    </row>
    <row r="398" spans="1:26" ht="12.75" hidden="1" outlineLevel="1" x14ac:dyDescent="0.2">
      <c r="A398" s="68"/>
      <c r="B398" s="86"/>
      <c r="C398" s="70" t="s">
        <v>113</v>
      </c>
      <c r="D398" s="284"/>
      <c r="E398" s="283"/>
      <c r="F398" s="283"/>
      <c r="G398" s="74" t="e">
        <f t="shared" si="151"/>
        <v>#DIV/0!</v>
      </c>
      <c r="H398" s="75" t="e">
        <f t="shared" si="152"/>
        <v>#DIV/0!</v>
      </c>
      <c r="I398" s="76" t="e">
        <f t="shared" si="153"/>
        <v>#DIV/0!</v>
      </c>
      <c r="J398" s="87">
        <v>33.590000000000003</v>
      </c>
      <c r="K398" s="199">
        <v>8565</v>
      </c>
      <c r="L398" s="283"/>
      <c r="M398" s="88">
        <v>38.97</v>
      </c>
      <c r="N398" s="79">
        <f t="shared" si="218"/>
        <v>0.86194508596356179</v>
      </c>
      <c r="O398" s="80">
        <f t="shared" si="155"/>
        <v>1.1601667162846083</v>
      </c>
      <c r="P398" s="79" t="e">
        <f t="shared" si="156"/>
        <v>#DIV/0!</v>
      </c>
      <c r="Q398" s="81" t="e">
        <f t="shared" si="157"/>
        <v>#DIV/0!</v>
      </c>
      <c r="R398" s="89">
        <f t="shared" si="223"/>
        <v>-38.97</v>
      </c>
      <c r="S398" s="83" t="e">
        <f t="shared" si="158"/>
        <v>#DIV/0!</v>
      </c>
      <c r="T398" s="84"/>
      <c r="U398" s="84"/>
      <c r="V398" s="84"/>
      <c r="W398" s="84"/>
      <c r="X398" s="85"/>
      <c r="Y398" s="68"/>
      <c r="Z398" s="68"/>
    </row>
    <row r="399" spans="1:26" ht="12.75" hidden="1" outlineLevel="1" x14ac:dyDescent="0.2">
      <c r="A399" s="68"/>
      <c r="B399" s="86"/>
      <c r="C399" s="70" t="s">
        <v>114</v>
      </c>
      <c r="D399" s="285"/>
      <c r="E399" s="283"/>
      <c r="F399" s="283"/>
      <c r="G399" s="74" t="e">
        <f t="shared" si="151"/>
        <v>#DIV/0!</v>
      </c>
      <c r="H399" s="75" t="e">
        <f t="shared" si="152"/>
        <v>#DIV/0!</v>
      </c>
      <c r="I399" s="76" t="e">
        <f t="shared" si="153"/>
        <v>#DIV/0!</v>
      </c>
      <c r="J399" s="90">
        <v>205.5</v>
      </c>
      <c r="K399" s="199">
        <v>42179</v>
      </c>
      <c r="L399" s="283"/>
      <c r="M399" s="91">
        <v>1093.4100000000001</v>
      </c>
      <c r="N399" s="79">
        <f>(J399/M399)</f>
        <v>0.18794413806348945</v>
      </c>
      <c r="O399" s="80">
        <f t="shared" si="155"/>
        <v>5.3207299270072994</v>
      </c>
      <c r="P399" s="79" t="e">
        <f t="shared" si="156"/>
        <v>#DIV/0!</v>
      </c>
      <c r="Q399" s="81" t="e">
        <f t="shared" si="157"/>
        <v>#DIV/0!</v>
      </c>
      <c r="R399" s="92">
        <f t="shared" si="223"/>
        <v>-1093.4100000000001</v>
      </c>
      <c r="S399" s="83" t="e">
        <f t="shared" si="158"/>
        <v>#DIV/0!</v>
      </c>
      <c r="T399" s="84"/>
      <c r="U399" s="84"/>
      <c r="V399" s="84"/>
      <c r="W399" s="84"/>
      <c r="X399" s="85"/>
      <c r="Y399" s="68"/>
      <c r="Z399" s="68"/>
    </row>
    <row r="400" spans="1:26" ht="12.75" hidden="1" outlineLevel="1" x14ac:dyDescent="0.2">
      <c r="A400" s="68"/>
      <c r="B400" s="86"/>
      <c r="C400" s="70" t="s">
        <v>115</v>
      </c>
      <c r="D400" s="285"/>
      <c r="E400" s="283"/>
      <c r="F400" s="283"/>
      <c r="G400" s="74" t="e">
        <f t="shared" si="151"/>
        <v>#DIV/0!</v>
      </c>
      <c r="H400" s="75" t="e">
        <f t="shared" si="152"/>
        <v>#DIV/0!</v>
      </c>
      <c r="I400" s="76" t="e">
        <f t="shared" si="153"/>
        <v>#DIV/0!</v>
      </c>
      <c r="J400" s="90">
        <v>11.93</v>
      </c>
      <c r="K400" s="199">
        <v>5546</v>
      </c>
      <c r="L400" s="283"/>
      <c r="M400" s="91">
        <v>0</v>
      </c>
      <c r="N400" s="79" t="e">
        <f t="shared" ref="N400:N410" si="224">J400/M400</f>
        <v>#DIV/0!</v>
      </c>
      <c r="O400" s="80">
        <f t="shared" si="155"/>
        <v>0</v>
      </c>
      <c r="P400" s="79" t="e">
        <f t="shared" si="156"/>
        <v>#DIV/0!</v>
      </c>
      <c r="Q400" s="81" t="e">
        <f t="shared" si="157"/>
        <v>#DIV/0!</v>
      </c>
      <c r="R400" s="92">
        <f t="shared" si="223"/>
        <v>0</v>
      </c>
      <c r="S400" s="83" t="e">
        <f t="shared" si="158"/>
        <v>#DIV/0!</v>
      </c>
      <c r="T400" s="84"/>
      <c r="U400" s="84"/>
      <c r="V400" s="84"/>
      <c r="W400" s="84"/>
      <c r="X400" s="85"/>
      <c r="Y400" s="68"/>
      <c r="Z400" s="68"/>
    </row>
    <row r="401" spans="1:26" ht="12.75" hidden="1" outlineLevel="1" x14ac:dyDescent="0.2">
      <c r="A401" s="68"/>
      <c r="B401" s="86"/>
      <c r="C401" s="70" t="s">
        <v>116</v>
      </c>
      <c r="D401" s="286"/>
      <c r="E401" s="283"/>
      <c r="F401" s="283"/>
      <c r="G401" s="74" t="e">
        <f t="shared" si="151"/>
        <v>#DIV/0!</v>
      </c>
      <c r="H401" s="75" t="e">
        <f t="shared" si="152"/>
        <v>#DIV/0!</v>
      </c>
      <c r="I401" s="76" t="e">
        <f t="shared" si="153"/>
        <v>#DIV/0!</v>
      </c>
      <c r="J401" s="200">
        <v>0.45</v>
      </c>
      <c r="K401" s="199">
        <v>600</v>
      </c>
      <c r="L401" s="283"/>
      <c r="M401" s="200">
        <v>0</v>
      </c>
      <c r="N401" s="79" t="e">
        <f t="shared" si="224"/>
        <v>#DIV/0!</v>
      </c>
      <c r="O401" s="80">
        <f t="shared" si="155"/>
        <v>0</v>
      </c>
      <c r="P401" s="79" t="e">
        <f t="shared" si="156"/>
        <v>#DIV/0!</v>
      </c>
      <c r="Q401" s="81" t="e">
        <f t="shared" si="157"/>
        <v>#DIV/0!</v>
      </c>
      <c r="R401" s="92">
        <f t="shared" si="223"/>
        <v>0</v>
      </c>
      <c r="S401" s="83" t="e">
        <f t="shared" si="158"/>
        <v>#DIV/0!</v>
      </c>
      <c r="T401" s="84"/>
      <c r="U401" s="84"/>
      <c r="V401" s="84"/>
      <c r="W401" s="84"/>
      <c r="X401" s="85"/>
      <c r="Y401" s="68"/>
      <c r="Z401" s="68"/>
    </row>
    <row r="402" spans="1:26" ht="12.75" hidden="1" outlineLevel="1" x14ac:dyDescent="0.2">
      <c r="A402" s="68"/>
      <c r="B402" s="86"/>
      <c r="C402" s="70" t="s">
        <v>117</v>
      </c>
      <c r="D402" s="287"/>
      <c r="E402" s="283"/>
      <c r="F402" s="283"/>
      <c r="G402" s="74" t="e">
        <f t="shared" si="151"/>
        <v>#DIV/0!</v>
      </c>
      <c r="H402" s="75" t="e">
        <f t="shared" si="152"/>
        <v>#DIV/0!</v>
      </c>
      <c r="I402" s="76" t="e">
        <f t="shared" si="153"/>
        <v>#DIV/0!</v>
      </c>
      <c r="J402" s="201">
        <v>7.55</v>
      </c>
      <c r="K402" s="199">
        <v>1261</v>
      </c>
      <c r="L402" s="283"/>
      <c r="M402" s="202">
        <v>53.94</v>
      </c>
      <c r="N402" s="79">
        <f t="shared" si="224"/>
        <v>0.13997033741193921</v>
      </c>
      <c r="O402" s="80">
        <f t="shared" si="155"/>
        <v>7.1443708609271521</v>
      </c>
      <c r="P402" s="79" t="e">
        <f t="shared" si="156"/>
        <v>#DIV/0!</v>
      </c>
      <c r="Q402" s="81" t="e">
        <f t="shared" si="157"/>
        <v>#DIV/0!</v>
      </c>
      <c r="R402" s="203">
        <f t="shared" si="223"/>
        <v>-53.94</v>
      </c>
      <c r="S402" s="83" t="e">
        <f t="shared" si="158"/>
        <v>#DIV/0!</v>
      </c>
      <c r="T402" s="84"/>
      <c r="U402" s="84"/>
      <c r="V402" s="84"/>
      <c r="W402" s="84"/>
      <c r="X402" s="85"/>
      <c r="Y402" s="68"/>
      <c r="Z402" s="68"/>
    </row>
    <row r="403" spans="1:26" ht="12.75" hidden="1" outlineLevel="1" x14ac:dyDescent="0.2">
      <c r="A403" s="68"/>
      <c r="B403" s="86"/>
      <c r="C403" s="70" t="s">
        <v>118</v>
      </c>
      <c r="D403" s="285"/>
      <c r="E403" s="283"/>
      <c r="F403" s="283"/>
      <c r="G403" s="74" t="e">
        <f t="shared" si="151"/>
        <v>#DIV/0!</v>
      </c>
      <c r="H403" s="75" t="e">
        <f t="shared" si="152"/>
        <v>#DIV/0!</v>
      </c>
      <c r="I403" s="76" t="e">
        <f t="shared" si="153"/>
        <v>#DIV/0!</v>
      </c>
      <c r="J403" s="90">
        <v>446.02</v>
      </c>
      <c r="K403" s="199">
        <v>50006</v>
      </c>
      <c r="L403" s="283"/>
      <c r="M403" s="91">
        <v>1924.37</v>
      </c>
      <c r="N403" s="79">
        <f t="shared" si="224"/>
        <v>0.23177455478935963</v>
      </c>
      <c r="O403" s="80">
        <f t="shared" si="155"/>
        <v>4.3145374646876817</v>
      </c>
      <c r="P403" s="79" t="e">
        <f t="shared" si="156"/>
        <v>#DIV/0!</v>
      </c>
      <c r="Q403" s="81" t="e">
        <f t="shared" si="157"/>
        <v>#DIV/0!</v>
      </c>
      <c r="R403" s="92">
        <f t="shared" si="223"/>
        <v>-1924.37</v>
      </c>
      <c r="S403" s="83" t="e">
        <f t="shared" si="158"/>
        <v>#DIV/0!</v>
      </c>
      <c r="T403" s="84"/>
      <c r="U403" s="84"/>
      <c r="V403" s="84"/>
      <c r="W403" s="84"/>
      <c r="X403" s="85"/>
      <c r="Y403" s="68"/>
      <c r="Z403" s="68"/>
    </row>
    <row r="404" spans="1:26" ht="12.75" hidden="1" outlineLevel="1" x14ac:dyDescent="0.2">
      <c r="A404" s="68"/>
      <c r="B404" s="69" t="s">
        <v>37</v>
      </c>
      <c r="C404" s="70" t="s">
        <v>119</v>
      </c>
      <c r="D404" s="288"/>
      <c r="E404" s="283"/>
      <c r="F404" s="283"/>
      <c r="G404" s="74" t="e">
        <f t="shared" si="151"/>
        <v>#DIV/0!</v>
      </c>
      <c r="H404" s="75" t="e">
        <f t="shared" si="152"/>
        <v>#DIV/0!</v>
      </c>
      <c r="I404" s="76" t="e">
        <f t="shared" si="153"/>
        <v>#DIV/0!</v>
      </c>
      <c r="J404" s="93">
        <v>87.89</v>
      </c>
      <c r="K404" s="199">
        <v>14779</v>
      </c>
      <c r="L404" s="283"/>
      <c r="M404" s="94">
        <v>180</v>
      </c>
      <c r="N404" s="79">
        <f t="shared" si="224"/>
        <v>0.48827777777777776</v>
      </c>
      <c r="O404" s="80">
        <f t="shared" si="155"/>
        <v>2.0480145636591192</v>
      </c>
      <c r="P404" s="79" t="e">
        <f t="shared" si="156"/>
        <v>#DIV/0!</v>
      </c>
      <c r="Q404" s="81" t="e">
        <f t="shared" si="157"/>
        <v>#DIV/0!</v>
      </c>
      <c r="R404" s="95">
        <f t="shared" si="223"/>
        <v>-180</v>
      </c>
      <c r="S404" s="83" t="e">
        <f t="shared" si="158"/>
        <v>#DIV/0!</v>
      </c>
      <c r="T404" s="84"/>
      <c r="U404" s="84"/>
      <c r="V404" s="84"/>
      <c r="W404" s="84"/>
      <c r="X404" s="85"/>
      <c r="Y404" s="68"/>
      <c r="Z404" s="68"/>
    </row>
    <row r="405" spans="1:26" ht="12.75" hidden="1" outlineLevel="1" x14ac:dyDescent="0.2">
      <c r="A405" s="68"/>
      <c r="B405" s="86"/>
      <c r="C405" s="70" t="s">
        <v>120</v>
      </c>
      <c r="D405" s="289"/>
      <c r="E405" s="283"/>
      <c r="F405" s="283"/>
      <c r="G405" s="74" t="e">
        <f t="shared" si="151"/>
        <v>#DIV/0!</v>
      </c>
      <c r="H405" s="75" t="e">
        <f t="shared" si="152"/>
        <v>#DIV/0!</v>
      </c>
      <c r="I405" s="76" t="e">
        <f t="shared" si="153"/>
        <v>#DIV/0!</v>
      </c>
      <c r="J405" s="96">
        <v>20.58</v>
      </c>
      <c r="K405" s="199">
        <v>6561</v>
      </c>
      <c r="L405" s="283"/>
      <c r="M405" s="97">
        <v>0</v>
      </c>
      <c r="N405" s="79" t="e">
        <f t="shared" si="224"/>
        <v>#DIV/0!</v>
      </c>
      <c r="O405" s="80">
        <f t="shared" si="155"/>
        <v>0</v>
      </c>
      <c r="P405" s="79" t="e">
        <f t="shared" si="156"/>
        <v>#DIV/0!</v>
      </c>
      <c r="Q405" s="81" t="e">
        <f t="shared" si="157"/>
        <v>#DIV/0!</v>
      </c>
      <c r="R405" s="98">
        <f t="shared" si="223"/>
        <v>0</v>
      </c>
      <c r="S405" s="83" t="e">
        <f t="shared" si="158"/>
        <v>#DIV/0!</v>
      </c>
      <c r="T405" s="84"/>
      <c r="U405" s="84"/>
      <c r="V405" s="84"/>
      <c r="W405" s="84"/>
      <c r="X405" s="85"/>
      <c r="Y405" s="68"/>
      <c r="Z405" s="68"/>
    </row>
    <row r="406" spans="1:26" ht="12.75" hidden="1" outlineLevel="1" x14ac:dyDescent="0.2">
      <c r="A406" s="68"/>
      <c r="B406" s="86"/>
      <c r="C406" s="70" t="s">
        <v>121</v>
      </c>
      <c r="D406" s="290"/>
      <c r="E406" s="283"/>
      <c r="F406" s="283"/>
      <c r="G406" s="74" t="e">
        <f t="shared" si="151"/>
        <v>#DIV/0!</v>
      </c>
      <c r="H406" s="75" t="e">
        <f t="shared" si="152"/>
        <v>#DIV/0!</v>
      </c>
      <c r="I406" s="76" t="e">
        <f t="shared" si="153"/>
        <v>#DIV/0!</v>
      </c>
      <c r="J406" s="99">
        <v>21.46</v>
      </c>
      <c r="K406" s="199">
        <v>5339</v>
      </c>
      <c r="L406" s="283"/>
      <c r="M406" s="100">
        <v>60.14</v>
      </c>
      <c r="N406" s="79">
        <f t="shared" si="224"/>
        <v>0.35683405387429334</v>
      </c>
      <c r="O406" s="80">
        <f t="shared" si="155"/>
        <v>2.8024231127679404</v>
      </c>
      <c r="P406" s="79" t="e">
        <f t="shared" si="156"/>
        <v>#DIV/0!</v>
      </c>
      <c r="Q406" s="81" t="e">
        <f t="shared" si="157"/>
        <v>#DIV/0!</v>
      </c>
      <c r="R406" s="101">
        <f t="shared" si="223"/>
        <v>-60.14</v>
      </c>
      <c r="S406" s="83" t="e">
        <f t="shared" si="158"/>
        <v>#DIV/0!</v>
      </c>
      <c r="T406" s="84"/>
      <c r="U406" s="84"/>
      <c r="V406" s="84"/>
      <c r="W406" s="84"/>
      <c r="X406" s="85"/>
      <c r="Y406" s="68"/>
      <c r="Z406" s="68"/>
    </row>
    <row r="407" spans="1:26" ht="12.75" hidden="1" outlineLevel="1" x14ac:dyDescent="0.2">
      <c r="A407" s="118" t="str">
        <f t="shared" ref="A407:A408" si="225">IFERROR(IF(B407&gt;0,MONTH(B407)&amp;"-"&amp;YEAR(B407),B407),)</f>
        <v>10-2025</v>
      </c>
      <c r="B407" s="69">
        <v>45941</v>
      </c>
      <c r="C407" s="70" t="s">
        <v>123</v>
      </c>
      <c r="D407" s="293"/>
      <c r="E407" s="283"/>
      <c r="F407" s="283"/>
      <c r="G407" s="74" t="e">
        <f t="shared" si="151"/>
        <v>#DIV/0!</v>
      </c>
      <c r="H407" s="75" t="e">
        <f t="shared" si="152"/>
        <v>#DIV/0!</v>
      </c>
      <c r="I407" s="76" t="e">
        <f t="shared" si="153"/>
        <v>#DIV/0!</v>
      </c>
      <c r="J407" s="87">
        <v>0</v>
      </c>
      <c r="K407" s="199">
        <v>0</v>
      </c>
      <c r="L407" s="283"/>
      <c r="M407" s="88">
        <v>0</v>
      </c>
      <c r="N407" s="79" t="e">
        <f t="shared" si="224"/>
        <v>#DIV/0!</v>
      </c>
      <c r="O407" s="80" t="e">
        <f t="shared" si="155"/>
        <v>#DIV/0!</v>
      </c>
      <c r="P407" s="79" t="e">
        <f t="shared" si="156"/>
        <v>#DIV/0!</v>
      </c>
      <c r="Q407" s="81" t="e">
        <f t="shared" si="157"/>
        <v>#DIV/0!</v>
      </c>
      <c r="R407" s="82">
        <f t="shared" si="223"/>
        <v>0</v>
      </c>
      <c r="S407" s="83" t="e">
        <f t="shared" si="158"/>
        <v>#DIV/0!</v>
      </c>
      <c r="T407" s="84"/>
      <c r="U407" s="84"/>
      <c r="V407" s="84"/>
      <c r="W407" s="84"/>
      <c r="X407" s="85"/>
      <c r="Y407" s="68"/>
      <c r="Z407" s="68"/>
    </row>
    <row r="408" spans="1:26" ht="12.75" collapsed="1" x14ac:dyDescent="0.2">
      <c r="A408" s="68">
        <f t="shared" si="225"/>
        <v>0</v>
      </c>
      <c r="B408" s="52" t="s">
        <v>99</v>
      </c>
      <c r="C408" s="120"/>
      <c r="D408" s="121">
        <f t="shared" ref="D408:F408" si="226">SUM(D397:D407)</f>
        <v>0</v>
      </c>
      <c r="E408" s="123">
        <f t="shared" si="226"/>
        <v>0</v>
      </c>
      <c r="F408" s="123">
        <f t="shared" si="226"/>
        <v>0</v>
      </c>
      <c r="G408" s="124" t="e">
        <f t="shared" si="151"/>
        <v>#DIV/0!</v>
      </c>
      <c r="H408" s="125" t="e">
        <f t="shared" si="152"/>
        <v>#DIV/0!</v>
      </c>
      <c r="I408" s="126" t="e">
        <f t="shared" si="153"/>
        <v>#DIV/0!</v>
      </c>
      <c r="J408" s="121">
        <f t="shared" ref="J408:M408" si="227">SUM(J397:J407)</f>
        <v>843.94</v>
      </c>
      <c r="K408" s="294">
        <f t="shared" si="227"/>
        <v>139622</v>
      </c>
      <c r="L408" s="123">
        <f t="shared" si="227"/>
        <v>0</v>
      </c>
      <c r="M408" s="127">
        <f t="shared" si="227"/>
        <v>4754.28</v>
      </c>
      <c r="N408" s="128">
        <f t="shared" si="224"/>
        <v>0.17751163162455727</v>
      </c>
      <c r="O408" s="129">
        <f t="shared" si="155"/>
        <v>5.6334336564210723</v>
      </c>
      <c r="P408" s="128" t="e">
        <f t="shared" si="156"/>
        <v>#DIV/0!</v>
      </c>
      <c r="Q408" s="130" t="e">
        <f t="shared" si="157"/>
        <v>#DIV/0!</v>
      </c>
      <c r="R408" s="131">
        <f>SUM(R397:R407)</f>
        <v>-4754.28</v>
      </c>
      <c r="S408" s="132" t="e">
        <f t="shared" si="158"/>
        <v>#DIV/0!</v>
      </c>
      <c r="T408" s="134">
        <f t="shared" ref="T408:U408" si="228">IFERROR((D408-D48)/D408,)</f>
        <v>0</v>
      </c>
      <c r="U408" s="134">
        <f t="shared" si="228"/>
        <v>0</v>
      </c>
      <c r="V408" s="134" t="s">
        <v>139</v>
      </c>
      <c r="W408" s="134" t="s">
        <v>139</v>
      </c>
      <c r="X408" s="68"/>
      <c r="Y408" s="68"/>
      <c r="Z408" s="68"/>
    </row>
    <row r="409" spans="1:26" ht="12.75" hidden="1" outlineLevel="1" x14ac:dyDescent="0.2">
      <c r="A409" s="68"/>
      <c r="B409" s="69">
        <v>45942</v>
      </c>
      <c r="C409" s="70" t="s">
        <v>112</v>
      </c>
      <c r="D409" s="282"/>
      <c r="E409" s="283"/>
      <c r="F409" s="283"/>
      <c r="G409" s="74" t="e">
        <f t="shared" si="151"/>
        <v>#DIV/0!</v>
      </c>
      <c r="H409" s="75" t="e">
        <f t="shared" si="152"/>
        <v>#DIV/0!</v>
      </c>
      <c r="I409" s="76" t="e">
        <f t="shared" si="153"/>
        <v>#DIV/0!</v>
      </c>
      <c r="J409" s="77">
        <v>20.85</v>
      </c>
      <c r="K409" s="199">
        <v>11049</v>
      </c>
      <c r="L409" s="283"/>
      <c r="M409" s="78">
        <v>335.75</v>
      </c>
      <c r="N409" s="79">
        <f t="shared" si="224"/>
        <v>6.2099776619508565E-2</v>
      </c>
      <c r="O409" s="80">
        <f t="shared" si="155"/>
        <v>16.103117505995204</v>
      </c>
      <c r="P409" s="79" t="e">
        <f t="shared" si="156"/>
        <v>#DIV/0!</v>
      </c>
      <c r="Q409" s="81" t="e">
        <f t="shared" si="157"/>
        <v>#DIV/0!</v>
      </c>
      <c r="R409" s="82">
        <f t="shared" ref="R409:R419" si="229">D409-M409</f>
        <v>-335.75</v>
      </c>
      <c r="S409" s="83" t="e">
        <f t="shared" si="158"/>
        <v>#DIV/0!</v>
      </c>
      <c r="T409" s="84"/>
      <c r="U409" s="84"/>
      <c r="V409" s="84"/>
      <c r="W409" s="84"/>
      <c r="X409" s="85"/>
      <c r="Y409" s="68"/>
      <c r="Z409" s="68"/>
    </row>
    <row r="410" spans="1:26" ht="12.75" hidden="1" outlineLevel="1" x14ac:dyDescent="0.2">
      <c r="A410" s="68"/>
      <c r="B410" s="86"/>
      <c r="C410" s="70" t="s">
        <v>113</v>
      </c>
      <c r="D410" s="284"/>
      <c r="E410" s="283"/>
      <c r="F410" s="283"/>
      <c r="G410" s="74" t="e">
        <f t="shared" si="151"/>
        <v>#DIV/0!</v>
      </c>
      <c r="H410" s="75" t="e">
        <f t="shared" si="152"/>
        <v>#DIV/0!</v>
      </c>
      <c r="I410" s="76" t="e">
        <f t="shared" si="153"/>
        <v>#DIV/0!</v>
      </c>
      <c r="J410" s="87">
        <v>13.1</v>
      </c>
      <c r="K410" s="199">
        <v>4062</v>
      </c>
      <c r="L410" s="283"/>
      <c r="M410" s="88">
        <v>38.97</v>
      </c>
      <c r="N410" s="79">
        <f t="shared" si="224"/>
        <v>0.33615601744932</v>
      </c>
      <c r="O410" s="80">
        <f t="shared" si="155"/>
        <v>2.9748091603053437</v>
      </c>
      <c r="P410" s="79" t="e">
        <f t="shared" si="156"/>
        <v>#DIV/0!</v>
      </c>
      <c r="Q410" s="81" t="e">
        <f t="shared" si="157"/>
        <v>#DIV/0!</v>
      </c>
      <c r="R410" s="89">
        <f t="shared" si="229"/>
        <v>-38.97</v>
      </c>
      <c r="S410" s="83" t="e">
        <f t="shared" si="158"/>
        <v>#DIV/0!</v>
      </c>
      <c r="T410" s="84"/>
      <c r="U410" s="84"/>
      <c r="V410" s="84"/>
      <c r="W410" s="84"/>
      <c r="X410" s="85"/>
      <c r="Y410" s="68"/>
      <c r="Z410" s="68"/>
    </row>
    <row r="411" spans="1:26" ht="12.75" hidden="1" outlineLevel="1" x14ac:dyDescent="0.2">
      <c r="A411" s="68"/>
      <c r="B411" s="86"/>
      <c r="C411" s="70" t="s">
        <v>114</v>
      </c>
      <c r="D411" s="285"/>
      <c r="E411" s="283"/>
      <c r="F411" s="283"/>
      <c r="G411" s="74" t="e">
        <f t="shared" si="151"/>
        <v>#DIV/0!</v>
      </c>
      <c r="H411" s="75" t="e">
        <f t="shared" si="152"/>
        <v>#DIV/0!</v>
      </c>
      <c r="I411" s="76" t="e">
        <f t="shared" si="153"/>
        <v>#DIV/0!</v>
      </c>
      <c r="J411" s="90">
        <v>213.72</v>
      </c>
      <c r="K411" s="199">
        <v>48106</v>
      </c>
      <c r="L411" s="283"/>
      <c r="M411" s="91">
        <v>609.25</v>
      </c>
      <c r="N411" s="79">
        <f>(J411/M411)</f>
        <v>0.35079195732457941</v>
      </c>
      <c r="O411" s="80">
        <f t="shared" si="155"/>
        <v>2.850692494853079</v>
      </c>
      <c r="P411" s="79" t="e">
        <f t="shared" si="156"/>
        <v>#DIV/0!</v>
      </c>
      <c r="Q411" s="81" t="e">
        <f t="shared" si="157"/>
        <v>#DIV/0!</v>
      </c>
      <c r="R411" s="92">
        <f t="shared" si="229"/>
        <v>-609.25</v>
      </c>
      <c r="S411" s="83" t="e">
        <f t="shared" si="158"/>
        <v>#DIV/0!</v>
      </c>
      <c r="T411" s="84"/>
      <c r="U411" s="84"/>
      <c r="V411" s="84"/>
      <c r="W411" s="84"/>
      <c r="X411" s="85"/>
      <c r="Y411" s="68"/>
      <c r="Z411" s="68"/>
    </row>
    <row r="412" spans="1:26" ht="12.75" hidden="1" outlineLevel="1" x14ac:dyDescent="0.2">
      <c r="A412" s="68"/>
      <c r="B412" s="86"/>
      <c r="C412" s="70" t="s">
        <v>115</v>
      </c>
      <c r="D412" s="285"/>
      <c r="E412" s="283"/>
      <c r="F412" s="283"/>
      <c r="G412" s="74" t="e">
        <f t="shared" si="151"/>
        <v>#DIV/0!</v>
      </c>
      <c r="H412" s="75" t="e">
        <f t="shared" si="152"/>
        <v>#DIV/0!</v>
      </c>
      <c r="I412" s="76" t="e">
        <f t="shared" si="153"/>
        <v>#DIV/0!</v>
      </c>
      <c r="J412" s="90">
        <v>1.29</v>
      </c>
      <c r="K412" s="199">
        <v>922</v>
      </c>
      <c r="L412" s="283"/>
      <c r="M412" s="91">
        <v>0</v>
      </c>
      <c r="N412" s="79" t="e">
        <f t="shared" ref="N412:N422" si="230">J412/M412</f>
        <v>#DIV/0!</v>
      </c>
      <c r="O412" s="80">
        <f t="shared" si="155"/>
        <v>0</v>
      </c>
      <c r="P412" s="79" t="e">
        <f t="shared" si="156"/>
        <v>#DIV/0!</v>
      </c>
      <c r="Q412" s="81" t="e">
        <f t="shared" si="157"/>
        <v>#DIV/0!</v>
      </c>
      <c r="R412" s="92">
        <f t="shared" si="229"/>
        <v>0</v>
      </c>
      <c r="S412" s="83" t="e">
        <f t="shared" si="158"/>
        <v>#DIV/0!</v>
      </c>
      <c r="T412" s="84"/>
      <c r="U412" s="84"/>
      <c r="V412" s="84"/>
      <c r="W412" s="84"/>
      <c r="X412" s="85"/>
      <c r="Y412" s="68"/>
      <c r="Z412" s="68"/>
    </row>
    <row r="413" spans="1:26" ht="12.75" hidden="1" outlineLevel="1" x14ac:dyDescent="0.2">
      <c r="A413" s="68"/>
      <c r="B413" s="86"/>
      <c r="C413" s="70" t="s">
        <v>116</v>
      </c>
      <c r="D413" s="286"/>
      <c r="E413" s="283"/>
      <c r="F413" s="283"/>
      <c r="G413" s="74" t="e">
        <f t="shared" si="151"/>
        <v>#DIV/0!</v>
      </c>
      <c r="H413" s="75" t="e">
        <f t="shared" si="152"/>
        <v>#DIV/0!</v>
      </c>
      <c r="I413" s="76" t="e">
        <f t="shared" si="153"/>
        <v>#DIV/0!</v>
      </c>
      <c r="J413" s="200">
        <v>0.42</v>
      </c>
      <c r="K413" s="199">
        <v>339</v>
      </c>
      <c r="L413" s="283"/>
      <c r="M413" s="200">
        <v>0</v>
      </c>
      <c r="N413" s="79" t="e">
        <f t="shared" si="230"/>
        <v>#DIV/0!</v>
      </c>
      <c r="O413" s="80">
        <f t="shared" si="155"/>
        <v>0</v>
      </c>
      <c r="P413" s="79" t="e">
        <f t="shared" si="156"/>
        <v>#DIV/0!</v>
      </c>
      <c r="Q413" s="81" t="e">
        <f t="shared" si="157"/>
        <v>#DIV/0!</v>
      </c>
      <c r="R413" s="92">
        <f t="shared" si="229"/>
        <v>0</v>
      </c>
      <c r="S413" s="83" t="e">
        <f t="shared" si="158"/>
        <v>#DIV/0!</v>
      </c>
      <c r="T413" s="84"/>
      <c r="U413" s="84"/>
      <c r="V413" s="84"/>
      <c r="W413" s="84"/>
      <c r="X413" s="85"/>
      <c r="Y413" s="68"/>
      <c r="Z413" s="68"/>
    </row>
    <row r="414" spans="1:26" ht="12.75" hidden="1" outlineLevel="1" x14ac:dyDescent="0.2">
      <c r="A414" s="68"/>
      <c r="B414" s="86"/>
      <c r="C414" s="70" t="s">
        <v>117</v>
      </c>
      <c r="D414" s="287"/>
      <c r="E414" s="283"/>
      <c r="F414" s="283"/>
      <c r="G414" s="74" t="e">
        <f t="shared" si="151"/>
        <v>#DIV/0!</v>
      </c>
      <c r="H414" s="75" t="e">
        <f t="shared" si="152"/>
        <v>#DIV/0!</v>
      </c>
      <c r="I414" s="76" t="e">
        <f t="shared" si="153"/>
        <v>#DIV/0!</v>
      </c>
      <c r="J414" s="201">
        <v>11.24</v>
      </c>
      <c r="K414" s="199">
        <v>2903</v>
      </c>
      <c r="L414" s="283"/>
      <c r="M414" s="202">
        <v>26.97</v>
      </c>
      <c r="N414" s="79">
        <f t="shared" si="230"/>
        <v>0.41675936225435672</v>
      </c>
      <c r="O414" s="80">
        <f t="shared" si="155"/>
        <v>2.3994661921708182</v>
      </c>
      <c r="P414" s="79" t="e">
        <f t="shared" si="156"/>
        <v>#DIV/0!</v>
      </c>
      <c r="Q414" s="81" t="e">
        <f t="shared" si="157"/>
        <v>#DIV/0!</v>
      </c>
      <c r="R414" s="203">
        <f t="shared" si="229"/>
        <v>-26.97</v>
      </c>
      <c r="S414" s="83" t="e">
        <f t="shared" si="158"/>
        <v>#DIV/0!</v>
      </c>
      <c r="T414" s="84"/>
      <c r="U414" s="84"/>
      <c r="V414" s="84"/>
      <c r="W414" s="84"/>
      <c r="X414" s="85"/>
      <c r="Y414" s="68"/>
      <c r="Z414" s="68"/>
    </row>
    <row r="415" spans="1:26" ht="12.75" hidden="1" outlineLevel="1" x14ac:dyDescent="0.2">
      <c r="A415" s="68"/>
      <c r="B415" s="86"/>
      <c r="C415" s="70" t="s">
        <v>118</v>
      </c>
      <c r="D415" s="285"/>
      <c r="E415" s="283"/>
      <c r="F415" s="283"/>
      <c r="G415" s="74" t="e">
        <f t="shared" si="151"/>
        <v>#DIV/0!</v>
      </c>
      <c r="H415" s="75" t="e">
        <f t="shared" si="152"/>
        <v>#DIV/0!</v>
      </c>
      <c r="I415" s="76" t="e">
        <f t="shared" si="153"/>
        <v>#DIV/0!</v>
      </c>
      <c r="J415" s="90">
        <v>393.79</v>
      </c>
      <c r="K415" s="199">
        <v>49758</v>
      </c>
      <c r="L415" s="283"/>
      <c r="M415" s="91">
        <v>1159.72</v>
      </c>
      <c r="N415" s="79">
        <f t="shared" si="230"/>
        <v>0.3395560997482151</v>
      </c>
      <c r="O415" s="80">
        <f t="shared" si="155"/>
        <v>2.9450214581375858</v>
      </c>
      <c r="P415" s="79" t="e">
        <f t="shared" si="156"/>
        <v>#DIV/0!</v>
      </c>
      <c r="Q415" s="81" t="e">
        <f t="shared" si="157"/>
        <v>#DIV/0!</v>
      </c>
      <c r="R415" s="92">
        <f t="shared" si="229"/>
        <v>-1159.72</v>
      </c>
      <c r="S415" s="83" t="e">
        <f t="shared" si="158"/>
        <v>#DIV/0!</v>
      </c>
      <c r="T415" s="84"/>
      <c r="U415" s="84"/>
      <c r="V415" s="84"/>
      <c r="W415" s="84"/>
      <c r="X415" s="85"/>
      <c r="Y415" s="68"/>
      <c r="Z415" s="68"/>
    </row>
    <row r="416" spans="1:26" ht="12.75" hidden="1" outlineLevel="1" x14ac:dyDescent="0.2">
      <c r="A416" s="68"/>
      <c r="B416" s="69" t="s">
        <v>37</v>
      </c>
      <c r="C416" s="70" t="s">
        <v>119</v>
      </c>
      <c r="D416" s="288"/>
      <c r="E416" s="283"/>
      <c r="F416" s="283"/>
      <c r="G416" s="74" t="e">
        <f t="shared" si="151"/>
        <v>#DIV/0!</v>
      </c>
      <c r="H416" s="75" t="e">
        <f t="shared" si="152"/>
        <v>#DIV/0!</v>
      </c>
      <c r="I416" s="76" t="e">
        <f t="shared" si="153"/>
        <v>#DIV/0!</v>
      </c>
      <c r="J416" s="93">
        <v>106.05</v>
      </c>
      <c r="K416" s="199">
        <v>20261</v>
      </c>
      <c r="L416" s="283"/>
      <c r="M416" s="94">
        <v>0</v>
      </c>
      <c r="N416" s="79" t="e">
        <f t="shared" si="230"/>
        <v>#DIV/0!</v>
      </c>
      <c r="O416" s="80">
        <f t="shared" si="155"/>
        <v>0</v>
      </c>
      <c r="P416" s="79" t="e">
        <f t="shared" si="156"/>
        <v>#DIV/0!</v>
      </c>
      <c r="Q416" s="81" t="e">
        <f t="shared" si="157"/>
        <v>#DIV/0!</v>
      </c>
      <c r="R416" s="95">
        <f t="shared" si="229"/>
        <v>0</v>
      </c>
      <c r="S416" s="83" t="e">
        <f t="shared" si="158"/>
        <v>#DIV/0!</v>
      </c>
      <c r="T416" s="84"/>
      <c r="U416" s="84"/>
      <c r="V416" s="84"/>
      <c r="W416" s="84"/>
      <c r="X416" s="85"/>
      <c r="Y416" s="68"/>
      <c r="Z416" s="68"/>
    </row>
    <row r="417" spans="1:26" ht="12.75" hidden="1" outlineLevel="1" x14ac:dyDescent="0.2">
      <c r="A417" s="68"/>
      <c r="B417" s="86"/>
      <c r="C417" s="70" t="s">
        <v>120</v>
      </c>
      <c r="D417" s="289"/>
      <c r="E417" s="283"/>
      <c r="F417" s="283"/>
      <c r="G417" s="74" t="e">
        <f t="shared" si="151"/>
        <v>#DIV/0!</v>
      </c>
      <c r="H417" s="75" t="e">
        <f t="shared" si="152"/>
        <v>#DIV/0!</v>
      </c>
      <c r="I417" s="76" t="e">
        <f t="shared" si="153"/>
        <v>#DIV/0!</v>
      </c>
      <c r="J417" s="96">
        <v>18.559999999999999</v>
      </c>
      <c r="K417" s="199">
        <v>6417</v>
      </c>
      <c r="L417" s="283"/>
      <c r="M417" s="97">
        <v>0</v>
      </c>
      <c r="N417" s="79" t="e">
        <f t="shared" si="230"/>
        <v>#DIV/0!</v>
      </c>
      <c r="O417" s="80">
        <f t="shared" si="155"/>
        <v>0</v>
      </c>
      <c r="P417" s="79" t="e">
        <f t="shared" si="156"/>
        <v>#DIV/0!</v>
      </c>
      <c r="Q417" s="81" t="e">
        <f t="shared" si="157"/>
        <v>#DIV/0!</v>
      </c>
      <c r="R417" s="98">
        <f t="shared" si="229"/>
        <v>0</v>
      </c>
      <c r="S417" s="83" t="e">
        <f t="shared" si="158"/>
        <v>#DIV/0!</v>
      </c>
      <c r="T417" s="84"/>
      <c r="U417" s="84"/>
      <c r="V417" s="84"/>
      <c r="W417" s="84"/>
      <c r="X417" s="85"/>
      <c r="Y417" s="68"/>
      <c r="Z417" s="68"/>
    </row>
    <row r="418" spans="1:26" ht="12.75" hidden="1" outlineLevel="1" x14ac:dyDescent="0.2">
      <c r="A418" s="68"/>
      <c r="B418" s="86"/>
      <c r="C418" s="70" t="s">
        <v>121</v>
      </c>
      <c r="D418" s="290"/>
      <c r="E418" s="283"/>
      <c r="F418" s="283"/>
      <c r="G418" s="74" t="e">
        <f t="shared" si="151"/>
        <v>#DIV/0!</v>
      </c>
      <c r="H418" s="75" t="e">
        <f t="shared" si="152"/>
        <v>#DIV/0!</v>
      </c>
      <c r="I418" s="76" t="e">
        <f t="shared" si="153"/>
        <v>#DIV/0!</v>
      </c>
      <c r="J418" s="99">
        <v>16.149999999999999</v>
      </c>
      <c r="K418" s="199">
        <v>5612</v>
      </c>
      <c r="L418" s="283"/>
      <c r="M418" s="100">
        <v>0</v>
      </c>
      <c r="N418" s="79" t="e">
        <f t="shared" si="230"/>
        <v>#DIV/0!</v>
      </c>
      <c r="O418" s="80">
        <f t="shared" si="155"/>
        <v>0</v>
      </c>
      <c r="P418" s="79" t="e">
        <f t="shared" si="156"/>
        <v>#DIV/0!</v>
      </c>
      <c r="Q418" s="81" t="e">
        <f t="shared" si="157"/>
        <v>#DIV/0!</v>
      </c>
      <c r="R418" s="101">
        <f t="shared" si="229"/>
        <v>0</v>
      </c>
      <c r="S418" s="83" t="e">
        <f t="shared" si="158"/>
        <v>#DIV/0!</v>
      </c>
      <c r="T418" s="84"/>
      <c r="U418" s="84"/>
      <c r="V418" s="84"/>
      <c r="W418" s="84"/>
      <c r="X418" s="85"/>
      <c r="Y418" s="68"/>
      <c r="Z418" s="68"/>
    </row>
    <row r="419" spans="1:26" ht="12.75" hidden="1" outlineLevel="1" x14ac:dyDescent="0.2">
      <c r="A419" s="118" t="str">
        <f t="shared" ref="A419:A420" si="231">IFERROR(IF(B419&gt;0,MONTH(B419)&amp;"-"&amp;YEAR(B419),B419),)</f>
        <v>10-2025</v>
      </c>
      <c r="B419" s="69">
        <v>45948</v>
      </c>
      <c r="C419" s="70" t="s">
        <v>123</v>
      </c>
      <c r="D419" s="293"/>
      <c r="E419" s="283"/>
      <c r="F419" s="283"/>
      <c r="G419" s="74" t="e">
        <f t="shared" si="151"/>
        <v>#DIV/0!</v>
      </c>
      <c r="H419" s="75" t="e">
        <f t="shared" si="152"/>
        <v>#DIV/0!</v>
      </c>
      <c r="I419" s="76" t="e">
        <f t="shared" si="153"/>
        <v>#DIV/0!</v>
      </c>
      <c r="J419" s="87">
        <v>0</v>
      </c>
      <c r="K419" s="199">
        <v>0</v>
      </c>
      <c r="L419" s="283"/>
      <c r="M419" s="88">
        <v>0</v>
      </c>
      <c r="N419" s="79" t="e">
        <f t="shared" si="230"/>
        <v>#DIV/0!</v>
      </c>
      <c r="O419" s="80" t="e">
        <f t="shared" si="155"/>
        <v>#DIV/0!</v>
      </c>
      <c r="P419" s="79" t="e">
        <f t="shared" si="156"/>
        <v>#DIV/0!</v>
      </c>
      <c r="Q419" s="81" t="e">
        <f t="shared" si="157"/>
        <v>#DIV/0!</v>
      </c>
      <c r="R419" s="82">
        <f t="shared" si="229"/>
        <v>0</v>
      </c>
      <c r="S419" s="83" t="e">
        <f t="shared" si="158"/>
        <v>#DIV/0!</v>
      </c>
      <c r="T419" s="84"/>
      <c r="U419" s="84"/>
      <c r="V419" s="84"/>
      <c r="W419" s="84"/>
      <c r="X419" s="85"/>
      <c r="Y419" s="68"/>
      <c r="Z419" s="68"/>
    </row>
    <row r="420" spans="1:26" ht="12.75" collapsed="1" x14ac:dyDescent="0.2">
      <c r="A420" s="68">
        <f t="shared" si="231"/>
        <v>0</v>
      </c>
      <c r="B420" s="52" t="s">
        <v>100</v>
      </c>
      <c r="C420" s="120"/>
      <c r="D420" s="121">
        <f t="shared" ref="D420:F420" si="232">SUM(D409:D419)</f>
        <v>0</v>
      </c>
      <c r="E420" s="123">
        <f t="shared" si="232"/>
        <v>0</v>
      </c>
      <c r="F420" s="123">
        <f t="shared" si="232"/>
        <v>0</v>
      </c>
      <c r="G420" s="124" t="e">
        <f t="shared" si="151"/>
        <v>#DIV/0!</v>
      </c>
      <c r="H420" s="125" t="e">
        <f t="shared" si="152"/>
        <v>#DIV/0!</v>
      </c>
      <c r="I420" s="126" t="e">
        <f t="shared" si="153"/>
        <v>#DIV/0!</v>
      </c>
      <c r="J420" s="121">
        <f t="shared" ref="J420:M420" si="233">SUM(J409:J419)</f>
        <v>795.17</v>
      </c>
      <c r="K420" s="294">
        <f t="shared" si="233"/>
        <v>149429</v>
      </c>
      <c r="L420" s="123">
        <f t="shared" si="233"/>
        <v>0</v>
      </c>
      <c r="M420" s="127">
        <f t="shared" si="233"/>
        <v>2170.66</v>
      </c>
      <c r="N420" s="128">
        <f t="shared" si="230"/>
        <v>0.36632637078123703</v>
      </c>
      <c r="O420" s="129">
        <f t="shared" si="155"/>
        <v>2.7298062049624607</v>
      </c>
      <c r="P420" s="128" t="e">
        <f t="shared" si="156"/>
        <v>#DIV/0!</v>
      </c>
      <c r="Q420" s="130" t="e">
        <f t="shared" si="157"/>
        <v>#DIV/0!</v>
      </c>
      <c r="R420" s="131">
        <f>SUM(R409:R419)</f>
        <v>-2170.66</v>
      </c>
      <c r="S420" s="132" t="e">
        <f t="shared" si="158"/>
        <v>#DIV/0!</v>
      </c>
      <c r="T420" s="134">
        <f t="shared" ref="T420:U420" si="234">IFERROR((D420-D48)/D420,)</f>
        <v>0</v>
      </c>
      <c r="U420" s="134">
        <f t="shared" si="234"/>
        <v>0</v>
      </c>
      <c r="V420" s="134" t="s">
        <v>139</v>
      </c>
      <c r="W420" s="134" t="s">
        <v>139</v>
      </c>
      <c r="X420" s="68"/>
      <c r="Y420" s="68"/>
      <c r="Z420" s="68"/>
    </row>
    <row r="421" spans="1:26" ht="12.75" hidden="1" outlineLevel="1" x14ac:dyDescent="0.2">
      <c r="A421" s="68"/>
      <c r="B421" s="69">
        <v>45949</v>
      </c>
      <c r="C421" s="70" t="s">
        <v>112</v>
      </c>
      <c r="D421" s="282"/>
      <c r="E421" s="283"/>
      <c r="F421" s="283"/>
      <c r="G421" s="74" t="e">
        <f t="shared" si="151"/>
        <v>#DIV/0!</v>
      </c>
      <c r="H421" s="75" t="e">
        <f t="shared" si="152"/>
        <v>#DIV/0!</v>
      </c>
      <c r="I421" s="76" t="e">
        <f t="shared" si="153"/>
        <v>#DIV/0!</v>
      </c>
      <c r="J421" s="77">
        <v>42.8</v>
      </c>
      <c r="K421" s="199">
        <v>13211</v>
      </c>
      <c r="L421" s="283"/>
      <c r="M421" s="78">
        <v>36.9</v>
      </c>
      <c r="N421" s="79">
        <f t="shared" si="230"/>
        <v>1.159891598915989</v>
      </c>
      <c r="O421" s="80">
        <f t="shared" si="155"/>
        <v>0.86214953271028039</v>
      </c>
      <c r="P421" s="79" t="e">
        <f t="shared" si="156"/>
        <v>#DIV/0!</v>
      </c>
      <c r="Q421" s="81" t="e">
        <f t="shared" si="157"/>
        <v>#DIV/0!</v>
      </c>
      <c r="R421" s="82">
        <f t="shared" ref="R421:R431" si="235">D421-M421</f>
        <v>-36.9</v>
      </c>
      <c r="S421" s="83" t="e">
        <f t="shared" si="158"/>
        <v>#DIV/0!</v>
      </c>
      <c r="T421" s="84"/>
      <c r="U421" s="84"/>
      <c r="V421" s="84"/>
      <c r="W421" s="84"/>
      <c r="X421" s="85"/>
      <c r="Y421" s="68"/>
      <c r="Z421" s="68"/>
    </row>
    <row r="422" spans="1:26" ht="12.75" hidden="1" outlineLevel="1" x14ac:dyDescent="0.2">
      <c r="A422" s="68"/>
      <c r="B422" s="86"/>
      <c r="C422" s="70" t="s">
        <v>113</v>
      </c>
      <c r="D422" s="284"/>
      <c r="E422" s="283"/>
      <c r="F422" s="283"/>
      <c r="G422" s="74" t="e">
        <f t="shared" si="151"/>
        <v>#DIV/0!</v>
      </c>
      <c r="H422" s="75" t="e">
        <f t="shared" si="152"/>
        <v>#DIV/0!</v>
      </c>
      <c r="I422" s="76" t="e">
        <f t="shared" si="153"/>
        <v>#DIV/0!</v>
      </c>
      <c r="J422" s="87">
        <v>14.23</v>
      </c>
      <c r="K422" s="199">
        <v>3117</v>
      </c>
      <c r="L422" s="283"/>
      <c r="M422" s="88">
        <v>119.9</v>
      </c>
      <c r="N422" s="79">
        <f t="shared" si="230"/>
        <v>0.11868223519599666</v>
      </c>
      <c r="O422" s="80">
        <f t="shared" si="155"/>
        <v>8.4258608573436398</v>
      </c>
      <c r="P422" s="79" t="e">
        <f t="shared" si="156"/>
        <v>#DIV/0!</v>
      </c>
      <c r="Q422" s="81" t="e">
        <f t="shared" si="157"/>
        <v>#DIV/0!</v>
      </c>
      <c r="R422" s="89">
        <f t="shared" si="235"/>
        <v>-119.9</v>
      </c>
      <c r="S422" s="83" t="e">
        <f t="shared" si="158"/>
        <v>#DIV/0!</v>
      </c>
      <c r="T422" s="84"/>
      <c r="U422" s="84"/>
      <c r="V422" s="84"/>
      <c r="W422" s="84"/>
      <c r="X422" s="85"/>
      <c r="Y422" s="68"/>
      <c r="Z422" s="68"/>
    </row>
    <row r="423" spans="1:26" ht="12.75" hidden="1" outlineLevel="1" x14ac:dyDescent="0.2">
      <c r="A423" s="68"/>
      <c r="B423" s="86"/>
      <c r="C423" s="70" t="s">
        <v>114</v>
      </c>
      <c r="D423" s="285"/>
      <c r="E423" s="283"/>
      <c r="F423" s="283"/>
      <c r="G423" s="74" t="e">
        <f t="shared" si="151"/>
        <v>#DIV/0!</v>
      </c>
      <c r="H423" s="75" t="e">
        <f t="shared" si="152"/>
        <v>#DIV/0!</v>
      </c>
      <c r="I423" s="76" t="e">
        <f t="shared" si="153"/>
        <v>#DIV/0!</v>
      </c>
      <c r="J423" s="90">
        <v>383.02</v>
      </c>
      <c r="K423" s="199">
        <v>54370</v>
      </c>
      <c r="L423" s="283"/>
      <c r="M423" s="91">
        <v>146.63999999999999</v>
      </c>
      <c r="N423" s="79">
        <f>(J423/M423)</f>
        <v>2.611974904528096</v>
      </c>
      <c r="O423" s="80">
        <f t="shared" si="155"/>
        <v>0.38285207038796926</v>
      </c>
      <c r="P423" s="79" t="e">
        <f t="shared" si="156"/>
        <v>#DIV/0!</v>
      </c>
      <c r="Q423" s="81" t="e">
        <f t="shared" si="157"/>
        <v>#DIV/0!</v>
      </c>
      <c r="R423" s="92">
        <f t="shared" si="235"/>
        <v>-146.63999999999999</v>
      </c>
      <c r="S423" s="83" t="e">
        <f t="shared" si="158"/>
        <v>#DIV/0!</v>
      </c>
      <c r="T423" s="84"/>
      <c r="U423" s="84"/>
      <c r="V423" s="84"/>
      <c r="W423" s="84"/>
      <c r="X423" s="85"/>
      <c r="Y423" s="68"/>
      <c r="Z423" s="68"/>
    </row>
    <row r="424" spans="1:26" ht="12.75" hidden="1" outlineLevel="1" x14ac:dyDescent="0.2">
      <c r="A424" s="68"/>
      <c r="B424" s="86"/>
      <c r="C424" s="70" t="s">
        <v>115</v>
      </c>
      <c r="D424" s="285"/>
      <c r="E424" s="283"/>
      <c r="F424" s="283"/>
      <c r="G424" s="74" t="e">
        <f t="shared" si="151"/>
        <v>#DIV/0!</v>
      </c>
      <c r="H424" s="75" t="e">
        <f t="shared" si="152"/>
        <v>#DIV/0!</v>
      </c>
      <c r="I424" s="76" t="e">
        <f t="shared" si="153"/>
        <v>#DIV/0!</v>
      </c>
      <c r="J424" s="90">
        <v>1.08</v>
      </c>
      <c r="K424" s="199">
        <v>874</v>
      </c>
      <c r="L424" s="283"/>
      <c r="M424" s="91">
        <v>59.95</v>
      </c>
      <c r="N424" s="79">
        <f t="shared" ref="N424:N434" si="236">J424/M424</f>
        <v>1.8015012510425355E-2</v>
      </c>
      <c r="O424" s="80">
        <f t="shared" si="155"/>
        <v>55.50925925925926</v>
      </c>
      <c r="P424" s="79" t="e">
        <f t="shared" si="156"/>
        <v>#DIV/0!</v>
      </c>
      <c r="Q424" s="81" t="e">
        <f t="shared" si="157"/>
        <v>#DIV/0!</v>
      </c>
      <c r="R424" s="92">
        <f t="shared" si="235"/>
        <v>-59.95</v>
      </c>
      <c r="S424" s="83" t="e">
        <f t="shared" si="158"/>
        <v>#DIV/0!</v>
      </c>
      <c r="T424" s="84"/>
      <c r="U424" s="84"/>
      <c r="V424" s="84"/>
      <c r="W424" s="84"/>
      <c r="X424" s="85"/>
      <c r="Y424" s="68"/>
      <c r="Z424" s="68"/>
    </row>
    <row r="425" spans="1:26" ht="12.75" hidden="1" outlineLevel="1" x14ac:dyDescent="0.2">
      <c r="A425" s="68"/>
      <c r="B425" s="86"/>
      <c r="C425" s="70" t="s">
        <v>116</v>
      </c>
      <c r="D425" s="286"/>
      <c r="E425" s="283"/>
      <c r="F425" s="283"/>
      <c r="G425" s="74" t="e">
        <f t="shared" si="151"/>
        <v>#DIV/0!</v>
      </c>
      <c r="H425" s="75" t="e">
        <f t="shared" si="152"/>
        <v>#DIV/0!</v>
      </c>
      <c r="I425" s="76" t="e">
        <f t="shared" si="153"/>
        <v>#DIV/0!</v>
      </c>
      <c r="J425" s="200">
        <v>11.02</v>
      </c>
      <c r="K425" s="199">
        <v>836</v>
      </c>
      <c r="L425" s="283"/>
      <c r="M425" s="200">
        <v>0</v>
      </c>
      <c r="N425" s="79" t="e">
        <f t="shared" si="236"/>
        <v>#DIV/0!</v>
      </c>
      <c r="O425" s="80">
        <f t="shared" si="155"/>
        <v>0</v>
      </c>
      <c r="P425" s="79" t="e">
        <f t="shared" si="156"/>
        <v>#DIV/0!</v>
      </c>
      <c r="Q425" s="81" t="e">
        <f t="shared" si="157"/>
        <v>#DIV/0!</v>
      </c>
      <c r="R425" s="92">
        <f t="shared" si="235"/>
        <v>0</v>
      </c>
      <c r="S425" s="83" t="e">
        <f t="shared" si="158"/>
        <v>#DIV/0!</v>
      </c>
      <c r="T425" s="84"/>
      <c r="U425" s="84"/>
      <c r="V425" s="84"/>
      <c r="W425" s="84"/>
      <c r="X425" s="85"/>
      <c r="Y425" s="68"/>
      <c r="Z425" s="68"/>
    </row>
    <row r="426" spans="1:26" ht="12.75" hidden="1" outlineLevel="1" x14ac:dyDescent="0.2">
      <c r="A426" s="68"/>
      <c r="B426" s="86"/>
      <c r="C426" s="70" t="s">
        <v>117</v>
      </c>
      <c r="D426" s="287"/>
      <c r="E426" s="283"/>
      <c r="F426" s="283"/>
      <c r="G426" s="74" t="e">
        <f t="shared" si="151"/>
        <v>#DIV/0!</v>
      </c>
      <c r="H426" s="75" t="e">
        <f t="shared" si="152"/>
        <v>#DIV/0!</v>
      </c>
      <c r="I426" s="76" t="e">
        <f t="shared" si="153"/>
        <v>#DIV/0!</v>
      </c>
      <c r="J426" s="201">
        <v>18.47</v>
      </c>
      <c r="K426" s="199">
        <v>4018</v>
      </c>
      <c r="L426" s="283"/>
      <c r="M426" s="202">
        <v>0</v>
      </c>
      <c r="N426" s="79" t="e">
        <f t="shared" si="236"/>
        <v>#DIV/0!</v>
      </c>
      <c r="O426" s="80">
        <f t="shared" si="155"/>
        <v>0</v>
      </c>
      <c r="P426" s="79" t="e">
        <f t="shared" si="156"/>
        <v>#DIV/0!</v>
      </c>
      <c r="Q426" s="81" t="e">
        <f t="shared" si="157"/>
        <v>#DIV/0!</v>
      </c>
      <c r="R426" s="203">
        <f t="shared" si="235"/>
        <v>0</v>
      </c>
      <c r="S426" s="83" t="e">
        <f t="shared" si="158"/>
        <v>#DIV/0!</v>
      </c>
      <c r="T426" s="84"/>
      <c r="U426" s="84"/>
      <c r="V426" s="84"/>
      <c r="W426" s="84"/>
      <c r="X426" s="85"/>
      <c r="Y426" s="68"/>
      <c r="Z426" s="68"/>
    </row>
    <row r="427" spans="1:26" ht="12.75" hidden="1" outlineLevel="1" x14ac:dyDescent="0.2">
      <c r="A427" s="68"/>
      <c r="B427" s="86"/>
      <c r="C427" s="70" t="s">
        <v>118</v>
      </c>
      <c r="D427" s="285"/>
      <c r="E427" s="283"/>
      <c r="F427" s="283"/>
      <c r="G427" s="74" t="e">
        <f t="shared" si="151"/>
        <v>#DIV/0!</v>
      </c>
      <c r="H427" s="75" t="e">
        <f t="shared" si="152"/>
        <v>#DIV/0!</v>
      </c>
      <c r="I427" s="76" t="e">
        <f t="shared" si="153"/>
        <v>#DIV/0!</v>
      </c>
      <c r="J427" s="90">
        <v>494.29</v>
      </c>
      <c r="K427" s="199">
        <v>39800</v>
      </c>
      <c r="L427" s="283"/>
      <c r="M427" s="91">
        <v>634.85</v>
      </c>
      <c r="N427" s="79">
        <f t="shared" si="236"/>
        <v>0.77859336851224703</v>
      </c>
      <c r="O427" s="80">
        <f t="shared" si="155"/>
        <v>1.284367476582573</v>
      </c>
      <c r="P427" s="79" t="e">
        <f t="shared" si="156"/>
        <v>#DIV/0!</v>
      </c>
      <c r="Q427" s="81" t="e">
        <f t="shared" si="157"/>
        <v>#DIV/0!</v>
      </c>
      <c r="R427" s="92">
        <f t="shared" si="235"/>
        <v>-634.85</v>
      </c>
      <c r="S427" s="83" t="e">
        <f t="shared" si="158"/>
        <v>#DIV/0!</v>
      </c>
      <c r="T427" s="84"/>
      <c r="U427" s="84"/>
      <c r="V427" s="84"/>
      <c r="W427" s="84"/>
      <c r="X427" s="85"/>
      <c r="Y427" s="68"/>
      <c r="Z427" s="68"/>
    </row>
    <row r="428" spans="1:26" ht="12.75" hidden="1" outlineLevel="1" x14ac:dyDescent="0.2">
      <c r="A428" s="68"/>
      <c r="B428" s="69" t="s">
        <v>37</v>
      </c>
      <c r="C428" s="70" t="s">
        <v>119</v>
      </c>
      <c r="D428" s="288"/>
      <c r="E428" s="283"/>
      <c r="F428" s="283"/>
      <c r="G428" s="74" t="e">
        <f t="shared" si="151"/>
        <v>#DIV/0!</v>
      </c>
      <c r="H428" s="75" t="e">
        <f t="shared" si="152"/>
        <v>#DIV/0!</v>
      </c>
      <c r="I428" s="76" t="e">
        <f t="shared" si="153"/>
        <v>#DIV/0!</v>
      </c>
      <c r="J428" s="93">
        <v>98.79</v>
      </c>
      <c r="K428" s="199">
        <v>11565</v>
      </c>
      <c r="L428" s="283"/>
      <c r="M428" s="94">
        <v>389.95</v>
      </c>
      <c r="N428" s="79">
        <f t="shared" si="236"/>
        <v>0.25334017181689961</v>
      </c>
      <c r="O428" s="80">
        <f t="shared" si="155"/>
        <v>3.947261868610183</v>
      </c>
      <c r="P428" s="79" t="e">
        <f t="shared" si="156"/>
        <v>#DIV/0!</v>
      </c>
      <c r="Q428" s="81" t="e">
        <f t="shared" si="157"/>
        <v>#DIV/0!</v>
      </c>
      <c r="R428" s="95">
        <f t="shared" si="235"/>
        <v>-389.95</v>
      </c>
      <c r="S428" s="83" t="e">
        <f t="shared" si="158"/>
        <v>#DIV/0!</v>
      </c>
      <c r="T428" s="84"/>
      <c r="U428" s="84"/>
      <c r="V428" s="84"/>
      <c r="W428" s="84"/>
      <c r="X428" s="85"/>
      <c r="Y428" s="68"/>
      <c r="Z428" s="68"/>
    </row>
    <row r="429" spans="1:26" ht="12.75" hidden="1" outlineLevel="1" x14ac:dyDescent="0.2">
      <c r="A429" s="68"/>
      <c r="B429" s="86"/>
      <c r="C429" s="70" t="s">
        <v>120</v>
      </c>
      <c r="D429" s="289"/>
      <c r="E429" s="283"/>
      <c r="F429" s="283"/>
      <c r="G429" s="74" t="e">
        <f t="shared" si="151"/>
        <v>#DIV/0!</v>
      </c>
      <c r="H429" s="75" t="e">
        <f t="shared" si="152"/>
        <v>#DIV/0!</v>
      </c>
      <c r="I429" s="76" t="e">
        <f t="shared" si="153"/>
        <v>#DIV/0!</v>
      </c>
      <c r="J429" s="96">
        <v>95.52</v>
      </c>
      <c r="K429" s="199">
        <v>5289</v>
      </c>
      <c r="L429" s="283"/>
      <c r="M429" s="97">
        <v>0</v>
      </c>
      <c r="N429" s="79" t="e">
        <f t="shared" si="236"/>
        <v>#DIV/0!</v>
      </c>
      <c r="O429" s="80">
        <f t="shared" si="155"/>
        <v>0</v>
      </c>
      <c r="P429" s="79" t="e">
        <f t="shared" si="156"/>
        <v>#DIV/0!</v>
      </c>
      <c r="Q429" s="81" t="e">
        <f t="shared" si="157"/>
        <v>#DIV/0!</v>
      </c>
      <c r="R429" s="98">
        <f t="shared" si="235"/>
        <v>0</v>
      </c>
      <c r="S429" s="83" t="e">
        <f t="shared" si="158"/>
        <v>#DIV/0!</v>
      </c>
      <c r="T429" s="84"/>
      <c r="U429" s="84"/>
      <c r="V429" s="84"/>
      <c r="W429" s="84"/>
      <c r="X429" s="85"/>
      <c r="Y429" s="68"/>
      <c r="Z429" s="68"/>
    </row>
    <row r="430" spans="1:26" ht="12.75" hidden="1" outlineLevel="1" x14ac:dyDescent="0.2">
      <c r="A430" s="68"/>
      <c r="B430" s="86"/>
      <c r="C430" s="70" t="s">
        <v>121</v>
      </c>
      <c r="D430" s="290"/>
      <c r="E430" s="283"/>
      <c r="F430" s="283"/>
      <c r="G430" s="74" t="e">
        <f t="shared" si="151"/>
        <v>#DIV/0!</v>
      </c>
      <c r="H430" s="75" t="e">
        <f t="shared" si="152"/>
        <v>#DIV/0!</v>
      </c>
      <c r="I430" s="76" t="e">
        <f t="shared" si="153"/>
        <v>#DIV/0!</v>
      </c>
      <c r="J430" s="99">
        <v>19.03</v>
      </c>
      <c r="K430" s="199">
        <v>2913</v>
      </c>
      <c r="L430" s="283"/>
      <c r="M430" s="100">
        <v>44.95</v>
      </c>
      <c r="N430" s="79">
        <f t="shared" si="236"/>
        <v>0.42335928809788653</v>
      </c>
      <c r="O430" s="80">
        <f t="shared" si="155"/>
        <v>2.3620599054125067</v>
      </c>
      <c r="P430" s="79" t="e">
        <f t="shared" si="156"/>
        <v>#DIV/0!</v>
      </c>
      <c r="Q430" s="81" t="e">
        <f t="shared" si="157"/>
        <v>#DIV/0!</v>
      </c>
      <c r="R430" s="101">
        <f t="shared" si="235"/>
        <v>-44.95</v>
      </c>
      <c r="S430" s="83" t="e">
        <f t="shared" si="158"/>
        <v>#DIV/0!</v>
      </c>
      <c r="T430" s="84"/>
      <c r="U430" s="84"/>
      <c r="V430" s="84"/>
      <c r="W430" s="84"/>
      <c r="X430" s="85"/>
      <c r="Y430" s="68"/>
      <c r="Z430" s="68"/>
    </row>
    <row r="431" spans="1:26" ht="12.75" hidden="1" outlineLevel="1" x14ac:dyDescent="0.2">
      <c r="A431" s="118" t="str">
        <f t="shared" ref="A431:A432" si="237">IFERROR(IF(B431&gt;0,MONTH(B431)&amp;"-"&amp;YEAR(B431),B431),)</f>
        <v>10-2025</v>
      </c>
      <c r="B431" s="69">
        <v>45955</v>
      </c>
      <c r="C431" s="70" t="s">
        <v>123</v>
      </c>
      <c r="D431" s="293"/>
      <c r="E431" s="283"/>
      <c r="F431" s="283"/>
      <c r="G431" s="74" t="e">
        <f t="shared" si="151"/>
        <v>#DIV/0!</v>
      </c>
      <c r="H431" s="75" t="e">
        <f t="shared" si="152"/>
        <v>#DIV/0!</v>
      </c>
      <c r="I431" s="76" t="e">
        <f t="shared" si="153"/>
        <v>#DIV/0!</v>
      </c>
      <c r="J431" s="87">
        <v>0</v>
      </c>
      <c r="K431" s="199">
        <v>0</v>
      </c>
      <c r="L431" s="283"/>
      <c r="M431" s="88">
        <v>0</v>
      </c>
      <c r="N431" s="79" t="e">
        <f t="shared" si="236"/>
        <v>#DIV/0!</v>
      </c>
      <c r="O431" s="80" t="e">
        <f t="shared" si="155"/>
        <v>#DIV/0!</v>
      </c>
      <c r="P431" s="79" t="e">
        <f t="shared" si="156"/>
        <v>#DIV/0!</v>
      </c>
      <c r="Q431" s="81" t="e">
        <f t="shared" si="157"/>
        <v>#DIV/0!</v>
      </c>
      <c r="R431" s="82">
        <f t="shared" si="235"/>
        <v>0</v>
      </c>
      <c r="S431" s="83" t="e">
        <f t="shared" si="158"/>
        <v>#DIV/0!</v>
      </c>
      <c r="T431" s="84"/>
      <c r="U431" s="84"/>
      <c r="V431" s="84"/>
      <c r="W431" s="84"/>
      <c r="X431" s="85"/>
      <c r="Y431" s="68"/>
      <c r="Z431" s="68"/>
    </row>
    <row r="432" spans="1:26" ht="12.75" collapsed="1" x14ac:dyDescent="0.2">
      <c r="A432" s="68">
        <f t="shared" si="237"/>
        <v>0</v>
      </c>
      <c r="B432" s="52" t="s">
        <v>101</v>
      </c>
      <c r="C432" s="120"/>
      <c r="D432" s="121">
        <f t="shared" ref="D432:F432" si="238">SUM(D421:D431)</f>
        <v>0</v>
      </c>
      <c r="E432" s="123">
        <f t="shared" si="238"/>
        <v>0</v>
      </c>
      <c r="F432" s="123">
        <f t="shared" si="238"/>
        <v>0</v>
      </c>
      <c r="G432" s="124" t="e">
        <f t="shared" si="151"/>
        <v>#DIV/0!</v>
      </c>
      <c r="H432" s="125" t="e">
        <f t="shared" si="152"/>
        <v>#DIV/0!</v>
      </c>
      <c r="I432" s="126" t="e">
        <f t="shared" si="153"/>
        <v>#DIV/0!</v>
      </c>
      <c r="J432" s="121">
        <f t="shared" ref="J432:M432" si="239">SUM(J421:J431)</f>
        <v>1178.2499999999998</v>
      </c>
      <c r="K432" s="294">
        <f t="shared" si="239"/>
        <v>135993</v>
      </c>
      <c r="L432" s="123">
        <f t="shared" si="239"/>
        <v>0</v>
      </c>
      <c r="M432" s="127">
        <f t="shared" si="239"/>
        <v>1433.14</v>
      </c>
      <c r="N432" s="128">
        <f t="shared" si="236"/>
        <v>0.82214577780258713</v>
      </c>
      <c r="O432" s="129">
        <f t="shared" si="155"/>
        <v>1.2163293019308299</v>
      </c>
      <c r="P432" s="128" t="e">
        <f t="shared" si="156"/>
        <v>#DIV/0!</v>
      </c>
      <c r="Q432" s="130" t="e">
        <f t="shared" si="157"/>
        <v>#DIV/0!</v>
      </c>
      <c r="R432" s="131">
        <f>SUM(R421:R431)</f>
        <v>-1433.14</v>
      </c>
      <c r="S432" s="132" t="e">
        <f t="shared" si="158"/>
        <v>#DIV/0!</v>
      </c>
      <c r="T432" s="134">
        <f t="shared" ref="T432:U432" si="240">IFERROR((D432-D48)/D432,)</f>
        <v>0</v>
      </c>
      <c r="U432" s="134">
        <f t="shared" si="240"/>
        <v>0</v>
      </c>
      <c r="V432" s="134" t="s">
        <v>139</v>
      </c>
      <c r="W432" s="134" t="s">
        <v>139</v>
      </c>
      <c r="X432" s="68"/>
      <c r="Y432" s="68"/>
      <c r="Z432" s="68"/>
    </row>
    <row r="433" spans="1:26" ht="12.75" hidden="1" outlineLevel="1" x14ac:dyDescent="0.2">
      <c r="A433" s="68"/>
      <c r="B433" s="69">
        <v>45956</v>
      </c>
      <c r="C433" s="70" t="s">
        <v>112</v>
      </c>
      <c r="D433" s="282"/>
      <c r="E433" s="283"/>
      <c r="F433" s="283"/>
      <c r="G433" s="74" t="e">
        <f t="shared" si="151"/>
        <v>#DIV/0!</v>
      </c>
      <c r="H433" s="75" t="e">
        <f t="shared" si="152"/>
        <v>#DIV/0!</v>
      </c>
      <c r="I433" s="76" t="e">
        <f t="shared" si="153"/>
        <v>#DIV/0!</v>
      </c>
      <c r="J433" s="77">
        <v>107.69</v>
      </c>
      <c r="K433" s="199">
        <v>13993</v>
      </c>
      <c r="L433" s="283"/>
      <c r="M433" s="78">
        <v>65.83</v>
      </c>
      <c r="N433" s="79">
        <f t="shared" si="236"/>
        <v>1.6358802977365943</v>
      </c>
      <c r="O433" s="80">
        <f t="shared" si="155"/>
        <v>0.61129167053579714</v>
      </c>
      <c r="P433" s="79" t="e">
        <f t="shared" si="156"/>
        <v>#DIV/0!</v>
      </c>
      <c r="Q433" s="81" t="e">
        <f t="shared" si="157"/>
        <v>#DIV/0!</v>
      </c>
      <c r="R433" s="82">
        <f t="shared" ref="R433:R443" si="241">D433-M433</f>
        <v>-65.83</v>
      </c>
      <c r="S433" s="83" t="e">
        <f t="shared" si="158"/>
        <v>#DIV/0!</v>
      </c>
      <c r="T433" s="84"/>
      <c r="U433" s="84"/>
      <c r="V433" s="84"/>
      <c r="W433" s="84"/>
      <c r="X433" s="85"/>
      <c r="Y433" s="68"/>
      <c r="Z433" s="68"/>
    </row>
    <row r="434" spans="1:26" ht="12.75" hidden="1" outlineLevel="1" x14ac:dyDescent="0.2">
      <c r="A434" s="68"/>
      <c r="B434" s="86"/>
      <c r="C434" s="70" t="s">
        <v>113</v>
      </c>
      <c r="D434" s="284"/>
      <c r="E434" s="283"/>
      <c r="F434" s="283"/>
      <c r="G434" s="74" t="e">
        <f t="shared" si="151"/>
        <v>#DIV/0!</v>
      </c>
      <c r="H434" s="75" t="e">
        <f t="shared" si="152"/>
        <v>#DIV/0!</v>
      </c>
      <c r="I434" s="76" t="e">
        <f t="shared" si="153"/>
        <v>#DIV/0!</v>
      </c>
      <c r="J434" s="87">
        <v>31.89</v>
      </c>
      <c r="K434" s="199">
        <v>4989</v>
      </c>
      <c r="L434" s="283"/>
      <c r="M434" s="88">
        <v>59.95</v>
      </c>
      <c r="N434" s="79">
        <f t="shared" si="236"/>
        <v>0.53194328607172647</v>
      </c>
      <c r="O434" s="80">
        <f t="shared" si="155"/>
        <v>1.8798996550642835</v>
      </c>
      <c r="P434" s="79" t="e">
        <f t="shared" si="156"/>
        <v>#DIV/0!</v>
      </c>
      <c r="Q434" s="81" t="e">
        <f t="shared" si="157"/>
        <v>#DIV/0!</v>
      </c>
      <c r="R434" s="89">
        <f t="shared" si="241"/>
        <v>-59.95</v>
      </c>
      <c r="S434" s="83" t="e">
        <f t="shared" si="158"/>
        <v>#DIV/0!</v>
      </c>
      <c r="T434" s="84"/>
      <c r="U434" s="84"/>
      <c r="V434" s="84"/>
      <c r="W434" s="84"/>
      <c r="X434" s="85"/>
      <c r="Y434" s="68"/>
      <c r="Z434" s="68"/>
    </row>
    <row r="435" spans="1:26" ht="12.75" hidden="1" outlineLevel="1" x14ac:dyDescent="0.2">
      <c r="A435" s="68"/>
      <c r="B435" s="86"/>
      <c r="C435" s="70" t="s">
        <v>114</v>
      </c>
      <c r="D435" s="285"/>
      <c r="E435" s="283"/>
      <c r="F435" s="283"/>
      <c r="G435" s="74" t="e">
        <f t="shared" si="151"/>
        <v>#DIV/0!</v>
      </c>
      <c r="H435" s="75" t="e">
        <f t="shared" si="152"/>
        <v>#DIV/0!</v>
      </c>
      <c r="I435" s="76" t="e">
        <f t="shared" si="153"/>
        <v>#DIV/0!</v>
      </c>
      <c r="J435" s="90">
        <v>148.36000000000001</v>
      </c>
      <c r="K435" s="199">
        <v>13678</v>
      </c>
      <c r="L435" s="283"/>
      <c r="M435" s="91">
        <v>176.97</v>
      </c>
      <c r="N435" s="79">
        <f>(J435/M435)</f>
        <v>0.83833418093462175</v>
      </c>
      <c r="O435" s="80">
        <f t="shared" si="155"/>
        <v>1.1928417363170665</v>
      </c>
      <c r="P435" s="79" t="e">
        <f t="shared" si="156"/>
        <v>#DIV/0!</v>
      </c>
      <c r="Q435" s="81" t="e">
        <f t="shared" si="157"/>
        <v>#DIV/0!</v>
      </c>
      <c r="R435" s="92">
        <f t="shared" si="241"/>
        <v>-176.97</v>
      </c>
      <c r="S435" s="83" t="e">
        <f t="shared" si="158"/>
        <v>#DIV/0!</v>
      </c>
      <c r="T435" s="84"/>
      <c r="U435" s="84"/>
      <c r="V435" s="84"/>
      <c r="W435" s="84"/>
      <c r="X435" s="85"/>
      <c r="Y435" s="68"/>
      <c r="Z435" s="68"/>
    </row>
    <row r="436" spans="1:26" ht="12.75" hidden="1" outlineLevel="1" x14ac:dyDescent="0.2">
      <c r="A436" s="68"/>
      <c r="B436" s="86"/>
      <c r="C436" s="70" t="s">
        <v>115</v>
      </c>
      <c r="D436" s="285"/>
      <c r="E436" s="283"/>
      <c r="F436" s="283"/>
      <c r="G436" s="74" t="e">
        <f t="shared" si="151"/>
        <v>#DIV/0!</v>
      </c>
      <c r="H436" s="75" t="e">
        <f t="shared" si="152"/>
        <v>#DIV/0!</v>
      </c>
      <c r="I436" s="76" t="e">
        <f t="shared" si="153"/>
        <v>#DIV/0!</v>
      </c>
      <c r="J436" s="90">
        <v>26.1</v>
      </c>
      <c r="K436" s="199">
        <v>4643</v>
      </c>
      <c r="L436" s="283"/>
      <c r="M436" s="91">
        <v>119.9</v>
      </c>
      <c r="N436" s="79">
        <f t="shared" ref="N436:N446" si="242">J436/M436</f>
        <v>0.2176814011676397</v>
      </c>
      <c r="O436" s="80">
        <f t="shared" si="155"/>
        <v>4.5938697318007664</v>
      </c>
      <c r="P436" s="79" t="e">
        <f t="shared" si="156"/>
        <v>#DIV/0!</v>
      </c>
      <c r="Q436" s="81" t="e">
        <f t="shared" si="157"/>
        <v>#DIV/0!</v>
      </c>
      <c r="R436" s="92">
        <f t="shared" si="241"/>
        <v>-119.9</v>
      </c>
      <c r="S436" s="83" t="e">
        <f t="shared" si="158"/>
        <v>#DIV/0!</v>
      </c>
      <c r="T436" s="84"/>
      <c r="U436" s="84"/>
      <c r="V436" s="84"/>
      <c r="W436" s="84"/>
      <c r="X436" s="85"/>
      <c r="Y436" s="68"/>
      <c r="Z436" s="68"/>
    </row>
    <row r="437" spans="1:26" ht="12.75" hidden="1" outlineLevel="1" x14ac:dyDescent="0.2">
      <c r="A437" s="68"/>
      <c r="B437" s="86"/>
      <c r="C437" s="70" t="s">
        <v>116</v>
      </c>
      <c r="D437" s="286"/>
      <c r="E437" s="283"/>
      <c r="F437" s="283"/>
      <c r="G437" s="74" t="e">
        <f t="shared" si="151"/>
        <v>#DIV/0!</v>
      </c>
      <c r="H437" s="75" t="e">
        <f t="shared" si="152"/>
        <v>#DIV/0!</v>
      </c>
      <c r="I437" s="76" t="e">
        <f t="shared" si="153"/>
        <v>#DIV/0!</v>
      </c>
      <c r="J437" s="200">
        <v>36.58</v>
      </c>
      <c r="K437" s="199">
        <v>2542</v>
      </c>
      <c r="L437" s="283"/>
      <c r="M437" s="200">
        <v>329.9</v>
      </c>
      <c r="N437" s="79">
        <f t="shared" si="242"/>
        <v>0.11088208548044862</v>
      </c>
      <c r="O437" s="80">
        <f t="shared" si="155"/>
        <v>9.0185893931109895</v>
      </c>
      <c r="P437" s="79" t="e">
        <f t="shared" si="156"/>
        <v>#DIV/0!</v>
      </c>
      <c r="Q437" s="81" t="e">
        <f t="shared" si="157"/>
        <v>#DIV/0!</v>
      </c>
      <c r="R437" s="92">
        <f t="shared" si="241"/>
        <v>-329.9</v>
      </c>
      <c r="S437" s="83" t="e">
        <f t="shared" si="158"/>
        <v>#DIV/0!</v>
      </c>
      <c r="T437" s="84"/>
      <c r="U437" s="84"/>
      <c r="V437" s="84"/>
      <c r="W437" s="84"/>
      <c r="X437" s="85"/>
      <c r="Y437" s="68"/>
      <c r="Z437" s="68"/>
    </row>
    <row r="438" spans="1:26" ht="12.75" hidden="1" outlineLevel="1" x14ac:dyDescent="0.2">
      <c r="A438" s="68"/>
      <c r="B438" s="86"/>
      <c r="C438" s="70" t="s">
        <v>117</v>
      </c>
      <c r="D438" s="287"/>
      <c r="E438" s="283"/>
      <c r="F438" s="283"/>
      <c r="G438" s="74" t="e">
        <f t="shared" si="151"/>
        <v>#DIV/0!</v>
      </c>
      <c r="H438" s="75" t="e">
        <f t="shared" si="152"/>
        <v>#DIV/0!</v>
      </c>
      <c r="I438" s="76" t="e">
        <f t="shared" si="153"/>
        <v>#DIV/0!</v>
      </c>
      <c r="J438" s="201">
        <v>15.82</v>
      </c>
      <c r="K438" s="199">
        <v>602</v>
      </c>
      <c r="L438" s="283"/>
      <c r="M438" s="202">
        <v>59.95</v>
      </c>
      <c r="N438" s="79">
        <f t="shared" si="242"/>
        <v>0.26388657214345285</v>
      </c>
      <c r="O438" s="80">
        <f t="shared" si="155"/>
        <v>3.7895069532237673</v>
      </c>
      <c r="P438" s="79" t="e">
        <f t="shared" si="156"/>
        <v>#DIV/0!</v>
      </c>
      <c r="Q438" s="81" t="e">
        <f t="shared" si="157"/>
        <v>#DIV/0!</v>
      </c>
      <c r="R438" s="203">
        <f t="shared" si="241"/>
        <v>-59.95</v>
      </c>
      <c r="S438" s="83" t="e">
        <f t="shared" si="158"/>
        <v>#DIV/0!</v>
      </c>
      <c r="T438" s="84"/>
      <c r="U438" s="84"/>
      <c r="V438" s="84"/>
      <c r="W438" s="84"/>
      <c r="X438" s="85"/>
      <c r="Y438" s="68"/>
      <c r="Z438" s="68"/>
    </row>
    <row r="439" spans="1:26" ht="12.75" hidden="1" outlineLevel="1" x14ac:dyDescent="0.2">
      <c r="A439" s="68"/>
      <c r="B439" s="86"/>
      <c r="C439" s="70" t="s">
        <v>118</v>
      </c>
      <c r="D439" s="285"/>
      <c r="E439" s="283"/>
      <c r="F439" s="283"/>
      <c r="G439" s="74" t="e">
        <f t="shared" si="151"/>
        <v>#DIV/0!</v>
      </c>
      <c r="H439" s="75" t="e">
        <f t="shared" si="152"/>
        <v>#DIV/0!</v>
      </c>
      <c r="I439" s="76" t="e">
        <f t="shared" si="153"/>
        <v>#DIV/0!</v>
      </c>
      <c r="J439" s="90">
        <v>513.82000000000005</v>
      </c>
      <c r="K439" s="199">
        <v>20444</v>
      </c>
      <c r="L439" s="283"/>
      <c r="M439" s="91">
        <v>2587.48</v>
      </c>
      <c r="N439" s="79">
        <f t="shared" si="242"/>
        <v>0.19857931269033965</v>
      </c>
      <c r="O439" s="80">
        <f t="shared" si="155"/>
        <v>5.0357712817718259</v>
      </c>
      <c r="P439" s="79" t="e">
        <f t="shared" si="156"/>
        <v>#DIV/0!</v>
      </c>
      <c r="Q439" s="81" t="e">
        <f t="shared" si="157"/>
        <v>#DIV/0!</v>
      </c>
      <c r="R439" s="92">
        <f t="shared" si="241"/>
        <v>-2587.48</v>
      </c>
      <c r="S439" s="83" t="e">
        <f t="shared" si="158"/>
        <v>#DIV/0!</v>
      </c>
      <c r="T439" s="84"/>
      <c r="U439" s="84"/>
      <c r="V439" s="84"/>
      <c r="W439" s="84"/>
      <c r="X439" s="85"/>
      <c r="Y439" s="68"/>
      <c r="Z439" s="68"/>
    </row>
    <row r="440" spans="1:26" ht="12.75" hidden="1" outlineLevel="1" x14ac:dyDescent="0.2">
      <c r="A440" s="68"/>
      <c r="B440" s="69" t="s">
        <v>37</v>
      </c>
      <c r="C440" s="70" t="s">
        <v>119</v>
      </c>
      <c r="D440" s="288"/>
      <c r="E440" s="283"/>
      <c r="F440" s="283"/>
      <c r="G440" s="74" t="e">
        <f t="shared" si="151"/>
        <v>#DIV/0!</v>
      </c>
      <c r="H440" s="75" t="e">
        <f t="shared" si="152"/>
        <v>#DIV/0!</v>
      </c>
      <c r="I440" s="76" t="e">
        <f t="shared" si="153"/>
        <v>#DIV/0!</v>
      </c>
      <c r="J440" s="93">
        <v>114.39</v>
      </c>
      <c r="K440" s="199">
        <v>4358</v>
      </c>
      <c r="L440" s="283"/>
      <c r="M440" s="94">
        <v>180</v>
      </c>
      <c r="N440" s="79">
        <f t="shared" si="242"/>
        <v>0.63549999999999995</v>
      </c>
      <c r="O440" s="80">
        <f t="shared" si="155"/>
        <v>1.5735641227380015</v>
      </c>
      <c r="P440" s="79" t="e">
        <f t="shared" si="156"/>
        <v>#DIV/0!</v>
      </c>
      <c r="Q440" s="81" t="e">
        <f t="shared" si="157"/>
        <v>#DIV/0!</v>
      </c>
      <c r="R440" s="95">
        <f t="shared" si="241"/>
        <v>-180</v>
      </c>
      <c r="S440" s="83" t="e">
        <f t="shared" si="158"/>
        <v>#DIV/0!</v>
      </c>
      <c r="T440" s="84"/>
      <c r="U440" s="84"/>
      <c r="V440" s="84"/>
      <c r="W440" s="84"/>
      <c r="X440" s="85"/>
      <c r="Y440" s="68"/>
      <c r="Z440" s="68"/>
    </row>
    <row r="441" spans="1:26" ht="12.75" hidden="1" outlineLevel="1" x14ac:dyDescent="0.2">
      <c r="A441" s="68"/>
      <c r="B441" s="86"/>
      <c r="C441" s="70" t="s">
        <v>120</v>
      </c>
      <c r="D441" s="289"/>
      <c r="E441" s="283"/>
      <c r="F441" s="283"/>
      <c r="G441" s="74" t="e">
        <f t="shared" si="151"/>
        <v>#DIV/0!</v>
      </c>
      <c r="H441" s="75" t="e">
        <f t="shared" si="152"/>
        <v>#DIV/0!</v>
      </c>
      <c r="I441" s="76" t="e">
        <f t="shared" si="153"/>
        <v>#DIV/0!</v>
      </c>
      <c r="J441" s="96">
        <v>131.63</v>
      </c>
      <c r="K441" s="199">
        <v>9627</v>
      </c>
      <c r="L441" s="283"/>
      <c r="M441" s="97">
        <v>1527</v>
      </c>
      <c r="N441" s="79">
        <f t="shared" si="242"/>
        <v>8.6201702685003267E-2</v>
      </c>
      <c r="O441" s="80">
        <f t="shared" si="155"/>
        <v>11.600698928815619</v>
      </c>
      <c r="P441" s="79" t="e">
        <f t="shared" si="156"/>
        <v>#DIV/0!</v>
      </c>
      <c r="Q441" s="81" t="e">
        <f t="shared" si="157"/>
        <v>#DIV/0!</v>
      </c>
      <c r="R441" s="98">
        <f t="shared" si="241"/>
        <v>-1527</v>
      </c>
      <c r="S441" s="83" t="e">
        <f t="shared" si="158"/>
        <v>#DIV/0!</v>
      </c>
      <c r="T441" s="84"/>
      <c r="U441" s="84"/>
      <c r="V441" s="84"/>
      <c r="W441" s="84"/>
      <c r="X441" s="85"/>
      <c r="Y441" s="68"/>
      <c r="Z441" s="68"/>
    </row>
    <row r="442" spans="1:26" ht="12.75" hidden="1" outlineLevel="1" x14ac:dyDescent="0.2">
      <c r="A442" s="68"/>
      <c r="B442" s="86"/>
      <c r="C442" s="70" t="s">
        <v>121</v>
      </c>
      <c r="D442" s="290"/>
      <c r="E442" s="283"/>
      <c r="F442" s="283"/>
      <c r="G442" s="74" t="e">
        <f t="shared" si="151"/>
        <v>#DIV/0!</v>
      </c>
      <c r="H442" s="75" t="e">
        <f t="shared" si="152"/>
        <v>#DIV/0!</v>
      </c>
      <c r="I442" s="76" t="e">
        <f t="shared" si="153"/>
        <v>#DIV/0!</v>
      </c>
      <c r="J442" s="99">
        <v>26.29</v>
      </c>
      <c r="K442" s="199">
        <v>3765</v>
      </c>
      <c r="L442" s="283"/>
      <c r="M442" s="100">
        <v>110.95</v>
      </c>
      <c r="N442" s="79">
        <f t="shared" si="242"/>
        <v>0.2369535826949076</v>
      </c>
      <c r="O442" s="80">
        <f t="shared" si="155"/>
        <v>4.2202358311144925</v>
      </c>
      <c r="P442" s="79" t="e">
        <f t="shared" si="156"/>
        <v>#DIV/0!</v>
      </c>
      <c r="Q442" s="81" t="e">
        <f t="shared" si="157"/>
        <v>#DIV/0!</v>
      </c>
      <c r="R442" s="101">
        <f t="shared" si="241"/>
        <v>-110.95</v>
      </c>
      <c r="S442" s="83" t="e">
        <f t="shared" si="158"/>
        <v>#DIV/0!</v>
      </c>
      <c r="T442" s="84"/>
      <c r="U442" s="84"/>
      <c r="V442" s="84"/>
      <c r="W442" s="84"/>
      <c r="X442" s="85"/>
      <c r="Y442" s="68"/>
      <c r="Z442" s="68"/>
    </row>
    <row r="443" spans="1:26" ht="12.75" hidden="1" outlineLevel="1" x14ac:dyDescent="0.2">
      <c r="A443" s="118" t="str">
        <f t="shared" ref="A443:A444" si="243">IFERROR(IF(B443&gt;0,MONTH(B443)&amp;"-"&amp;YEAR(B443),B443),)</f>
        <v>11-2025</v>
      </c>
      <c r="B443" s="69">
        <v>45962</v>
      </c>
      <c r="C443" s="70" t="s">
        <v>123</v>
      </c>
      <c r="D443" s="293"/>
      <c r="E443" s="283"/>
      <c r="F443" s="283"/>
      <c r="G443" s="74" t="e">
        <f t="shared" si="151"/>
        <v>#DIV/0!</v>
      </c>
      <c r="H443" s="75" t="e">
        <f t="shared" si="152"/>
        <v>#DIV/0!</v>
      </c>
      <c r="I443" s="76" t="e">
        <f t="shared" si="153"/>
        <v>#DIV/0!</v>
      </c>
      <c r="J443" s="87">
        <v>0</v>
      </c>
      <c r="K443" s="199">
        <v>0</v>
      </c>
      <c r="L443" s="283"/>
      <c r="M443" s="88">
        <v>0</v>
      </c>
      <c r="N443" s="79" t="e">
        <f t="shared" si="242"/>
        <v>#DIV/0!</v>
      </c>
      <c r="O443" s="80" t="e">
        <f t="shared" si="155"/>
        <v>#DIV/0!</v>
      </c>
      <c r="P443" s="79" t="e">
        <f t="shared" si="156"/>
        <v>#DIV/0!</v>
      </c>
      <c r="Q443" s="81" t="e">
        <f t="shared" si="157"/>
        <v>#DIV/0!</v>
      </c>
      <c r="R443" s="82">
        <f t="shared" si="241"/>
        <v>0</v>
      </c>
      <c r="S443" s="83" t="e">
        <f t="shared" si="158"/>
        <v>#DIV/0!</v>
      </c>
      <c r="T443" s="84"/>
      <c r="U443" s="84"/>
      <c r="V443" s="84"/>
      <c r="W443" s="84"/>
      <c r="X443" s="85"/>
      <c r="Y443" s="68"/>
      <c r="Z443" s="68"/>
    </row>
    <row r="444" spans="1:26" ht="12.75" collapsed="1" x14ac:dyDescent="0.2">
      <c r="A444" s="68">
        <f t="shared" si="243"/>
        <v>0</v>
      </c>
      <c r="B444" s="52" t="s">
        <v>102</v>
      </c>
      <c r="C444" s="120"/>
      <c r="D444" s="121">
        <f t="shared" ref="D444:F444" si="244">SUM(D433:D443)</f>
        <v>0</v>
      </c>
      <c r="E444" s="123">
        <f t="shared" si="244"/>
        <v>0</v>
      </c>
      <c r="F444" s="123">
        <f t="shared" si="244"/>
        <v>0</v>
      </c>
      <c r="G444" s="124" t="e">
        <f t="shared" si="151"/>
        <v>#DIV/0!</v>
      </c>
      <c r="H444" s="125" t="e">
        <f t="shared" si="152"/>
        <v>#DIV/0!</v>
      </c>
      <c r="I444" s="126" t="e">
        <f t="shared" si="153"/>
        <v>#DIV/0!</v>
      </c>
      <c r="J444" s="121">
        <f t="shared" ref="J444:M444" si="245">SUM(J433:J443)</f>
        <v>1152.57</v>
      </c>
      <c r="K444" s="294">
        <f t="shared" si="245"/>
        <v>78641</v>
      </c>
      <c r="L444" s="123">
        <f t="shared" si="245"/>
        <v>0</v>
      </c>
      <c r="M444" s="127">
        <f t="shared" si="245"/>
        <v>5217.9299999999994</v>
      </c>
      <c r="N444" s="128">
        <f t="shared" si="242"/>
        <v>0.22088644347471126</v>
      </c>
      <c r="O444" s="129">
        <f t="shared" si="155"/>
        <v>4.5272130976860403</v>
      </c>
      <c r="P444" s="128" t="e">
        <f t="shared" si="156"/>
        <v>#DIV/0!</v>
      </c>
      <c r="Q444" s="130" t="e">
        <f t="shared" si="157"/>
        <v>#DIV/0!</v>
      </c>
      <c r="R444" s="131">
        <f>SUM(R433:R443)</f>
        <v>-5217.9299999999994</v>
      </c>
      <c r="S444" s="132" t="e">
        <f t="shared" si="158"/>
        <v>#DIV/0!</v>
      </c>
      <c r="T444" s="134">
        <f t="shared" ref="T444:U444" si="246">IFERROR((D444-D48)/D444,)</f>
        <v>0</v>
      </c>
      <c r="U444" s="134">
        <f t="shared" si="246"/>
        <v>0</v>
      </c>
      <c r="V444" s="134" t="s">
        <v>139</v>
      </c>
      <c r="W444" s="134" t="s">
        <v>139</v>
      </c>
      <c r="X444" s="68"/>
      <c r="Y444" s="68"/>
      <c r="Z444" s="68"/>
    </row>
    <row r="445" spans="1:26" ht="12.75" hidden="1" outlineLevel="1" x14ac:dyDescent="0.2">
      <c r="A445" s="68"/>
      <c r="B445" s="69">
        <v>45963</v>
      </c>
      <c r="C445" s="70" t="s">
        <v>112</v>
      </c>
      <c r="D445" s="282"/>
      <c r="E445" s="283"/>
      <c r="F445" s="283"/>
      <c r="G445" s="74" t="e">
        <f t="shared" si="151"/>
        <v>#DIV/0!</v>
      </c>
      <c r="H445" s="75" t="e">
        <f t="shared" si="152"/>
        <v>#DIV/0!</v>
      </c>
      <c r="I445" s="76" t="e">
        <f t="shared" si="153"/>
        <v>#DIV/0!</v>
      </c>
      <c r="J445" s="77">
        <v>514.72</v>
      </c>
      <c r="K445" s="199">
        <v>45799</v>
      </c>
      <c r="L445" s="283"/>
      <c r="M445" s="78">
        <v>799.1</v>
      </c>
      <c r="N445" s="79">
        <f t="shared" si="242"/>
        <v>0.64412464022024785</v>
      </c>
      <c r="O445" s="80">
        <f t="shared" si="155"/>
        <v>1.5524945601492073</v>
      </c>
      <c r="P445" s="79" t="e">
        <f t="shared" si="156"/>
        <v>#DIV/0!</v>
      </c>
      <c r="Q445" s="81" t="e">
        <f t="shared" si="157"/>
        <v>#DIV/0!</v>
      </c>
      <c r="R445" s="82">
        <f t="shared" ref="R445:R456" si="247">D445-M445</f>
        <v>-799.1</v>
      </c>
      <c r="S445" s="83" t="e">
        <f t="shared" si="158"/>
        <v>#DIV/0!</v>
      </c>
      <c r="T445" s="84"/>
      <c r="U445" s="84"/>
      <c r="V445" s="84"/>
      <c r="W445" s="84"/>
      <c r="X445" s="85"/>
      <c r="Y445" s="68"/>
      <c r="Z445" s="68"/>
    </row>
    <row r="446" spans="1:26" ht="12.75" hidden="1" outlineLevel="1" x14ac:dyDescent="0.2">
      <c r="A446" s="68"/>
      <c r="B446" s="86"/>
      <c r="C446" s="70" t="s">
        <v>113</v>
      </c>
      <c r="D446" s="284"/>
      <c r="E446" s="283"/>
      <c r="F446" s="283"/>
      <c r="G446" s="74" t="e">
        <f t="shared" si="151"/>
        <v>#DIV/0!</v>
      </c>
      <c r="H446" s="75" t="e">
        <f t="shared" si="152"/>
        <v>#DIV/0!</v>
      </c>
      <c r="I446" s="76" t="e">
        <f t="shared" si="153"/>
        <v>#DIV/0!</v>
      </c>
      <c r="J446" s="87">
        <v>100.4</v>
      </c>
      <c r="K446" s="199">
        <v>6074</v>
      </c>
      <c r="L446" s="283"/>
      <c r="M446" s="88">
        <v>0</v>
      </c>
      <c r="N446" s="79" t="e">
        <f t="shared" si="242"/>
        <v>#DIV/0!</v>
      </c>
      <c r="O446" s="80">
        <f t="shared" si="155"/>
        <v>0</v>
      </c>
      <c r="P446" s="79" t="e">
        <f t="shared" si="156"/>
        <v>#DIV/0!</v>
      </c>
      <c r="Q446" s="81" t="e">
        <f t="shared" si="157"/>
        <v>#DIV/0!</v>
      </c>
      <c r="R446" s="89">
        <f t="shared" si="247"/>
        <v>0</v>
      </c>
      <c r="S446" s="83" t="e">
        <f t="shared" si="158"/>
        <v>#DIV/0!</v>
      </c>
      <c r="T446" s="84"/>
      <c r="U446" s="84"/>
      <c r="V446" s="84"/>
      <c r="W446" s="84"/>
      <c r="X446" s="85"/>
      <c r="Y446" s="68"/>
      <c r="Z446" s="68"/>
    </row>
    <row r="447" spans="1:26" ht="12.75" hidden="1" outlineLevel="1" x14ac:dyDescent="0.2">
      <c r="A447" s="68"/>
      <c r="B447" s="86"/>
      <c r="C447" s="70" t="s">
        <v>114</v>
      </c>
      <c r="D447" s="285"/>
      <c r="E447" s="283"/>
      <c r="F447" s="283"/>
      <c r="G447" s="74" t="e">
        <f t="shared" si="151"/>
        <v>#DIV/0!</v>
      </c>
      <c r="H447" s="75" t="e">
        <f t="shared" si="152"/>
        <v>#DIV/0!</v>
      </c>
      <c r="I447" s="76" t="e">
        <f t="shared" si="153"/>
        <v>#DIV/0!</v>
      </c>
      <c r="J447" s="90">
        <v>147.49</v>
      </c>
      <c r="K447" s="199">
        <v>17882</v>
      </c>
      <c r="L447" s="283"/>
      <c r="M447" s="91">
        <v>545.92999999999995</v>
      </c>
      <c r="N447" s="79">
        <f>(J447/M447)</f>
        <v>0.2701628413899218</v>
      </c>
      <c r="O447" s="80">
        <f t="shared" si="155"/>
        <v>3.7014712861888937</v>
      </c>
      <c r="P447" s="79" t="e">
        <f t="shared" si="156"/>
        <v>#DIV/0!</v>
      </c>
      <c r="Q447" s="81" t="e">
        <f t="shared" si="157"/>
        <v>#DIV/0!</v>
      </c>
      <c r="R447" s="92">
        <f t="shared" si="247"/>
        <v>-545.92999999999995</v>
      </c>
      <c r="S447" s="83" t="e">
        <f t="shared" si="158"/>
        <v>#DIV/0!</v>
      </c>
      <c r="T447" s="84"/>
      <c r="U447" s="84"/>
      <c r="V447" s="84"/>
      <c r="W447" s="84"/>
      <c r="X447" s="85"/>
      <c r="Y447" s="68"/>
      <c r="Z447" s="68"/>
    </row>
    <row r="448" spans="1:26" ht="12.75" hidden="1" outlineLevel="1" x14ac:dyDescent="0.2">
      <c r="A448" s="68"/>
      <c r="B448" s="86"/>
      <c r="C448" s="70" t="s">
        <v>115</v>
      </c>
      <c r="D448" s="285"/>
      <c r="E448" s="283"/>
      <c r="F448" s="283"/>
      <c r="G448" s="74" t="e">
        <f t="shared" si="151"/>
        <v>#DIV/0!</v>
      </c>
      <c r="H448" s="75" t="e">
        <f t="shared" si="152"/>
        <v>#DIV/0!</v>
      </c>
      <c r="I448" s="76" t="e">
        <f t="shared" si="153"/>
        <v>#DIV/0!</v>
      </c>
      <c r="J448" s="90">
        <v>65.37</v>
      </c>
      <c r="K448" s="199">
        <v>11873</v>
      </c>
      <c r="L448" s="283"/>
      <c r="M448" s="91">
        <v>59.95</v>
      </c>
      <c r="N448" s="79">
        <f t="shared" ref="N448:N459" si="248">J448/M448</f>
        <v>1.0904086738949124</v>
      </c>
      <c r="O448" s="80">
        <f t="shared" si="155"/>
        <v>0.9170873489368212</v>
      </c>
      <c r="P448" s="79" t="e">
        <f t="shared" si="156"/>
        <v>#DIV/0!</v>
      </c>
      <c r="Q448" s="81" t="e">
        <f t="shared" si="157"/>
        <v>#DIV/0!</v>
      </c>
      <c r="R448" s="92">
        <f t="shared" si="247"/>
        <v>-59.95</v>
      </c>
      <c r="S448" s="83" t="e">
        <f t="shared" si="158"/>
        <v>#DIV/0!</v>
      </c>
      <c r="T448" s="84"/>
      <c r="U448" s="84"/>
      <c r="V448" s="84"/>
      <c r="W448" s="84"/>
      <c r="X448" s="85"/>
      <c r="Y448" s="68"/>
      <c r="Z448" s="68"/>
    </row>
    <row r="449" spans="1:26" ht="12.75" hidden="1" outlineLevel="1" x14ac:dyDescent="0.2">
      <c r="A449" s="68"/>
      <c r="B449" s="86"/>
      <c r="C449" s="70" t="s">
        <v>116</v>
      </c>
      <c r="D449" s="286"/>
      <c r="E449" s="283"/>
      <c r="F449" s="283"/>
      <c r="G449" s="74" t="e">
        <f t="shared" si="151"/>
        <v>#DIV/0!</v>
      </c>
      <c r="H449" s="75" t="e">
        <f t="shared" si="152"/>
        <v>#DIV/0!</v>
      </c>
      <c r="I449" s="76" t="e">
        <f t="shared" si="153"/>
        <v>#DIV/0!</v>
      </c>
      <c r="J449" s="200">
        <v>129.16</v>
      </c>
      <c r="K449" s="199">
        <v>7102</v>
      </c>
      <c r="L449" s="283"/>
      <c r="M449" s="200">
        <v>164.95</v>
      </c>
      <c r="N449" s="79">
        <f t="shared" si="248"/>
        <v>0.78302515913913306</v>
      </c>
      <c r="O449" s="80">
        <f t="shared" si="155"/>
        <v>1.277098172808919</v>
      </c>
      <c r="P449" s="79" t="e">
        <f t="shared" si="156"/>
        <v>#DIV/0!</v>
      </c>
      <c r="Q449" s="81" t="e">
        <f t="shared" si="157"/>
        <v>#DIV/0!</v>
      </c>
      <c r="R449" s="92">
        <f t="shared" si="247"/>
        <v>-164.95</v>
      </c>
      <c r="S449" s="83" t="e">
        <f t="shared" si="158"/>
        <v>#DIV/0!</v>
      </c>
      <c r="T449" s="84"/>
      <c r="U449" s="84"/>
      <c r="V449" s="84"/>
      <c r="W449" s="84"/>
      <c r="X449" s="85"/>
      <c r="Y449" s="68"/>
      <c r="Z449" s="68"/>
    </row>
    <row r="450" spans="1:26" ht="12.75" hidden="1" outlineLevel="1" x14ac:dyDescent="0.2">
      <c r="A450" s="68"/>
      <c r="B450" s="86"/>
      <c r="C450" s="70" t="s">
        <v>117</v>
      </c>
      <c r="D450" s="287"/>
      <c r="E450" s="283"/>
      <c r="F450" s="283"/>
      <c r="G450" s="74" t="e">
        <f t="shared" si="151"/>
        <v>#DIV/0!</v>
      </c>
      <c r="H450" s="75" t="e">
        <f t="shared" si="152"/>
        <v>#DIV/0!</v>
      </c>
      <c r="I450" s="76" t="e">
        <f t="shared" si="153"/>
        <v>#DIV/0!</v>
      </c>
      <c r="J450" s="201">
        <v>10.050000000000001</v>
      </c>
      <c r="K450" s="199">
        <v>1339</v>
      </c>
      <c r="L450" s="283"/>
      <c r="M450" s="202">
        <v>0</v>
      </c>
      <c r="N450" s="79" t="e">
        <f t="shared" si="248"/>
        <v>#DIV/0!</v>
      </c>
      <c r="O450" s="80">
        <f t="shared" si="155"/>
        <v>0</v>
      </c>
      <c r="P450" s="79" t="e">
        <f t="shared" si="156"/>
        <v>#DIV/0!</v>
      </c>
      <c r="Q450" s="81" t="e">
        <f t="shared" si="157"/>
        <v>#DIV/0!</v>
      </c>
      <c r="R450" s="203">
        <f t="shared" si="247"/>
        <v>0</v>
      </c>
      <c r="S450" s="83" t="e">
        <f t="shared" si="158"/>
        <v>#DIV/0!</v>
      </c>
      <c r="T450" s="84"/>
      <c r="U450" s="84"/>
      <c r="V450" s="84"/>
      <c r="W450" s="84"/>
      <c r="X450" s="85"/>
      <c r="Y450" s="68"/>
      <c r="Z450" s="68"/>
    </row>
    <row r="451" spans="1:26" ht="12.75" hidden="1" outlineLevel="1" x14ac:dyDescent="0.2">
      <c r="A451" s="68"/>
      <c r="B451" s="86"/>
      <c r="C451" s="70" t="s">
        <v>118</v>
      </c>
      <c r="D451" s="285"/>
      <c r="E451" s="283"/>
      <c r="F451" s="283"/>
      <c r="G451" s="74" t="e">
        <f t="shared" si="151"/>
        <v>#DIV/0!</v>
      </c>
      <c r="H451" s="75" t="e">
        <f t="shared" si="152"/>
        <v>#DIV/0!</v>
      </c>
      <c r="I451" s="76" t="e">
        <f t="shared" si="153"/>
        <v>#DIV/0!</v>
      </c>
      <c r="J451" s="90">
        <v>805.52</v>
      </c>
      <c r="K451" s="199">
        <v>29502</v>
      </c>
      <c r="L451" s="283"/>
      <c r="M451" s="91">
        <v>829.99</v>
      </c>
      <c r="N451" s="79">
        <f t="shared" si="248"/>
        <v>0.9705177170809286</v>
      </c>
      <c r="O451" s="80">
        <f t="shared" si="155"/>
        <v>1.0303778925414639</v>
      </c>
      <c r="P451" s="79" t="e">
        <f t="shared" si="156"/>
        <v>#DIV/0!</v>
      </c>
      <c r="Q451" s="81" t="e">
        <f t="shared" si="157"/>
        <v>#DIV/0!</v>
      </c>
      <c r="R451" s="92">
        <f t="shared" si="247"/>
        <v>-829.99</v>
      </c>
      <c r="S451" s="83" t="e">
        <f t="shared" si="158"/>
        <v>#DIV/0!</v>
      </c>
      <c r="T451" s="84"/>
      <c r="U451" s="84"/>
      <c r="V451" s="84"/>
      <c r="W451" s="84"/>
      <c r="X451" s="85"/>
      <c r="Y451" s="68"/>
      <c r="Z451" s="68"/>
    </row>
    <row r="452" spans="1:26" ht="12.75" hidden="1" outlineLevel="1" x14ac:dyDescent="0.2">
      <c r="A452" s="68"/>
      <c r="B452" s="69" t="s">
        <v>37</v>
      </c>
      <c r="C452" s="70" t="s">
        <v>119</v>
      </c>
      <c r="D452" s="288"/>
      <c r="E452" s="283"/>
      <c r="F452" s="283"/>
      <c r="G452" s="74" t="e">
        <f t="shared" si="151"/>
        <v>#DIV/0!</v>
      </c>
      <c r="H452" s="75" t="e">
        <f t="shared" si="152"/>
        <v>#DIV/0!</v>
      </c>
      <c r="I452" s="76" t="e">
        <f t="shared" si="153"/>
        <v>#DIV/0!</v>
      </c>
      <c r="J452" s="93">
        <v>258.83999999999997</v>
      </c>
      <c r="K452" s="199">
        <v>8380</v>
      </c>
      <c r="L452" s="283"/>
      <c r="M452" s="94">
        <v>463.77</v>
      </c>
      <c r="N452" s="79">
        <f t="shared" si="248"/>
        <v>0.55812148263147676</v>
      </c>
      <c r="O452" s="80">
        <f t="shared" si="155"/>
        <v>1.7917246175243395</v>
      </c>
      <c r="P452" s="79" t="e">
        <f t="shared" si="156"/>
        <v>#DIV/0!</v>
      </c>
      <c r="Q452" s="81" t="e">
        <f t="shared" si="157"/>
        <v>#DIV/0!</v>
      </c>
      <c r="R452" s="95">
        <f t="shared" si="247"/>
        <v>-463.77</v>
      </c>
      <c r="S452" s="83" t="e">
        <f t="shared" si="158"/>
        <v>#DIV/0!</v>
      </c>
      <c r="T452" s="84"/>
      <c r="U452" s="84"/>
      <c r="V452" s="84"/>
      <c r="W452" s="84"/>
      <c r="X452" s="85"/>
      <c r="Y452" s="68"/>
      <c r="Z452" s="68"/>
    </row>
    <row r="453" spans="1:26" ht="12.75" hidden="1" outlineLevel="1" x14ac:dyDescent="0.2">
      <c r="A453" s="68"/>
      <c r="B453" s="86"/>
      <c r="C453" s="70" t="s">
        <v>120</v>
      </c>
      <c r="D453" s="289"/>
      <c r="E453" s="283"/>
      <c r="F453" s="283"/>
      <c r="G453" s="74" t="e">
        <f t="shared" si="151"/>
        <v>#DIV/0!</v>
      </c>
      <c r="H453" s="75" t="e">
        <f t="shared" si="152"/>
        <v>#DIV/0!</v>
      </c>
      <c r="I453" s="76" t="e">
        <f t="shared" si="153"/>
        <v>#DIV/0!</v>
      </c>
      <c r="J453" s="96">
        <v>321.58999999999997</v>
      </c>
      <c r="K453" s="199">
        <v>167</v>
      </c>
      <c r="L453" s="283"/>
      <c r="M453" s="97">
        <v>0</v>
      </c>
      <c r="N453" s="79" t="e">
        <f t="shared" si="248"/>
        <v>#DIV/0!</v>
      </c>
      <c r="O453" s="80">
        <f t="shared" si="155"/>
        <v>0</v>
      </c>
      <c r="P453" s="79" t="e">
        <f t="shared" si="156"/>
        <v>#DIV/0!</v>
      </c>
      <c r="Q453" s="81" t="e">
        <f t="shared" si="157"/>
        <v>#DIV/0!</v>
      </c>
      <c r="R453" s="98">
        <f t="shared" si="247"/>
        <v>0</v>
      </c>
      <c r="S453" s="83" t="e">
        <f t="shared" si="158"/>
        <v>#DIV/0!</v>
      </c>
      <c r="T453" s="84"/>
      <c r="U453" s="84"/>
      <c r="V453" s="84"/>
      <c r="W453" s="84"/>
      <c r="X453" s="85"/>
      <c r="Y453" s="68"/>
      <c r="Z453" s="68"/>
    </row>
    <row r="454" spans="1:26" ht="12.75" hidden="1" outlineLevel="1" x14ac:dyDescent="0.2">
      <c r="A454" s="68"/>
      <c r="B454" s="86"/>
      <c r="C454" s="70" t="s">
        <v>121</v>
      </c>
      <c r="D454" s="290"/>
      <c r="E454" s="283"/>
      <c r="F454" s="283"/>
      <c r="G454" s="74" t="e">
        <f t="shared" si="151"/>
        <v>#DIV/0!</v>
      </c>
      <c r="H454" s="75" t="e">
        <f t="shared" si="152"/>
        <v>#DIV/0!</v>
      </c>
      <c r="I454" s="76" t="e">
        <f t="shared" si="153"/>
        <v>#DIV/0!</v>
      </c>
      <c r="J454" s="99">
        <v>42.22</v>
      </c>
      <c r="K454" s="199">
        <v>5874</v>
      </c>
      <c r="L454" s="283"/>
      <c r="M454" s="100">
        <v>209.51</v>
      </c>
      <c r="N454" s="79">
        <f t="shared" si="248"/>
        <v>0.20151782731134552</v>
      </c>
      <c r="O454" s="80">
        <f t="shared" si="155"/>
        <v>4.9623401231643767</v>
      </c>
      <c r="P454" s="79" t="e">
        <f t="shared" si="156"/>
        <v>#DIV/0!</v>
      </c>
      <c r="Q454" s="81" t="e">
        <f t="shared" si="157"/>
        <v>#DIV/0!</v>
      </c>
      <c r="R454" s="101">
        <f t="shared" si="247"/>
        <v>-209.51</v>
      </c>
      <c r="S454" s="83" t="e">
        <f t="shared" si="158"/>
        <v>#DIV/0!</v>
      </c>
      <c r="T454" s="84"/>
      <c r="U454" s="84"/>
      <c r="V454" s="84"/>
      <c r="W454" s="84"/>
      <c r="X454" s="85"/>
      <c r="Y454" s="68"/>
      <c r="Z454" s="68"/>
    </row>
    <row r="455" spans="1:26" ht="12.75" hidden="1" outlineLevel="1" x14ac:dyDescent="0.2">
      <c r="A455" s="68"/>
      <c r="B455" s="86"/>
      <c r="C455" s="70" t="s">
        <v>122</v>
      </c>
      <c r="D455" s="290"/>
      <c r="E455" s="283"/>
      <c r="F455" s="283"/>
      <c r="G455" s="291"/>
      <c r="H455" s="72"/>
      <c r="I455" s="292"/>
      <c r="J455" s="105">
        <v>31.01</v>
      </c>
      <c r="K455" s="199">
        <v>2446</v>
      </c>
      <c r="L455" s="283"/>
      <c r="M455" s="106">
        <v>279.95</v>
      </c>
      <c r="N455" s="79">
        <f t="shared" si="248"/>
        <v>0.11076978031791393</v>
      </c>
      <c r="O455" s="80">
        <f t="shared" si="155"/>
        <v>9.0277329893582703</v>
      </c>
      <c r="P455" s="79" t="e">
        <f t="shared" si="156"/>
        <v>#DIV/0!</v>
      </c>
      <c r="Q455" s="81" t="e">
        <f t="shared" si="157"/>
        <v>#DIV/0!</v>
      </c>
      <c r="R455" s="107">
        <f t="shared" si="247"/>
        <v>-279.95</v>
      </c>
      <c r="S455" s="83" t="e">
        <f t="shared" si="158"/>
        <v>#DIV/0!</v>
      </c>
      <c r="T455" s="84"/>
      <c r="U455" s="84"/>
      <c r="V455" s="84"/>
      <c r="W455" s="84"/>
      <c r="X455" s="85"/>
      <c r="Y455" s="68"/>
      <c r="Z455" s="68"/>
    </row>
    <row r="456" spans="1:26" ht="12.75" hidden="1" outlineLevel="1" x14ac:dyDescent="0.2">
      <c r="A456" s="118" t="str">
        <f t="shared" ref="A456:A457" si="249">IFERROR(IF(B456&gt;0,MONTH(B456)&amp;"-"&amp;YEAR(B456),B456),)</f>
        <v>11-2025</v>
      </c>
      <c r="B456" s="69">
        <v>45969</v>
      </c>
      <c r="C456" s="70" t="s">
        <v>123</v>
      </c>
      <c r="D456" s="293"/>
      <c r="E456" s="283"/>
      <c r="F456" s="283"/>
      <c r="G456" s="74" t="e">
        <f t="shared" ref="G456:G467" si="250">E456/F456</f>
        <v>#DIV/0!</v>
      </c>
      <c r="H456" s="75" t="e">
        <f t="shared" ref="H456:H467" si="251">D456/E456</f>
        <v>#DIV/0!</v>
      </c>
      <c r="I456" s="76" t="e">
        <f t="shared" ref="I456:I467" si="252">H456/G456</f>
        <v>#DIV/0!</v>
      </c>
      <c r="J456" s="87">
        <v>0</v>
      </c>
      <c r="K456" s="199">
        <v>0</v>
      </c>
      <c r="L456" s="283"/>
      <c r="M456" s="88">
        <v>0</v>
      </c>
      <c r="N456" s="79" t="e">
        <f t="shared" si="248"/>
        <v>#DIV/0!</v>
      </c>
      <c r="O456" s="80" t="e">
        <f t="shared" si="155"/>
        <v>#DIV/0!</v>
      </c>
      <c r="P456" s="79" t="e">
        <f t="shared" si="156"/>
        <v>#DIV/0!</v>
      </c>
      <c r="Q456" s="81" t="e">
        <f t="shared" si="157"/>
        <v>#DIV/0!</v>
      </c>
      <c r="R456" s="82">
        <f t="shared" si="247"/>
        <v>0</v>
      </c>
      <c r="S456" s="83" t="e">
        <f t="shared" si="158"/>
        <v>#DIV/0!</v>
      </c>
      <c r="T456" s="84"/>
      <c r="U456" s="84"/>
      <c r="V456" s="84"/>
      <c r="W456" s="84"/>
      <c r="X456" s="85"/>
      <c r="Y456" s="68"/>
      <c r="Z456" s="68"/>
    </row>
    <row r="457" spans="1:26" ht="12.75" collapsed="1" x14ac:dyDescent="0.2">
      <c r="A457" s="68">
        <f t="shared" si="249"/>
        <v>0</v>
      </c>
      <c r="B457" s="52" t="s">
        <v>103</v>
      </c>
      <c r="C457" s="120"/>
      <c r="D457" s="121">
        <f t="shared" ref="D457:F457" si="253">SUM(D445:D456)</f>
        <v>0</v>
      </c>
      <c r="E457" s="123">
        <f t="shared" si="253"/>
        <v>0</v>
      </c>
      <c r="F457" s="123">
        <f t="shared" si="253"/>
        <v>0</v>
      </c>
      <c r="G457" s="124" t="e">
        <f t="shared" si="250"/>
        <v>#DIV/0!</v>
      </c>
      <c r="H457" s="125" t="e">
        <f t="shared" si="251"/>
        <v>#DIV/0!</v>
      </c>
      <c r="I457" s="126" t="e">
        <f t="shared" si="252"/>
        <v>#DIV/0!</v>
      </c>
      <c r="J457" s="121">
        <f t="shared" ref="J457:M457" si="254">SUM(J445:J456)</f>
        <v>2426.37</v>
      </c>
      <c r="K457" s="294">
        <f t="shared" si="254"/>
        <v>136438</v>
      </c>
      <c r="L457" s="123">
        <f t="shared" si="254"/>
        <v>0</v>
      </c>
      <c r="M457" s="127">
        <f t="shared" si="254"/>
        <v>3353.1499999999996</v>
      </c>
      <c r="N457" s="128">
        <f t="shared" si="248"/>
        <v>0.723609143641054</v>
      </c>
      <c r="O457" s="129">
        <f t="shared" si="155"/>
        <v>1.381961531011346</v>
      </c>
      <c r="P457" s="128" t="e">
        <f t="shared" si="156"/>
        <v>#DIV/0!</v>
      </c>
      <c r="Q457" s="130" t="e">
        <f t="shared" si="157"/>
        <v>#DIV/0!</v>
      </c>
      <c r="R457" s="131">
        <f>SUM(R445:R456)</f>
        <v>-3353.1499999999996</v>
      </c>
      <c r="S457" s="132" t="e">
        <f t="shared" si="158"/>
        <v>#DIV/0!</v>
      </c>
      <c r="T457" s="134">
        <f t="shared" ref="T457:U457" si="255">IFERROR((D457-D48)/D457,)</f>
        <v>0</v>
      </c>
      <c r="U457" s="134">
        <f t="shared" si="255"/>
        <v>0</v>
      </c>
      <c r="V457" s="134" t="s">
        <v>139</v>
      </c>
      <c r="W457" s="134" t="s">
        <v>139</v>
      </c>
      <c r="X457" s="68"/>
      <c r="Y457" s="68"/>
      <c r="Z457" s="68"/>
    </row>
    <row r="458" spans="1:26" ht="12.75" hidden="1" outlineLevel="1" x14ac:dyDescent="0.2">
      <c r="A458" s="68"/>
      <c r="B458" s="69">
        <v>45970</v>
      </c>
      <c r="C458" s="70" t="s">
        <v>112</v>
      </c>
      <c r="D458" s="282"/>
      <c r="E458" s="283"/>
      <c r="F458" s="283"/>
      <c r="G458" s="74" t="e">
        <f t="shared" si="250"/>
        <v>#DIV/0!</v>
      </c>
      <c r="H458" s="75" t="e">
        <f t="shared" si="251"/>
        <v>#DIV/0!</v>
      </c>
      <c r="I458" s="76" t="e">
        <f t="shared" si="252"/>
        <v>#DIV/0!</v>
      </c>
      <c r="J458" s="77">
        <v>139.66</v>
      </c>
      <c r="K458" s="199">
        <v>20350</v>
      </c>
      <c r="L458" s="283"/>
      <c r="M458" s="78">
        <v>537.85</v>
      </c>
      <c r="N458" s="79">
        <f t="shared" si="248"/>
        <v>0.2596634749465464</v>
      </c>
      <c r="O458" s="80">
        <f t="shared" si="155"/>
        <v>3.8511384791636836</v>
      </c>
      <c r="P458" s="79" t="e">
        <f t="shared" si="156"/>
        <v>#DIV/0!</v>
      </c>
      <c r="Q458" s="81" t="e">
        <f t="shared" si="157"/>
        <v>#DIV/0!</v>
      </c>
      <c r="R458" s="82">
        <f t="shared" ref="R458:R469" si="256">D458-M458</f>
        <v>-537.85</v>
      </c>
      <c r="S458" s="83" t="e">
        <f t="shared" si="158"/>
        <v>#DIV/0!</v>
      </c>
      <c r="T458" s="84"/>
      <c r="U458" s="84"/>
      <c r="V458" s="84"/>
      <c r="W458" s="84"/>
      <c r="X458" s="85"/>
      <c r="Y458" s="68"/>
      <c r="Z458" s="68"/>
    </row>
    <row r="459" spans="1:26" ht="12.75" hidden="1" outlineLevel="1" x14ac:dyDescent="0.2">
      <c r="A459" s="68"/>
      <c r="B459" s="86"/>
      <c r="C459" s="70" t="s">
        <v>113</v>
      </c>
      <c r="D459" s="284"/>
      <c r="E459" s="283"/>
      <c r="F459" s="283"/>
      <c r="G459" s="74" t="e">
        <f t="shared" si="250"/>
        <v>#DIV/0!</v>
      </c>
      <c r="H459" s="75" t="e">
        <f t="shared" si="251"/>
        <v>#DIV/0!</v>
      </c>
      <c r="I459" s="76" t="e">
        <f t="shared" si="252"/>
        <v>#DIV/0!</v>
      </c>
      <c r="J459" s="87">
        <v>50.58</v>
      </c>
      <c r="K459" s="199">
        <v>3523</v>
      </c>
      <c r="L459" s="283"/>
      <c r="M459" s="88">
        <v>379.7</v>
      </c>
      <c r="N459" s="79">
        <f t="shared" si="248"/>
        <v>0.13321042928627863</v>
      </c>
      <c r="O459" s="80">
        <f t="shared" si="155"/>
        <v>7.5069197311190194</v>
      </c>
      <c r="P459" s="79" t="e">
        <f t="shared" si="156"/>
        <v>#DIV/0!</v>
      </c>
      <c r="Q459" s="81" t="e">
        <f t="shared" si="157"/>
        <v>#DIV/0!</v>
      </c>
      <c r="R459" s="89">
        <f t="shared" si="256"/>
        <v>-379.7</v>
      </c>
      <c r="S459" s="83" t="e">
        <f t="shared" si="158"/>
        <v>#DIV/0!</v>
      </c>
      <c r="T459" s="84"/>
      <c r="U459" s="84"/>
      <c r="V459" s="84"/>
      <c r="W459" s="84"/>
      <c r="X459" s="85"/>
      <c r="Y459" s="68"/>
      <c r="Z459" s="68"/>
    </row>
    <row r="460" spans="1:26" ht="12.75" hidden="1" outlineLevel="1" x14ac:dyDescent="0.2">
      <c r="A460" s="68"/>
      <c r="B460" s="86"/>
      <c r="C460" s="70" t="s">
        <v>114</v>
      </c>
      <c r="D460" s="285"/>
      <c r="E460" s="283"/>
      <c r="F460" s="283"/>
      <c r="G460" s="74" t="e">
        <f t="shared" si="250"/>
        <v>#DIV/0!</v>
      </c>
      <c r="H460" s="75" t="e">
        <f t="shared" si="251"/>
        <v>#DIV/0!</v>
      </c>
      <c r="I460" s="76" t="e">
        <f t="shared" si="252"/>
        <v>#DIV/0!</v>
      </c>
      <c r="J460" s="90">
        <v>129.12</v>
      </c>
      <c r="K460" s="199">
        <v>15271</v>
      </c>
      <c r="L460" s="283"/>
      <c r="M460" s="91">
        <v>546.92999999999995</v>
      </c>
      <c r="N460" s="79">
        <f>(J460/M460)</f>
        <v>0.23608139981350451</v>
      </c>
      <c r="O460" s="80">
        <f t="shared" si="155"/>
        <v>4.235827137546468</v>
      </c>
      <c r="P460" s="79" t="e">
        <f t="shared" si="156"/>
        <v>#DIV/0!</v>
      </c>
      <c r="Q460" s="81" t="e">
        <f t="shared" si="157"/>
        <v>#DIV/0!</v>
      </c>
      <c r="R460" s="92">
        <f t="shared" si="256"/>
        <v>-546.92999999999995</v>
      </c>
      <c r="S460" s="83" t="e">
        <f t="shared" si="158"/>
        <v>#DIV/0!</v>
      </c>
      <c r="T460" s="84"/>
      <c r="U460" s="84"/>
      <c r="V460" s="84"/>
      <c r="W460" s="84"/>
      <c r="X460" s="85"/>
      <c r="Y460" s="68"/>
      <c r="Z460" s="68"/>
    </row>
    <row r="461" spans="1:26" ht="12.75" hidden="1" outlineLevel="1" x14ac:dyDescent="0.2">
      <c r="A461" s="68"/>
      <c r="B461" s="86"/>
      <c r="C461" s="70" t="s">
        <v>115</v>
      </c>
      <c r="D461" s="285"/>
      <c r="E461" s="283"/>
      <c r="F461" s="283"/>
      <c r="G461" s="74" t="e">
        <f t="shared" si="250"/>
        <v>#DIV/0!</v>
      </c>
      <c r="H461" s="75" t="e">
        <f t="shared" si="251"/>
        <v>#DIV/0!</v>
      </c>
      <c r="I461" s="76" t="e">
        <f t="shared" si="252"/>
        <v>#DIV/0!</v>
      </c>
      <c r="J461" s="90">
        <v>37.200000000000003</v>
      </c>
      <c r="K461" s="199">
        <v>5777</v>
      </c>
      <c r="L461" s="283"/>
      <c r="M461" s="91">
        <v>59.95</v>
      </c>
      <c r="N461" s="79">
        <f t="shared" ref="N461:N472" si="257">J461/M461</f>
        <v>0.62051709758131779</v>
      </c>
      <c r="O461" s="80">
        <f t="shared" si="155"/>
        <v>1.6115591397849462</v>
      </c>
      <c r="P461" s="79" t="e">
        <f t="shared" si="156"/>
        <v>#DIV/0!</v>
      </c>
      <c r="Q461" s="81" t="e">
        <f t="shared" si="157"/>
        <v>#DIV/0!</v>
      </c>
      <c r="R461" s="92">
        <f t="shared" si="256"/>
        <v>-59.95</v>
      </c>
      <c r="S461" s="83" t="e">
        <f t="shared" si="158"/>
        <v>#DIV/0!</v>
      </c>
      <c r="T461" s="84"/>
      <c r="U461" s="84"/>
      <c r="V461" s="84"/>
      <c r="W461" s="84"/>
      <c r="X461" s="85"/>
      <c r="Y461" s="68"/>
      <c r="Z461" s="68"/>
    </row>
    <row r="462" spans="1:26" ht="12.75" hidden="1" outlineLevel="1" x14ac:dyDescent="0.2">
      <c r="A462" s="68"/>
      <c r="B462" s="86"/>
      <c r="C462" s="70" t="s">
        <v>116</v>
      </c>
      <c r="D462" s="286"/>
      <c r="E462" s="283"/>
      <c r="F462" s="283"/>
      <c r="G462" s="74" t="e">
        <f t="shared" si="250"/>
        <v>#DIV/0!</v>
      </c>
      <c r="H462" s="75" t="e">
        <f t="shared" si="251"/>
        <v>#DIV/0!</v>
      </c>
      <c r="I462" s="76" t="e">
        <f t="shared" si="252"/>
        <v>#DIV/0!</v>
      </c>
      <c r="J462" s="200">
        <v>66.459999999999994</v>
      </c>
      <c r="K462" s="199">
        <v>5120</v>
      </c>
      <c r="L462" s="283"/>
      <c r="M462" s="200">
        <v>0</v>
      </c>
      <c r="N462" s="79" t="e">
        <f t="shared" si="257"/>
        <v>#DIV/0!</v>
      </c>
      <c r="O462" s="80">
        <f t="shared" si="155"/>
        <v>0</v>
      </c>
      <c r="P462" s="79" t="e">
        <f t="shared" si="156"/>
        <v>#DIV/0!</v>
      </c>
      <c r="Q462" s="81" t="e">
        <f t="shared" si="157"/>
        <v>#DIV/0!</v>
      </c>
      <c r="R462" s="92">
        <f t="shared" si="256"/>
        <v>0</v>
      </c>
      <c r="S462" s="83" t="e">
        <f t="shared" si="158"/>
        <v>#DIV/0!</v>
      </c>
      <c r="T462" s="84"/>
      <c r="U462" s="84"/>
      <c r="V462" s="84"/>
      <c r="W462" s="84"/>
      <c r="X462" s="85"/>
      <c r="Y462" s="68"/>
      <c r="Z462" s="68"/>
    </row>
    <row r="463" spans="1:26" ht="12.75" hidden="1" outlineLevel="1" x14ac:dyDescent="0.2">
      <c r="A463" s="68"/>
      <c r="B463" s="86"/>
      <c r="C463" s="70" t="s">
        <v>117</v>
      </c>
      <c r="D463" s="287"/>
      <c r="E463" s="283"/>
      <c r="F463" s="283"/>
      <c r="G463" s="74" t="e">
        <f t="shared" si="250"/>
        <v>#DIV/0!</v>
      </c>
      <c r="H463" s="75" t="e">
        <f t="shared" si="251"/>
        <v>#DIV/0!</v>
      </c>
      <c r="I463" s="76" t="e">
        <f t="shared" si="252"/>
        <v>#DIV/0!</v>
      </c>
      <c r="J463" s="201">
        <v>8.56</v>
      </c>
      <c r="K463" s="199">
        <v>452</v>
      </c>
      <c r="L463" s="283"/>
      <c r="M463" s="202">
        <v>0</v>
      </c>
      <c r="N463" s="79" t="e">
        <f t="shared" si="257"/>
        <v>#DIV/0!</v>
      </c>
      <c r="O463" s="80">
        <f t="shared" si="155"/>
        <v>0</v>
      </c>
      <c r="P463" s="79" t="e">
        <f t="shared" si="156"/>
        <v>#DIV/0!</v>
      </c>
      <c r="Q463" s="81" t="e">
        <f t="shared" si="157"/>
        <v>#DIV/0!</v>
      </c>
      <c r="R463" s="203">
        <f t="shared" si="256"/>
        <v>0</v>
      </c>
      <c r="S463" s="83" t="e">
        <f t="shared" si="158"/>
        <v>#DIV/0!</v>
      </c>
      <c r="T463" s="84"/>
      <c r="U463" s="84"/>
      <c r="V463" s="84"/>
      <c r="W463" s="84"/>
      <c r="X463" s="85"/>
      <c r="Y463" s="68"/>
      <c r="Z463" s="68"/>
    </row>
    <row r="464" spans="1:26" ht="12.75" hidden="1" outlineLevel="1" x14ac:dyDescent="0.2">
      <c r="A464" s="68"/>
      <c r="B464" s="86"/>
      <c r="C464" s="70" t="s">
        <v>118</v>
      </c>
      <c r="D464" s="285"/>
      <c r="E464" s="283"/>
      <c r="F464" s="283"/>
      <c r="G464" s="74" t="e">
        <f t="shared" si="250"/>
        <v>#DIV/0!</v>
      </c>
      <c r="H464" s="75" t="e">
        <f t="shared" si="251"/>
        <v>#DIV/0!</v>
      </c>
      <c r="I464" s="76" t="e">
        <f t="shared" si="252"/>
        <v>#DIV/0!</v>
      </c>
      <c r="J464" s="90">
        <v>294.88</v>
      </c>
      <c r="K464" s="199">
        <v>13620</v>
      </c>
      <c r="L464" s="283"/>
      <c r="M464" s="91">
        <v>317.82</v>
      </c>
      <c r="N464" s="79">
        <f t="shared" si="257"/>
        <v>0.92782077905732807</v>
      </c>
      <c r="O464" s="80">
        <f t="shared" si="155"/>
        <v>1.0777943570265871</v>
      </c>
      <c r="P464" s="79" t="e">
        <f t="shared" si="156"/>
        <v>#DIV/0!</v>
      </c>
      <c r="Q464" s="81" t="e">
        <f t="shared" si="157"/>
        <v>#DIV/0!</v>
      </c>
      <c r="R464" s="92">
        <f t="shared" si="256"/>
        <v>-317.82</v>
      </c>
      <c r="S464" s="83" t="e">
        <f t="shared" si="158"/>
        <v>#DIV/0!</v>
      </c>
      <c r="T464" s="84"/>
      <c r="U464" s="84"/>
      <c r="V464" s="84"/>
      <c r="W464" s="84"/>
      <c r="X464" s="85"/>
      <c r="Y464" s="68"/>
      <c r="Z464" s="68"/>
    </row>
    <row r="465" spans="1:26" ht="12.75" hidden="1" outlineLevel="1" x14ac:dyDescent="0.2">
      <c r="A465" s="68"/>
      <c r="B465" s="69" t="s">
        <v>37</v>
      </c>
      <c r="C465" s="70" t="s">
        <v>119</v>
      </c>
      <c r="D465" s="288"/>
      <c r="E465" s="283"/>
      <c r="F465" s="283"/>
      <c r="G465" s="74" t="e">
        <f t="shared" si="250"/>
        <v>#DIV/0!</v>
      </c>
      <c r="H465" s="75" t="e">
        <f t="shared" si="251"/>
        <v>#DIV/0!</v>
      </c>
      <c r="I465" s="76" t="e">
        <f t="shared" si="252"/>
        <v>#DIV/0!</v>
      </c>
      <c r="J465" s="93">
        <v>89.44</v>
      </c>
      <c r="K465" s="199">
        <v>4153</v>
      </c>
      <c r="L465" s="283"/>
      <c r="M465" s="94">
        <v>0</v>
      </c>
      <c r="N465" s="79" t="e">
        <f t="shared" si="257"/>
        <v>#DIV/0!</v>
      </c>
      <c r="O465" s="80">
        <f t="shared" si="155"/>
        <v>0</v>
      </c>
      <c r="P465" s="79" t="e">
        <f t="shared" si="156"/>
        <v>#DIV/0!</v>
      </c>
      <c r="Q465" s="81" t="e">
        <f t="shared" si="157"/>
        <v>#DIV/0!</v>
      </c>
      <c r="R465" s="95">
        <f t="shared" si="256"/>
        <v>0</v>
      </c>
      <c r="S465" s="83" t="e">
        <f t="shared" si="158"/>
        <v>#DIV/0!</v>
      </c>
      <c r="T465" s="84"/>
      <c r="U465" s="84"/>
      <c r="V465" s="84"/>
      <c r="W465" s="84"/>
      <c r="X465" s="85"/>
      <c r="Y465" s="68"/>
      <c r="Z465" s="68"/>
    </row>
    <row r="466" spans="1:26" ht="12.75" hidden="1" outlineLevel="1" x14ac:dyDescent="0.2">
      <c r="A466" s="68"/>
      <c r="B466" s="86"/>
      <c r="C466" s="70" t="s">
        <v>120</v>
      </c>
      <c r="D466" s="289"/>
      <c r="E466" s="283"/>
      <c r="F466" s="283"/>
      <c r="G466" s="74" t="e">
        <f t="shared" si="250"/>
        <v>#DIV/0!</v>
      </c>
      <c r="H466" s="75" t="e">
        <f t="shared" si="251"/>
        <v>#DIV/0!</v>
      </c>
      <c r="I466" s="76" t="e">
        <f t="shared" si="252"/>
        <v>#DIV/0!</v>
      </c>
      <c r="J466" s="96">
        <v>152</v>
      </c>
      <c r="K466" s="199">
        <v>21244</v>
      </c>
      <c r="L466" s="283"/>
      <c r="M466" s="97">
        <v>0</v>
      </c>
      <c r="N466" s="79" t="e">
        <f t="shared" si="257"/>
        <v>#DIV/0!</v>
      </c>
      <c r="O466" s="80">
        <f t="shared" si="155"/>
        <v>0</v>
      </c>
      <c r="P466" s="79" t="e">
        <f t="shared" si="156"/>
        <v>#DIV/0!</v>
      </c>
      <c r="Q466" s="81" t="e">
        <f t="shared" si="157"/>
        <v>#DIV/0!</v>
      </c>
      <c r="R466" s="98">
        <f t="shared" si="256"/>
        <v>0</v>
      </c>
      <c r="S466" s="83" t="e">
        <f t="shared" si="158"/>
        <v>#DIV/0!</v>
      </c>
      <c r="T466" s="84"/>
      <c r="U466" s="84"/>
      <c r="V466" s="84"/>
      <c r="W466" s="84"/>
      <c r="X466" s="85"/>
      <c r="Y466" s="68"/>
      <c r="Z466" s="68"/>
    </row>
    <row r="467" spans="1:26" ht="12.75" hidden="1" outlineLevel="1" x14ac:dyDescent="0.2">
      <c r="A467" s="68"/>
      <c r="B467" s="86"/>
      <c r="C467" s="70" t="s">
        <v>121</v>
      </c>
      <c r="D467" s="290"/>
      <c r="E467" s="283"/>
      <c r="F467" s="283"/>
      <c r="G467" s="74" t="e">
        <f t="shared" si="250"/>
        <v>#DIV/0!</v>
      </c>
      <c r="H467" s="75" t="e">
        <f t="shared" si="251"/>
        <v>#DIV/0!</v>
      </c>
      <c r="I467" s="76" t="e">
        <f t="shared" si="252"/>
        <v>#DIV/0!</v>
      </c>
      <c r="J467" s="99">
        <v>37.979999999999997</v>
      </c>
      <c r="K467" s="199">
        <v>5292</v>
      </c>
      <c r="L467" s="283"/>
      <c r="M467" s="100">
        <v>171.8</v>
      </c>
      <c r="N467" s="79">
        <f t="shared" si="257"/>
        <v>0.22107101280558786</v>
      </c>
      <c r="O467" s="80">
        <f t="shared" si="155"/>
        <v>4.5234333859926288</v>
      </c>
      <c r="P467" s="79" t="e">
        <f t="shared" si="156"/>
        <v>#DIV/0!</v>
      </c>
      <c r="Q467" s="81" t="e">
        <f t="shared" si="157"/>
        <v>#DIV/0!</v>
      </c>
      <c r="R467" s="101">
        <f t="shared" si="256"/>
        <v>-171.8</v>
      </c>
      <c r="S467" s="83" t="e">
        <f t="shared" si="158"/>
        <v>#DIV/0!</v>
      </c>
      <c r="T467" s="84"/>
      <c r="U467" s="84"/>
      <c r="V467" s="84"/>
      <c r="W467" s="84"/>
      <c r="X467" s="85"/>
      <c r="Y467" s="68"/>
      <c r="Z467" s="68"/>
    </row>
    <row r="468" spans="1:26" ht="12.75" hidden="1" outlineLevel="1" x14ac:dyDescent="0.2">
      <c r="A468" s="68"/>
      <c r="B468" s="86"/>
      <c r="C468" s="70" t="s">
        <v>122</v>
      </c>
      <c r="D468" s="290"/>
      <c r="E468" s="283"/>
      <c r="F468" s="283"/>
      <c r="G468" s="291"/>
      <c r="H468" s="72"/>
      <c r="I468" s="292"/>
      <c r="J468" s="105">
        <v>226.77</v>
      </c>
      <c r="K468" s="199">
        <v>18045</v>
      </c>
      <c r="L468" s="283"/>
      <c r="M468" s="106">
        <v>784.81</v>
      </c>
      <c r="N468" s="79">
        <f t="shared" si="257"/>
        <v>0.28894891757240609</v>
      </c>
      <c r="O468" s="80">
        <f t="shared" si="155"/>
        <v>3.4608193323631871</v>
      </c>
      <c r="P468" s="79" t="e">
        <f t="shared" si="156"/>
        <v>#DIV/0!</v>
      </c>
      <c r="Q468" s="81" t="e">
        <f t="shared" si="157"/>
        <v>#DIV/0!</v>
      </c>
      <c r="R468" s="107">
        <f t="shared" si="256"/>
        <v>-784.81</v>
      </c>
      <c r="S468" s="83" t="e">
        <f t="shared" si="158"/>
        <v>#DIV/0!</v>
      </c>
      <c r="T468" s="84"/>
      <c r="U468" s="84"/>
      <c r="V468" s="84"/>
      <c r="W468" s="84"/>
      <c r="X468" s="85"/>
      <c r="Y468" s="68"/>
      <c r="Z468" s="68"/>
    </row>
    <row r="469" spans="1:26" ht="12.75" hidden="1" outlineLevel="1" x14ac:dyDescent="0.2">
      <c r="A469" s="118" t="str">
        <f t="shared" ref="A469:A470" si="258">IFERROR(IF(B469&gt;0,MONTH(B469)&amp;"-"&amp;YEAR(B469),B469),)</f>
        <v>11-2025</v>
      </c>
      <c r="B469" s="69">
        <v>45976</v>
      </c>
      <c r="C469" s="70" t="s">
        <v>123</v>
      </c>
      <c r="D469" s="293"/>
      <c r="E469" s="283"/>
      <c r="F469" s="283"/>
      <c r="G469" s="74" t="e">
        <f t="shared" ref="G469:G480" si="259">E469/F469</f>
        <v>#DIV/0!</v>
      </c>
      <c r="H469" s="75" t="e">
        <f t="shared" ref="H469:H480" si="260">D469/E469</f>
        <v>#DIV/0!</v>
      </c>
      <c r="I469" s="76" t="e">
        <f t="shared" ref="I469:I480" si="261">H469/G469</f>
        <v>#DIV/0!</v>
      </c>
      <c r="J469" s="87">
        <v>0</v>
      </c>
      <c r="K469" s="199">
        <v>0</v>
      </c>
      <c r="L469" s="283"/>
      <c r="M469" s="88">
        <v>0</v>
      </c>
      <c r="N469" s="79" t="e">
        <f t="shared" si="257"/>
        <v>#DIV/0!</v>
      </c>
      <c r="O469" s="80" t="e">
        <f t="shared" si="155"/>
        <v>#DIV/0!</v>
      </c>
      <c r="P469" s="79" t="e">
        <f t="shared" si="156"/>
        <v>#DIV/0!</v>
      </c>
      <c r="Q469" s="81" t="e">
        <f t="shared" si="157"/>
        <v>#DIV/0!</v>
      </c>
      <c r="R469" s="82">
        <f t="shared" si="256"/>
        <v>0</v>
      </c>
      <c r="S469" s="83" t="e">
        <f t="shared" si="158"/>
        <v>#DIV/0!</v>
      </c>
      <c r="T469" s="84"/>
      <c r="U469" s="84"/>
      <c r="V469" s="84"/>
      <c r="W469" s="84"/>
      <c r="X469" s="85"/>
      <c r="Y469" s="68"/>
      <c r="Z469" s="68"/>
    </row>
    <row r="470" spans="1:26" ht="12.75" collapsed="1" x14ac:dyDescent="0.2">
      <c r="A470" s="68">
        <f t="shared" si="258"/>
        <v>0</v>
      </c>
      <c r="B470" s="52" t="s">
        <v>104</v>
      </c>
      <c r="C470" s="120"/>
      <c r="D470" s="121">
        <f t="shared" ref="D470:F470" si="262">SUM(D458:D469)</f>
        <v>0</v>
      </c>
      <c r="E470" s="123">
        <f t="shared" si="262"/>
        <v>0</v>
      </c>
      <c r="F470" s="123">
        <f t="shared" si="262"/>
        <v>0</v>
      </c>
      <c r="G470" s="124" t="e">
        <f t="shared" si="259"/>
        <v>#DIV/0!</v>
      </c>
      <c r="H470" s="125" t="e">
        <f t="shared" si="260"/>
        <v>#DIV/0!</v>
      </c>
      <c r="I470" s="126" t="e">
        <f t="shared" si="261"/>
        <v>#DIV/0!</v>
      </c>
      <c r="J470" s="121">
        <f t="shared" ref="J470:M470" si="263">SUM(J458:J469)</f>
        <v>1232.6500000000001</v>
      </c>
      <c r="K470" s="294">
        <f t="shared" si="263"/>
        <v>112847</v>
      </c>
      <c r="L470" s="123">
        <f t="shared" si="263"/>
        <v>0</v>
      </c>
      <c r="M470" s="127">
        <f t="shared" si="263"/>
        <v>2798.8599999999997</v>
      </c>
      <c r="N470" s="128">
        <f t="shared" si="257"/>
        <v>0.44041145323453129</v>
      </c>
      <c r="O470" s="129">
        <f t="shared" si="155"/>
        <v>2.2706039832880376</v>
      </c>
      <c r="P470" s="128" t="e">
        <f t="shared" si="156"/>
        <v>#DIV/0!</v>
      </c>
      <c r="Q470" s="130" t="e">
        <f t="shared" si="157"/>
        <v>#DIV/0!</v>
      </c>
      <c r="R470" s="131">
        <f>SUM(R458:R469)</f>
        <v>-2798.8599999999997</v>
      </c>
      <c r="S470" s="132" t="e">
        <f t="shared" si="158"/>
        <v>#DIV/0!</v>
      </c>
      <c r="T470" s="134">
        <f t="shared" ref="T470:U470" si="264">IFERROR((D470-D48)/D470,)</f>
        <v>0</v>
      </c>
      <c r="U470" s="134">
        <f t="shared" si="264"/>
        <v>0</v>
      </c>
      <c r="V470" s="134" t="s">
        <v>139</v>
      </c>
      <c r="W470" s="134" t="s">
        <v>139</v>
      </c>
      <c r="X470" s="68"/>
      <c r="Y470" s="68"/>
      <c r="Z470" s="68"/>
    </row>
    <row r="471" spans="1:26" ht="12.75" hidden="1" outlineLevel="1" x14ac:dyDescent="0.2">
      <c r="A471" s="68"/>
      <c r="B471" s="69">
        <v>45977</v>
      </c>
      <c r="C471" s="70" t="s">
        <v>112</v>
      </c>
      <c r="D471" s="282"/>
      <c r="E471" s="283"/>
      <c r="F471" s="283"/>
      <c r="G471" s="74" t="e">
        <f t="shared" si="259"/>
        <v>#DIV/0!</v>
      </c>
      <c r="H471" s="75" t="e">
        <f t="shared" si="260"/>
        <v>#DIV/0!</v>
      </c>
      <c r="I471" s="76" t="e">
        <f t="shared" si="261"/>
        <v>#DIV/0!</v>
      </c>
      <c r="J471" s="77">
        <v>542.28</v>
      </c>
      <c r="K471" s="199">
        <v>50952</v>
      </c>
      <c r="L471" s="283"/>
      <c r="M471" s="78">
        <v>3249.9</v>
      </c>
      <c r="N471" s="79">
        <f t="shared" si="257"/>
        <v>0.16686051878519337</v>
      </c>
      <c r="O471" s="80">
        <f t="shared" si="155"/>
        <v>5.9930294312901093</v>
      </c>
      <c r="P471" s="79" t="e">
        <f t="shared" si="156"/>
        <v>#DIV/0!</v>
      </c>
      <c r="Q471" s="81" t="e">
        <f t="shared" si="157"/>
        <v>#DIV/0!</v>
      </c>
      <c r="R471" s="82">
        <f t="shared" ref="R471:R482" si="265">D471-M471</f>
        <v>-3249.9</v>
      </c>
      <c r="S471" s="83" t="e">
        <f t="shared" si="158"/>
        <v>#DIV/0!</v>
      </c>
      <c r="T471" s="84"/>
      <c r="U471" s="84"/>
      <c r="V471" s="84"/>
      <c r="W471" s="84"/>
      <c r="X471" s="85"/>
      <c r="Y471" s="68"/>
      <c r="Z471" s="68"/>
    </row>
    <row r="472" spans="1:26" ht="12.75" hidden="1" outlineLevel="1" x14ac:dyDescent="0.2">
      <c r="A472" s="68"/>
      <c r="B472" s="86"/>
      <c r="C472" s="70" t="s">
        <v>113</v>
      </c>
      <c r="D472" s="284"/>
      <c r="E472" s="283"/>
      <c r="F472" s="283"/>
      <c r="G472" s="74" t="e">
        <f t="shared" si="259"/>
        <v>#DIV/0!</v>
      </c>
      <c r="H472" s="75" t="e">
        <f t="shared" si="260"/>
        <v>#DIV/0!</v>
      </c>
      <c r="I472" s="76" t="e">
        <f t="shared" si="261"/>
        <v>#DIV/0!</v>
      </c>
      <c r="J472" s="87">
        <v>51.84</v>
      </c>
      <c r="K472" s="199">
        <v>4778</v>
      </c>
      <c r="L472" s="283"/>
      <c r="M472" s="88">
        <v>19.98</v>
      </c>
      <c r="N472" s="79">
        <f t="shared" si="257"/>
        <v>2.5945945945945947</v>
      </c>
      <c r="O472" s="80">
        <f t="shared" si="155"/>
        <v>0.38541666666666663</v>
      </c>
      <c r="P472" s="79" t="e">
        <f t="shared" si="156"/>
        <v>#DIV/0!</v>
      </c>
      <c r="Q472" s="81" t="e">
        <f t="shared" si="157"/>
        <v>#DIV/0!</v>
      </c>
      <c r="R472" s="89">
        <f t="shared" si="265"/>
        <v>-19.98</v>
      </c>
      <c r="S472" s="83" t="e">
        <f t="shared" si="158"/>
        <v>#DIV/0!</v>
      </c>
      <c r="T472" s="84"/>
      <c r="U472" s="84"/>
      <c r="V472" s="84"/>
      <c r="W472" s="84"/>
      <c r="X472" s="85"/>
      <c r="Y472" s="68"/>
      <c r="Z472" s="68"/>
    </row>
    <row r="473" spans="1:26" ht="12.75" hidden="1" outlineLevel="1" x14ac:dyDescent="0.2">
      <c r="A473" s="68"/>
      <c r="B473" s="86"/>
      <c r="C473" s="70" t="s">
        <v>114</v>
      </c>
      <c r="D473" s="285"/>
      <c r="E473" s="283"/>
      <c r="F473" s="283"/>
      <c r="G473" s="74" t="e">
        <f t="shared" si="259"/>
        <v>#DIV/0!</v>
      </c>
      <c r="H473" s="75" t="e">
        <f t="shared" si="260"/>
        <v>#DIV/0!</v>
      </c>
      <c r="I473" s="76" t="e">
        <f t="shared" si="261"/>
        <v>#DIV/0!</v>
      </c>
      <c r="J473" s="90">
        <v>158.63999999999999</v>
      </c>
      <c r="K473" s="199">
        <v>16687</v>
      </c>
      <c r="L473" s="283"/>
      <c r="M473" s="91">
        <v>557.74</v>
      </c>
      <c r="N473" s="79">
        <f>(J473/M473)</f>
        <v>0.28443360705705162</v>
      </c>
      <c r="O473" s="80">
        <f t="shared" si="155"/>
        <v>3.5157589510842162</v>
      </c>
      <c r="P473" s="79" t="e">
        <f t="shared" si="156"/>
        <v>#DIV/0!</v>
      </c>
      <c r="Q473" s="81" t="e">
        <f t="shared" si="157"/>
        <v>#DIV/0!</v>
      </c>
      <c r="R473" s="92">
        <f t="shared" si="265"/>
        <v>-557.74</v>
      </c>
      <c r="S473" s="83" t="e">
        <f t="shared" si="158"/>
        <v>#DIV/0!</v>
      </c>
      <c r="T473" s="84"/>
      <c r="U473" s="84"/>
      <c r="V473" s="84"/>
      <c r="W473" s="84"/>
      <c r="X473" s="85"/>
      <c r="Y473" s="68"/>
      <c r="Z473" s="68"/>
    </row>
    <row r="474" spans="1:26" ht="12.75" hidden="1" outlineLevel="1" x14ac:dyDescent="0.2">
      <c r="A474" s="68"/>
      <c r="B474" s="86"/>
      <c r="C474" s="70" t="s">
        <v>115</v>
      </c>
      <c r="D474" s="285"/>
      <c r="E474" s="283"/>
      <c r="F474" s="283"/>
      <c r="G474" s="74" t="e">
        <f t="shared" si="259"/>
        <v>#DIV/0!</v>
      </c>
      <c r="H474" s="75" t="e">
        <f t="shared" si="260"/>
        <v>#DIV/0!</v>
      </c>
      <c r="I474" s="76" t="e">
        <f t="shared" si="261"/>
        <v>#DIV/0!</v>
      </c>
      <c r="J474" s="90">
        <v>41.41</v>
      </c>
      <c r="K474" s="199">
        <v>6806</v>
      </c>
      <c r="L474" s="283"/>
      <c r="M474" s="91">
        <v>191.99</v>
      </c>
      <c r="N474" s="79">
        <f t="shared" ref="N474:N485" si="266">J474/M474</f>
        <v>0.21568831709984893</v>
      </c>
      <c r="O474" s="80">
        <f t="shared" si="155"/>
        <v>4.6363197295339296</v>
      </c>
      <c r="P474" s="79" t="e">
        <f t="shared" si="156"/>
        <v>#DIV/0!</v>
      </c>
      <c r="Q474" s="81" t="e">
        <f t="shared" si="157"/>
        <v>#DIV/0!</v>
      </c>
      <c r="R474" s="92">
        <f t="shared" si="265"/>
        <v>-191.99</v>
      </c>
      <c r="S474" s="83" t="e">
        <f t="shared" si="158"/>
        <v>#DIV/0!</v>
      </c>
      <c r="T474" s="84"/>
      <c r="U474" s="84"/>
      <c r="V474" s="84"/>
      <c r="W474" s="84"/>
      <c r="X474" s="85"/>
      <c r="Y474" s="68"/>
      <c r="Z474" s="68"/>
    </row>
    <row r="475" spans="1:26" ht="12.75" hidden="1" outlineLevel="1" x14ac:dyDescent="0.2">
      <c r="A475" s="68"/>
      <c r="B475" s="86"/>
      <c r="C475" s="70" t="s">
        <v>116</v>
      </c>
      <c r="D475" s="286"/>
      <c r="E475" s="283"/>
      <c r="F475" s="283"/>
      <c r="G475" s="74" t="e">
        <f t="shared" si="259"/>
        <v>#DIV/0!</v>
      </c>
      <c r="H475" s="75" t="e">
        <f t="shared" si="260"/>
        <v>#DIV/0!</v>
      </c>
      <c r="I475" s="76" t="e">
        <f t="shared" si="261"/>
        <v>#DIV/0!</v>
      </c>
      <c r="J475" s="200">
        <v>62.41</v>
      </c>
      <c r="K475" s="199">
        <v>4226</v>
      </c>
      <c r="L475" s="283"/>
      <c r="M475" s="200">
        <v>220.74</v>
      </c>
      <c r="N475" s="79">
        <f t="shared" si="266"/>
        <v>0.28273081453293464</v>
      </c>
      <c r="O475" s="80">
        <f t="shared" si="155"/>
        <v>3.53693318378465</v>
      </c>
      <c r="P475" s="79" t="e">
        <f t="shared" si="156"/>
        <v>#DIV/0!</v>
      </c>
      <c r="Q475" s="81" t="e">
        <f t="shared" si="157"/>
        <v>#DIV/0!</v>
      </c>
      <c r="R475" s="92">
        <f t="shared" si="265"/>
        <v>-220.74</v>
      </c>
      <c r="S475" s="83" t="e">
        <f t="shared" si="158"/>
        <v>#DIV/0!</v>
      </c>
      <c r="T475" s="84"/>
      <c r="U475" s="84"/>
      <c r="V475" s="84"/>
      <c r="W475" s="84"/>
      <c r="X475" s="85"/>
      <c r="Y475" s="68"/>
      <c r="Z475" s="68"/>
    </row>
    <row r="476" spans="1:26" ht="12.75" hidden="1" outlineLevel="1" x14ac:dyDescent="0.2">
      <c r="A476" s="68"/>
      <c r="B476" s="86"/>
      <c r="C476" s="70" t="s">
        <v>117</v>
      </c>
      <c r="D476" s="287"/>
      <c r="E476" s="283"/>
      <c r="F476" s="283"/>
      <c r="G476" s="74" t="e">
        <f t="shared" si="259"/>
        <v>#DIV/0!</v>
      </c>
      <c r="H476" s="75" t="e">
        <f t="shared" si="260"/>
        <v>#DIV/0!</v>
      </c>
      <c r="I476" s="76" t="e">
        <f t="shared" si="261"/>
        <v>#DIV/0!</v>
      </c>
      <c r="J476" s="201">
        <v>19.87</v>
      </c>
      <c r="K476" s="199">
        <v>1051</v>
      </c>
      <c r="L476" s="283"/>
      <c r="M476" s="202">
        <v>117</v>
      </c>
      <c r="N476" s="79">
        <f t="shared" si="266"/>
        <v>0.16982905982905983</v>
      </c>
      <c r="O476" s="80">
        <f t="shared" si="155"/>
        <v>5.8882737795671867</v>
      </c>
      <c r="P476" s="79" t="e">
        <f t="shared" si="156"/>
        <v>#DIV/0!</v>
      </c>
      <c r="Q476" s="81" t="e">
        <f t="shared" si="157"/>
        <v>#DIV/0!</v>
      </c>
      <c r="R476" s="203">
        <f t="shared" si="265"/>
        <v>-117</v>
      </c>
      <c r="S476" s="83" t="e">
        <f t="shared" si="158"/>
        <v>#DIV/0!</v>
      </c>
      <c r="T476" s="84"/>
      <c r="U476" s="84"/>
      <c r="V476" s="84"/>
      <c r="W476" s="84"/>
      <c r="X476" s="85"/>
      <c r="Y476" s="68"/>
      <c r="Z476" s="68"/>
    </row>
    <row r="477" spans="1:26" ht="12.75" hidden="1" outlineLevel="1" x14ac:dyDescent="0.2">
      <c r="A477" s="68"/>
      <c r="B477" s="86"/>
      <c r="C477" s="70" t="s">
        <v>118</v>
      </c>
      <c r="D477" s="285"/>
      <c r="E477" s="283"/>
      <c r="F477" s="283"/>
      <c r="G477" s="74" t="e">
        <f t="shared" si="259"/>
        <v>#DIV/0!</v>
      </c>
      <c r="H477" s="75" t="e">
        <f t="shared" si="260"/>
        <v>#DIV/0!</v>
      </c>
      <c r="I477" s="76" t="e">
        <f t="shared" si="261"/>
        <v>#DIV/0!</v>
      </c>
      <c r="J477" s="90">
        <v>219.15</v>
      </c>
      <c r="K477" s="199">
        <v>13869</v>
      </c>
      <c r="L477" s="283"/>
      <c r="M477" s="91">
        <v>565.04999999999995</v>
      </c>
      <c r="N477" s="79">
        <f t="shared" si="266"/>
        <v>0.38784178391292812</v>
      </c>
      <c r="O477" s="80">
        <f t="shared" si="155"/>
        <v>2.5783709787816562</v>
      </c>
      <c r="P477" s="79" t="e">
        <f t="shared" si="156"/>
        <v>#DIV/0!</v>
      </c>
      <c r="Q477" s="81" t="e">
        <f t="shared" si="157"/>
        <v>#DIV/0!</v>
      </c>
      <c r="R477" s="92">
        <f t="shared" si="265"/>
        <v>-565.04999999999995</v>
      </c>
      <c r="S477" s="83" t="e">
        <f t="shared" si="158"/>
        <v>#DIV/0!</v>
      </c>
      <c r="T477" s="84"/>
      <c r="U477" s="84"/>
      <c r="V477" s="84"/>
      <c r="W477" s="84"/>
      <c r="X477" s="85"/>
      <c r="Y477" s="68"/>
      <c r="Z477" s="68"/>
    </row>
    <row r="478" spans="1:26" ht="12.75" hidden="1" outlineLevel="1" x14ac:dyDescent="0.2">
      <c r="A478" s="68"/>
      <c r="B478" s="69" t="s">
        <v>37</v>
      </c>
      <c r="C478" s="70" t="s">
        <v>119</v>
      </c>
      <c r="D478" s="288"/>
      <c r="E478" s="283"/>
      <c r="F478" s="283"/>
      <c r="G478" s="74" t="e">
        <f t="shared" si="259"/>
        <v>#DIV/0!</v>
      </c>
      <c r="H478" s="75" t="e">
        <f t="shared" si="260"/>
        <v>#DIV/0!</v>
      </c>
      <c r="I478" s="76" t="e">
        <f t="shared" si="261"/>
        <v>#DIV/0!</v>
      </c>
      <c r="J478" s="93">
        <v>95.45</v>
      </c>
      <c r="K478" s="199">
        <v>5841</v>
      </c>
      <c r="L478" s="283"/>
      <c r="M478" s="94">
        <v>693.95</v>
      </c>
      <c r="N478" s="79">
        <f t="shared" si="266"/>
        <v>0.1375459327040853</v>
      </c>
      <c r="O478" s="80">
        <f t="shared" si="155"/>
        <v>7.2702985856469358</v>
      </c>
      <c r="P478" s="79" t="e">
        <f t="shared" si="156"/>
        <v>#DIV/0!</v>
      </c>
      <c r="Q478" s="81" t="e">
        <f t="shared" si="157"/>
        <v>#DIV/0!</v>
      </c>
      <c r="R478" s="95">
        <f t="shared" si="265"/>
        <v>-693.95</v>
      </c>
      <c r="S478" s="83" t="e">
        <f t="shared" si="158"/>
        <v>#DIV/0!</v>
      </c>
      <c r="T478" s="84"/>
      <c r="U478" s="84"/>
      <c r="V478" s="84"/>
      <c r="W478" s="84"/>
      <c r="X478" s="85"/>
      <c r="Y478" s="68"/>
      <c r="Z478" s="68"/>
    </row>
    <row r="479" spans="1:26" ht="12.75" hidden="1" outlineLevel="1" x14ac:dyDescent="0.2">
      <c r="A479" s="68"/>
      <c r="B479" s="86"/>
      <c r="C479" s="70" t="s">
        <v>120</v>
      </c>
      <c r="D479" s="289"/>
      <c r="E479" s="283"/>
      <c r="F479" s="283"/>
      <c r="G479" s="74" t="e">
        <f t="shared" si="259"/>
        <v>#DIV/0!</v>
      </c>
      <c r="H479" s="75" t="e">
        <f t="shared" si="260"/>
        <v>#DIV/0!</v>
      </c>
      <c r="I479" s="76" t="e">
        <f t="shared" si="261"/>
        <v>#DIV/0!</v>
      </c>
      <c r="J479" s="96">
        <v>382.93</v>
      </c>
      <c r="K479" s="199">
        <v>38795</v>
      </c>
      <c r="L479" s="283"/>
      <c r="M479" s="97">
        <v>838.5</v>
      </c>
      <c r="N479" s="79">
        <f t="shared" si="266"/>
        <v>0.45668455575432321</v>
      </c>
      <c r="O479" s="80">
        <f t="shared" si="155"/>
        <v>2.1896952445616691</v>
      </c>
      <c r="P479" s="79" t="e">
        <f t="shared" si="156"/>
        <v>#DIV/0!</v>
      </c>
      <c r="Q479" s="81" t="e">
        <f t="shared" si="157"/>
        <v>#DIV/0!</v>
      </c>
      <c r="R479" s="98">
        <f t="shared" si="265"/>
        <v>-838.5</v>
      </c>
      <c r="S479" s="83" t="e">
        <f t="shared" si="158"/>
        <v>#DIV/0!</v>
      </c>
      <c r="T479" s="84"/>
      <c r="U479" s="84"/>
      <c r="V479" s="84"/>
      <c r="W479" s="84"/>
      <c r="X479" s="85"/>
      <c r="Y479" s="68"/>
      <c r="Z479" s="68"/>
    </row>
    <row r="480" spans="1:26" ht="12.75" hidden="1" outlineLevel="1" x14ac:dyDescent="0.2">
      <c r="A480" s="68"/>
      <c r="B480" s="86"/>
      <c r="C480" s="70" t="s">
        <v>121</v>
      </c>
      <c r="D480" s="290"/>
      <c r="E480" s="283"/>
      <c r="F480" s="283"/>
      <c r="G480" s="74" t="e">
        <f t="shared" si="259"/>
        <v>#DIV/0!</v>
      </c>
      <c r="H480" s="75" t="e">
        <f t="shared" si="260"/>
        <v>#DIV/0!</v>
      </c>
      <c r="I480" s="76" t="e">
        <f t="shared" si="261"/>
        <v>#DIV/0!</v>
      </c>
      <c r="J480" s="99">
        <v>69.31</v>
      </c>
      <c r="K480" s="199">
        <v>8839</v>
      </c>
      <c r="L480" s="283"/>
      <c r="M480" s="100">
        <v>368.5</v>
      </c>
      <c r="N480" s="79">
        <f t="shared" si="266"/>
        <v>0.18808683853459973</v>
      </c>
      <c r="O480" s="80">
        <f t="shared" si="155"/>
        <v>5.3166931178762082</v>
      </c>
      <c r="P480" s="79" t="e">
        <f t="shared" si="156"/>
        <v>#DIV/0!</v>
      </c>
      <c r="Q480" s="81" t="e">
        <f t="shared" si="157"/>
        <v>#DIV/0!</v>
      </c>
      <c r="R480" s="101">
        <f t="shared" si="265"/>
        <v>-368.5</v>
      </c>
      <c r="S480" s="83" t="e">
        <f t="shared" si="158"/>
        <v>#DIV/0!</v>
      </c>
      <c r="T480" s="84"/>
      <c r="U480" s="84"/>
      <c r="V480" s="84"/>
      <c r="W480" s="84"/>
      <c r="X480" s="85"/>
      <c r="Y480" s="68"/>
      <c r="Z480" s="68"/>
    </row>
    <row r="481" spans="1:26" ht="12.75" hidden="1" outlineLevel="1" x14ac:dyDescent="0.2">
      <c r="A481" s="68"/>
      <c r="B481" s="86"/>
      <c r="C481" s="70" t="s">
        <v>122</v>
      </c>
      <c r="D481" s="290"/>
      <c r="E481" s="283"/>
      <c r="F481" s="283"/>
      <c r="G481" s="291"/>
      <c r="H481" s="72"/>
      <c r="I481" s="292"/>
      <c r="J481" s="105">
        <v>468.73</v>
      </c>
      <c r="K481" s="199">
        <v>33080</v>
      </c>
      <c r="L481" s="283"/>
      <c r="M481" s="106">
        <v>2392.9</v>
      </c>
      <c r="N481" s="79">
        <f t="shared" si="266"/>
        <v>0.19588365581511974</v>
      </c>
      <c r="O481" s="80">
        <f t="shared" si="155"/>
        <v>5.1050711497023871</v>
      </c>
      <c r="P481" s="79" t="e">
        <f t="shared" si="156"/>
        <v>#DIV/0!</v>
      </c>
      <c r="Q481" s="81" t="e">
        <f t="shared" si="157"/>
        <v>#DIV/0!</v>
      </c>
      <c r="R481" s="107">
        <f t="shared" si="265"/>
        <v>-2392.9</v>
      </c>
      <c r="S481" s="83" t="e">
        <f t="shared" si="158"/>
        <v>#DIV/0!</v>
      </c>
      <c r="T481" s="84"/>
      <c r="U481" s="84"/>
      <c r="V481" s="84"/>
      <c r="W481" s="84"/>
      <c r="X481" s="85"/>
      <c r="Y481" s="68"/>
      <c r="Z481" s="68"/>
    </row>
    <row r="482" spans="1:26" ht="12.75" hidden="1" outlineLevel="1" x14ac:dyDescent="0.2">
      <c r="A482" s="118" t="str">
        <f t="shared" ref="A482:A483" si="267">IFERROR(IF(B482&gt;0,MONTH(B482)&amp;"-"&amp;YEAR(B482),B482),)</f>
        <v>11-2025</v>
      </c>
      <c r="B482" s="69">
        <v>45983</v>
      </c>
      <c r="C482" s="70" t="s">
        <v>123</v>
      </c>
      <c r="D482" s="293"/>
      <c r="E482" s="283"/>
      <c r="F482" s="283"/>
      <c r="G482" s="74" t="e">
        <f t="shared" ref="G482:G493" si="268">E482/F482</f>
        <v>#DIV/0!</v>
      </c>
      <c r="H482" s="75" t="e">
        <f t="shared" ref="H482:H493" si="269">D482/E482</f>
        <v>#DIV/0!</v>
      </c>
      <c r="I482" s="76" t="e">
        <f t="shared" ref="I482:I493" si="270">H482/G482</f>
        <v>#DIV/0!</v>
      </c>
      <c r="J482" s="87">
        <v>0</v>
      </c>
      <c r="K482" s="199">
        <v>0</v>
      </c>
      <c r="L482" s="283"/>
      <c r="M482" s="88">
        <v>0</v>
      </c>
      <c r="N482" s="79" t="e">
        <f t="shared" si="266"/>
        <v>#DIV/0!</v>
      </c>
      <c r="O482" s="80" t="e">
        <f t="shared" si="155"/>
        <v>#DIV/0!</v>
      </c>
      <c r="P482" s="79" t="e">
        <f t="shared" si="156"/>
        <v>#DIV/0!</v>
      </c>
      <c r="Q482" s="81" t="e">
        <f t="shared" si="157"/>
        <v>#DIV/0!</v>
      </c>
      <c r="R482" s="82">
        <f t="shared" si="265"/>
        <v>0</v>
      </c>
      <c r="S482" s="83" t="e">
        <f t="shared" si="158"/>
        <v>#DIV/0!</v>
      </c>
      <c r="T482" s="84"/>
      <c r="U482" s="84"/>
      <c r="V482" s="84"/>
      <c r="W482" s="84"/>
      <c r="X482" s="85"/>
      <c r="Y482" s="68"/>
      <c r="Z482" s="68"/>
    </row>
    <row r="483" spans="1:26" ht="12.75" collapsed="1" x14ac:dyDescent="0.2">
      <c r="A483" s="68">
        <f t="shared" si="267"/>
        <v>0</v>
      </c>
      <c r="B483" s="52" t="s">
        <v>105</v>
      </c>
      <c r="C483" s="120"/>
      <c r="D483" s="121">
        <f t="shared" ref="D483:F483" si="271">SUM(D471:D482)</f>
        <v>0</v>
      </c>
      <c r="E483" s="123">
        <f t="shared" si="271"/>
        <v>0</v>
      </c>
      <c r="F483" s="123">
        <f t="shared" si="271"/>
        <v>0</v>
      </c>
      <c r="G483" s="124" t="e">
        <f t="shared" si="268"/>
        <v>#DIV/0!</v>
      </c>
      <c r="H483" s="125" t="e">
        <f t="shared" si="269"/>
        <v>#DIV/0!</v>
      </c>
      <c r="I483" s="126" t="e">
        <f t="shared" si="270"/>
        <v>#DIV/0!</v>
      </c>
      <c r="J483" s="121">
        <f t="shared" ref="J483:M483" si="272">SUM(J471:J482)</f>
        <v>2112.02</v>
      </c>
      <c r="K483" s="294">
        <f t="shared" si="272"/>
        <v>184924</v>
      </c>
      <c r="L483" s="123">
        <f t="shared" si="272"/>
        <v>0</v>
      </c>
      <c r="M483" s="127">
        <f t="shared" si="272"/>
        <v>9216.25</v>
      </c>
      <c r="N483" s="128">
        <f t="shared" si="266"/>
        <v>0.22916262037162621</v>
      </c>
      <c r="O483" s="129">
        <f t="shared" si="155"/>
        <v>4.3637134118048122</v>
      </c>
      <c r="P483" s="128" t="e">
        <f t="shared" si="156"/>
        <v>#DIV/0!</v>
      </c>
      <c r="Q483" s="130" t="e">
        <f t="shared" si="157"/>
        <v>#DIV/0!</v>
      </c>
      <c r="R483" s="131">
        <f>SUM(R471:R482)</f>
        <v>-9216.25</v>
      </c>
      <c r="S483" s="132" t="e">
        <f t="shared" si="158"/>
        <v>#DIV/0!</v>
      </c>
      <c r="T483" s="134">
        <f t="shared" ref="T483:U483" si="273">IFERROR((D483-D48)/D483,)</f>
        <v>0</v>
      </c>
      <c r="U483" s="134">
        <f t="shared" si="273"/>
        <v>0</v>
      </c>
      <c r="V483" s="134" t="s">
        <v>139</v>
      </c>
      <c r="W483" s="134" t="s">
        <v>139</v>
      </c>
      <c r="X483" s="68"/>
      <c r="Y483" s="68"/>
      <c r="Z483" s="68"/>
    </row>
    <row r="484" spans="1:26" ht="12.75" hidden="1" outlineLevel="1" x14ac:dyDescent="0.2">
      <c r="A484" s="68"/>
      <c r="B484" s="69">
        <v>45984</v>
      </c>
      <c r="C484" s="70" t="s">
        <v>112</v>
      </c>
      <c r="D484" s="282"/>
      <c r="E484" s="283"/>
      <c r="F484" s="283"/>
      <c r="G484" s="74" t="e">
        <f t="shared" si="268"/>
        <v>#DIV/0!</v>
      </c>
      <c r="H484" s="75" t="e">
        <f t="shared" si="269"/>
        <v>#DIV/0!</v>
      </c>
      <c r="I484" s="76" t="e">
        <f t="shared" si="270"/>
        <v>#DIV/0!</v>
      </c>
      <c r="J484" s="77">
        <v>2193.6999999999998</v>
      </c>
      <c r="K484" s="199">
        <v>104726</v>
      </c>
      <c r="L484" s="283"/>
      <c r="M484" s="78">
        <v>19338.72</v>
      </c>
      <c r="N484" s="79">
        <f t="shared" si="266"/>
        <v>0.11343563586421437</v>
      </c>
      <c r="O484" s="80">
        <f t="shared" si="155"/>
        <v>8.8155718648858112</v>
      </c>
      <c r="P484" s="79" t="e">
        <f t="shared" si="156"/>
        <v>#DIV/0!</v>
      </c>
      <c r="Q484" s="81" t="e">
        <f t="shared" si="157"/>
        <v>#DIV/0!</v>
      </c>
      <c r="R484" s="82">
        <f t="shared" ref="R484:R495" si="274">D484-M484</f>
        <v>-19338.72</v>
      </c>
      <c r="S484" s="83" t="e">
        <f t="shared" si="158"/>
        <v>#DIV/0!</v>
      </c>
      <c r="T484" s="84"/>
      <c r="U484" s="84"/>
      <c r="V484" s="84"/>
      <c r="W484" s="84"/>
      <c r="X484" s="85"/>
      <c r="Y484" s="68"/>
      <c r="Z484" s="68"/>
    </row>
    <row r="485" spans="1:26" ht="12.75" hidden="1" outlineLevel="1" x14ac:dyDescent="0.2">
      <c r="A485" s="68"/>
      <c r="B485" s="86"/>
      <c r="C485" s="70" t="s">
        <v>113</v>
      </c>
      <c r="D485" s="284"/>
      <c r="E485" s="283"/>
      <c r="F485" s="283"/>
      <c r="G485" s="74" t="e">
        <f t="shared" si="268"/>
        <v>#DIV/0!</v>
      </c>
      <c r="H485" s="75" t="e">
        <f t="shared" si="269"/>
        <v>#DIV/0!</v>
      </c>
      <c r="I485" s="76" t="e">
        <f t="shared" si="270"/>
        <v>#DIV/0!</v>
      </c>
      <c r="J485" s="87">
        <v>63.52</v>
      </c>
      <c r="K485" s="199">
        <v>4154</v>
      </c>
      <c r="L485" s="283"/>
      <c r="M485" s="88">
        <v>504.57</v>
      </c>
      <c r="N485" s="79">
        <f t="shared" si="266"/>
        <v>0.12588937114770993</v>
      </c>
      <c r="O485" s="80">
        <f t="shared" si="155"/>
        <v>7.9434823677581861</v>
      </c>
      <c r="P485" s="79" t="e">
        <f t="shared" si="156"/>
        <v>#DIV/0!</v>
      </c>
      <c r="Q485" s="81" t="e">
        <f t="shared" si="157"/>
        <v>#DIV/0!</v>
      </c>
      <c r="R485" s="89">
        <f t="shared" si="274"/>
        <v>-504.57</v>
      </c>
      <c r="S485" s="83" t="e">
        <f t="shared" si="158"/>
        <v>#DIV/0!</v>
      </c>
      <c r="T485" s="84"/>
      <c r="U485" s="84"/>
      <c r="V485" s="84"/>
      <c r="W485" s="84"/>
      <c r="X485" s="85"/>
      <c r="Y485" s="68"/>
      <c r="Z485" s="68"/>
    </row>
    <row r="486" spans="1:26" ht="12.75" hidden="1" outlineLevel="1" x14ac:dyDescent="0.2">
      <c r="A486" s="68"/>
      <c r="B486" s="86"/>
      <c r="C486" s="70" t="s">
        <v>114</v>
      </c>
      <c r="D486" s="285"/>
      <c r="E486" s="283"/>
      <c r="F486" s="283"/>
      <c r="G486" s="74" t="e">
        <f t="shared" si="268"/>
        <v>#DIV/0!</v>
      </c>
      <c r="H486" s="75" t="e">
        <f t="shared" si="269"/>
        <v>#DIV/0!</v>
      </c>
      <c r="I486" s="76" t="e">
        <f t="shared" si="270"/>
        <v>#DIV/0!</v>
      </c>
      <c r="J486" s="90">
        <v>308.89999999999998</v>
      </c>
      <c r="K486" s="199">
        <v>41715</v>
      </c>
      <c r="L486" s="283"/>
      <c r="M486" s="91">
        <v>1401.22</v>
      </c>
      <c r="N486" s="79">
        <f>(J486/M486)</f>
        <v>0.22045075006066139</v>
      </c>
      <c r="O486" s="80">
        <f t="shared" si="155"/>
        <v>4.5361605697636778</v>
      </c>
      <c r="P486" s="79" t="e">
        <f t="shared" si="156"/>
        <v>#DIV/0!</v>
      </c>
      <c r="Q486" s="81" t="e">
        <f t="shared" si="157"/>
        <v>#DIV/0!</v>
      </c>
      <c r="R486" s="92">
        <f t="shared" si="274"/>
        <v>-1401.22</v>
      </c>
      <c r="S486" s="83" t="e">
        <f t="shared" si="158"/>
        <v>#DIV/0!</v>
      </c>
      <c r="T486" s="84"/>
      <c r="U486" s="84"/>
      <c r="V486" s="84"/>
      <c r="W486" s="84"/>
      <c r="X486" s="85"/>
      <c r="Y486" s="68"/>
      <c r="Z486" s="68"/>
    </row>
    <row r="487" spans="1:26" ht="12.75" hidden="1" outlineLevel="1" x14ac:dyDescent="0.2">
      <c r="A487" s="68"/>
      <c r="B487" s="86"/>
      <c r="C487" s="70" t="s">
        <v>115</v>
      </c>
      <c r="D487" s="285"/>
      <c r="E487" s="283"/>
      <c r="F487" s="283"/>
      <c r="G487" s="74" t="e">
        <f t="shared" si="268"/>
        <v>#DIV/0!</v>
      </c>
      <c r="H487" s="75" t="e">
        <f t="shared" si="269"/>
        <v>#DIV/0!</v>
      </c>
      <c r="I487" s="76" t="e">
        <f t="shared" si="270"/>
        <v>#DIV/0!</v>
      </c>
      <c r="J487" s="90">
        <v>30.67</v>
      </c>
      <c r="K487" s="199">
        <v>6359</v>
      </c>
      <c r="L487" s="283"/>
      <c r="M487" s="91">
        <v>279.38</v>
      </c>
      <c r="N487" s="79">
        <f t="shared" ref="N487:N498" si="275">J487/M487</f>
        <v>0.1097787959052187</v>
      </c>
      <c r="O487" s="80">
        <f t="shared" si="155"/>
        <v>9.109227257906749</v>
      </c>
      <c r="P487" s="79" t="e">
        <f t="shared" si="156"/>
        <v>#DIV/0!</v>
      </c>
      <c r="Q487" s="81" t="e">
        <f t="shared" si="157"/>
        <v>#DIV/0!</v>
      </c>
      <c r="R487" s="92">
        <f t="shared" si="274"/>
        <v>-279.38</v>
      </c>
      <c r="S487" s="83" t="e">
        <f t="shared" si="158"/>
        <v>#DIV/0!</v>
      </c>
      <c r="T487" s="84"/>
      <c r="U487" s="84"/>
      <c r="V487" s="84"/>
      <c r="W487" s="84"/>
      <c r="X487" s="85"/>
      <c r="Y487" s="68"/>
      <c r="Z487" s="68"/>
    </row>
    <row r="488" spans="1:26" ht="12.75" hidden="1" outlineLevel="1" x14ac:dyDescent="0.2">
      <c r="A488" s="68"/>
      <c r="B488" s="86"/>
      <c r="C488" s="70" t="s">
        <v>116</v>
      </c>
      <c r="D488" s="286"/>
      <c r="E488" s="283"/>
      <c r="F488" s="283"/>
      <c r="G488" s="74" t="e">
        <f t="shared" si="268"/>
        <v>#DIV/0!</v>
      </c>
      <c r="H488" s="75" t="e">
        <f t="shared" si="269"/>
        <v>#DIV/0!</v>
      </c>
      <c r="I488" s="76" t="e">
        <f t="shared" si="270"/>
        <v>#DIV/0!</v>
      </c>
      <c r="J488" s="200">
        <v>352.64</v>
      </c>
      <c r="K488" s="199">
        <v>17401</v>
      </c>
      <c r="L488" s="283"/>
      <c r="M488" s="200">
        <v>2558.37</v>
      </c>
      <c r="N488" s="79">
        <f t="shared" si="275"/>
        <v>0.13783776388872601</v>
      </c>
      <c r="O488" s="80">
        <f t="shared" si="155"/>
        <v>7.2549058529945549</v>
      </c>
      <c r="P488" s="79" t="e">
        <f t="shared" si="156"/>
        <v>#DIV/0!</v>
      </c>
      <c r="Q488" s="81" t="e">
        <f t="shared" si="157"/>
        <v>#DIV/0!</v>
      </c>
      <c r="R488" s="92">
        <f t="shared" si="274"/>
        <v>-2558.37</v>
      </c>
      <c r="S488" s="83" t="e">
        <f t="shared" si="158"/>
        <v>#DIV/0!</v>
      </c>
      <c r="T488" s="84"/>
      <c r="U488" s="84"/>
      <c r="V488" s="84"/>
      <c r="W488" s="84"/>
      <c r="X488" s="85"/>
      <c r="Y488" s="68"/>
      <c r="Z488" s="68"/>
    </row>
    <row r="489" spans="1:26" ht="12.75" hidden="1" outlineLevel="1" x14ac:dyDescent="0.2">
      <c r="A489" s="68"/>
      <c r="B489" s="86"/>
      <c r="C489" s="70" t="s">
        <v>117</v>
      </c>
      <c r="D489" s="287"/>
      <c r="E489" s="283"/>
      <c r="F489" s="283"/>
      <c r="G489" s="74" t="e">
        <f t="shared" si="268"/>
        <v>#DIV/0!</v>
      </c>
      <c r="H489" s="75" t="e">
        <f t="shared" si="269"/>
        <v>#DIV/0!</v>
      </c>
      <c r="I489" s="76" t="e">
        <f t="shared" si="270"/>
        <v>#DIV/0!</v>
      </c>
      <c r="J489" s="201">
        <v>24.79</v>
      </c>
      <c r="K489" s="199">
        <v>1532</v>
      </c>
      <c r="L489" s="283"/>
      <c r="M489" s="202">
        <v>119.88</v>
      </c>
      <c r="N489" s="79">
        <f t="shared" si="275"/>
        <v>0.20679012345679013</v>
      </c>
      <c r="O489" s="80">
        <f t="shared" si="155"/>
        <v>4.8358208955223878</v>
      </c>
      <c r="P489" s="79" t="e">
        <f t="shared" si="156"/>
        <v>#DIV/0!</v>
      </c>
      <c r="Q489" s="81" t="e">
        <f t="shared" si="157"/>
        <v>#DIV/0!</v>
      </c>
      <c r="R489" s="203">
        <f t="shared" si="274"/>
        <v>-119.88</v>
      </c>
      <c r="S489" s="83" t="e">
        <f t="shared" si="158"/>
        <v>#DIV/0!</v>
      </c>
      <c r="T489" s="84"/>
      <c r="U489" s="84"/>
      <c r="V489" s="84"/>
      <c r="W489" s="84"/>
      <c r="X489" s="85"/>
      <c r="Y489" s="68"/>
      <c r="Z489" s="68"/>
    </row>
    <row r="490" spans="1:26" ht="12.75" hidden="1" outlineLevel="1" x14ac:dyDescent="0.2">
      <c r="A490" s="68"/>
      <c r="B490" s="86"/>
      <c r="C490" s="70" t="s">
        <v>118</v>
      </c>
      <c r="D490" s="285"/>
      <c r="E490" s="283"/>
      <c r="F490" s="283"/>
      <c r="G490" s="74" t="e">
        <f t="shared" si="268"/>
        <v>#DIV/0!</v>
      </c>
      <c r="H490" s="75" t="e">
        <f t="shared" si="269"/>
        <v>#DIV/0!</v>
      </c>
      <c r="I490" s="76" t="e">
        <f t="shared" si="270"/>
        <v>#DIV/0!</v>
      </c>
      <c r="J490" s="90">
        <v>228.49</v>
      </c>
      <c r="K490" s="199">
        <v>14807</v>
      </c>
      <c r="L490" s="283"/>
      <c r="M490" s="91">
        <v>1387.29</v>
      </c>
      <c r="N490" s="79">
        <f t="shared" si="275"/>
        <v>0.16470240540910697</v>
      </c>
      <c r="O490" s="80">
        <f t="shared" si="155"/>
        <v>6.0715567420893688</v>
      </c>
      <c r="P490" s="79" t="e">
        <f t="shared" si="156"/>
        <v>#DIV/0!</v>
      </c>
      <c r="Q490" s="81" t="e">
        <f t="shared" si="157"/>
        <v>#DIV/0!</v>
      </c>
      <c r="R490" s="92">
        <f t="shared" si="274"/>
        <v>-1387.29</v>
      </c>
      <c r="S490" s="83" t="e">
        <f t="shared" si="158"/>
        <v>#DIV/0!</v>
      </c>
      <c r="T490" s="84"/>
      <c r="U490" s="84"/>
      <c r="V490" s="84"/>
      <c r="W490" s="84"/>
      <c r="X490" s="85"/>
      <c r="Y490" s="68"/>
      <c r="Z490" s="68"/>
    </row>
    <row r="491" spans="1:26" ht="12.75" hidden="1" outlineLevel="1" x14ac:dyDescent="0.2">
      <c r="A491" s="68"/>
      <c r="B491" s="69" t="s">
        <v>37</v>
      </c>
      <c r="C491" s="70" t="s">
        <v>119</v>
      </c>
      <c r="D491" s="288"/>
      <c r="E491" s="283"/>
      <c r="F491" s="283"/>
      <c r="G491" s="74" t="e">
        <f t="shared" si="268"/>
        <v>#DIV/0!</v>
      </c>
      <c r="H491" s="75" t="e">
        <f t="shared" si="269"/>
        <v>#DIV/0!</v>
      </c>
      <c r="I491" s="76" t="e">
        <f t="shared" si="270"/>
        <v>#DIV/0!</v>
      </c>
      <c r="J491" s="93">
        <v>329.6</v>
      </c>
      <c r="K491" s="199">
        <v>10699</v>
      </c>
      <c r="L491" s="283"/>
      <c r="M491" s="94">
        <v>925.37</v>
      </c>
      <c r="N491" s="79">
        <f t="shared" si="275"/>
        <v>0.35618185158369087</v>
      </c>
      <c r="O491" s="80">
        <f t="shared" si="155"/>
        <v>2.8075546116504855</v>
      </c>
      <c r="P491" s="79" t="e">
        <f t="shared" si="156"/>
        <v>#DIV/0!</v>
      </c>
      <c r="Q491" s="81" t="e">
        <f t="shared" si="157"/>
        <v>#DIV/0!</v>
      </c>
      <c r="R491" s="95">
        <f t="shared" si="274"/>
        <v>-925.37</v>
      </c>
      <c r="S491" s="83" t="e">
        <f t="shared" si="158"/>
        <v>#DIV/0!</v>
      </c>
      <c r="T491" s="84"/>
      <c r="U491" s="84"/>
      <c r="V491" s="84"/>
      <c r="W491" s="84"/>
      <c r="X491" s="85"/>
      <c r="Y491" s="68"/>
      <c r="Z491" s="68"/>
    </row>
    <row r="492" spans="1:26" ht="12.75" hidden="1" outlineLevel="1" x14ac:dyDescent="0.2">
      <c r="A492" s="68"/>
      <c r="B492" s="86"/>
      <c r="C492" s="70" t="s">
        <v>120</v>
      </c>
      <c r="D492" s="289"/>
      <c r="E492" s="283"/>
      <c r="F492" s="283"/>
      <c r="G492" s="74" t="e">
        <f t="shared" si="268"/>
        <v>#DIV/0!</v>
      </c>
      <c r="H492" s="75" t="e">
        <f t="shared" si="269"/>
        <v>#DIV/0!</v>
      </c>
      <c r="I492" s="76" t="e">
        <f t="shared" si="270"/>
        <v>#DIV/0!</v>
      </c>
      <c r="J492" s="96">
        <v>542.91999999999996</v>
      </c>
      <c r="K492" s="199">
        <v>55053</v>
      </c>
      <c r="L492" s="283"/>
      <c r="M492" s="97">
        <v>5112.34</v>
      </c>
      <c r="N492" s="79">
        <f t="shared" si="275"/>
        <v>0.1061979445811507</v>
      </c>
      <c r="O492" s="80">
        <f t="shared" si="155"/>
        <v>9.4163781035880074</v>
      </c>
      <c r="P492" s="79" t="e">
        <f t="shared" si="156"/>
        <v>#DIV/0!</v>
      </c>
      <c r="Q492" s="81" t="e">
        <f t="shared" si="157"/>
        <v>#DIV/0!</v>
      </c>
      <c r="R492" s="98">
        <f t="shared" si="274"/>
        <v>-5112.34</v>
      </c>
      <c r="S492" s="83" t="e">
        <f t="shared" si="158"/>
        <v>#DIV/0!</v>
      </c>
      <c r="T492" s="84"/>
      <c r="U492" s="84"/>
      <c r="V492" s="84"/>
      <c r="W492" s="84"/>
      <c r="X492" s="85"/>
      <c r="Y492" s="68"/>
      <c r="Z492" s="68"/>
    </row>
    <row r="493" spans="1:26" ht="12.75" hidden="1" outlineLevel="1" x14ac:dyDescent="0.2">
      <c r="A493" s="68"/>
      <c r="B493" s="86"/>
      <c r="C493" s="70" t="s">
        <v>121</v>
      </c>
      <c r="D493" s="290"/>
      <c r="E493" s="283"/>
      <c r="F493" s="283"/>
      <c r="G493" s="74" t="e">
        <f t="shared" si="268"/>
        <v>#DIV/0!</v>
      </c>
      <c r="H493" s="75" t="e">
        <f t="shared" si="269"/>
        <v>#DIV/0!</v>
      </c>
      <c r="I493" s="76" t="e">
        <f t="shared" si="270"/>
        <v>#DIV/0!</v>
      </c>
      <c r="J493" s="99">
        <v>264.67</v>
      </c>
      <c r="K493" s="199">
        <v>22074</v>
      </c>
      <c r="L493" s="283"/>
      <c r="M493" s="100">
        <v>945.76</v>
      </c>
      <c r="N493" s="79">
        <f t="shared" si="275"/>
        <v>0.27984901031974285</v>
      </c>
      <c r="O493" s="80">
        <f t="shared" si="155"/>
        <v>3.5733554993010159</v>
      </c>
      <c r="P493" s="79" t="e">
        <f t="shared" si="156"/>
        <v>#DIV/0!</v>
      </c>
      <c r="Q493" s="81" t="e">
        <f t="shared" si="157"/>
        <v>#DIV/0!</v>
      </c>
      <c r="R493" s="101">
        <f t="shared" si="274"/>
        <v>-945.76</v>
      </c>
      <c r="S493" s="83" t="e">
        <f t="shared" si="158"/>
        <v>#DIV/0!</v>
      </c>
      <c r="T493" s="84"/>
      <c r="U493" s="84"/>
      <c r="V493" s="84"/>
      <c r="W493" s="84"/>
      <c r="X493" s="85"/>
      <c r="Y493" s="68"/>
      <c r="Z493" s="68"/>
    </row>
    <row r="494" spans="1:26" ht="12.75" hidden="1" outlineLevel="1" x14ac:dyDescent="0.2">
      <c r="A494" s="68"/>
      <c r="B494" s="86"/>
      <c r="C494" s="70" t="s">
        <v>122</v>
      </c>
      <c r="D494" s="290"/>
      <c r="E494" s="283"/>
      <c r="F494" s="283"/>
      <c r="G494" s="291"/>
      <c r="H494" s="72"/>
      <c r="I494" s="292"/>
      <c r="J494" s="105">
        <v>617.11</v>
      </c>
      <c r="K494" s="199">
        <v>36717</v>
      </c>
      <c r="L494" s="283"/>
      <c r="M494" s="106">
        <v>2086.06</v>
      </c>
      <c r="N494" s="79">
        <f t="shared" si="275"/>
        <v>0.2958256234240626</v>
      </c>
      <c r="O494" s="80">
        <f t="shared" si="155"/>
        <v>3.3803697882063162</v>
      </c>
      <c r="P494" s="79" t="e">
        <f t="shared" si="156"/>
        <v>#DIV/0!</v>
      </c>
      <c r="Q494" s="81" t="e">
        <f t="shared" si="157"/>
        <v>#DIV/0!</v>
      </c>
      <c r="R494" s="107">
        <f t="shared" si="274"/>
        <v>-2086.06</v>
      </c>
      <c r="S494" s="83" t="e">
        <f t="shared" si="158"/>
        <v>#DIV/0!</v>
      </c>
      <c r="T494" s="84"/>
      <c r="U494" s="84"/>
      <c r="V494" s="84"/>
      <c r="W494" s="84"/>
      <c r="X494" s="85"/>
      <c r="Y494" s="68"/>
      <c r="Z494" s="68"/>
    </row>
    <row r="495" spans="1:26" ht="12.75" hidden="1" outlineLevel="1" x14ac:dyDescent="0.2">
      <c r="A495" s="118" t="str">
        <f t="shared" ref="A495:A496" si="276">IFERROR(IF(B495&gt;0,MONTH(B495)&amp;"-"&amp;YEAR(B495),B495),)</f>
        <v>11-2025</v>
      </c>
      <c r="B495" s="69">
        <v>45990</v>
      </c>
      <c r="C495" s="70" t="s">
        <v>123</v>
      </c>
      <c r="D495" s="293"/>
      <c r="E495" s="283"/>
      <c r="F495" s="283"/>
      <c r="G495" s="74" t="e">
        <f t="shared" ref="G495:G506" si="277">E495/F495</f>
        <v>#DIV/0!</v>
      </c>
      <c r="H495" s="75" t="e">
        <f t="shared" ref="H495:H506" si="278">D495/E495</f>
        <v>#DIV/0!</v>
      </c>
      <c r="I495" s="76" t="e">
        <f t="shared" ref="I495:I506" si="279">H495/G495</f>
        <v>#DIV/0!</v>
      </c>
      <c r="J495" s="87">
        <v>0</v>
      </c>
      <c r="K495" s="199">
        <v>0</v>
      </c>
      <c r="L495" s="283"/>
      <c r="M495" s="88">
        <v>0</v>
      </c>
      <c r="N495" s="79" t="e">
        <f t="shared" si="275"/>
        <v>#DIV/0!</v>
      </c>
      <c r="O495" s="80" t="e">
        <f t="shared" si="155"/>
        <v>#DIV/0!</v>
      </c>
      <c r="P495" s="79" t="e">
        <f t="shared" si="156"/>
        <v>#DIV/0!</v>
      </c>
      <c r="Q495" s="81" t="e">
        <f t="shared" si="157"/>
        <v>#DIV/0!</v>
      </c>
      <c r="R495" s="82">
        <f t="shared" si="274"/>
        <v>0</v>
      </c>
      <c r="S495" s="83" t="e">
        <f t="shared" si="158"/>
        <v>#DIV/0!</v>
      </c>
      <c r="T495" s="84"/>
      <c r="U495" s="84"/>
      <c r="V495" s="84"/>
      <c r="W495" s="84"/>
      <c r="X495" s="85"/>
      <c r="Y495" s="68"/>
      <c r="Z495" s="68"/>
    </row>
    <row r="496" spans="1:26" ht="12.75" collapsed="1" x14ac:dyDescent="0.2">
      <c r="A496" s="68">
        <f t="shared" si="276"/>
        <v>0</v>
      </c>
      <c r="B496" s="52" t="s">
        <v>106</v>
      </c>
      <c r="C496" s="120"/>
      <c r="D496" s="121">
        <f t="shared" ref="D496:F496" si="280">SUM(D484:D495)</f>
        <v>0</v>
      </c>
      <c r="E496" s="123">
        <f t="shared" si="280"/>
        <v>0</v>
      </c>
      <c r="F496" s="123">
        <f t="shared" si="280"/>
        <v>0</v>
      </c>
      <c r="G496" s="124" t="e">
        <f t="shared" si="277"/>
        <v>#DIV/0!</v>
      </c>
      <c r="H496" s="125" t="e">
        <f t="shared" si="278"/>
        <v>#DIV/0!</v>
      </c>
      <c r="I496" s="126" t="e">
        <f t="shared" si="279"/>
        <v>#DIV/0!</v>
      </c>
      <c r="J496" s="121">
        <f t="shared" ref="J496:M496" si="281">SUM(J484:J495)</f>
        <v>4957.0099999999993</v>
      </c>
      <c r="K496" s="294">
        <f t="shared" si="281"/>
        <v>315237</v>
      </c>
      <c r="L496" s="123">
        <f t="shared" si="281"/>
        <v>0</v>
      </c>
      <c r="M496" s="127">
        <f t="shared" si="281"/>
        <v>34658.959999999999</v>
      </c>
      <c r="N496" s="128">
        <f t="shared" si="275"/>
        <v>0.14302246807174823</v>
      </c>
      <c r="O496" s="129">
        <f t="shared" si="155"/>
        <v>6.9919084286697029</v>
      </c>
      <c r="P496" s="128" t="e">
        <f t="shared" si="156"/>
        <v>#DIV/0!</v>
      </c>
      <c r="Q496" s="130" t="e">
        <f t="shared" si="157"/>
        <v>#DIV/0!</v>
      </c>
      <c r="R496" s="131">
        <f>SUM(R484:R495)</f>
        <v>-34658.959999999999</v>
      </c>
      <c r="S496" s="132" t="e">
        <f t="shared" si="158"/>
        <v>#DIV/0!</v>
      </c>
      <c r="T496" s="134">
        <f t="shared" ref="T496:U496" si="282">IFERROR((D496-D48)/D496,)</f>
        <v>0</v>
      </c>
      <c r="U496" s="134">
        <f t="shared" si="282"/>
        <v>0</v>
      </c>
      <c r="V496" s="134" t="s">
        <v>139</v>
      </c>
      <c r="W496" s="134" t="s">
        <v>139</v>
      </c>
      <c r="X496" s="68"/>
      <c r="Y496" s="68"/>
      <c r="Z496" s="68"/>
    </row>
    <row r="497" spans="1:26" ht="12.75" hidden="1" outlineLevel="1" x14ac:dyDescent="0.2">
      <c r="A497" s="68"/>
      <c r="B497" s="69">
        <v>45991</v>
      </c>
      <c r="C497" s="70" t="s">
        <v>112</v>
      </c>
      <c r="D497" s="282"/>
      <c r="E497" s="283"/>
      <c r="F497" s="283"/>
      <c r="G497" s="74" t="e">
        <f t="shared" si="277"/>
        <v>#DIV/0!</v>
      </c>
      <c r="H497" s="75" t="e">
        <f t="shared" si="278"/>
        <v>#DIV/0!</v>
      </c>
      <c r="I497" s="76" t="e">
        <f t="shared" si="279"/>
        <v>#DIV/0!</v>
      </c>
      <c r="J497" s="77">
        <v>2438.19</v>
      </c>
      <c r="K497" s="199">
        <v>100091</v>
      </c>
      <c r="L497" s="283"/>
      <c r="M497" s="78">
        <v>9792.99</v>
      </c>
      <c r="N497" s="79">
        <f t="shared" si="275"/>
        <v>0.24897298986315722</v>
      </c>
      <c r="O497" s="80">
        <f t="shared" si="155"/>
        <v>4.0164999446310583</v>
      </c>
      <c r="P497" s="79" t="e">
        <f t="shared" si="156"/>
        <v>#DIV/0!</v>
      </c>
      <c r="Q497" s="81" t="e">
        <f t="shared" si="157"/>
        <v>#DIV/0!</v>
      </c>
      <c r="R497" s="82">
        <f t="shared" ref="R497:R508" si="283">D497-M497</f>
        <v>-9792.99</v>
      </c>
      <c r="S497" s="83" t="e">
        <f t="shared" si="158"/>
        <v>#DIV/0!</v>
      </c>
      <c r="T497" s="84"/>
      <c r="U497" s="84"/>
      <c r="V497" s="84"/>
      <c r="W497" s="84"/>
      <c r="X497" s="85"/>
      <c r="Y497" s="68"/>
      <c r="Z497" s="68"/>
    </row>
    <row r="498" spans="1:26" ht="12.75" hidden="1" outlineLevel="1" x14ac:dyDescent="0.2">
      <c r="A498" s="68"/>
      <c r="B498" s="86"/>
      <c r="C498" s="70" t="s">
        <v>113</v>
      </c>
      <c r="D498" s="284"/>
      <c r="E498" s="283"/>
      <c r="F498" s="283"/>
      <c r="G498" s="74" t="e">
        <f t="shared" si="277"/>
        <v>#DIV/0!</v>
      </c>
      <c r="H498" s="75" t="e">
        <f t="shared" si="278"/>
        <v>#DIV/0!</v>
      </c>
      <c r="I498" s="76" t="e">
        <f t="shared" si="279"/>
        <v>#DIV/0!</v>
      </c>
      <c r="J498" s="87">
        <v>60.48</v>
      </c>
      <c r="K498" s="199">
        <v>4985</v>
      </c>
      <c r="L498" s="283"/>
      <c r="M498" s="88">
        <v>294.39999999999998</v>
      </c>
      <c r="N498" s="79">
        <f t="shared" si="275"/>
        <v>0.20543478260869566</v>
      </c>
      <c r="O498" s="80">
        <f t="shared" si="155"/>
        <v>4.8677248677248679</v>
      </c>
      <c r="P498" s="79" t="e">
        <f t="shared" si="156"/>
        <v>#DIV/0!</v>
      </c>
      <c r="Q498" s="81" t="e">
        <f t="shared" si="157"/>
        <v>#DIV/0!</v>
      </c>
      <c r="R498" s="89">
        <f t="shared" si="283"/>
        <v>-294.39999999999998</v>
      </c>
      <c r="S498" s="83" t="e">
        <f t="shared" si="158"/>
        <v>#DIV/0!</v>
      </c>
      <c r="T498" s="84"/>
      <c r="U498" s="84"/>
      <c r="V498" s="84"/>
      <c r="W498" s="84"/>
      <c r="X498" s="85"/>
      <c r="Y498" s="68"/>
      <c r="Z498" s="68"/>
    </row>
    <row r="499" spans="1:26" ht="12.75" hidden="1" outlineLevel="1" x14ac:dyDescent="0.2">
      <c r="A499" s="68"/>
      <c r="B499" s="86"/>
      <c r="C499" s="70" t="s">
        <v>114</v>
      </c>
      <c r="D499" s="285"/>
      <c r="E499" s="283"/>
      <c r="F499" s="283"/>
      <c r="G499" s="74" t="e">
        <f t="shared" si="277"/>
        <v>#DIV/0!</v>
      </c>
      <c r="H499" s="75" t="e">
        <f t="shared" si="278"/>
        <v>#DIV/0!</v>
      </c>
      <c r="I499" s="76" t="e">
        <f t="shared" si="279"/>
        <v>#DIV/0!</v>
      </c>
      <c r="J499" s="90">
        <v>524.88</v>
      </c>
      <c r="K499" s="199">
        <v>66042</v>
      </c>
      <c r="L499" s="283"/>
      <c r="M499" s="91">
        <v>1235.77</v>
      </c>
      <c r="N499" s="79">
        <f>(J499/M499)</f>
        <v>0.42473923141037573</v>
      </c>
      <c r="O499" s="80">
        <f t="shared" si="155"/>
        <v>2.3543857643651882</v>
      </c>
      <c r="P499" s="79" t="e">
        <f t="shared" si="156"/>
        <v>#DIV/0!</v>
      </c>
      <c r="Q499" s="81" t="e">
        <f t="shared" si="157"/>
        <v>#DIV/0!</v>
      </c>
      <c r="R499" s="92">
        <f t="shared" si="283"/>
        <v>-1235.77</v>
      </c>
      <c r="S499" s="83" t="e">
        <f t="shared" si="158"/>
        <v>#DIV/0!</v>
      </c>
      <c r="T499" s="84"/>
      <c r="U499" s="84"/>
      <c r="V499" s="84"/>
      <c r="W499" s="84"/>
      <c r="X499" s="85"/>
      <c r="Y499" s="68"/>
      <c r="Z499" s="68"/>
    </row>
    <row r="500" spans="1:26" ht="12.75" hidden="1" outlineLevel="1" x14ac:dyDescent="0.2">
      <c r="A500" s="68"/>
      <c r="B500" s="86"/>
      <c r="C500" s="70" t="s">
        <v>115</v>
      </c>
      <c r="D500" s="285"/>
      <c r="E500" s="283"/>
      <c r="F500" s="283"/>
      <c r="G500" s="74" t="e">
        <f t="shared" si="277"/>
        <v>#DIV/0!</v>
      </c>
      <c r="H500" s="75" t="e">
        <f t="shared" si="278"/>
        <v>#DIV/0!</v>
      </c>
      <c r="I500" s="76" t="e">
        <f t="shared" si="279"/>
        <v>#DIV/0!</v>
      </c>
      <c r="J500" s="90">
        <v>0</v>
      </c>
      <c r="K500" s="199">
        <v>0</v>
      </c>
      <c r="L500" s="283"/>
      <c r="M500" s="91">
        <v>0</v>
      </c>
      <c r="N500" s="79" t="e">
        <f t="shared" ref="N500:N511" si="284">J500/M500</f>
        <v>#DIV/0!</v>
      </c>
      <c r="O500" s="80" t="e">
        <f t="shared" si="155"/>
        <v>#DIV/0!</v>
      </c>
      <c r="P500" s="79" t="e">
        <f t="shared" si="156"/>
        <v>#DIV/0!</v>
      </c>
      <c r="Q500" s="81" t="e">
        <f t="shared" si="157"/>
        <v>#DIV/0!</v>
      </c>
      <c r="R500" s="92">
        <f t="shared" si="283"/>
        <v>0</v>
      </c>
      <c r="S500" s="83" t="e">
        <f t="shared" si="158"/>
        <v>#DIV/0!</v>
      </c>
      <c r="T500" s="84"/>
      <c r="U500" s="84"/>
      <c r="V500" s="84"/>
      <c r="W500" s="84"/>
      <c r="X500" s="85"/>
      <c r="Y500" s="68"/>
      <c r="Z500" s="68"/>
    </row>
    <row r="501" spans="1:26" ht="12.75" hidden="1" outlineLevel="1" x14ac:dyDescent="0.2">
      <c r="A501" s="68"/>
      <c r="B501" s="86"/>
      <c r="C501" s="70" t="s">
        <v>116</v>
      </c>
      <c r="D501" s="286"/>
      <c r="E501" s="283"/>
      <c r="F501" s="283"/>
      <c r="G501" s="74" t="e">
        <f t="shared" si="277"/>
        <v>#DIV/0!</v>
      </c>
      <c r="H501" s="75" t="e">
        <f t="shared" si="278"/>
        <v>#DIV/0!</v>
      </c>
      <c r="I501" s="76" t="e">
        <f t="shared" si="279"/>
        <v>#DIV/0!</v>
      </c>
      <c r="J501" s="200">
        <v>721.4</v>
      </c>
      <c r="K501" s="199">
        <v>33682</v>
      </c>
      <c r="L501" s="283"/>
      <c r="M501" s="200">
        <v>2435.58</v>
      </c>
      <c r="N501" s="79">
        <f t="shared" si="284"/>
        <v>0.2961922827416878</v>
      </c>
      <c r="O501" s="80">
        <f t="shared" si="155"/>
        <v>3.3761851954532851</v>
      </c>
      <c r="P501" s="79" t="e">
        <f t="shared" si="156"/>
        <v>#DIV/0!</v>
      </c>
      <c r="Q501" s="81" t="e">
        <f t="shared" si="157"/>
        <v>#DIV/0!</v>
      </c>
      <c r="R501" s="92">
        <f t="shared" si="283"/>
        <v>-2435.58</v>
      </c>
      <c r="S501" s="83" t="e">
        <f t="shared" si="158"/>
        <v>#DIV/0!</v>
      </c>
      <c r="T501" s="84"/>
      <c r="U501" s="84"/>
      <c r="V501" s="84"/>
      <c r="W501" s="84"/>
      <c r="X501" s="85"/>
      <c r="Y501" s="68"/>
      <c r="Z501" s="68"/>
    </row>
    <row r="502" spans="1:26" ht="12.75" hidden="1" outlineLevel="1" x14ac:dyDescent="0.2">
      <c r="A502" s="68"/>
      <c r="B502" s="86"/>
      <c r="C502" s="70" t="s">
        <v>117</v>
      </c>
      <c r="D502" s="287"/>
      <c r="E502" s="283"/>
      <c r="F502" s="283"/>
      <c r="G502" s="74" t="e">
        <f t="shared" si="277"/>
        <v>#DIV/0!</v>
      </c>
      <c r="H502" s="75" t="e">
        <f t="shared" si="278"/>
        <v>#DIV/0!</v>
      </c>
      <c r="I502" s="76" t="e">
        <f t="shared" si="279"/>
        <v>#DIV/0!</v>
      </c>
      <c r="J502" s="201">
        <v>0</v>
      </c>
      <c r="K502" s="199">
        <v>0</v>
      </c>
      <c r="L502" s="283"/>
      <c r="M502" s="202">
        <v>0</v>
      </c>
      <c r="N502" s="79" t="e">
        <f t="shared" si="284"/>
        <v>#DIV/0!</v>
      </c>
      <c r="O502" s="80" t="e">
        <f t="shared" si="155"/>
        <v>#DIV/0!</v>
      </c>
      <c r="P502" s="79" t="e">
        <f t="shared" si="156"/>
        <v>#DIV/0!</v>
      </c>
      <c r="Q502" s="81" t="e">
        <f t="shared" si="157"/>
        <v>#DIV/0!</v>
      </c>
      <c r="R502" s="203">
        <f t="shared" si="283"/>
        <v>0</v>
      </c>
      <c r="S502" s="83" t="e">
        <f t="shared" si="158"/>
        <v>#DIV/0!</v>
      </c>
      <c r="T502" s="84"/>
      <c r="U502" s="84"/>
      <c r="V502" s="84"/>
      <c r="W502" s="84"/>
      <c r="X502" s="85"/>
      <c r="Y502" s="68"/>
      <c r="Z502" s="68"/>
    </row>
    <row r="503" spans="1:26" ht="12.75" hidden="1" outlineLevel="1" x14ac:dyDescent="0.2">
      <c r="A503" s="68"/>
      <c r="B503" s="86"/>
      <c r="C503" s="70" t="s">
        <v>118</v>
      </c>
      <c r="D503" s="285"/>
      <c r="E503" s="283"/>
      <c r="F503" s="283"/>
      <c r="G503" s="74" t="e">
        <f t="shared" si="277"/>
        <v>#DIV/0!</v>
      </c>
      <c r="H503" s="75" t="e">
        <f t="shared" si="278"/>
        <v>#DIV/0!</v>
      </c>
      <c r="I503" s="76" t="e">
        <f t="shared" si="279"/>
        <v>#DIV/0!</v>
      </c>
      <c r="J503" s="90">
        <v>186.31</v>
      </c>
      <c r="K503" s="199">
        <v>11400</v>
      </c>
      <c r="L503" s="283"/>
      <c r="M503" s="91">
        <v>1166.93</v>
      </c>
      <c r="N503" s="79">
        <f t="shared" si="284"/>
        <v>0.15965824856675206</v>
      </c>
      <c r="O503" s="80">
        <f t="shared" si="155"/>
        <v>6.2633782405667979</v>
      </c>
      <c r="P503" s="79" t="e">
        <f t="shared" si="156"/>
        <v>#DIV/0!</v>
      </c>
      <c r="Q503" s="81" t="e">
        <f t="shared" si="157"/>
        <v>#DIV/0!</v>
      </c>
      <c r="R503" s="92">
        <f t="shared" si="283"/>
        <v>-1166.93</v>
      </c>
      <c r="S503" s="83" t="e">
        <f t="shared" si="158"/>
        <v>#DIV/0!</v>
      </c>
      <c r="T503" s="84"/>
      <c r="U503" s="84"/>
      <c r="V503" s="84"/>
      <c r="W503" s="84"/>
      <c r="X503" s="85"/>
      <c r="Y503" s="68"/>
      <c r="Z503" s="68"/>
    </row>
    <row r="504" spans="1:26" ht="12.75" hidden="1" outlineLevel="1" x14ac:dyDescent="0.2">
      <c r="A504" s="68"/>
      <c r="B504" s="69" t="s">
        <v>37</v>
      </c>
      <c r="C504" s="70" t="s">
        <v>119</v>
      </c>
      <c r="D504" s="288"/>
      <c r="E504" s="283"/>
      <c r="F504" s="283"/>
      <c r="G504" s="74" t="e">
        <f t="shared" si="277"/>
        <v>#DIV/0!</v>
      </c>
      <c r="H504" s="75" t="e">
        <f t="shared" si="278"/>
        <v>#DIV/0!</v>
      </c>
      <c r="I504" s="76" t="e">
        <f t="shared" si="279"/>
        <v>#DIV/0!</v>
      </c>
      <c r="J504" s="93">
        <v>393</v>
      </c>
      <c r="K504" s="199">
        <v>12693</v>
      </c>
      <c r="L504" s="283"/>
      <c r="M504" s="94">
        <v>849.9</v>
      </c>
      <c r="N504" s="79">
        <f t="shared" si="284"/>
        <v>0.46240734204024003</v>
      </c>
      <c r="O504" s="80">
        <f t="shared" si="155"/>
        <v>2.1625954198473281</v>
      </c>
      <c r="P504" s="79" t="e">
        <f t="shared" si="156"/>
        <v>#DIV/0!</v>
      </c>
      <c r="Q504" s="81" t="e">
        <f t="shared" si="157"/>
        <v>#DIV/0!</v>
      </c>
      <c r="R504" s="95">
        <f t="shared" si="283"/>
        <v>-849.9</v>
      </c>
      <c r="S504" s="83" t="e">
        <f t="shared" si="158"/>
        <v>#DIV/0!</v>
      </c>
      <c r="T504" s="84"/>
      <c r="U504" s="84"/>
      <c r="V504" s="84"/>
      <c r="W504" s="84"/>
      <c r="X504" s="85"/>
      <c r="Y504" s="68"/>
      <c r="Z504" s="68"/>
    </row>
    <row r="505" spans="1:26" ht="12.75" hidden="1" outlineLevel="1" x14ac:dyDescent="0.2">
      <c r="A505" s="68"/>
      <c r="B505" s="86"/>
      <c r="C505" s="70" t="s">
        <v>120</v>
      </c>
      <c r="D505" s="289"/>
      <c r="E505" s="283"/>
      <c r="F505" s="283"/>
      <c r="G505" s="74" t="e">
        <f t="shared" si="277"/>
        <v>#DIV/0!</v>
      </c>
      <c r="H505" s="75" t="e">
        <f t="shared" si="278"/>
        <v>#DIV/0!</v>
      </c>
      <c r="I505" s="76" t="e">
        <f t="shared" si="279"/>
        <v>#DIV/0!</v>
      </c>
      <c r="J505" s="96">
        <v>1350.8</v>
      </c>
      <c r="K505" s="199">
        <v>99705</v>
      </c>
      <c r="L505" s="283"/>
      <c r="M505" s="97">
        <v>3445.62</v>
      </c>
      <c r="N505" s="79">
        <f t="shared" si="284"/>
        <v>0.39203394454408785</v>
      </c>
      <c r="O505" s="80">
        <f t="shared" si="155"/>
        <v>2.5507995262066925</v>
      </c>
      <c r="P505" s="79" t="e">
        <f t="shared" si="156"/>
        <v>#DIV/0!</v>
      </c>
      <c r="Q505" s="81" t="e">
        <f t="shared" si="157"/>
        <v>#DIV/0!</v>
      </c>
      <c r="R505" s="98">
        <f t="shared" si="283"/>
        <v>-3445.62</v>
      </c>
      <c r="S505" s="83" t="e">
        <f t="shared" si="158"/>
        <v>#DIV/0!</v>
      </c>
      <c r="T505" s="84"/>
      <c r="U505" s="84"/>
      <c r="V505" s="84"/>
      <c r="W505" s="84"/>
      <c r="X505" s="85"/>
      <c r="Y505" s="68"/>
      <c r="Z505" s="68"/>
    </row>
    <row r="506" spans="1:26" ht="12.75" hidden="1" outlineLevel="1" x14ac:dyDescent="0.2">
      <c r="A506" s="68"/>
      <c r="B506" s="86"/>
      <c r="C506" s="70" t="s">
        <v>121</v>
      </c>
      <c r="D506" s="290"/>
      <c r="E506" s="283"/>
      <c r="F506" s="283"/>
      <c r="G506" s="74" t="e">
        <f t="shared" si="277"/>
        <v>#DIV/0!</v>
      </c>
      <c r="H506" s="75" t="e">
        <f t="shared" si="278"/>
        <v>#DIV/0!</v>
      </c>
      <c r="I506" s="76" t="e">
        <f t="shared" si="279"/>
        <v>#DIV/0!</v>
      </c>
      <c r="J506" s="99">
        <v>374.71</v>
      </c>
      <c r="K506" s="199">
        <v>34099</v>
      </c>
      <c r="L506" s="283"/>
      <c r="M506" s="100">
        <v>745.36</v>
      </c>
      <c r="N506" s="79">
        <f t="shared" si="284"/>
        <v>0.50272351615326816</v>
      </c>
      <c r="O506" s="80">
        <f t="shared" si="155"/>
        <v>1.9891649542312724</v>
      </c>
      <c r="P506" s="79" t="e">
        <f t="shared" si="156"/>
        <v>#DIV/0!</v>
      </c>
      <c r="Q506" s="81" t="e">
        <f t="shared" si="157"/>
        <v>#DIV/0!</v>
      </c>
      <c r="R506" s="101">
        <f t="shared" si="283"/>
        <v>-745.36</v>
      </c>
      <c r="S506" s="83" t="e">
        <f t="shared" si="158"/>
        <v>#DIV/0!</v>
      </c>
      <c r="T506" s="84"/>
      <c r="U506" s="84"/>
      <c r="V506" s="84"/>
      <c r="W506" s="84"/>
      <c r="X506" s="85"/>
      <c r="Y506" s="68"/>
      <c r="Z506" s="68"/>
    </row>
    <row r="507" spans="1:26" ht="12.75" hidden="1" outlineLevel="1" x14ac:dyDescent="0.2">
      <c r="A507" s="68"/>
      <c r="B507" s="86"/>
      <c r="C507" s="70" t="s">
        <v>122</v>
      </c>
      <c r="D507" s="290"/>
      <c r="E507" s="283"/>
      <c r="F507" s="283"/>
      <c r="G507" s="291"/>
      <c r="H507" s="72"/>
      <c r="I507" s="292"/>
      <c r="J507" s="105">
        <v>657.34</v>
      </c>
      <c r="K507" s="199">
        <v>36595</v>
      </c>
      <c r="L507" s="283"/>
      <c r="M507" s="106">
        <v>3145.05</v>
      </c>
      <c r="N507" s="79">
        <f t="shared" si="284"/>
        <v>0.20900780591723503</v>
      </c>
      <c r="O507" s="80">
        <f t="shared" si="155"/>
        <v>4.7845102990841877</v>
      </c>
      <c r="P507" s="79" t="e">
        <f t="shared" si="156"/>
        <v>#DIV/0!</v>
      </c>
      <c r="Q507" s="81" t="e">
        <f t="shared" si="157"/>
        <v>#DIV/0!</v>
      </c>
      <c r="R507" s="107">
        <f t="shared" si="283"/>
        <v>-3145.05</v>
      </c>
      <c r="S507" s="83" t="e">
        <f t="shared" si="158"/>
        <v>#DIV/0!</v>
      </c>
      <c r="T507" s="84"/>
      <c r="U507" s="84"/>
      <c r="V507" s="84"/>
      <c r="W507" s="84"/>
      <c r="X507" s="85"/>
      <c r="Y507" s="68"/>
      <c r="Z507" s="68"/>
    </row>
    <row r="508" spans="1:26" ht="12.75" hidden="1" outlineLevel="1" x14ac:dyDescent="0.2">
      <c r="A508" s="118" t="str">
        <f t="shared" ref="A508:A509" si="285">IFERROR(IF(B508&gt;0,MONTH(B508)&amp;"-"&amp;YEAR(B508),B508),)</f>
        <v>12-2025</v>
      </c>
      <c r="B508" s="69">
        <v>45997</v>
      </c>
      <c r="C508" s="70" t="s">
        <v>123</v>
      </c>
      <c r="D508" s="293"/>
      <c r="E508" s="283"/>
      <c r="F508" s="283"/>
      <c r="G508" s="74" t="e">
        <f t="shared" ref="G508:G519" si="286">E508/F508</f>
        <v>#DIV/0!</v>
      </c>
      <c r="H508" s="75" t="e">
        <f t="shared" ref="H508:H519" si="287">D508/E508</f>
        <v>#DIV/0!</v>
      </c>
      <c r="I508" s="76" t="e">
        <f t="shared" ref="I508:I519" si="288">H508/G508</f>
        <v>#DIV/0!</v>
      </c>
      <c r="J508" s="87">
        <v>0</v>
      </c>
      <c r="K508" s="199">
        <v>0</v>
      </c>
      <c r="L508" s="283"/>
      <c r="M508" s="88">
        <v>0</v>
      </c>
      <c r="N508" s="79" t="e">
        <f t="shared" si="284"/>
        <v>#DIV/0!</v>
      </c>
      <c r="O508" s="80" t="e">
        <f t="shared" si="155"/>
        <v>#DIV/0!</v>
      </c>
      <c r="P508" s="79" t="e">
        <f t="shared" si="156"/>
        <v>#DIV/0!</v>
      </c>
      <c r="Q508" s="81" t="e">
        <f t="shared" si="157"/>
        <v>#DIV/0!</v>
      </c>
      <c r="R508" s="82">
        <f t="shared" si="283"/>
        <v>0</v>
      </c>
      <c r="S508" s="83" t="e">
        <f t="shared" si="158"/>
        <v>#DIV/0!</v>
      </c>
      <c r="T508" s="84"/>
      <c r="U508" s="84"/>
      <c r="V508" s="84"/>
      <c r="W508" s="84"/>
      <c r="X508" s="85"/>
      <c r="Y508" s="68"/>
      <c r="Z508" s="68"/>
    </row>
    <row r="509" spans="1:26" ht="12.75" collapsed="1" x14ac:dyDescent="0.2">
      <c r="A509" s="68">
        <f t="shared" si="285"/>
        <v>0</v>
      </c>
      <c r="B509" s="52" t="s">
        <v>107</v>
      </c>
      <c r="C509" s="120"/>
      <c r="D509" s="121">
        <f t="shared" ref="D509:F509" si="289">SUM(D497:D508)</f>
        <v>0</v>
      </c>
      <c r="E509" s="123">
        <f t="shared" si="289"/>
        <v>0</v>
      </c>
      <c r="F509" s="123">
        <f t="shared" si="289"/>
        <v>0</v>
      </c>
      <c r="G509" s="124" t="e">
        <f t="shared" si="286"/>
        <v>#DIV/0!</v>
      </c>
      <c r="H509" s="125" t="e">
        <f t="shared" si="287"/>
        <v>#DIV/0!</v>
      </c>
      <c r="I509" s="126" t="e">
        <f t="shared" si="288"/>
        <v>#DIV/0!</v>
      </c>
      <c r="J509" s="121">
        <f t="shared" ref="J509:M509" si="290">SUM(J497:J508)</f>
        <v>6707.1100000000006</v>
      </c>
      <c r="K509" s="294">
        <f t="shared" si="290"/>
        <v>399292</v>
      </c>
      <c r="L509" s="123">
        <f t="shared" si="290"/>
        <v>0</v>
      </c>
      <c r="M509" s="127">
        <f t="shared" si="290"/>
        <v>23111.599999999999</v>
      </c>
      <c r="N509" s="128">
        <f t="shared" si="284"/>
        <v>0.29020535142525833</v>
      </c>
      <c r="O509" s="129">
        <f t="shared" si="155"/>
        <v>3.4458358368954731</v>
      </c>
      <c r="P509" s="128" t="e">
        <f t="shared" si="156"/>
        <v>#DIV/0!</v>
      </c>
      <c r="Q509" s="130" t="e">
        <f t="shared" si="157"/>
        <v>#DIV/0!</v>
      </c>
      <c r="R509" s="131">
        <f>SUM(R497:R508)</f>
        <v>-23111.599999999999</v>
      </c>
      <c r="S509" s="132" t="e">
        <f t="shared" si="158"/>
        <v>#DIV/0!</v>
      </c>
      <c r="T509" s="134">
        <f t="shared" ref="T509:U509" si="291">IFERROR((D509-D48)/D509,)</f>
        <v>0</v>
      </c>
      <c r="U509" s="134">
        <f t="shared" si="291"/>
        <v>0</v>
      </c>
      <c r="V509" s="134" t="s">
        <v>139</v>
      </c>
      <c r="W509" s="134" t="s">
        <v>139</v>
      </c>
      <c r="X509" s="68"/>
      <c r="Y509" s="68"/>
      <c r="Z509" s="68"/>
    </row>
    <row r="510" spans="1:26" ht="12.75" hidden="1" outlineLevel="1" x14ac:dyDescent="0.2">
      <c r="A510" s="68"/>
      <c r="B510" s="69">
        <v>45998</v>
      </c>
      <c r="C510" s="70" t="s">
        <v>112</v>
      </c>
      <c r="D510" s="282"/>
      <c r="E510" s="283"/>
      <c r="F510" s="283"/>
      <c r="G510" s="74" t="e">
        <f t="shared" si="286"/>
        <v>#DIV/0!</v>
      </c>
      <c r="H510" s="75" t="e">
        <f t="shared" si="287"/>
        <v>#DIV/0!</v>
      </c>
      <c r="I510" s="76" t="e">
        <f t="shared" si="288"/>
        <v>#DIV/0!</v>
      </c>
      <c r="J510" s="77">
        <v>1020.75</v>
      </c>
      <c r="K510" s="199">
        <v>70421</v>
      </c>
      <c r="L510" s="283"/>
      <c r="M510" s="78">
        <v>4359.78</v>
      </c>
      <c r="N510" s="79">
        <f t="shared" si="284"/>
        <v>0.2341287863149058</v>
      </c>
      <c r="O510" s="80">
        <f t="shared" si="155"/>
        <v>4.2711535635562088</v>
      </c>
      <c r="P510" s="79" t="e">
        <f t="shared" si="156"/>
        <v>#DIV/0!</v>
      </c>
      <c r="Q510" s="81" t="e">
        <f t="shared" si="157"/>
        <v>#DIV/0!</v>
      </c>
      <c r="R510" s="82">
        <f t="shared" ref="R510:R521" si="292">D510-M510</f>
        <v>-4359.78</v>
      </c>
      <c r="S510" s="83" t="e">
        <f t="shared" si="158"/>
        <v>#DIV/0!</v>
      </c>
      <c r="T510" s="84"/>
      <c r="U510" s="84"/>
      <c r="V510" s="84"/>
      <c r="W510" s="84"/>
      <c r="X510" s="85"/>
      <c r="Y510" s="68"/>
      <c r="Z510" s="68"/>
    </row>
    <row r="511" spans="1:26" ht="12.75" hidden="1" outlineLevel="1" x14ac:dyDescent="0.2">
      <c r="A511" s="68"/>
      <c r="B511" s="86"/>
      <c r="C511" s="70" t="s">
        <v>113</v>
      </c>
      <c r="D511" s="284"/>
      <c r="E511" s="283"/>
      <c r="F511" s="283"/>
      <c r="G511" s="74" t="e">
        <f t="shared" si="286"/>
        <v>#DIV/0!</v>
      </c>
      <c r="H511" s="75" t="e">
        <f t="shared" si="287"/>
        <v>#DIV/0!</v>
      </c>
      <c r="I511" s="76" t="e">
        <f t="shared" si="288"/>
        <v>#DIV/0!</v>
      </c>
      <c r="J511" s="87">
        <v>45.59</v>
      </c>
      <c r="K511" s="199">
        <v>4989</v>
      </c>
      <c r="L511" s="283"/>
      <c r="M511" s="88">
        <v>239.8</v>
      </c>
      <c r="N511" s="79">
        <f t="shared" si="284"/>
        <v>0.19011676396997498</v>
      </c>
      <c r="O511" s="80">
        <f t="shared" si="155"/>
        <v>5.2599254222417198</v>
      </c>
      <c r="P511" s="79" t="e">
        <f t="shared" si="156"/>
        <v>#DIV/0!</v>
      </c>
      <c r="Q511" s="81" t="e">
        <f t="shared" si="157"/>
        <v>#DIV/0!</v>
      </c>
      <c r="R511" s="89">
        <f t="shared" si="292"/>
        <v>-239.8</v>
      </c>
      <c r="S511" s="83" t="e">
        <f t="shared" si="158"/>
        <v>#DIV/0!</v>
      </c>
      <c r="T511" s="84"/>
      <c r="U511" s="84"/>
      <c r="V511" s="84"/>
      <c r="W511" s="84"/>
      <c r="X511" s="85"/>
      <c r="Y511" s="68"/>
      <c r="Z511" s="68"/>
    </row>
    <row r="512" spans="1:26" ht="12.75" hidden="1" outlineLevel="1" x14ac:dyDescent="0.2">
      <c r="A512" s="68"/>
      <c r="B512" s="86"/>
      <c r="C512" s="70" t="s">
        <v>114</v>
      </c>
      <c r="D512" s="285"/>
      <c r="E512" s="283"/>
      <c r="F512" s="283"/>
      <c r="G512" s="74" t="e">
        <f t="shared" si="286"/>
        <v>#DIV/0!</v>
      </c>
      <c r="H512" s="75" t="e">
        <f t="shared" si="287"/>
        <v>#DIV/0!</v>
      </c>
      <c r="I512" s="76" t="e">
        <f t="shared" si="288"/>
        <v>#DIV/0!</v>
      </c>
      <c r="J512" s="90">
        <v>201.01</v>
      </c>
      <c r="K512" s="199">
        <v>24953</v>
      </c>
      <c r="L512" s="283"/>
      <c r="M512" s="91">
        <v>766.93</v>
      </c>
      <c r="N512" s="79">
        <f>(J512/M512)</f>
        <v>0.26209693192338285</v>
      </c>
      <c r="O512" s="80">
        <f t="shared" si="155"/>
        <v>3.8153823192875977</v>
      </c>
      <c r="P512" s="79" t="e">
        <f t="shared" si="156"/>
        <v>#DIV/0!</v>
      </c>
      <c r="Q512" s="81" t="e">
        <f t="shared" si="157"/>
        <v>#DIV/0!</v>
      </c>
      <c r="R512" s="92">
        <f t="shared" si="292"/>
        <v>-766.93</v>
      </c>
      <c r="S512" s="83" t="e">
        <f t="shared" si="158"/>
        <v>#DIV/0!</v>
      </c>
      <c r="T512" s="84"/>
      <c r="U512" s="84"/>
      <c r="V512" s="84"/>
      <c r="W512" s="84"/>
      <c r="X512" s="85"/>
      <c r="Y512" s="68"/>
      <c r="Z512" s="68"/>
    </row>
    <row r="513" spans="1:26" ht="12.75" hidden="1" outlineLevel="1" x14ac:dyDescent="0.2">
      <c r="A513" s="68"/>
      <c r="B513" s="86"/>
      <c r="C513" s="70" t="s">
        <v>115</v>
      </c>
      <c r="D513" s="285"/>
      <c r="E513" s="283"/>
      <c r="F513" s="283"/>
      <c r="G513" s="74" t="e">
        <f t="shared" si="286"/>
        <v>#DIV/0!</v>
      </c>
      <c r="H513" s="75" t="e">
        <f t="shared" si="287"/>
        <v>#DIV/0!</v>
      </c>
      <c r="I513" s="76" t="e">
        <f t="shared" si="288"/>
        <v>#DIV/0!</v>
      </c>
      <c r="J513" s="90">
        <v>72.650000000000006</v>
      </c>
      <c r="K513" s="199">
        <v>11992</v>
      </c>
      <c r="L513" s="283"/>
      <c r="M513" s="91">
        <v>185.85</v>
      </c>
      <c r="N513" s="79">
        <f t="shared" ref="N513:N524" si="293">J513/M513</f>
        <v>0.39090664514393331</v>
      </c>
      <c r="O513" s="80">
        <f t="shared" si="155"/>
        <v>2.5581555402615277</v>
      </c>
      <c r="P513" s="79" t="e">
        <f t="shared" si="156"/>
        <v>#DIV/0!</v>
      </c>
      <c r="Q513" s="81" t="e">
        <f t="shared" si="157"/>
        <v>#DIV/0!</v>
      </c>
      <c r="R513" s="92">
        <f t="shared" si="292"/>
        <v>-185.85</v>
      </c>
      <c r="S513" s="83" t="e">
        <f t="shared" si="158"/>
        <v>#DIV/0!</v>
      </c>
      <c r="T513" s="84"/>
      <c r="U513" s="84"/>
      <c r="V513" s="84"/>
      <c r="W513" s="84"/>
      <c r="X513" s="85"/>
      <c r="Y513" s="68"/>
      <c r="Z513" s="68"/>
    </row>
    <row r="514" spans="1:26" ht="12.75" hidden="1" outlineLevel="1" x14ac:dyDescent="0.2">
      <c r="A514" s="68"/>
      <c r="B514" s="86"/>
      <c r="C514" s="70" t="s">
        <v>116</v>
      </c>
      <c r="D514" s="286"/>
      <c r="E514" s="283"/>
      <c r="F514" s="283"/>
      <c r="G514" s="74" t="e">
        <f t="shared" si="286"/>
        <v>#DIV/0!</v>
      </c>
      <c r="H514" s="75" t="e">
        <f t="shared" si="287"/>
        <v>#DIV/0!</v>
      </c>
      <c r="I514" s="76" t="e">
        <f t="shared" si="288"/>
        <v>#DIV/0!</v>
      </c>
      <c r="J514" s="200">
        <v>164.75</v>
      </c>
      <c r="K514" s="199">
        <v>15016</v>
      </c>
      <c r="L514" s="283"/>
      <c r="M514" s="200">
        <v>1525.51</v>
      </c>
      <c r="N514" s="79">
        <f t="shared" si="293"/>
        <v>0.1079966699661097</v>
      </c>
      <c r="O514" s="80">
        <f t="shared" si="155"/>
        <v>9.2595447647951445</v>
      </c>
      <c r="P514" s="79" t="e">
        <f t="shared" si="156"/>
        <v>#DIV/0!</v>
      </c>
      <c r="Q514" s="81" t="e">
        <f t="shared" si="157"/>
        <v>#DIV/0!</v>
      </c>
      <c r="R514" s="92">
        <f t="shared" si="292"/>
        <v>-1525.51</v>
      </c>
      <c r="S514" s="83" t="e">
        <f t="shared" si="158"/>
        <v>#DIV/0!</v>
      </c>
      <c r="T514" s="84"/>
      <c r="U514" s="84"/>
      <c r="V514" s="84"/>
      <c r="W514" s="84"/>
      <c r="X514" s="85"/>
      <c r="Y514" s="68"/>
      <c r="Z514" s="68"/>
    </row>
    <row r="515" spans="1:26" ht="12.75" hidden="1" outlineLevel="1" x14ac:dyDescent="0.2">
      <c r="A515" s="68"/>
      <c r="B515" s="86"/>
      <c r="C515" s="70" t="s">
        <v>117</v>
      </c>
      <c r="D515" s="287"/>
      <c r="E515" s="283"/>
      <c r="F515" s="283"/>
      <c r="G515" s="74" t="e">
        <f t="shared" si="286"/>
        <v>#DIV/0!</v>
      </c>
      <c r="H515" s="75" t="e">
        <f t="shared" si="287"/>
        <v>#DIV/0!</v>
      </c>
      <c r="I515" s="76" t="e">
        <f t="shared" si="288"/>
        <v>#DIV/0!</v>
      </c>
      <c r="J515" s="201">
        <v>23.08</v>
      </c>
      <c r="K515" s="199">
        <v>2958</v>
      </c>
      <c r="L515" s="283"/>
      <c r="M515" s="202">
        <v>79.95</v>
      </c>
      <c r="N515" s="79">
        <f t="shared" si="293"/>
        <v>0.28868042526579107</v>
      </c>
      <c r="O515" s="80">
        <f t="shared" si="155"/>
        <v>3.4640381282495669</v>
      </c>
      <c r="P515" s="79" t="e">
        <f t="shared" si="156"/>
        <v>#DIV/0!</v>
      </c>
      <c r="Q515" s="81" t="e">
        <f t="shared" si="157"/>
        <v>#DIV/0!</v>
      </c>
      <c r="R515" s="203">
        <f t="shared" si="292"/>
        <v>-79.95</v>
      </c>
      <c r="S515" s="83" t="e">
        <f t="shared" si="158"/>
        <v>#DIV/0!</v>
      </c>
      <c r="T515" s="84"/>
      <c r="U515" s="84"/>
      <c r="V515" s="84"/>
      <c r="W515" s="84"/>
      <c r="X515" s="85"/>
      <c r="Y515" s="68"/>
      <c r="Z515" s="68"/>
    </row>
    <row r="516" spans="1:26" ht="12.75" hidden="1" outlineLevel="1" x14ac:dyDescent="0.2">
      <c r="A516" s="68"/>
      <c r="B516" s="86"/>
      <c r="C516" s="70" t="s">
        <v>118</v>
      </c>
      <c r="D516" s="285"/>
      <c r="E516" s="283"/>
      <c r="F516" s="283"/>
      <c r="G516" s="74" t="e">
        <f t="shared" si="286"/>
        <v>#DIV/0!</v>
      </c>
      <c r="H516" s="75" t="e">
        <f t="shared" si="287"/>
        <v>#DIV/0!</v>
      </c>
      <c r="I516" s="76" t="e">
        <f t="shared" si="288"/>
        <v>#DIV/0!</v>
      </c>
      <c r="J516" s="90">
        <v>62.64</v>
      </c>
      <c r="K516" s="199">
        <v>2893</v>
      </c>
      <c r="L516" s="283"/>
      <c r="M516" s="91">
        <v>634.85</v>
      </c>
      <c r="N516" s="79">
        <f t="shared" si="293"/>
        <v>9.8668976923682761E-2</v>
      </c>
      <c r="O516" s="80">
        <f t="shared" si="155"/>
        <v>10.134897828863346</v>
      </c>
      <c r="P516" s="79" t="e">
        <f t="shared" si="156"/>
        <v>#DIV/0!</v>
      </c>
      <c r="Q516" s="81" t="e">
        <f t="shared" si="157"/>
        <v>#DIV/0!</v>
      </c>
      <c r="R516" s="92">
        <f t="shared" si="292"/>
        <v>-634.85</v>
      </c>
      <c r="S516" s="83" t="e">
        <f t="shared" si="158"/>
        <v>#DIV/0!</v>
      </c>
      <c r="T516" s="84"/>
      <c r="U516" s="84"/>
      <c r="V516" s="84"/>
      <c r="W516" s="84"/>
      <c r="X516" s="85"/>
      <c r="Y516" s="68"/>
      <c r="Z516" s="68"/>
    </row>
    <row r="517" spans="1:26" ht="12.75" hidden="1" outlineLevel="1" x14ac:dyDescent="0.2">
      <c r="A517" s="68"/>
      <c r="B517" s="69" t="s">
        <v>37</v>
      </c>
      <c r="C517" s="70" t="s">
        <v>119</v>
      </c>
      <c r="D517" s="288"/>
      <c r="E517" s="283"/>
      <c r="F517" s="283"/>
      <c r="G517" s="74" t="e">
        <f t="shared" si="286"/>
        <v>#DIV/0!</v>
      </c>
      <c r="H517" s="75" t="e">
        <f t="shared" si="287"/>
        <v>#DIV/0!</v>
      </c>
      <c r="I517" s="76" t="e">
        <f t="shared" si="288"/>
        <v>#DIV/0!</v>
      </c>
      <c r="J517" s="93">
        <v>85.1</v>
      </c>
      <c r="K517" s="199">
        <v>3538</v>
      </c>
      <c r="L517" s="283"/>
      <c r="M517" s="94">
        <v>669.99</v>
      </c>
      <c r="N517" s="79">
        <f t="shared" si="293"/>
        <v>0.12701682114658427</v>
      </c>
      <c r="O517" s="80">
        <f t="shared" si="155"/>
        <v>7.872972972972974</v>
      </c>
      <c r="P517" s="79" t="e">
        <f t="shared" si="156"/>
        <v>#DIV/0!</v>
      </c>
      <c r="Q517" s="81" t="e">
        <f t="shared" si="157"/>
        <v>#DIV/0!</v>
      </c>
      <c r="R517" s="95">
        <f t="shared" si="292"/>
        <v>-669.99</v>
      </c>
      <c r="S517" s="83" t="e">
        <f t="shared" si="158"/>
        <v>#DIV/0!</v>
      </c>
      <c r="T517" s="84"/>
      <c r="U517" s="84"/>
      <c r="V517" s="84"/>
      <c r="W517" s="84"/>
      <c r="X517" s="85"/>
      <c r="Y517" s="68"/>
      <c r="Z517" s="68"/>
    </row>
    <row r="518" spans="1:26" ht="12.75" hidden="1" outlineLevel="1" x14ac:dyDescent="0.2">
      <c r="A518" s="68"/>
      <c r="B518" s="86"/>
      <c r="C518" s="70" t="s">
        <v>120</v>
      </c>
      <c r="D518" s="289"/>
      <c r="E518" s="283"/>
      <c r="F518" s="283"/>
      <c r="G518" s="74" t="e">
        <f t="shared" si="286"/>
        <v>#DIV/0!</v>
      </c>
      <c r="H518" s="75" t="e">
        <f t="shared" si="287"/>
        <v>#DIV/0!</v>
      </c>
      <c r="I518" s="76" t="e">
        <f t="shared" si="288"/>
        <v>#DIV/0!</v>
      </c>
      <c r="J518" s="96">
        <v>216.08</v>
      </c>
      <c r="K518" s="199">
        <v>36288</v>
      </c>
      <c r="L518" s="283"/>
      <c r="M518" s="97">
        <v>346.21</v>
      </c>
      <c r="N518" s="79">
        <f t="shared" si="293"/>
        <v>0.62412986337771881</v>
      </c>
      <c r="O518" s="80">
        <f t="shared" si="155"/>
        <v>1.6022306553128469</v>
      </c>
      <c r="P518" s="79" t="e">
        <f t="shared" si="156"/>
        <v>#DIV/0!</v>
      </c>
      <c r="Q518" s="81" t="e">
        <f t="shared" si="157"/>
        <v>#DIV/0!</v>
      </c>
      <c r="R518" s="98">
        <f t="shared" si="292"/>
        <v>-346.21</v>
      </c>
      <c r="S518" s="83" t="e">
        <f t="shared" si="158"/>
        <v>#DIV/0!</v>
      </c>
      <c r="T518" s="84"/>
      <c r="U518" s="84"/>
      <c r="V518" s="84"/>
      <c r="W518" s="84"/>
      <c r="X518" s="85"/>
      <c r="Y518" s="68"/>
      <c r="Z518" s="68"/>
    </row>
    <row r="519" spans="1:26" ht="12.75" hidden="1" outlineLevel="1" x14ac:dyDescent="0.2">
      <c r="A519" s="68"/>
      <c r="B519" s="86"/>
      <c r="C519" s="70" t="s">
        <v>121</v>
      </c>
      <c r="D519" s="290"/>
      <c r="E519" s="283"/>
      <c r="F519" s="283"/>
      <c r="G519" s="74" t="e">
        <f t="shared" si="286"/>
        <v>#DIV/0!</v>
      </c>
      <c r="H519" s="75" t="e">
        <f t="shared" si="287"/>
        <v>#DIV/0!</v>
      </c>
      <c r="I519" s="76" t="e">
        <f t="shared" si="288"/>
        <v>#DIV/0!</v>
      </c>
      <c r="J519" s="99">
        <v>156.26</v>
      </c>
      <c r="K519" s="199">
        <v>21328</v>
      </c>
      <c r="L519" s="283"/>
      <c r="M519" s="100">
        <v>566.84</v>
      </c>
      <c r="N519" s="79">
        <f t="shared" si="293"/>
        <v>0.27566861901065554</v>
      </c>
      <c r="O519" s="80">
        <f t="shared" si="155"/>
        <v>3.6275438371944198</v>
      </c>
      <c r="P519" s="79" t="e">
        <f t="shared" si="156"/>
        <v>#DIV/0!</v>
      </c>
      <c r="Q519" s="81" t="e">
        <f t="shared" si="157"/>
        <v>#DIV/0!</v>
      </c>
      <c r="R519" s="101">
        <f t="shared" si="292"/>
        <v>-566.84</v>
      </c>
      <c r="S519" s="83" t="e">
        <f t="shared" si="158"/>
        <v>#DIV/0!</v>
      </c>
      <c r="T519" s="84"/>
      <c r="U519" s="84"/>
      <c r="V519" s="84"/>
      <c r="W519" s="84"/>
      <c r="X519" s="85"/>
      <c r="Y519" s="68"/>
      <c r="Z519" s="68"/>
    </row>
    <row r="520" spans="1:26" ht="12.75" hidden="1" outlineLevel="1" x14ac:dyDescent="0.2">
      <c r="A520" s="68"/>
      <c r="B520" s="86"/>
      <c r="C520" s="70" t="s">
        <v>122</v>
      </c>
      <c r="D520" s="290"/>
      <c r="E520" s="283"/>
      <c r="F520" s="283"/>
      <c r="G520" s="291"/>
      <c r="H520" s="72"/>
      <c r="I520" s="292"/>
      <c r="J520" s="105">
        <v>256.26</v>
      </c>
      <c r="K520" s="199">
        <v>20169</v>
      </c>
      <c r="L520" s="283"/>
      <c r="M520" s="106">
        <v>1524.69</v>
      </c>
      <c r="N520" s="79">
        <f t="shared" si="293"/>
        <v>0.16807351002498869</v>
      </c>
      <c r="O520" s="80">
        <f t="shared" si="155"/>
        <v>5.9497775696558186</v>
      </c>
      <c r="P520" s="79" t="e">
        <f t="shared" si="156"/>
        <v>#DIV/0!</v>
      </c>
      <c r="Q520" s="81" t="e">
        <f t="shared" si="157"/>
        <v>#DIV/0!</v>
      </c>
      <c r="R520" s="107">
        <f t="shared" si="292"/>
        <v>-1524.69</v>
      </c>
      <c r="S520" s="83" t="e">
        <f t="shared" si="158"/>
        <v>#DIV/0!</v>
      </c>
      <c r="T520" s="84"/>
      <c r="U520" s="84"/>
      <c r="V520" s="84"/>
      <c r="W520" s="84"/>
      <c r="X520" s="85"/>
      <c r="Y520" s="68"/>
      <c r="Z520" s="68"/>
    </row>
    <row r="521" spans="1:26" ht="12.75" hidden="1" outlineLevel="1" x14ac:dyDescent="0.2">
      <c r="A521" s="118" t="str">
        <f t="shared" ref="A521:A522" si="294">IFERROR(IF(B521&gt;0,MONTH(B521)&amp;"-"&amp;YEAR(B521),B521),)</f>
        <v>12-2025</v>
      </c>
      <c r="B521" s="69">
        <v>46004</v>
      </c>
      <c r="C521" s="70" t="s">
        <v>123</v>
      </c>
      <c r="D521" s="293"/>
      <c r="E521" s="283"/>
      <c r="F521" s="283"/>
      <c r="G521" s="74" t="e">
        <f t="shared" ref="G521:G532" si="295">E521/F521</f>
        <v>#DIV/0!</v>
      </c>
      <c r="H521" s="75" t="e">
        <f t="shared" ref="H521:H532" si="296">D521/E521</f>
        <v>#DIV/0!</v>
      </c>
      <c r="I521" s="76" t="e">
        <f t="shared" ref="I521:I532" si="297">H521/G521</f>
        <v>#DIV/0!</v>
      </c>
      <c r="J521" s="87">
        <v>0</v>
      </c>
      <c r="K521" s="199">
        <v>0</v>
      </c>
      <c r="L521" s="283"/>
      <c r="M521" s="88">
        <v>0</v>
      </c>
      <c r="N521" s="79" t="e">
        <f t="shared" si="293"/>
        <v>#DIV/0!</v>
      </c>
      <c r="O521" s="80" t="e">
        <f t="shared" si="155"/>
        <v>#DIV/0!</v>
      </c>
      <c r="P521" s="79" t="e">
        <f t="shared" si="156"/>
        <v>#DIV/0!</v>
      </c>
      <c r="Q521" s="81" t="e">
        <f t="shared" si="157"/>
        <v>#DIV/0!</v>
      </c>
      <c r="R521" s="82">
        <f t="shared" si="292"/>
        <v>0</v>
      </c>
      <c r="S521" s="83" t="e">
        <f t="shared" si="158"/>
        <v>#DIV/0!</v>
      </c>
      <c r="T521" s="84"/>
      <c r="U521" s="84"/>
      <c r="V521" s="84"/>
      <c r="W521" s="84"/>
      <c r="X521" s="85"/>
      <c r="Y521" s="68"/>
      <c r="Z521" s="68"/>
    </row>
    <row r="522" spans="1:26" ht="12.75" collapsed="1" x14ac:dyDescent="0.2">
      <c r="A522" s="68">
        <f t="shared" si="294"/>
        <v>0</v>
      </c>
      <c r="B522" s="52" t="s">
        <v>108</v>
      </c>
      <c r="C522" s="120"/>
      <c r="D522" s="121">
        <f t="shared" ref="D522:F522" si="298">SUM(D510:D521)</f>
        <v>0</v>
      </c>
      <c r="E522" s="123">
        <f t="shared" si="298"/>
        <v>0</v>
      </c>
      <c r="F522" s="123">
        <f t="shared" si="298"/>
        <v>0</v>
      </c>
      <c r="G522" s="124" t="e">
        <f t="shared" si="295"/>
        <v>#DIV/0!</v>
      </c>
      <c r="H522" s="125" t="e">
        <f t="shared" si="296"/>
        <v>#DIV/0!</v>
      </c>
      <c r="I522" s="126" t="e">
        <f t="shared" si="297"/>
        <v>#DIV/0!</v>
      </c>
      <c r="J522" s="121">
        <f t="shared" ref="J522:M522" si="299">SUM(J510:J521)</f>
        <v>2304.17</v>
      </c>
      <c r="K522" s="294">
        <f t="shared" si="299"/>
        <v>214545</v>
      </c>
      <c r="L522" s="123">
        <f t="shared" si="299"/>
        <v>0</v>
      </c>
      <c r="M522" s="127">
        <f t="shared" si="299"/>
        <v>10900.400000000001</v>
      </c>
      <c r="N522" s="128">
        <f t="shared" si="293"/>
        <v>0.21138398590877397</v>
      </c>
      <c r="O522" s="129">
        <f t="shared" si="155"/>
        <v>4.7307273334866791</v>
      </c>
      <c r="P522" s="128" t="e">
        <f t="shared" si="156"/>
        <v>#DIV/0!</v>
      </c>
      <c r="Q522" s="130" t="e">
        <f t="shared" si="157"/>
        <v>#DIV/0!</v>
      </c>
      <c r="R522" s="131">
        <f>SUM(R510:R521)</f>
        <v>-10900.400000000001</v>
      </c>
      <c r="S522" s="132" t="e">
        <f t="shared" si="158"/>
        <v>#DIV/0!</v>
      </c>
      <c r="T522" s="134">
        <f t="shared" ref="T522:U522" si="300">IFERROR((D522-D48)/D522,)</f>
        <v>0</v>
      </c>
      <c r="U522" s="134">
        <f t="shared" si="300"/>
        <v>0</v>
      </c>
      <c r="V522" s="134" t="s">
        <v>139</v>
      </c>
      <c r="W522" s="134" t="s">
        <v>139</v>
      </c>
      <c r="X522" s="68"/>
      <c r="Y522" s="68"/>
      <c r="Z522" s="68"/>
    </row>
    <row r="523" spans="1:26" ht="12.75" hidden="1" outlineLevel="1" x14ac:dyDescent="0.2">
      <c r="A523" s="68"/>
      <c r="B523" s="69">
        <v>46005</v>
      </c>
      <c r="C523" s="70" t="s">
        <v>112</v>
      </c>
      <c r="D523" s="282"/>
      <c r="E523" s="283"/>
      <c r="F523" s="283"/>
      <c r="G523" s="74" t="e">
        <f t="shared" si="295"/>
        <v>#DIV/0!</v>
      </c>
      <c r="H523" s="75" t="e">
        <f t="shared" si="296"/>
        <v>#DIV/0!</v>
      </c>
      <c r="I523" s="76" t="e">
        <f t="shared" si="297"/>
        <v>#DIV/0!</v>
      </c>
      <c r="J523" s="77">
        <v>3287.84</v>
      </c>
      <c r="K523" s="199">
        <v>120983</v>
      </c>
      <c r="L523" s="283"/>
      <c r="M523" s="78">
        <v>15215.62</v>
      </c>
      <c r="N523" s="79">
        <f t="shared" si="293"/>
        <v>0.21608320922841132</v>
      </c>
      <c r="O523" s="80">
        <f t="shared" ref="O523:O561" si="301">M523/J523</f>
        <v>4.6278468538615014</v>
      </c>
      <c r="P523" s="79" t="e">
        <f t="shared" ref="P523:P561" si="302">J523/D523</f>
        <v>#DIV/0!</v>
      </c>
      <c r="Q523" s="81" t="e">
        <f t="shared" ref="Q523:Q561" si="303">M523/D523</f>
        <v>#DIV/0!</v>
      </c>
      <c r="R523" s="82">
        <f t="shared" ref="R523:R534" si="304">D523-M523</f>
        <v>-15215.62</v>
      </c>
      <c r="S523" s="83" t="e">
        <f t="shared" ref="S523:S561" si="305">J523/L523</f>
        <v>#DIV/0!</v>
      </c>
      <c r="T523" s="84"/>
      <c r="U523" s="84"/>
      <c r="V523" s="84"/>
      <c r="W523" s="84"/>
      <c r="X523" s="85"/>
      <c r="Y523" s="68"/>
      <c r="Z523" s="68"/>
    </row>
    <row r="524" spans="1:26" ht="12.75" hidden="1" outlineLevel="1" x14ac:dyDescent="0.2">
      <c r="A524" s="68"/>
      <c r="B524" s="86"/>
      <c r="C524" s="70" t="s">
        <v>113</v>
      </c>
      <c r="D524" s="284"/>
      <c r="E524" s="283"/>
      <c r="F524" s="283"/>
      <c r="G524" s="74" t="e">
        <f t="shared" si="295"/>
        <v>#DIV/0!</v>
      </c>
      <c r="H524" s="75" t="e">
        <f t="shared" si="296"/>
        <v>#DIV/0!</v>
      </c>
      <c r="I524" s="76" t="e">
        <f t="shared" si="297"/>
        <v>#DIV/0!</v>
      </c>
      <c r="J524" s="87">
        <v>165.96</v>
      </c>
      <c r="K524" s="199">
        <v>21541</v>
      </c>
      <c r="L524" s="283"/>
      <c r="M524" s="88">
        <v>443.63</v>
      </c>
      <c r="N524" s="79">
        <f t="shared" si="293"/>
        <v>0.37409553005883284</v>
      </c>
      <c r="O524" s="80">
        <f t="shared" si="301"/>
        <v>2.673114003374307</v>
      </c>
      <c r="P524" s="79" t="e">
        <f t="shared" si="302"/>
        <v>#DIV/0!</v>
      </c>
      <c r="Q524" s="81" t="e">
        <f t="shared" si="303"/>
        <v>#DIV/0!</v>
      </c>
      <c r="R524" s="89">
        <f t="shared" si="304"/>
        <v>-443.63</v>
      </c>
      <c r="S524" s="83" t="e">
        <f t="shared" si="305"/>
        <v>#DIV/0!</v>
      </c>
      <c r="T524" s="84"/>
      <c r="U524" s="84"/>
      <c r="V524" s="84"/>
      <c r="W524" s="84"/>
      <c r="X524" s="85"/>
      <c r="Y524" s="68"/>
      <c r="Z524" s="68"/>
    </row>
    <row r="525" spans="1:26" ht="12.75" hidden="1" outlineLevel="1" x14ac:dyDescent="0.2">
      <c r="A525" s="68"/>
      <c r="B525" s="86"/>
      <c r="C525" s="70" t="s">
        <v>114</v>
      </c>
      <c r="D525" s="285"/>
      <c r="E525" s="283"/>
      <c r="F525" s="283"/>
      <c r="G525" s="74" t="e">
        <f t="shared" si="295"/>
        <v>#DIV/0!</v>
      </c>
      <c r="H525" s="75" t="e">
        <f t="shared" si="296"/>
        <v>#DIV/0!</v>
      </c>
      <c r="I525" s="76" t="e">
        <f t="shared" si="297"/>
        <v>#DIV/0!</v>
      </c>
      <c r="J525" s="90">
        <v>229.45</v>
      </c>
      <c r="K525" s="199">
        <v>28644</v>
      </c>
      <c r="L525" s="283"/>
      <c r="M525" s="91">
        <v>200.97</v>
      </c>
      <c r="N525" s="79">
        <f>(J525/M525)</f>
        <v>1.1417126934368313</v>
      </c>
      <c r="O525" s="80">
        <f t="shared" si="301"/>
        <v>0.8758770974068425</v>
      </c>
      <c r="P525" s="79" t="e">
        <f t="shared" si="302"/>
        <v>#DIV/0!</v>
      </c>
      <c r="Q525" s="81" t="e">
        <f t="shared" si="303"/>
        <v>#DIV/0!</v>
      </c>
      <c r="R525" s="92">
        <f t="shared" si="304"/>
        <v>-200.97</v>
      </c>
      <c r="S525" s="83" t="e">
        <f t="shared" si="305"/>
        <v>#DIV/0!</v>
      </c>
      <c r="T525" s="84"/>
      <c r="U525" s="84"/>
      <c r="V525" s="84"/>
      <c r="W525" s="84"/>
      <c r="X525" s="85"/>
      <c r="Y525" s="68"/>
      <c r="Z525" s="68"/>
    </row>
    <row r="526" spans="1:26" ht="12.75" hidden="1" outlineLevel="1" x14ac:dyDescent="0.2">
      <c r="A526" s="68"/>
      <c r="B526" s="86"/>
      <c r="C526" s="70" t="s">
        <v>115</v>
      </c>
      <c r="D526" s="285"/>
      <c r="E526" s="283"/>
      <c r="F526" s="283"/>
      <c r="G526" s="74" t="e">
        <f t="shared" si="295"/>
        <v>#DIV/0!</v>
      </c>
      <c r="H526" s="75" t="e">
        <f t="shared" si="296"/>
        <v>#DIV/0!</v>
      </c>
      <c r="I526" s="76" t="e">
        <f t="shared" si="297"/>
        <v>#DIV/0!</v>
      </c>
      <c r="J526" s="90">
        <v>145.85</v>
      </c>
      <c r="K526" s="199">
        <v>22876</v>
      </c>
      <c r="L526" s="283"/>
      <c r="M526" s="91">
        <v>62.95</v>
      </c>
      <c r="N526" s="79">
        <f t="shared" ref="N526:N537" si="306">J526/M526</f>
        <v>2.3169181890389194</v>
      </c>
      <c r="O526" s="80">
        <f t="shared" si="301"/>
        <v>0.43160781624957151</v>
      </c>
      <c r="P526" s="79" t="e">
        <f t="shared" si="302"/>
        <v>#DIV/0!</v>
      </c>
      <c r="Q526" s="81" t="e">
        <f t="shared" si="303"/>
        <v>#DIV/0!</v>
      </c>
      <c r="R526" s="92">
        <f t="shared" si="304"/>
        <v>-62.95</v>
      </c>
      <c r="S526" s="83" t="e">
        <f t="shared" si="305"/>
        <v>#DIV/0!</v>
      </c>
      <c r="T526" s="84"/>
      <c r="U526" s="84"/>
      <c r="V526" s="84"/>
      <c r="W526" s="84"/>
      <c r="X526" s="85"/>
      <c r="Y526" s="68"/>
      <c r="Z526" s="68"/>
    </row>
    <row r="527" spans="1:26" ht="12.75" hidden="1" outlineLevel="1" x14ac:dyDescent="0.2">
      <c r="A527" s="68"/>
      <c r="B527" s="86"/>
      <c r="C527" s="70" t="s">
        <v>116</v>
      </c>
      <c r="D527" s="286"/>
      <c r="E527" s="283"/>
      <c r="F527" s="283"/>
      <c r="G527" s="74" t="e">
        <f t="shared" si="295"/>
        <v>#DIV/0!</v>
      </c>
      <c r="H527" s="75" t="e">
        <f t="shared" si="296"/>
        <v>#DIV/0!</v>
      </c>
      <c r="I527" s="76" t="e">
        <f t="shared" si="297"/>
        <v>#DIV/0!</v>
      </c>
      <c r="J527" s="200">
        <v>0</v>
      </c>
      <c r="K527" s="199">
        <v>0</v>
      </c>
      <c r="L527" s="283"/>
      <c r="M527" s="200">
        <v>0</v>
      </c>
      <c r="N527" s="79" t="e">
        <f t="shared" si="306"/>
        <v>#DIV/0!</v>
      </c>
      <c r="O527" s="80" t="e">
        <f t="shared" si="301"/>
        <v>#DIV/0!</v>
      </c>
      <c r="P527" s="79" t="e">
        <f t="shared" si="302"/>
        <v>#DIV/0!</v>
      </c>
      <c r="Q527" s="81" t="e">
        <f t="shared" si="303"/>
        <v>#DIV/0!</v>
      </c>
      <c r="R527" s="92">
        <f t="shared" si="304"/>
        <v>0</v>
      </c>
      <c r="S527" s="83" t="e">
        <f t="shared" si="305"/>
        <v>#DIV/0!</v>
      </c>
      <c r="T527" s="84"/>
      <c r="U527" s="84"/>
      <c r="V527" s="84"/>
      <c r="W527" s="84"/>
      <c r="X527" s="85"/>
      <c r="Y527" s="68"/>
      <c r="Z527" s="68"/>
    </row>
    <row r="528" spans="1:26" ht="12.75" hidden="1" outlineLevel="1" x14ac:dyDescent="0.2">
      <c r="A528" s="68"/>
      <c r="B528" s="86"/>
      <c r="C528" s="70" t="s">
        <v>117</v>
      </c>
      <c r="D528" s="287"/>
      <c r="E528" s="283"/>
      <c r="F528" s="283"/>
      <c r="G528" s="74" t="e">
        <f t="shared" si="295"/>
        <v>#DIV/0!</v>
      </c>
      <c r="H528" s="75" t="e">
        <f t="shared" si="296"/>
        <v>#DIV/0!</v>
      </c>
      <c r="I528" s="76" t="e">
        <f t="shared" si="297"/>
        <v>#DIV/0!</v>
      </c>
      <c r="J528" s="201">
        <v>139.37</v>
      </c>
      <c r="K528" s="199">
        <v>15979</v>
      </c>
      <c r="L528" s="283"/>
      <c r="M528" s="202">
        <v>0</v>
      </c>
      <c r="N528" s="79" t="e">
        <f t="shared" si="306"/>
        <v>#DIV/0!</v>
      </c>
      <c r="O528" s="80">
        <f t="shared" si="301"/>
        <v>0</v>
      </c>
      <c r="P528" s="79" t="e">
        <f t="shared" si="302"/>
        <v>#DIV/0!</v>
      </c>
      <c r="Q528" s="81" t="e">
        <f t="shared" si="303"/>
        <v>#DIV/0!</v>
      </c>
      <c r="R528" s="203">
        <f t="shared" si="304"/>
        <v>0</v>
      </c>
      <c r="S528" s="83" t="e">
        <f t="shared" si="305"/>
        <v>#DIV/0!</v>
      </c>
      <c r="T528" s="84"/>
      <c r="U528" s="84"/>
      <c r="V528" s="84"/>
      <c r="W528" s="84"/>
      <c r="X528" s="85"/>
      <c r="Y528" s="68"/>
      <c r="Z528" s="68"/>
    </row>
    <row r="529" spans="1:26" ht="12.75" hidden="1" outlineLevel="1" x14ac:dyDescent="0.2">
      <c r="A529" s="68"/>
      <c r="B529" s="86"/>
      <c r="C529" s="70" t="s">
        <v>118</v>
      </c>
      <c r="D529" s="285"/>
      <c r="E529" s="283"/>
      <c r="F529" s="283"/>
      <c r="G529" s="74" t="e">
        <f t="shared" si="295"/>
        <v>#DIV/0!</v>
      </c>
      <c r="H529" s="75" t="e">
        <f t="shared" si="296"/>
        <v>#DIV/0!</v>
      </c>
      <c r="I529" s="76" t="e">
        <f t="shared" si="297"/>
        <v>#DIV/0!</v>
      </c>
      <c r="J529" s="90">
        <v>177.76</v>
      </c>
      <c r="K529" s="199">
        <v>8140</v>
      </c>
      <c r="L529" s="283"/>
      <c r="M529" s="91">
        <v>1067.8399999999999</v>
      </c>
      <c r="N529" s="79">
        <f t="shared" si="306"/>
        <v>0.16646688642493257</v>
      </c>
      <c r="O529" s="80">
        <f t="shared" si="301"/>
        <v>6.0072007200720074</v>
      </c>
      <c r="P529" s="79" t="e">
        <f t="shared" si="302"/>
        <v>#DIV/0!</v>
      </c>
      <c r="Q529" s="81" t="e">
        <f t="shared" si="303"/>
        <v>#DIV/0!</v>
      </c>
      <c r="R529" s="92">
        <f t="shared" si="304"/>
        <v>-1067.8399999999999</v>
      </c>
      <c r="S529" s="83" t="e">
        <f t="shared" si="305"/>
        <v>#DIV/0!</v>
      </c>
      <c r="T529" s="84"/>
      <c r="U529" s="84"/>
      <c r="V529" s="84"/>
      <c r="W529" s="84"/>
      <c r="X529" s="85"/>
      <c r="Y529" s="68"/>
      <c r="Z529" s="68"/>
    </row>
    <row r="530" spans="1:26" ht="12.75" hidden="1" outlineLevel="1" x14ac:dyDescent="0.2">
      <c r="A530" s="68"/>
      <c r="B530" s="69" t="s">
        <v>37</v>
      </c>
      <c r="C530" s="70" t="s">
        <v>119</v>
      </c>
      <c r="D530" s="288"/>
      <c r="E530" s="283"/>
      <c r="F530" s="283"/>
      <c r="G530" s="74" t="e">
        <f t="shared" si="295"/>
        <v>#DIV/0!</v>
      </c>
      <c r="H530" s="75" t="e">
        <f t="shared" si="296"/>
        <v>#DIV/0!</v>
      </c>
      <c r="I530" s="76" t="e">
        <f t="shared" si="297"/>
        <v>#DIV/0!</v>
      </c>
      <c r="J530" s="93">
        <v>202.99</v>
      </c>
      <c r="K530" s="199">
        <v>6454</v>
      </c>
      <c r="L530" s="283"/>
      <c r="M530" s="94">
        <v>979.95</v>
      </c>
      <c r="N530" s="79">
        <f t="shared" si="306"/>
        <v>0.20714322159293841</v>
      </c>
      <c r="O530" s="80">
        <f t="shared" si="301"/>
        <v>4.8275777131878419</v>
      </c>
      <c r="P530" s="79" t="e">
        <f t="shared" si="302"/>
        <v>#DIV/0!</v>
      </c>
      <c r="Q530" s="81" t="e">
        <f t="shared" si="303"/>
        <v>#DIV/0!</v>
      </c>
      <c r="R530" s="95">
        <f t="shared" si="304"/>
        <v>-979.95</v>
      </c>
      <c r="S530" s="83" t="e">
        <f t="shared" si="305"/>
        <v>#DIV/0!</v>
      </c>
      <c r="T530" s="84"/>
      <c r="U530" s="84"/>
      <c r="V530" s="84"/>
      <c r="W530" s="84"/>
      <c r="X530" s="85"/>
      <c r="Y530" s="68"/>
      <c r="Z530" s="68"/>
    </row>
    <row r="531" spans="1:26" ht="12.75" hidden="1" outlineLevel="1" x14ac:dyDescent="0.2">
      <c r="A531" s="68"/>
      <c r="B531" s="86"/>
      <c r="C531" s="70" t="s">
        <v>120</v>
      </c>
      <c r="D531" s="289"/>
      <c r="E531" s="283"/>
      <c r="F531" s="283"/>
      <c r="G531" s="74" t="e">
        <f t="shared" si="295"/>
        <v>#DIV/0!</v>
      </c>
      <c r="H531" s="75" t="e">
        <f t="shared" si="296"/>
        <v>#DIV/0!</v>
      </c>
      <c r="I531" s="76" t="e">
        <f t="shared" si="297"/>
        <v>#DIV/0!</v>
      </c>
      <c r="J531" s="96">
        <v>885.48</v>
      </c>
      <c r="K531" s="199">
        <v>63672</v>
      </c>
      <c r="L531" s="283"/>
      <c r="M531" s="97">
        <v>3766.16</v>
      </c>
      <c r="N531" s="79">
        <f t="shared" si="306"/>
        <v>0.23511481190390213</v>
      </c>
      <c r="O531" s="80">
        <f t="shared" si="301"/>
        <v>4.2532411799250118</v>
      </c>
      <c r="P531" s="79" t="e">
        <f t="shared" si="302"/>
        <v>#DIV/0!</v>
      </c>
      <c r="Q531" s="81" t="e">
        <f t="shared" si="303"/>
        <v>#DIV/0!</v>
      </c>
      <c r="R531" s="98">
        <f t="shared" si="304"/>
        <v>-3766.16</v>
      </c>
      <c r="S531" s="83" t="e">
        <f t="shared" si="305"/>
        <v>#DIV/0!</v>
      </c>
      <c r="T531" s="84"/>
      <c r="U531" s="84"/>
      <c r="V531" s="84"/>
      <c r="W531" s="84"/>
      <c r="X531" s="85"/>
      <c r="Y531" s="68"/>
      <c r="Z531" s="68"/>
    </row>
    <row r="532" spans="1:26" ht="12.75" hidden="1" outlineLevel="1" x14ac:dyDescent="0.2">
      <c r="A532" s="68"/>
      <c r="B532" s="86"/>
      <c r="C532" s="70" t="s">
        <v>121</v>
      </c>
      <c r="D532" s="290"/>
      <c r="E532" s="283"/>
      <c r="F532" s="283"/>
      <c r="G532" s="74" t="e">
        <f t="shared" si="295"/>
        <v>#DIV/0!</v>
      </c>
      <c r="H532" s="75" t="e">
        <f t="shared" si="296"/>
        <v>#DIV/0!</v>
      </c>
      <c r="I532" s="76" t="e">
        <f t="shared" si="297"/>
        <v>#DIV/0!</v>
      </c>
      <c r="J532" s="99">
        <v>199.53</v>
      </c>
      <c r="K532" s="199">
        <v>31283</v>
      </c>
      <c r="L532" s="283"/>
      <c r="M532" s="100">
        <v>352.11</v>
      </c>
      <c r="N532" s="79">
        <f t="shared" si="306"/>
        <v>0.56666950668825078</v>
      </c>
      <c r="O532" s="80">
        <f t="shared" si="301"/>
        <v>1.7646970380393927</v>
      </c>
      <c r="P532" s="79" t="e">
        <f t="shared" si="302"/>
        <v>#DIV/0!</v>
      </c>
      <c r="Q532" s="81" t="e">
        <f t="shared" si="303"/>
        <v>#DIV/0!</v>
      </c>
      <c r="R532" s="101">
        <f t="shared" si="304"/>
        <v>-352.11</v>
      </c>
      <c r="S532" s="83" t="e">
        <f t="shared" si="305"/>
        <v>#DIV/0!</v>
      </c>
      <c r="T532" s="84"/>
      <c r="U532" s="84"/>
      <c r="V532" s="84"/>
      <c r="W532" s="84"/>
      <c r="X532" s="85"/>
      <c r="Y532" s="68"/>
      <c r="Z532" s="68"/>
    </row>
    <row r="533" spans="1:26" ht="12.75" hidden="1" outlineLevel="1" x14ac:dyDescent="0.2">
      <c r="A533" s="68"/>
      <c r="B533" s="86"/>
      <c r="C533" s="70" t="s">
        <v>122</v>
      </c>
      <c r="D533" s="290"/>
      <c r="E533" s="283"/>
      <c r="F533" s="283"/>
      <c r="G533" s="291"/>
      <c r="H533" s="72"/>
      <c r="I533" s="292"/>
      <c r="J533" s="105">
        <v>317.02</v>
      </c>
      <c r="K533" s="199">
        <v>27295</v>
      </c>
      <c r="L533" s="283"/>
      <c r="M533" s="106">
        <v>2389.66</v>
      </c>
      <c r="N533" s="79">
        <f t="shared" si="306"/>
        <v>0.13266322405697881</v>
      </c>
      <c r="O533" s="80">
        <f t="shared" si="301"/>
        <v>7.5378840451706512</v>
      </c>
      <c r="P533" s="79" t="e">
        <f t="shared" si="302"/>
        <v>#DIV/0!</v>
      </c>
      <c r="Q533" s="81" t="e">
        <f t="shared" si="303"/>
        <v>#DIV/0!</v>
      </c>
      <c r="R533" s="107">
        <f t="shared" si="304"/>
        <v>-2389.66</v>
      </c>
      <c r="S533" s="83" t="e">
        <f t="shared" si="305"/>
        <v>#DIV/0!</v>
      </c>
      <c r="T533" s="84"/>
      <c r="U533" s="84"/>
      <c r="V533" s="84"/>
      <c r="W533" s="84"/>
      <c r="X533" s="85"/>
      <c r="Y533" s="68"/>
      <c r="Z533" s="68"/>
    </row>
    <row r="534" spans="1:26" ht="12.75" hidden="1" outlineLevel="1" x14ac:dyDescent="0.2">
      <c r="A534" s="118" t="str">
        <f t="shared" ref="A534:A535" si="307">IFERROR(IF(B534&gt;0,MONTH(B534)&amp;"-"&amp;YEAR(B534),B534),)</f>
        <v>12-2025</v>
      </c>
      <c r="B534" s="69">
        <v>46011</v>
      </c>
      <c r="C534" s="70" t="s">
        <v>123</v>
      </c>
      <c r="D534" s="293"/>
      <c r="E534" s="283"/>
      <c r="F534" s="283"/>
      <c r="G534" s="74" t="e">
        <f t="shared" ref="G534:G545" si="308">E534/F534</f>
        <v>#DIV/0!</v>
      </c>
      <c r="H534" s="75" t="e">
        <f t="shared" ref="H534:H545" si="309">D534/E534</f>
        <v>#DIV/0!</v>
      </c>
      <c r="I534" s="76" t="e">
        <f t="shared" ref="I534:I545" si="310">H534/G534</f>
        <v>#DIV/0!</v>
      </c>
      <c r="J534" s="87">
        <v>0</v>
      </c>
      <c r="K534" s="199">
        <v>0</v>
      </c>
      <c r="L534" s="283"/>
      <c r="M534" s="88">
        <v>0</v>
      </c>
      <c r="N534" s="79" t="e">
        <f t="shared" si="306"/>
        <v>#DIV/0!</v>
      </c>
      <c r="O534" s="80" t="e">
        <f t="shared" si="301"/>
        <v>#DIV/0!</v>
      </c>
      <c r="P534" s="79" t="e">
        <f t="shared" si="302"/>
        <v>#DIV/0!</v>
      </c>
      <c r="Q534" s="81" t="e">
        <f t="shared" si="303"/>
        <v>#DIV/0!</v>
      </c>
      <c r="R534" s="82">
        <f t="shared" si="304"/>
        <v>0</v>
      </c>
      <c r="S534" s="83" t="e">
        <f t="shared" si="305"/>
        <v>#DIV/0!</v>
      </c>
      <c r="T534" s="84"/>
      <c r="U534" s="84"/>
      <c r="V534" s="84"/>
      <c r="W534" s="84"/>
      <c r="X534" s="85"/>
      <c r="Y534" s="68"/>
      <c r="Z534" s="68"/>
    </row>
    <row r="535" spans="1:26" ht="12.75" collapsed="1" x14ac:dyDescent="0.2">
      <c r="A535" s="68">
        <f t="shared" si="307"/>
        <v>0</v>
      </c>
      <c r="B535" s="52" t="s">
        <v>109</v>
      </c>
      <c r="C535" s="120"/>
      <c r="D535" s="121">
        <f t="shared" ref="D535:F535" si="311">SUM(D523:D534)</f>
        <v>0</v>
      </c>
      <c r="E535" s="123">
        <f t="shared" si="311"/>
        <v>0</v>
      </c>
      <c r="F535" s="123">
        <f t="shared" si="311"/>
        <v>0</v>
      </c>
      <c r="G535" s="124" t="e">
        <f t="shared" si="308"/>
        <v>#DIV/0!</v>
      </c>
      <c r="H535" s="125" t="e">
        <f t="shared" si="309"/>
        <v>#DIV/0!</v>
      </c>
      <c r="I535" s="126" t="e">
        <f t="shared" si="310"/>
        <v>#DIV/0!</v>
      </c>
      <c r="J535" s="121">
        <f t="shared" ref="J535:M535" si="312">SUM(J523:J534)</f>
        <v>5751.2499999999982</v>
      </c>
      <c r="K535" s="294">
        <f t="shared" si="312"/>
        <v>346867</v>
      </c>
      <c r="L535" s="123">
        <f t="shared" si="312"/>
        <v>0</v>
      </c>
      <c r="M535" s="127">
        <f t="shared" si="312"/>
        <v>24478.89</v>
      </c>
      <c r="N535" s="128">
        <f t="shared" si="306"/>
        <v>0.2349473362558514</v>
      </c>
      <c r="O535" s="129">
        <f t="shared" si="301"/>
        <v>4.2562729841338856</v>
      </c>
      <c r="P535" s="128" t="e">
        <f t="shared" si="302"/>
        <v>#DIV/0!</v>
      </c>
      <c r="Q535" s="130" t="e">
        <f t="shared" si="303"/>
        <v>#DIV/0!</v>
      </c>
      <c r="R535" s="131">
        <f>SUM(R523:R534)</f>
        <v>-24478.89</v>
      </c>
      <c r="S535" s="132" t="e">
        <f t="shared" si="305"/>
        <v>#DIV/0!</v>
      </c>
      <c r="T535" s="134">
        <f t="shared" ref="T535:U535" si="313">IFERROR((D535-D48)/D535,)</f>
        <v>0</v>
      </c>
      <c r="U535" s="134">
        <f t="shared" si="313"/>
        <v>0</v>
      </c>
      <c r="V535" s="134" t="s">
        <v>139</v>
      </c>
      <c r="W535" s="134" t="s">
        <v>139</v>
      </c>
      <c r="X535" s="68"/>
      <c r="Y535" s="68"/>
      <c r="Z535" s="68"/>
    </row>
    <row r="536" spans="1:26" ht="12.75" outlineLevel="1" x14ac:dyDescent="0.2">
      <c r="A536" s="34"/>
      <c r="B536" s="147">
        <v>46012</v>
      </c>
      <c r="C536" s="70" t="s">
        <v>112</v>
      </c>
      <c r="D536" s="71"/>
      <c r="E536" s="73"/>
      <c r="F536" s="73"/>
      <c r="G536" s="74" t="e">
        <f t="shared" si="308"/>
        <v>#DIV/0!</v>
      </c>
      <c r="H536" s="75" t="e">
        <f t="shared" si="309"/>
        <v>#DIV/0!</v>
      </c>
      <c r="I536" s="76" t="e">
        <f t="shared" si="310"/>
        <v>#DIV/0!</v>
      </c>
      <c r="J536" s="77">
        <v>2974.57</v>
      </c>
      <c r="K536" s="199">
        <v>115078</v>
      </c>
      <c r="L536" s="73"/>
      <c r="M536" s="78">
        <v>10437.51</v>
      </c>
      <c r="N536" s="155">
        <f t="shared" si="306"/>
        <v>0.28498846947212508</v>
      </c>
      <c r="O536" s="156">
        <f t="shared" si="301"/>
        <v>3.5089138934366981</v>
      </c>
      <c r="P536" s="155" t="e">
        <f t="shared" si="302"/>
        <v>#DIV/0!</v>
      </c>
      <c r="Q536" s="225" t="e">
        <f t="shared" si="303"/>
        <v>#DIV/0!</v>
      </c>
      <c r="R536" s="226">
        <f t="shared" ref="R536:R547" si="314">D536-M536</f>
        <v>-10437.51</v>
      </c>
      <c r="S536" s="227" t="e">
        <f t="shared" si="305"/>
        <v>#DIV/0!</v>
      </c>
      <c r="T536" s="160"/>
      <c r="U536" s="160"/>
      <c r="V536" s="160"/>
      <c r="W536" s="160"/>
      <c r="X536" s="1"/>
    </row>
    <row r="537" spans="1:26" ht="12.75" outlineLevel="1" x14ac:dyDescent="0.2">
      <c r="A537" s="34"/>
      <c r="B537" s="147"/>
      <c r="C537" s="70" t="s">
        <v>113</v>
      </c>
      <c r="D537" s="87"/>
      <c r="E537" s="73"/>
      <c r="F537" s="73"/>
      <c r="G537" s="74" t="e">
        <f t="shared" si="308"/>
        <v>#DIV/0!</v>
      </c>
      <c r="H537" s="75" t="e">
        <f t="shared" si="309"/>
        <v>#DIV/0!</v>
      </c>
      <c r="I537" s="76" t="e">
        <f t="shared" si="310"/>
        <v>#DIV/0!</v>
      </c>
      <c r="J537" s="87">
        <v>145.63999999999999</v>
      </c>
      <c r="K537" s="199">
        <v>19906</v>
      </c>
      <c r="L537" s="73"/>
      <c r="M537" s="88">
        <v>319.75</v>
      </c>
      <c r="N537" s="155">
        <f t="shared" si="306"/>
        <v>0.45548084440969505</v>
      </c>
      <c r="O537" s="156">
        <f t="shared" si="301"/>
        <v>2.1954820104366934</v>
      </c>
      <c r="P537" s="155" t="e">
        <f t="shared" si="302"/>
        <v>#DIV/0!</v>
      </c>
      <c r="Q537" s="225" t="e">
        <f t="shared" si="303"/>
        <v>#DIV/0!</v>
      </c>
      <c r="R537" s="228">
        <f t="shared" si="314"/>
        <v>-319.75</v>
      </c>
      <c r="S537" s="227" t="e">
        <f t="shared" si="305"/>
        <v>#DIV/0!</v>
      </c>
      <c r="T537" s="160"/>
      <c r="U537" s="160"/>
      <c r="V537" s="160"/>
      <c r="W537" s="160"/>
      <c r="X537" s="1"/>
    </row>
    <row r="538" spans="1:26" ht="12.75" outlineLevel="1" x14ac:dyDescent="0.2">
      <c r="A538" s="34"/>
      <c r="B538" s="147"/>
      <c r="C538" s="70" t="s">
        <v>114</v>
      </c>
      <c r="D538" s="90"/>
      <c r="E538" s="73"/>
      <c r="F538" s="73"/>
      <c r="G538" s="74" t="e">
        <f t="shared" si="308"/>
        <v>#DIV/0!</v>
      </c>
      <c r="H538" s="75" t="e">
        <f t="shared" si="309"/>
        <v>#DIV/0!</v>
      </c>
      <c r="I538" s="76" t="e">
        <f t="shared" si="310"/>
        <v>#DIV/0!</v>
      </c>
      <c r="J538" s="90">
        <v>161.15</v>
      </c>
      <c r="K538" s="199">
        <v>19653</v>
      </c>
      <c r="L538" s="73"/>
      <c r="M538" s="91">
        <v>993.57</v>
      </c>
      <c r="N538" s="155">
        <f>(J538/M538)</f>
        <v>0.16219290034924563</v>
      </c>
      <c r="O538" s="156">
        <f t="shared" si="301"/>
        <v>6.165497983245424</v>
      </c>
      <c r="P538" s="155" t="e">
        <f t="shared" si="302"/>
        <v>#DIV/0!</v>
      </c>
      <c r="Q538" s="225" t="e">
        <f t="shared" si="303"/>
        <v>#DIV/0!</v>
      </c>
      <c r="R538" s="231">
        <f t="shared" si="314"/>
        <v>-993.57</v>
      </c>
      <c r="S538" s="227" t="e">
        <f t="shared" si="305"/>
        <v>#DIV/0!</v>
      </c>
      <c r="T538" s="160"/>
      <c r="U538" s="160"/>
      <c r="V538" s="160"/>
      <c r="W538" s="160"/>
      <c r="X538" s="1"/>
    </row>
    <row r="539" spans="1:26" ht="12.75" outlineLevel="1" x14ac:dyDescent="0.2">
      <c r="A539" s="34"/>
      <c r="B539" s="147"/>
      <c r="C539" s="70" t="s">
        <v>115</v>
      </c>
      <c r="D539" s="90"/>
      <c r="E539" s="73"/>
      <c r="F539" s="73"/>
      <c r="G539" s="74" t="e">
        <f t="shared" si="308"/>
        <v>#DIV/0!</v>
      </c>
      <c r="H539" s="75" t="e">
        <f t="shared" si="309"/>
        <v>#DIV/0!</v>
      </c>
      <c r="I539" s="76" t="e">
        <f t="shared" si="310"/>
        <v>#DIV/0!</v>
      </c>
      <c r="J539" s="90">
        <v>195.37</v>
      </c>
      <c r="K539" s="199">
        <v>28885</v>
      </c>
      <c r="L539" s="73"/>
      <c r="M539" s="91">
        <v>359.7</v>
      </c>
      <c r="N539" s="155">
        <f t="shared" ref="N539:N550" si="315">J539/M539</f>
        <v>0.54314706700027804</v>
      </c>
      <c r="O539" s="156">
        <f t="shared" si="301"/>
        <v>1.8411219736909452</v>
      </c>
      <c r="P539" s="155" t="e">
        <f t="shared" si="302"/>
        <v>#DIV/0!</v>
      </c>
      <c r="Q539" s="225" t="e">
        <f t="shared" si="303"/>
        <v>#DIV/0!</v>
      </c>
      <c r="R539" s="231">
        <f t="shared" si="314"/>
        <v>-359.7</v>
      </c>
      <c r="S539" s="227" t="e">
        <f t="shared" si="305"/>
        <v>#DIV/0!</v>
      </c>
      <c r="T539" s="160"/>
      <c r="U539" s="160"/>
      <c r="V539" s="160"/>
      <c r="W539" s="160"/>
      <c r="X539" s="1"/>
    </row>
    <row r="540" spans="1:26" ht="12.75" outlineLevel="1" x14ac:dyDescent="0.2">
      <c r="A540" s="34"/>
      <c r="B540" s="147"/>
      <c r="C540" s="70" t="s">
        <v>116</v>
      </c>
      <c r="D540" s="200"/>
      <c r="E540" s="73"/>
      <c r="F540" s="73"/>
      <c r="G540" s="74" t="e">
        <f t="shared" si="308"/>
        <v>#DIV/0!</v>
      </c>
      <c r="H540" s="75" t="e">
        <f t="shared" si="309"/>
        <v>#DIV/0!</v>
      </c>
      <c r="I540" s="76" t="e">
        <f t="shared" si="310"/>
        <v>#DIV/0!</v>
      </c>
      <c r="J540" s="200">
        <v>11.15</v>
      </c>
      <c r="K540" s="199">
        <v>1607</v>
      </c>
      <c r="L540" s="73"/>
      <c r="M540" s="200">
        <v>0</v>
      </c>
      <c r="N540" s="155" t="e">
        <f t="shared" si="315"/>
        <v>#DIV/0!</v>
      </c>
      <c r="O540" s="156">
        <f t="shared" si="301"/>
        <v>0</v>
      </c>
      <c r="P540" s="155" t="e">
        <f t="shared" si="302"/>
        <v>#DIV/0!</v>
      </c>
      <c r="Q540" s="225" t="e">
        <f t="shared" si="303"/>
        <v>#DIV/0!</v>
      </c>
      <c r="R540" s="231">
        <f t="shared" si="314"/>
        <v>0</v>
      </c>
      <c r="S540" s="227" t="e">
        <f t="shared" si="305"/>
        <v>#DIV/0!</v>
      </c>
      <c r="T540" s="160"/>
      <c r="U540" s="160"/>
      <c r="V540" s="160"/>
      <c r="W540" s="160"/>
      <c r="X540" s="1"/>
    </row>
    <row r="541" spans="1:26" ht="12.75" outlineLevel="1" x14ac:dyDescent="0.2">
      <c r="A541" s="34"/>
      <c r="B541" s="147"/>
      <c r="C541" s="70" t="s">
        <v>117</v>
      </c>
      <c r="D541" s="201"/>
      <c r="E541" s="73"/>
      <c r="F541" s="73"/>
      <c r="G541" s="74" t="e">
        <f t="shared" si="308"/>
        <v>#DIV/0!</v>
      </c>
      <c r="H541" s="75" t="e">
        <f t="shared" si="309"/>
        <v>#DIV/0!</v>
      </c>
      <c r="I541" s="76" t="e">
        <f t="shared" si="310"/>
        <v>#DIV/0!</v>
      </c>
      <c r="J541" s="201">
        <v>215.11</v>
      </c>
      <c r="K541" s="199">
        <v>27058</v>
      </c>
      <c r="L541" s="73"/>
      <c r="M541" s="202">
        <v>22.48</v>
      </c>
      <c r="N541" s="155">
        <f t="shared" si="315"/>
        <v>9.5689501779359443</v>
      </c>
      <c r="O541" s="156">
        <f t="shared" si="301"/>
        <v>0.10450467202826461</v>
      </c>
      <c r="P541" s="155" t="e">
        <f t="shared" si="302"/>
        <v>#DIV/0!</v>
      </c>
      <c r="Q541" s="225" t="e">
        <f t="shared" si="303"/>
        <v>#DIV/0!</v>
      </c>
      <c r="R541" s="234">
        <f t="shared" si="314"/>
        <v>-22.48</v>
      </c>
      <c r="S541" s="227" t="e">
        <f t="shared" si="305"/>
        <v>#DIV/0!</v>
      </c>
      <c r="T541" s="160"/>
      <c r="U541" s="160"/>
      <c r="V541" s="160"/>
      <c r="W541" s="160"/>
      <c r="X541" s="1"/>
    </row>
    <row r="542" spans="1:26" ht="12.75" outlineLevel="1" x14ac:dyDescent="0.2">
      <c r="A542" s="34"/>
      <c r="B542" s="147"/>
      <c r="C542" s="70" t="s">
        <v>118</v>
      </c>
      <c r="D542" s="90"/>
      <c r="E542" s="73"/>
      <c r="F542" s="73"/>
      <c r="G542" s="74" t="e">
        <f t="shared" si="308"/>
        <v>#DIV/0!</v>
      </c>
      <c r="H542" s="75" t="e">
        <f t="shared" si="309"/>
        <v>#DIV/0!</v>
      </c>
      <c r="I542" s="76" t="e">
        <f t="shared" si="310"/>
        <v>#DIV/0!</v>
      </c>
      <c r="J542" s="90">
        <v>452.36</v>
      </c>
      <c r="K542" s="199">
        <v>16814</v>
      </c>
      <c r="L542" s="73"/>
      <c r="M542" s="91">
        <v>1418.79</v>
      </c>
      <c r="N542" s="155">
        <f t="shared" si="315"/>
        <v>0.31883506368102399</v>
      </c>
      <c r="O542" s="156">
        <f t="shared" si="301"/>
        <v>3.1364178972499777</v>
      </c>
      <c r="P542" s="155" t="e">
        <f t="shared" si="302"/>
        <v>#DIV/0!</v>
      </c>
      <c r="Q542" s="225" t="e">
        <f t="shared" si="303"/>
        <v>#DIV/0!</v>
      </c>
      <c r="R542" s="231">
        <f t="shared" si="314"/>
        <v>-1418.79</v>
      </c>
      <c r="S542" s="227" t="e">
        <f t="shared" si="305"/>
        <v>#DIV/0!</v>
      </c>
      <c r="T542" s="160"/>
      <c r="U542" s="160"/>
      <c r="V542" s="160"/>
      <c r="W542" s="160"/>
      <c r="X542" s="1"/>
    </row>
    <row r="543" spans="1:26" ht="12.75" outlineLevel="1" x14ac:dyDescent="0.2">
      <c r="A543" s="34"/>
      <c r="B543" s="235" t="s">
        <v>37</v>
      </c>
      <c r="C543" s="70" t="s">
        <v>119</v>
      </c>
      <c r="D543" s="93"/>
      <c r="E543" s="73"/>
      <c r="F543" s="73"/>
      <c r="G543" s="74" t="e">
        <f t="shared" si="308"/>
        <v>#DIV/0!</v>
      </c>
      <c r="H543" s="75" t="e">
        <f t="shared" si="309"/>
        <v>#DIV/0!</v>
      </c>
      <c r="I543" s="76" t="e">
        <f t="shared" si="310"/>
        <v>#DIV/0!</v>
      </c>
      <c r="J543" s="93">
        <v>147.77000000000001</v>
      </c>
      <c r="K543" s="199">
        <v>6193</v>
      </c>
      <c r="L543" s="73"/>
      <c r="M543" s="94">
        <v>217.13</v>
      </c>
      <c r="N543" s="155">
        <f t="shared" si="315"/>
        <v>0.68056003315985825</v>
      </c>
      <c r="O543" s="156">
        <f t="shared" si="301"/>
        <v>1.4693780875685185</v>
      </c>
      <c r="P543" s="155" t="e">
        <f t="shared" si="302"/>
        <v>#DIV/0!</v>
      </c>
      <c r="Q543" s="225" t="e">
        <f t="shared" si="303"/>
        <v>#DIV/0!</v>
      </c>
      <c r="R543" s="238">
        <f t="shared" si="314"/>
        <v>-217.13</v>
      </c>
      <c r="S543" s="227" t="e">
        <f t="shared" si="305"/>
        <v>#DIV/0!</v>
      </c>
      <c r="T543" s="160"/>
      <c r="U543" s="160"/>
      <c r="V543" s="160"/>
      <c r="W543" s="160"/>
      <c r="X543" s="1"/>
    </row>
    <row r="544" spans="1:26" ht="12.75" outlineLevel="1" x14ac:dyDescent="0.2">
      <c r="A544" s="34"/>
      <c r="B544" s="147"/>
      <c r="C544" s="70" t="s">
        <v>120</v>
      </c>
      <c r="D544" s="96"/>
      <c r="E544" s="73"/>
      <c r="F544" s="73"/>
      <c r="G544" s="74" t="e">
        <f t="shared" si="308"/>
        <v>#DIV/0!</v>
      </c>
      <c r="H544" s="75" t="e">
        <f t="shared" si="309"/>
        <v>#DIV/0!</v>
      </c>
      <c r="I544" s="76" t="e">
        <f t="shared" si="310"/>
        <v>#DIV/0!</v>
      </c>
      <c r="J544" s="96">
        <v>1782.88</v>
      </c>
      <c r="K544" s="199">
        <v>165168</v>
      </c>
      <c r="L544" s="73"/>
      <c r="M544" s="97">
        <v>1677.74</v>
      </c>
      <c r="N544" s="155">
        <f t="shared" si="315"/>
        <v>1.0626676362249217</v>
      </c>
      <c r="O544" s="156">
        <f t="shared" si="301"/>
        <v>0.94102799964103023</v>
      </c>
      <c r="P544" s="155" t="e">
        <f t="shared" si="302"/>
        <v>#DIV/0!</v>
      </c>
      <c r="Q544" s="225" t="e">
        <f t="shared" si="303"/>
        <v>#DIV/0!</v>
      </c>
      <c r="R544" s="241">
        <f t="shared" si="314"/>
        <v>-1677.74</v>
      </c>
      <c r="S544" s="227" t="e">
        <f t="shared" si="305"/>
        <v>#DIV/0!</v>
      </c>
      <c r="T544" s="160"/>
      <c r="U544" s="160"/>
      <c r="V544" s="160"/>
      <c r="W544" s="160"/>
      <c r="X544" s="1"/>
    </row>
    <row r="545" spans="1:26" ht="12.75" outlineLevel="1" x14ac:dyDescent="0.2">
      <c r="A545" s="34"/>
      <c r="B545" s="147"/>
      <c r="C545" s="70" t="s">
        <v>121</v>
      </c>
      <c r="D545" s="99"/>
      <c r="E545" s="73"/>
      <c r="F545" s="73"/>
      <c r="G545" s="74" t="e">
        <f t="shared" si="308"/>
        <v>#DIV/0!</v>
      </c>
      <c r="H545" s="75" t="e">
        <f t="shared" si="309"/>
        <v>#DIV/0!</v>
      </c>
      <c r="I545" s="76" t="e">
        <f t="shared" si="310"/>
        <v>#DIV/0!</v>
      </c>
      <c r="J545" s="99">
        <v>128.19999999999999</v>
      </c>
      <c r="K545" s="199">
        <v>23119</v>
      </c>
      <c r="L545" s="73"/>
      <c r="M545" s="100">
        <v>427.86</v>
      </c>
      <c r="N545" s="155">
        <f t="shared" si="315"/>
        <v>0.29963072032907956</v>
      </c>
      <c r="O545" s="156">
        <f t="shared" si="301"/>
        <v>3.3374414976599067</v>
      </c>
      <c r="P545" s="155" t="e">
        <f t="shared" si="302"/>
        <v>#DIV/0!</v>
      </c>
      <c r="Q545" s="225" t="e">
        <f t="shared" si="303"/>
        <v>#DIV/0!</v>
      </c>
      <c r="R545" s="244">
        <f t="shared" si="314"/>
        <v>-427.86</v>
      </c>
      <c r="S545" s="227" t="e">
        <f t="shared" si="305"/>
        <v>#DIV/0!</v>
      </c>
      <c r="T545" s="160"/>
      <c r="U545" s="160"/>
      <c r="V545" s="160"/>
      <c r="W545" s="160"/>
      <c r="X545" s="1"/>
    </row>
    <row r="546" spans="1:26" ht="12.75" outlineLevel="1" x14ac:dyDescent="0.2">
      <c r="A546" s="34"/>
      <c r="B546" s="147"/>
      <c r="C546" s="70" t="s">
        <v>122</v>
      </c>
      <c r="D546" s="99"/>
      <c r="E546" s="73"/>
      <c r="F546" s="73"/>
      <c r="G546" s="74"/>
      <c r="H546" s="75"/>
      <c r="I546" s="76"/>
      <c r="J546" s="105">
        <v>440.24</v>
      </c>
      <c r="K546" s="199">
        <v>41970</v>
      </c>
      <c r="L546" s="73"/>
      <c r="M546" s="106">
        <v>3015.09</v>
      </c>
      <c r="N546" s="155">
        <f t="shared" si="315"/>
        <v>0.14601222517404122</v>
      </c>
      <c r="O546" s="156">
        <f t="shared" si="301"/>
        <v>6.848741595493367</v>
      </c>
      <c r="P546" s="155" t="e">
        <f t="shared" si="302"/>
        <v>#DIV/0!</v>
      </c>
      <c r="Q546" s="225" t="e">
        <f t="shared" si="303"/>
        <v>#DIV/0!</v>
      </c>
      <c r="R546" s="246">
        <f t="shared" si="314"/>
        <v>-3015.09</v>
      </c>
      <c r="S546" s="227" t="e">
        <f t="shared" si="305"/>
        <v>#DIV/0!</v>
      </c>
      <c r="T546" s="160"/>
      <c r="U546" s="160"/>
      <c r="V546" s="160"/>
      <c r="W546" s="160"/>
      <c r="X546" s="1"/>
    </row>
    <row r="547" spans="1:26" ht="12.75" outlineLevel="1" x14ac:dyDescent="0.2">
      <c r="A547" s="34" t="str">
        <f t="shared" ref="A547:A548" si="316">IFERROR(IF(B547&gt;0,MONTH(B547)&amp;"-"&amp;YEAR(B547),B547),)</f>
        <v>12-2025</v>
      </c>
      <c r="B547" s="147">
        <v>46018</v>
      </c>
      <c r="C547" s="70" t="s">
        <v>123</v>
      </c>
      <c r="D547" s="251"/>
      <c r="E547" s="151"/>
      <c r="F547" s="151"/>
      <c r="G547" s="152" t="e">
        <f t="shared" ref="G547:G558" si="317">E547/F547</f>
        <v>#DIV/0!</v>
      </c>
      <c r="H547" s="150" t="e">
        <f t="shared" ref="H547:H558" si="318">D547/E547</f>
        <v>#DIV/0!</v>
      </c>
      <c r="I547" s="222" t="e">
        <f t="shared" ref="I547:I558" si="319">H547/G547</f>
        <v>#DIV/0!</v>
      </c>
      <c r="J547" s="87">
        <v>0</v>
      </c>
      <c r="K547" s="73">
        <v>0</v>
      </c>
      <c r="L547" s="73"/>
      <c r="M547" s="88">
        <v>0</v>
      </c>
      <c r="N547" s="155" t="e">
        <f t="shared" si="315"/>
        <v>#DIV/0!</v>
      </c>
      <c r="O547" s="156" t="e">
        <f t="shared" si="301"/>
        <v>#DIV/0!</v>
      </c>
      <c r="P547" s="155" t="e">
        <f t="shared" si="302"/>
        <v>#DIV/0!</v>
      </c>
      <c r="Q547" s="225" t="e">
        <f t="shared" si="303"/>
        <v>#DIV/0!</v>
      </c>
      <c r="R547" s="226">
        <f t="shared" si="314"/>
        <v>0</v>
      </c>
      <c r="S547" s="227" t="e">
        <f t="shared" si="305"/>
        <v>#DIV/0!</v>
      </c>
      <c r="T547" s="160"/>
      <c r="U547" s="160"/>
      <c r="V547" s="160"/>
      <c r="W547" s="160"/>
      <c r="X547" s="1"/>
    </row>
    <row r="548" spans="1:26" ht="12.75" x14ac:dyDescent="0.2">
      <c r="A548" s="68">
        <f t="shared" si="316"/>
        <v>0</v>
      </c>
      <c r="B548" s="119" t="s">
        <v>58</v>
      </c>
      <c r="C548" s="120"/>
      <c r="D548" s="121">
        <f t="shared" ref="D548:F548" si="320">SUM(D536:D547)</f>
        <v>0</v>
      </c>
      <c r="E548" s="123">
        <f t="shared" si="320"/>
        <v>0</v>
      </c>
      <c r="F548" s="123">
        <f t="shared" si="320"/>
        <v>0</v>
      </c>
      <c r="G548" s="124" t="e">
        <f t="shared" si="317"/>
        <v>#DIV/0!</v>
      </c>
      <c r="H548" s="125" t="e">
        <f t="shared" si="318"/>
        <v>#DIV/0!</v>
      </c>
      <c r="I548" s="126" t="e">
        <f t="shared" si="319"/>
        <v>#DIV/0!</v>
      </c>
      <c r="J548" s="121">
        <f t="shared" ref="J548:M548" si="321">SUM(J536:J547)</f>
        <v>6654.4400000000005</v>
      </c>
      <c r="K548" s="294">
        <f t="shared" si="321"/>
        <v>465451</v>
      </c>
      <c r="L548" s="123">
        <f t="shared" si="321"/>
        <v>0</v>
      </c>
      <c r="M548" s="127">
        <f t="shared" si="321"/>
        <v>18889.62</v>
      </c>
      <c r="N548" s="128">
        <f t="shared" si="315"/>
        <v>0.35228024703514421</v>
      </c>
      <c r="O548" s="129">
        <f t="shared" si="301"/>
        <v>2.8386490824171529</v>
      </c>
      <c r="P548" s="128" t="e">
        <f t="shared" si="302"/>
        <v>#DIV/0!</v>
      </c>
      <c r="Q548" s="130" t="e">
        <f t="shared" si="303"/>
        <v>#DIV/0!</v>
      </c>
      <c r="R548" s="131">
        <f>SUM(R536:R547)</f>
        <v>-18889.62</v>
      </c>
      <c r="S548" s="132" t="e">
        <f t="shared" si="305"/>
        <v>#DIV/0!</v>
      </c>
      <c r="T548" s="133">
        <f t="shared" ref="T548:U548" si="322">IFERROR((D548-D48)/D548,)</f>
        <v>0</v>
      </c>
      <c r="U548" s="133">
        <f t="shared" si="322"/>
        <v>0</v>
      </c>
      <c r="V548" s="133" t="s">
        <v>139</v>
      </c>
      <c r="W548" s="133" t="s">
        <v>139</v>
      </c>
      <c r="X548" s="68"/>
      <c r="Y548" s="68"/>
      <c r="Z548" s="68"/>
    </row>
    <row r="549" spans="1:26" ht="12.75" outlineLevel="1" x14ac:dyDescent="0.2">
      <c r="A549" s="34"/>
      <c r="B549" s="147">
        <v>46019</v>
      </c>
      <c r="C549" s="70" t="s">
        <v>112</v>
      </c>
      <c r="D549" s="71"/>
      <c r="E549" s="73"/>
      <c r="F549" s="73"/>
      <c r="G549" s="74" t="e">
        <f t="shared" si="317"/>
        <v>#DIV/0!</v>
      </c>
      <c r="H549" s="75" t="e">
        <f t="shared" si="318"/>
        <v>#DIV/0!</v>
      </c>
      <c r="I549" s="76" t="e">
        <f t="shared" si="319"/>
        <v>#DIV/0!</v>
      </c>
      <c r="J549" s="77">
        <v>1881.73</v>
      </c>
      <c r="K549" s="199">
        <v>105735</v>
      </c>
      <c r="L549" s="73"/>
      <c r="M549" s="78">
        <v>7796.98</v>
      </c>
      <c r="N549" s="155">
        <f t="shared" si="315"/>
        <v>0.24134087813486763</v>
      </c>
      <c r="O549" s="156">
        <f t="shared" si="301"/>
        <v>4.1435168701142029</v>
      </c>
      <c r="P549" s="155" t="e">
        <f t="shared" si="302"/>
        <v>#DIV/0!</v>
      </c>
      <c r="Q549" s="225" t="e">
        <f t="shared" si="303"/>
        <v>#DIV/0!</v>
      </c>
      <c r="R549" s="226">
        <f t="shared" ref="R549:R560" si="323">D549-M549</f>
        <v>-7796.98</v>
      </c>
      <c r="S549" s="227" t="e">
        <f t="shared" si="305"/>
        <v>#DIV/0!</v>
      </c>
      <c r="T549" s="160"/>
      <c r="U549" s="160"/>
      <c r="V549" s="160"/>
      <c r="W549" s="160"/>
      <c r="X549" s="1"/>
    </row>
    <row r="550" spans="1:26" ht="12.75" outlineLevel="1" x14ac:dyDescent="0.2">
      <c r="A550" s="34"/>
      <c r="B550" s="147"/>
      <c r="C550" s="70" t="s">
        <v>113</v>
      </c>
      <c r="D550" s="87"/>
      <c r="E550" s="73"/>
      <c r="F550" s="73"/>
      <c r="G550" s="74" t="e">
        <f t="shared" si="317"/>
        <v>#DIV/0!</v>
      </c>
      <c r="H550" s="75" t="e">
        <f t="shared" si="318"/>
        <v>#DIV/0!</v>
      </c>
      <c r="I550" s="76" t="e">
        <f t="shared" si="319"/>
        <v>#DIV/0!</v>
      </c>
      <c r="J550" s="87">
        <v>121.46</v>
      </c>
      <c r="K550" s="199">
        <v>15074</v>
      </c>
      <c r="L550" s="73"/>
      <c r="M550" s="88">
        <v>509.6</v>
      </c>
      <c r="N550" s="155">
        <f t="shared" si="315"/>
        <v>0.23834379905808475</v>
      </c>
      <c r="O550" s="156">
        <f t="shared" si="301"/>
        <v>4.1956199571875521</v>
      </c>
      <c r="P550" s="155" t="e">
        <f t="shared" si="302"/>
        <v>#DIV/0!</v>
      </c>
      <c r="Q550" s="225" t="e">
        <f t="shared" si="303"/>
        <v>#DIV/0!</v>
      </c>
      <c r="R550" s="228">
        <f t="shared" si="323"/>
        <v>-509.6</v>
      </c>
      <c r="S550" s="227" t="e">
        <f t="shared" si="305"/>
        <v>#DIV/0!</v>
      </c>
      <c r="T550" s="160"/>
      <c r="U550" s="160"/>
      <c r="V550" s="160"/>
      <c r="W550" s="160"/>
      <c r="X550" s="1"/>
    </row>
    <row r="551" spans="1:26" ht="12.75" outlineLevel="1" x14ac:dyDescent="0.2">
      <c r="A551" s="34"/>
      <c r="B551" s="147"/>
      <c r="C551" s="70" t="s">
        <v>114</v>
      </c>
      <c r="D551" s="90"/>
      <c r="E551" s="73"/>
      <c r="F551" s="73"/>
      <c r="G551" s="74" t="e">
        <f t="shared" si="317"/>
        <v>#DIV/0!</v>
      </c>
      <c r="H551" s="75" t="e">
        <f t="shared" si="318"/>
        <v>#DIV/0!</v>
      </c>
      <c r="I551" s="76" t="e">
        <f t="shared" si="319"/>
        <v>#DIV/0!</v>
      </c>
      <c r="J551" s="90">
        <v>424.73</v>
      </c>
      <c r="K551" s="199">
        <v>66686</v>
      </c>
      <c r="L551" s="73"/>
      <c r="M551" s="91">
        <v>1592.61</v>
      </c>
      <c r="N551" s="155">
        <f>(J551/M551)</f>
        <v>0.26668801527053076</v>
      </c>
      <c r="O551" s="156">
        <f t="shared" si="301"/>
        <v>3.7496998092906075</v>
      </c>
      <c r="P551" s="155" t="e">
        <f t="shared" si="302"/>
        <v>#DIV/0!</v>
      </c>
      <c r="Q551" s="225" t="e">
        <f t="shared" si="303"/>
        <v>#DIV/0!</v>
      </c>
      <c r="R551" s="231">
        <f t="shared" si="323"/>
        <v>-1592.61</v>
      </c>
      <c r="S551" s="227" t="e">
        <f t="shared" si="305"/>
        <v>#DIV/0!</v>
      </c>
      <c r="T551" s="160"/>
      <c r="U551" s="160"/>
      <c r="V551" s="160"/>
      <c r="W551" s="160"/>
      <c r="X551" s="1"/>
    </row>
    <row r="552" spans="1:26" ht="12.75" outlineLevel="1" x14ac:dyDescent="0.2">
      <c r="A552" s="34"/>
      <c r="B552" s="147"/>
      <c r="C552" s="70" t="s">
        <v>115</v>
      </c>
      <c r="D552" s="90"/>
      <c r="E552" s="73"/>
      <c r="F552" s="73"/>
      <c r="G552" s="74" t="e">
        <f t="shared" si="317"/>
        <v>#DIV/0!</v>
      </c>
      <c r="H552" s="75" t="e">
        <f t="shared" si="318"/>
        <v>#DIV/0!</v>
      </c>
      <c r="I552" s="76" t="e">
        <f t="shared" si="319"/>
        <v>#DIV/0!</v>
      </c>
      <c r="J552" s="90">
        <v>78.849999999999994</v>
      </c>
      <c r="K552" s="199">
        <v>48745</v>
      </c>
      <c r="L552" s="73"/>
      <c r="M552" s="91">
        <v>182.85</v>
      </c>
      <c r="N552" s="155">
        <f t="shared" ref="N552:N561" si="324">J552/M552</f>
        <v>0.43122778233524744</v>
      </c>
      <c r="O552" s="156">
        <f t="shared" si="301"/>
        <v>2.3189600507292329</v>
      </c>
      <c r="P552" s="155" t="e">
        <f t="shared" si="302"/>
        <v>#DIV/0!</v>
      </c>
      <c r="Q552" s="225" t="e">
        <f t="shared" si="303"/>
        <v>#DIV/0!</v>
      </c>
      <c r="R552" s="231">
        <f t="shared" si="323"/>
        <v>-182.85</v>
      </c>
      <c r="S552" s="227" t="e">
        <f t="shared" si="305"/>
        <v>#DIV/0!</v>
      </c>
      <c r="T552" s="160"/>
      <c r="U552" s="160"/>
      <c r="V552" s="160"/>
      <c r="W552" s="160"/>
      <c r="X552" s="1"/>
    </row>
    <row r="553" spans="1:26" ht="12.75" outlineLevel="1" x14ac:dyDescent="0.2">
      <c r="A553" s="34"/>
      <c r="B553" s="147"/>
      <c r="C553" s="70" t="s">
        <v>116</v>
      </c>
      <c r="D553" s="200"/>
      <c r="E553" s="73"/>
      <c r="F553" s="73"/>
      <c r="G553" s="74" t="e">
        <f t="shared" si="317"/>
        <v>#DIV/0!</v>
      </c>
      <c r="H553" s="75" t="e">
        <f t="shared" si="318"/>
        <v>#DIV/0!</v>
      </c>
      <c r="I553" s="76" t="e">
        <f t="shared" si="319"/>
        <v>#DIV/0!</v>
      </c>
      <c r="J553" s="200">
        <v>228.46</v>
      </c>
      <c r="K553" s="199">
        <v>24816</v>
      </c>
      <c r="L553" s="73"/>
      <c r="M553" s="200">
        <v>959.68</v>
      </c>
      <c r="N553" s="155">
        <f t="shared" si="324"/>
        <v>0.2380585195065022</v>
      </c>
      <c r="O553" s="156">
        <f t="shared" si="301"/>
        <v>4.200647815810207</v>
      </c>
      <c r="P553" s="155" t="e">
        <f t="shared" si="302"/>
        <v>#DIV/0!</v>
      </c>
      <c r="Q553" s="225" t="e">
        <f t="shared" si="303"/>
        <v>#DIV/0!</v>
      </c>
      <c r="R553" s="231">
        <f t="shared" si="323"/>
        <v>-959.68</v>
      </c>
      <c r="S553" s="227" t="e">
        <f t="shared" si="305"/>
        <v>#DIV/0!</v>
      </c>
      <c r="T553" s="160"/>
      <c r="U553" s="160"/>
      <c r="V553" s="160"/>
      <c r="W553" s="160"/>
      <c r="X553" s="1"/>
    </row>
    <row r="554" spans="1:26" ht="12.75" outlineLevel="1" x14ac:dyDescent="0.2">
      <c r="A554" s="34"/>
      <c r="B554" s="147"/>
      <c r="C554" s="70" t="s">
        <v>117</v>
      </c>
      <c r="D554" s="201"/>
      <c r="E554" s="73"/>
      <c r="F554" s="73"/>
      <c r="G554" s="74" t="e">
        <f t="shared" si="317"/>
        <v>#DIV/0!</v>
      </c>
      <c r="H554" s="75" t="e">
        <f t="shared" si="318"/>
        <v>#DIV/0!</v>
      </c>
      <c r="I554" s="76" t="e">
        <f t="shared" si="319"/>
        <v>#DIV/0!</v>
      </c>
      <c r="J554" s="201">
        <v>33.909999999999997</v>
      </c>
      <c r="K554" s="199">
        <v>21585</v>
      </c>
      <c r="L554" s="73"/>
      <c r="M554" s="202">
        <v>22.48</v>
      </c>
      <c r="N554" s="155">
        <f t="shared" si="324"/>
        <v>1.5084519572953734</v>
      </c>
      <c r="O554" s="156">
        <f t="shared" si="301"/>
        <v>0.66293128870539675</v>
      </c>
      <c r="P554" s="155" t="e">
        <f t="shared" si="302"/>
        <v>#DIV/0!</v>
      </c>
      <c r="Q554" s="225" t="e">
        <f t="shared" si="303"/>
        <v>#DIV/0!</v>
      </c>
      <c r="R554" s="234">
        <f t="shared" si="323"/>
        <v>-22.48</v>
      </c>
      <c r="S554" s="227" t="e">
        <f t="shared" si="305"/>
        <v>#DIV/0!</v>
      </c>
      <c r="T554" s="160"/>
      <c r="U554" s="160"/>
      <c r="V554" s="160"/>
      <c r="W554" s="160"/>
      <c r="X554" s="1"/>
    </row>
    <row r="555" spans="1:26" ht="12.75" outlineLevel="1" x14ac:dyDescent="0.2">
      <c r="A555" s="34"/>
      <c r="B555" s="147"/>
      <c r="C555" s="70" t="s">
        <v>118</v>
      </c>
      <c r="D555" s="90"/>
      <c r="E555" s="73"/>
      <c r="F555" s="73"/>
      <c r="G555" s="74" t="e">
        <f t="shared" si="317"/>
        <v>#DIV/0!</v>
      </c>
      <c r="H555" s="75" t="e">
        <f t="shared" si="318"/>
        <v>#DIV/0!</v>
      </c>
      <c r="I555" s="76" t="e">
        <f t="shared" si="319"/>
        <v>#DIV/0!</v>
      </c>
      <c r="J555" s="90">
        <v>651.49</v>
      </c>
      <c r="K555" s="199">
        <v>29812</v>
      </c>
      <c r="L555" s="73"/>
      <c r="M555" s="91">
        <v>3259.38</v>
      </c>
      <c r="N555" s="155">
        <f t="shared" si="324"/>
        <v>0.1998815725690162</v>
      </c>
      <c r="O555" s="156">
        <f t="shared" si="301"/>
        <v>5.0029624399453558</v>
      </c>
      <c r="P555" s="155" t="e">
        <f t="shared" si="302"/>
        <v>#DIV/0!</v>
      </c>
      <c r="Q555" s="225" t="e">
        <f t="shared" si="303"/>
        <v>#DIV/0!</v>
      </c>
      <c r="R555" s="231">
        <f t="shared" si="323"/>
        <v>-3259.38</v>
      </c>
      <c r="S555" s="227" t="e">
        <f t="shared" si="305"/>
        <v>#DIV/0!</v>
      </c>
      <c r="T555" s="160"/>
      <c r="U555" s="160"/>
      <c r="V555" s="160"/>
      <c r="W555" s="160"/>
      <c r="X555" s="1"/>
    </row>
    <row r="556" spans="1:26" ht="12.75" outlineLevel="1" x14ac:dyDescent="0.2">
      <c r="A556" s="34"/>
      <c r="B556" s="235" t="s">
        <v>37</v>
      </c>
      <c r="C556" s="70" t="s">
        <v>119</v>
      </c>
      <c r="D556" s="93"/>
      <c r="E556" s="73"/>
      <c r="F556" s="73"/>
      <c r="G556" s="74" t="e">
        <f t="shared" si="317"/>
        <v>#DIV/0!</v>
      </c>
      <c r="H556" s="75" t="e">
        <f t="shared" si="318"/>
        <v>#DIV/0!</v>
      </c>
      <c r="I556" s="76" t="e">
        <f t="shared" si="319"/>
        <v>#DIV/0!</v>
      </c>
      <c r="J556" s="93">
        <v>29.45</v>
      </c>
      <c r="K556" s="199">
        <v>10095</v>
      </c>
      <c r="L556" s="73"/>
      <c r="M556" s="94">
        <v>717.79</v>
      </c>
      <c r="N556" s="155">
        <f t="shared" si="324"/>
        <v>4.10287131333677E-2</v>
      </c>
      <c r="O556" s="156">
        <f t="shared" si="301"/>
        <v>24.373174872665533</v>
      </c>
      <c r="P556" s="155" t="e">
        <f t="shared" si="302"/>
        <v>#DIV/0!</v>
      </c>
      <c r="Q556" s="225" t="e">
        <f t="shared" si="303"/>
        <v>#DIV/0!</v>
      </c>
      <c r="R556" s="238">
        <f t="shared" si="323"/>
        <v>-717.79</v>
      </c>
      <c r="S556" s="227" t="e">
        <f t="shared" si="305"/>
        <v>#DIV/0!</v>
      </c>
      <c r="T556" s="160"/>
      <c r="U556" s="160"/>
      <c r="V556" s="160"/>
      <c r="W556" s="160"/>
      <c r="X556" s="1"/>
    </row>
    <row r="557" spans="1:26" ht="12.75" outlineLevel="1" x14ac:dyDescent="0.2">
      <c r="A557" s="34"/>
      <c r="B557" s="147"/>
      <c r="C557" s="70" t="s">
        <v>120</v>
      </c>
      <c r="D557" s="96"/>
      <c r="E557" s="73"/>
      <c r="F557" s="73"/>
      <c r="G557" s="74" t="e">
        <f t="shared" si="317"/>
        <v>#DIV/0!</v>
      </c>
      <c r="H557" s="75" t="e">
        <f t="shared" si="318"/>
        <v>#DIV/0!</v>
      </c>
      <c r="I557" s="76" t="e">
        <f t="shared" si="319"/>
        <v>#DIV/0!</v>
      </c>
      <c r="J557" s="96">
        <v>888.27</v>
      </c>
      <c r="K557" s="199">
        <v>108458</v>
      </c>
      <c r="L557" s="73"/>
      <c r="M557" s="97">
        <v>662.4</v>
      </c>
      <c r="N557" s="155">
        <f t="shared" si="324"/>
        <v>1.3409873188405796</v>
      </c>
      <c r="O557" s="156">
        <f t="shared" si="301"/>
        <v>0.74571920699787231</v>
      </c>
      <c r="P557" s="155" t="e">
        <f t="shared" si="302"/>
        <v>#DIV/0!</v>
      </c>
      <c r="Q557" s="225" t="e">
        <f t="shared" si="303"/>
        <v>#DIV/0!</v>
      </c>
      <c r="R557" s="241">
        <f t="shared" si="323"/>
        <v>-662.4</v>
      </c>
      <c r="S557" s="227" t="e">
        <f t="shared" si="305"/>
        <v>#DIV/0!</v>
      </c>
      <c r="T557" s="160"/>
      <c r="U557" s="160"/>
      <c r="V557" s="160"/>
      <c r="W557" s="160"/>
      <c r="X557" s="1"/>
    </row>
    <row r="558" spans="1:26" ht="12.75" outlineLevel="1" x14ac:dyDescent="0.2">
      <c r="A558" s="34"/>
      <c r="B558" s="147"/>
      <c r="C558" s="70" t="s">
        <v>121</v>
      </c>
      <c r="D558" s="99"/>
      <c r="E558" s="73"/>
      <c r="F558" s="73"/>
      <c r="G558" s="74" t="e">
        <f t="shared" si="317"/>
        <v>#DIV/0!</v>
      </c>
      <c r="H558" s="75" t="e">
        <f t="shared" si="318"/>
        <v>#DIV/0!</v>
      </c>
      <c r="I558" s="76" t="e">
        <f t="shared" si="319"/>
        <v>#DIV/0!</v>
      </c>
      <c r="J558" s="99">
        <v>115.71</v>
      </c>
      <c r="K558" s="199">
        <v>20775</v>
      </c>
      <c r="L558" s="73"/>
      <c r="M558" s="100">
        <v>404.63</v>
      </c>
      <c r="N558" s="155">
        <f t="shared" si="324"/>
        <v>0.28596495563848451</v>
      </c>
      <c r="O558" s="156">
        <f t="shared" si="301"/>
        <v>3.4969319851352521</v>
      </c>
      <c r="P558" s="155" t="e">
        <f t="shared" si="302"/>
        <v>#DIV/0!</v>
      </c>
      <c r="Q558" s="225" t="e">
        <f t="shared" si="303"/>
        <v>#DIV/0!</v>
      </c>
      <c r="R558" s="244">
        <f t="shared" si="323"/>
        <v>-404.63</v>
      </c>
      <c r="S558" s="227" t="e">
        <f t="shared" si="305"/>
        <v>#DIV/0!</v>
      </c>
      <c r="T558" s="160"/>
      <c r="U558" s="160"/>
      <c r="V558" s="160"/>
      <c r="W558" s="160"/>
      <c r="X558" s="1"/>
    </row>
    <row r="559" spans="1:26" ht="12.75" outlineLevel="1" x14ac:dyDescent="0.2">
      <c r="A559" s="34"/>
      <c r="B559" s="147"/>
      <c r="C559" s="70" t="s">
        <v>122</v>
      </c>
      <c r="D559" s="99"/>
      <c r="E559" s="73"/>
      <c r="F559" s="73"/>
      <c r="G559" s="74"/>
      <c r="H559" s="75"/>
      <c r="I559" s="76"/>
      <c r="J559" s="105">
        <v>425.83</v>
      </c>
      <c r="K559" s="199">
        <v>55401</v>
      </c>
      <c r="L559" s="73"/>
      <c r="M559" s="106">
        <v>2105.6</v>
      </c>
      <c r="N559" s="155">
        <f t="shared" si="324"/>
        <v>0.20223689209726445</v>
      </c>
      <c r="O559" s="156">
        <f t="shared" si="301"/>
        <v>4.9446962402836814</v>
      </c>
      <c r="P559" s="155" t="e">
        <f t="shared" si="302"/>
        <v>#DIV/0!</v>
      </c>
      <c r="Q559" s="225" t="e">
        <f t="shared" si="303"/>
        <v>#DIV/0!</v>
      </c>
      <c r="R559" s="246">
        <f t="shared" si="323"/>
        <v>-2105.6</v>
      </c>
      <c r="S559" s="227" t="e">
        <f t="shared" si="305"/>
        <v>#DIV/0!</v>
      </c>
      <c r="T559" s="160"/>
      <c r="U559" s="160"/>
      <c r="V559" s="160"/>
      <c r="W559" s="160"/>
      <c r="X559" s="1"/>
    </row>
    <row r="560" spans="1:26" ht="12.75" outlineLevel="1" x14ac:dyDescent="0.2">
      <c r="A560" s="34" t="str">
        <f t="shared" ref="A560:A561" si="325">IFERROR(IF(B560&gt;0,MONTH(B560)&amp;"-"&amp;YEAR(B560),B560),)</f>
        <v>1-2026</v>
      </c>
      <c r="B560" s="147">
        <v>46025</v>
      </c>
      <c r="C560" s="70" t="s">
        <v>123</v>
      </c>
      <c r="D560" s="251"/>
      <c r="E560" s="151"/>
      <c r="F560" s="151"/>
      <c r="G560" s="152" t="e">
        <f t="shared" ref="G560:G561" si="326">E560/F560</f>
        <v>#DIV/0!</v>
      </c>
      <c r="H560" s="150" t="e">
        <f t="shared" ref="H560:H561" si="327">D560/E560</f>
        <v>#DIV/0!</v>
      </c>
      <c r="I560" s="222" t="e">
        <f t="shared" ref="I560:I561" si="328">H560/G560</f>
        <v>#DIV/0!</v>
      </c>
      <c r="J560" s="87">
        <v>0</v>
      </c>
      <c r="K560" s="73">
        <v>0</v>
      </c>
      <c r="L560" s="73"/>
      <c r="M560" s="88">
        <v>0</v>
      </c>
      <c r="N560" s="155" t="e">
        <f t="shared" si="324"/>
        <v>#DIV/0!</v>
      </c>
      <c r="O560" s="156" t="e">
        <f t="shared" si="301"/>
        <v>#DIV/0!</v>
      </c>
      <c r="P560" s="155" t="e">
        <f t="shared" si="302"/>
        <v>#DIV/0!</v>
      </c>
      <c r="Q560" s="225" t="e">
        <f t="shared" si="303"/>
        <v>#DIV/0!</v>
      </c>
      <c r="R560" s="226">
        <f t="shared" si="323"/>
        <v>0</v>
      </c>
      <c r="S560" s="227" t="e">
        <f t="shared" si="305"/>
        <v>#DIV/0!</v>
      </c>
      <c r="T560" s="160"/>
      <c r="U560" s="160"/>
      <c r="V560" s="160"/>
      <c r="W560" s="160"/>
      <c r="X560" s="1"/>
    </row>
    <row r="561" spans="1:26" ht="12.75" x14ac:dyDescent="0.2">
      <c r="A561" s="68">
        <f t="shared" si="325"/>
        <v>0</v>
      </c>
      <c r="B561" s="119" t="s">
        <v>59</v>
      </c>
      <c r="C561" s="120"/>
      <c r="D561" s="121">
        <f t="shared" ref="D561:F561" si="329">SUM(D549:D560)</f>
        <v>0</v>
      </c>
      <c r="E561" s="123">
        <f t="shared" si="329"/>
        <v>0</v>
      </c>
      <c r="F561" s="123">
        <f t="shared" si="329"/>
        <v>0</v>
      </c>
      <c r="G561" s="124" t="e">
        <f t="shared" si="326"/>
        <v>#DIV/0!</v>
      </c>
      <c r="H561" s="125" t="e">
        <f t="shared" si="327"/>
        <v>#DIV/0!</v>
      </c>
      <c r="I561" s="126" t="e">
        <f t="shared" si="328"/>
        <v>#DIV/0!</v>
      </c>
      <c r="J561" s="121">
        <f t="shared" ref="J561:M561" si="330">SUM(J549:J560)</f>
        <v>4879.8900000000003</v>
      </c>
      <c r="K561" s="294">
        <f t="shared" si="330"/>
        <v>507182</v>
      </c>
      <c r="L561" s="123">
        <f t="shared" si="330"/>
        <v>0</v>
      </c>
      <c r="M561" s="127">
        <f t="shared" si="330"/>
        <v>18214</v>
      </c>
      <c r="N561" s="128">
        <f t="shared" si="324"/>
        <v>0.26791973207422864</v>
      </c>
      <c r="O561" s="129">
        <f t="shared" si="301"/>
        <v>3.7324611825266549</v>
      </c>
      <c r="P561" s="128" t="e">
        <f t="shared" si="302"/>
        <v>#DIV/0!</v>
      </c>
      <c r="Q561" s="130" t="e">
        <f t="shared" si="303"/>
        <v>#DIV/0!</v>
      </c>
      <c r="R561" s="131">
        <f>SUM(R549:R560)</f>
        <v>-18214</v>
      </c>
      <c r="S561" s="132" t="e">
        <f t="shared" si="305"/>
        <v>#DIV/0!</v>
      </c>
      <c r="T561" s="133">
        <f t="shared" ref="T561:U561" si="331">IFERROR((D561-D548)/D561,)</f>
        <v>0</v>
      </c>
      <c r="U561" s="133">
        <f t="shared" si="331"/>
        <v>0</v>
      </c>
      <c r="V561" s="133" t="s">
        <v>139</v>
      </c>
      <c r="W561" s="133" t="s">
        <v>139</v>
      </c>
      <c r="X561" s="68"/>
      <c r="Y561" s="68"/>
      <c r="Z561" s="68"/>
    </row>
  </sheetData>
  <mergeCells count="25">
    <mergeCell ref="X10:Y10"/>
    <mergeCell ref="N4:P4"/>
    <mergeCell ref="N5:Q5"/>
    <mergeCell ref="F7:I7"/>
    <mergeCell ref="N7:Q7"/>
    <mergeCell ref="F8:H8"/>
    <mergeCell ref="N8:P8"/>
    <mergeCell ref="N9:Q9"/>
    <mergeCell ref="F4:H4"/>
    <mergeCell ref="F5:I5"/>
    <mergeCell ref="S5:V5"/>
    <mergeCell ref="F9:I9"/>
    <mergeCell ref="D10:I10"/>
    <mergeCell ref="L10:S10"/>
    <mergeCell ref="V10:W10"/>
    <mergeCell ref="A1:B1"/>
    <mergeCell ref="A2:B2"/>
    <mergeCell ref="C2:W2"/>
    <mergeCell ref="F3:I3"/>
    <mergeCell ref="N3:Q3"/>
    <mergeCell ref="S3:V3"/>
    <mergeCell ref="S4:U4"/>
    <mergeCell ref="S7:V7"/>
    <mergeCell ref="S8:U8"/>
    <mergeCell ref="S9:V9"/>
  </mergeCells>
  <conditionalFormatting sqref="C5 F5:I5 K5:Q5 S5:V5 C9 K9">
    <cfRule type="cellIs" dxfId="15" priority="1" operator="greaterThanOrEqual">
      <formula>0</formula>
    </cfRule>
    <cfRule type="cellIs" dxfId="14" priority="2" operator="lessThanOrEqual">
      <formula>0</formula>
    </cfRule>
  </conditionalFormatting>
  <conditionalFormatting sqref="F9:V9">
    <cfRule type="cellIs" dxfId="13" priority="3" operator="lessThanOrEqual">
      <formula>0</formula>
    </cfRule>
    <cfRule type="cellIs" dxfId="12" priority="4" operator="greaterThanOrEqual">
      <formula>0</formula>
    </cfRule>
  </conditionalFormatting>
  <conditionalFormatting sqref="T12:Y561">
    <cfRule type="cellIs" dxfId="11" priority="5" operator="greaterThanOrEqual">
      <formula>0</formula>
    </cfRule>
    <cfRule type="cellIs" dxfId="10" priority="6" operator="lessThan">
      <formula>0</formula>
    </cfRule>
  </conditionalFormatting>
  <conditionalFormatting sqref="V12:W561">
    <cfRule type="cellIs" dxfId="9" priority="7" operator="greaterThanOrEqual">
      <formula>0</formula>
    </cfRule>
    <cfRule type="cellIs" dxfId="8" priority="8" operator="lessThan">
      <formula>0</formula>
    </cfRule>
  </conditionalFormatting>
  <dataValidations count="1">
    <dataValidation type="list" allowBlank="1" sqref="B12 B24 B36 B48 B60 B72 B84 B96 B108 B120 B132 B144 B156 B168 B180 B192 B204 B216 B228 B240 B252 B264 B276 B288 B300 B312 B324 B336 B348 B360 B372 B384 B396 B408 B420 B432 B444 B457 B470 B483 B496 B509 B522 B535 B548 B561" xr:uid="{00000000-0002-0000-0500-000000000000}">
      <formula1>"Previous Week,Current Week"</formula1>
    </dataValidation>
  </dataValidations>
  <hyperlinks>
    <hyperlink ref="A1"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00FF"/>
    <outlinePr summaryRight="0"/>
  </sheetPr>
  <dimension ref="A1:Z1270"/>
  <sheetViews>
    <sheetView showGridLines="0" workbookViewId="0">
      <pane xSplit="2" ySplit="6" topLeftCell="C7" activePane="bottomRight" state="frozen"/>
      <selection pane="topRight" activeCell="C1" sqref="C1"/>
      <selection pane="bottomLeft" activeCell="A7" sqref="A7"/>
      <selection pane="bottomRight" activeCell="C7" sqref="C7"/>
    </sheetView>
  </sheetViews>
  <sheetFormatPr defaultColWidth="12.5703125" defaultRowHeight="15.75" customHeight="1" outlineLevelRow="1" x14ac:dyDescent="0.2"/>
  <cols>
    <col min="1" max="1" width="10.5703125" customWidth="1"/>
    <col min="2" max="2" width="18.28515625" customWidth="1"/>
    <col min="3" max="3" width="14.140625" customWidth="1"/>
    <col min="4" max="4" width="11.42578125" customWidth="1"/>
    <col min="5" max="11" width="10.42578125" customWidth="1"/>
    <col min="12" max="12" width="9.7109375" customWidth="1"/>
    <col min="13" max="13" width="11.140625" customWidth="1"/>
    <col min="14" max="18" width="9.7109375" customWidth="1"/>
    <col min="19" max="19" width="10.85546875" customWidth="1"/>
    <col min="20" max="25" width="9.7109375" customWidth="1"/>
    <col min="26" max="26" width="0.42578125" customWidth="1"/>
  </cols>
  <sheetData>
    <row r="1" spans="1:26" ht="93.75" customHeight="1" x14ac:dyDescent="0.2">
      <c r="A1" s="315" t="s">
        <v>138</v>
      </c>
      <c r="B1" s="316"/>
      <c r="C1" s="1"/>
      <c r="D1" s="2"/>
      <c r="E1" s="2"/>
      <c r="F1" s="2"/>
      <c r="G1" s="2"/>
      <c r="H1" s="2"/>
      <c r="I1" s="2"/>
      <c r="J1" s="2"/>
      <c r="K1" s="2"/>
      <c r="L1" s="3"/>
      <c r="M1" s="2"/>
      <c r="N1" s="2"/>
      <c r="O1" s="2"/>
      <c r="P1" s="2"/>
      <c r="Q1" s="2"/>
      <c r="R1" s="2"/>
      <c r="S1" s="2"/>
      <c r="T1" s="4"/>
      <c r="U1" s="4"/>
      <c r="V1" s="2"/>
      <c r="W1" s="2"/>
      <c r="X1" s="2"/>
      <c r="Y1" s="2"/>
      <c r="Z1" s="2"/>
    </row>
    <row r="2" spans="1:26" ht="12.75" x14ac:dyDescent="0.2">
      <c r="A2" s="317"/>
      <c r="B2" s="318"/>
      <c r="C2" s="319" t="s">
        <v>1</v>
      </c>
      <c r="D2" s="320"/>
      <c r="E2" s="320"/>
      <c r="F2" s="320"/>
      <c r="G2" s="320"/>
      <c r="H2" s="320"/>
      <c r="I2" s="320"/>
      <c r="J2" s="320"/>
      <c r="K2" s="320"/>
      <c r="L2" s="320"/>
      <c r="M2" s="320"/>
      <c r="N2" s="320"/>
      <c r="O2" s="320"/>
      <c r="P2" s="320"/>
      <c r="Q2" s="320"/>
      <c r="R2" s="320"/>
      <c r="S2" s="320"/>
      <c r="T2" s="320"/>
      <c r="U2" s="320"/>
      <c r="V2" s="320"/>
      <c r="W2" s="318"/>
      <c r="X2" s="5" t="e">
        <f>(#REF!+#REF!+#REF!+#REF!)-([1]monthly_reporting_2021!D17+[1]monthly_reporting_2021!D23+[1]monthly_reporting_2021!D29+[1]monthly_reporting_2021!D35)</f>
        <v>#REF!</v>
      </c>
      <c r="Y2" s="6" t="e">
        <f>((#REF!+#REF!+#REF!+#REF!)-([1]monthly_reporting_2021!E17+[1]monthly_reporting_2021!E23+[1]monthly_reporting_2021!E29+[1]monthly_reporting_2021!E35))/(#REF!+#REF!+#REF!+#REF!)</f>
        <v>#REF!</v>
      </c>
      <c r="Z2" s="1"/>
    </row>
    <row r="3" spans="1:26" ht="21" customHeight="1" x14ac:dyDescent="0.2">
      <c r="A3" s="34"/>
      <c r="B3" s="303"/>
      <c r="C3" s="304" t="s">
        <v>2</v>
      </c>
      <c r="D3" s="67"/>
      <c r="E3" s="67"/>
      <c r="F3" s="350" t="s">
        <v>3</v>
      </c>
      <c r="G3" s="320"/>
      <c r="H3" s="320"/>
      <c r="I3" s="318"/>
      <c r="J3" s="67"/>
      <c r="K3" s="351" t="s">
        <v>4</v>
      </c>
      <c r="L3" s="320"/>
      <c r="M3" s="320"/>
      <c r="N3" s="318"/>
      <c r="O3" s="1"/>
      <c r="P3" s="1"/>
      <c r="Q3" s="1"/>
      <c r="R3" s="1"/>
      <c r="S3" s="1"/>
      <c r="T3" s="305"/>
      <c r="U3" s="305"/>
      <c r="V3" s="1"/>
      <c r="W3" s="1"/>
      <c r="X3" s="1"/>
      <c r="Y3" s="1"/>
      <c r="Z3" s="1"/>
    </row>
    <row r="4" spans="1:26" ht="21" customHeight="1" x14ac:dyDescent="0.2">
      <c r="A4" s="34"/>
      <c r="B4" s="303"/>
      <c r="C4" s="306">
        <f>VLOOKUP("Current Week",$B$11:$X$266,MATCH("SALES",$B$11:$X$11,0),FALSE)</f>
        <v>21475.38</v>
      </c>
      <c r="D4" s="67"/>
      <c r="E4" s="67"/>
      <c r="F4" s="352">
        <f>VLOOKUP("Current Week",$B$11:$X$266,MATCH("Units Sold",$B$11:$X$11,0),FALSE)</f>
        <v>129</v>
      </c>
      <c r="G4" s="320"/>
      <c r="H4" s="318"/>
      <c r="I4" s="1"/>
      <c r="J4" s="67"/>
      <c r="K4" s="352">
        <f>VLOOKUP("Current Week",$B$11:$X$266,MATCH("Ordered Items",$B$11:$X$11,0),FALSE)</f>
        <v>131</v>
      </c>
      <c r="L4" s="320"/>
      <c r="M4" s="318"/>
      <c r="N4" s="1"/>
      <c r="O4" s="1"/>
      <c r="P4" s="1"/>
      <c r="Q4" s="1"/>
      <c r="R4" s="1"/>
      <c r="S4" s="1"/>
      <c r="T4" s="305"/>
      <c r="U4" s="305"/>
      <c r="V4" s="1"/>
      <c r="W4" s="1"/>
      <c r="X4" s="1"/>
      <c r="Y4" s="1"/>
      <c r="Z4" s="1"/>
    </row>
    <row r="5" spans="1:26" ht="12.75" x14ac:dyDescent="0.2">
      <c r="A5" s="178"/>
      <c r="B5" s="307"/>
      <c r="C5" s="23">
        <f>(C4-(VLOOKUP("Previous Week",$B$11:$X$270,MATCH("SALES",$B$11:$X$11,0),FALSE)))/C4</f>
        <v>-8.6992174294471092E-2</v>
      </c>
      <c r="D5" s="24"/>
      <c r="E5" s="24"/>
      <c r="F5" s="332">
        <f>(F4-(VLOOKUP("Previous Week",$B$11:$X$270,MATCH("Units Sold",$B$11:$X$11,0),FALSE)))/F4</f>
        <v>-0.16279069767441862</v>
      </c>
      <c r="G5" s="320"/>
      <c r="H5" s="320"/>
      <c r="I5" s="318"/>
      <c r="J5" s="24"/>
      <c r="K5" s="332">
        <f>(K4-(VLOOKUP("Previous Week",$B$11:$X$270,MATCH("Ordered Items",$B$11:$X$11,0),FALSE)))/K4</f>
        <v>-0.20610687022900764</v>
      </c>
      <c r="L5" s="320"/>
      <c r="M5" s="320"/>
      <c r="N5" s="318"/>
      <c r="O5" s="308"/>
      <c r="P5" s="308"/>
      <c r="Q5" s="308"/>
      <c r="R5" s="308"/>
      <c r="S5" s="308"/>
      <c r="T5" s="308"/>
      <c r="U5" s="308"/>
      <c r="V5" s="308"/>
      <c r="W5" s="308"/>
      <c r="X5" s="308"/>
      <c r="Y5" s="308"/>
      <c r="Z5" s="308"/>
    </row>
    <row r="6" spans="1:26" ht="6" customHeight="1" x14ac:dyDescent="0.2">
      <c r="A6" s="34"/>
      <c r="B6" s="303"/>
      <c r="C6" s="304"/>
      <c r="D6" s="67"/>
      <c r="E6" s="67"/>
      <c r="F6" s="1"/>
      <c r="G6" s="1"/>
      <c r="H6" s="1"/>
      <c r="I6" s="1"/>
      <c r="J6" s="67"/>
      <c r="K6" s="1"/>
      <c r="L6" s="1"/>
      <c r="M6" s="1"/>
      <c r="N6" s="1"/>
      <c r="O6" s="1"/>
      <c r="P6" s="1"/>
      <c r="Q6" s="1"/>
      <c r="R6" s="1"/>
      <c r="S6" s="1"/>
      <c r="T6" s="305"/>
      <c r="U6" s="305"/>
      <c r="V6" s="1"/>
      <c r="W6" s="1"/>
      <c r="X6" s="1"/>
      <c r="Y6" s="1"/>
      <c r="Z6" s="1"/>
    </row>
    <row r="7" spans="1:26" ht="17.25" customHeight="1" x14ac:dyDescent="0.2">
      <c r="A7" s="34"/>
      <c r="B7" s="303"/>
      <c r="C7" s="304" t="s">
        <v>5</v>
      </c>
      <c r="D7" s="67"/>
      <c r="E7" s="67"/>
      <c r="F7" s="351" t="s">
        <v>6</v>
      </c>
      <c r="G7" s="320"/>
      <c r="H7" s="320"/>
      <c r="I7" s="318"/>
      <c r="J7" s="67"/>
      <c r="K7" s="351" t="s">
        <v>7</v>
      </c>
      <c r="L7" s="320"/>
      <c r="M7" s="320"/>
      <c r="N7" s="318"/>
      <c r="O7" s="1"/>
      <c r="P7" s="1"/>
      <c r="Q7" s="1"/>
      <c r="R7" s="1"/>
      <c r="S7" s="1"/>
      <c r="T7" s="305"/>
      <c r="U7" s="305"/>
      <c r="V7" s="1"/>
      <c r="W7" s="1"/>
      <c r="X7" s="1"/>
      <c r="Y7" s="1"/>
      <c r="Z7" s="1"/>
    </row>
    <row r="8" spans="1:26" ht="21" customHeight="1" x14ac:dyDescent="0.2">
      <c r="A8" s="34"/>
      <c r="B8" s="303"/>
      <c r="C8" s="306">
        <f>VLOOKUP("Current Week",$B$11:$X$266,MATCH("AD SALES",$B$11:$X$11,0),FALSE)</f>
        <v>4541.92</v>
      </c>
      <c r="D8" s="67"/>
      <c r="E8" s="67"/>
      <c r="F8" s="353">
        <f>VLOOKUP("Current Week",$B$11:$X$266,MATCH("SP AD SPEND",$B$11:$X$11,0),FALSE)</f>
        <v>902.48</v>
      </c>
      <c r="G8" s="320"/>
      <c r="H8" s="318"/>
      <c r="I8" s="1"/>
      <c r="J8" s="67"/>
      <c r="K8" s="354">
        <f>F8/C8</f>
        <v>0.19870010920491774</v>
      </c>
      <c r="L8" s="320"/>
      <c r="M8" s="318"/>
      <c r="N8" s="1"/>
      <c r="O8" s="1"/>
      <c r="P8" s="1"/>
      <c r="Q8" s="1"/>
      <c r="R8" s="1"/>
      <c r="S8" s="1"/>
      <c r="T8" s="305"/>
      <c r="U8" s="305"/>
      <c r="V8" s="1"/>
      <c r="W8" s="1"/>
      <c r="X8" s="1"/>
      <c r="Y8" s="1"/>
      <c r="Z8" s="1"/>
    </row>
    <row r="9" spans="1:26" ht="14.25" customHeight="1" x14ac:dyDescent="0.2">
      <c r="A9" s="173"/>
      <c r="B9" s="309"/>
      <c r="C9" s="30">
        <f>(C8-(VLOOKUP("Previous Week",$B$11:$X$270,MATCH("AD SALES",$B$11:$X$11,0),FALSE)))/C8</f>
        <v>-0.11325606791841347</v>
      </c>
      <c r="D9" s="24"/>
      <c r="E9" s="24"/>
      <c r="F9" s="324">
        <f>(F8-(VLOOKUP("Previous Week",$B$11:$X$270,MATCH("SP AD SPEND",$B$11:$X$11,0),FALSE)))/F8</f>
        <v>-0.13451821647017118</v>
      </c>
      <c r="G9" s="325"/>
      <c r="H9" s="325"/>
      <c r="I9" s="326"/>
      <c r="J9" s="24"/>
      <c r="K9" s="335">
        <f>(K8-(VLOOKUP("Previous Week",$B$11:$X$270,MATCH("ACOS",$B$11:$X$11,0),FALSE)))/K8</f>
        <v>-1.9099063696561787E-2</v>
      </c>
      <c r="L9" s="325"/>
      <c r="M9" s="325"/>
      <c r="N9" s="326"/>
      <c r="O9" s="310"/>
      <c r="P9" s="310"/>
      <c r="Q9" s="310"/>
      <c r="R9" s="310"/>
      <c r="S9" s="310"/>
      <c r="T9" s="311"/>
      <c r="U9" s="311"/>
      <c r="V9" s="310"/>
      <c r="W9" s="310"/>
      <c r="X9" s="310"/>
      <c r="Y9" s="310"/>
      <c r="Z9" s="312"/>
    </row>
    <row r="10" spans="1:26" ht="15" customHeight="1" x14ac:dyDescent="0.2">
      <c r="A10" s="34"/>
      <c r="B10" s="35"/>
      <c r="C10" s="36"/>
      <c r="D10" s="327" t="s">
        <v>8</v>
      </c>
      <c r="E10" s="328"/>
      <c r="F10" s="328"/>
      <c r="G10" s="328"/>
      <c r="H10" s="328"/>
      <c r="I10" s="329"/>
      <c r="J10" s="37"/>
      <c r="K10" s="38"/>
      <c r="L10" s="330" t="s">
        <v>9</v>
      </c>
      <c r="M10" s="328"/>
      <c r="N10" s="328"/>
      <c r="O10" s="328"/>
      <c r="P10" s="328"/>
      <c r="Q10" s="328"/>
      <c r="R10" s="328"/>
      <c r="S10" s="329"/>
      <c r="T10" s="39"/>
      <c r="U10" s="40"/>
      <c r="V10" s="331" t="s">
        <v>10</v>
      </c>
      <c r="W10" s="329"/>
      <c r="X10" s="327" t="s">
        <v>11</v>
      </c>
      <c r="Y10" s="329"/>
      <c r="Z10" s="1"/>
    </row>
    <row r="11" spans="1:26" ht="37.5" customHeight="1" x14ac:dyDescent="0.2">
      <c r="A11" s="41" t="s">
        <v>12</v>
      </c>
      <c r="B11" s="42" t="s">
        <v>13</v>
      </c>
      <c r="C11" s="43" t="s">
        <v>14</v>
      </c>
      <c r="D11" s="43" t="s">
        <v>15</v>
      </c>
      <c r="E11" s="45" t="s">
        <v>17</v>
      </c>
      <c r="F11" s="45" t="s">
        <v>18</v>
      </c>
      <c r="G11" s="45" t="s">
        <v>19</v>
      </c>
      <c r="H11" s="45" t="s">
        <v>20</v>
      </c>
      <c r="I11" s="41" t="s">
        <v>21</v>
      </c>
      <c r="J11" s="46" t="s">
        <v>22</v>
      </c>
      <c r="K11" s="45" t="s">
        <v>23</v>
      </c>
      <c r="L11" s="45" t="s">
        <v>24</v>
      </c>
      <c r="M11" s="45" t="s">
        <v>25</v>
      </c>
      <c r="N11" s="45" t="s">
        <v>7</v>
      </c>
      <c r="O11" s="45" t="s">
        <v>26</v>
      </c>
      <c r="P11" s="41" t="s">
        <v>27</v>
      </c>
      <c r="Q11" s="47" t="s">
        <v>28</v>
      </c>
      <c r="R11" s="48" t="s">
        <v>29</v>
      </c>
      <c r="S11" s="41" t="s">
        <v>30</v>
      </c>
      <c r="T11" s="49" t="s">
        <v>15</v>
      </c>
      <c r="U11" s="47" t="s">
        <v>31</v>
      </c>
      <c r="V11" s="49" t="s">
        <v>15</v>
      </c>
      <c r="W11" s="47" t="s">
        <v>31</v>
      </c>
      <c r="X11" s="45"/>
    </row>
    <row r="12" spans="1:26" ht="12.75" x14ac:dyDescent="0.2">
      <c r="A12" s="51"/>
      <c r="B12" s="52"/>
      <c r="C12" s="53"/>
      <c r="D12" s="54"/>
      <c r="E12" s="56"/>
      <c r="F12" s="56"/>
      <c r="G12" s="57"/>
      <c r="H12" s="55"/>
      <c r="I12" s="58"/>
      <c r="J12" s="54"/>
      <c r="K12" s="56"/>
      <c r="L12" s="56"/>
      <c r="M12" s="59"/>
      <c r="N12" s="60"/>
      <c r="O12" s="61"/>
      <c r="P12" s="60"/>
      <c r="Q12" s="62"/>
      <c r="R12" s="63"/>
      <c r="S12" s="64"/>
      <c r="T12" s="65"/>
      <c r="U12" s="65"/>
      <c r="V12" s="66"/>
      <c r="W12" s="66"/>
      <c r="X12" s="67"/>
    </row>
    <row r="13" spans="1:26" ht="12.75" hidden="1" outlineLevel="1" x14ac:dyDescent="0.2">
      <c r="A13" s="255" t="str">
        <f>IFERROR(IF(B13&gt;0,MONTH(B13)&amp;"-"&amp;YEAR(B13),B13),)</f>
        <v>9-2024</v>
      </c>
      <c r="B13" s="69">
        <v>45557</v>
      </c>
      <c r="C13" s="70" t="s">
        <v>32</v>
      </c>
      <c r="D13" s="71"/>
      <c r="E13" s="73"/>
      <c r="F13" s="73"/>
      <c r="G13" s="74" t="e">
        <f t="shared" ref="G13:G265" si="0">E13/F13</f>
        <v>#DIV/0!</v>
      </c>
      <c r="H13" s="75" t="e">
        <f t="shared" ref="H13:H265" si="1">D13/E13</f>
        <v>#DIV/0!</v>
      </c>
      <c r="I13" s="76" t="e">
        <f t="shared" ref="I13:I265" si="2">H13/G13</f>
        <v>#DIV/0!</v>
      </c>
      <c r="J13" s="71"/>
      <c r="K13" s="199"/>
      <c r="L13" s="73"/>
      <c r="M13" s="78"/>
      <c r="N13" s="79" t="e">
        <f t="shared" ref="N13:N266" si="3">J13/M13</f>
        <v>#DIV/0!</v>
      </c>
      <c r="O13" s="80" t="e">
        <f t="shared" ref="O13:O266" si="4">M13/J13</f>
        <v>#DIV/0!</v>
      </c>
      <c r="P13" s="79" t="e">
        <f t="shared" ref="P13:P266" si="5">J13/D13</f>
        <v>#DIV/0!</v>
      </c>
      <c r="Q13" s="81" t="e">
        <f t="shared" ref="Q13:Q266" si="6">M13/D13</f>
        <v>#DIV/0!</v>
      </c>
      <c r="R13" s="82">
        <f t="shared" ref="R13:R24" si="7">D13-M13</f>
        <v>0</v>
      </c>
      <c r="S13" s="83" t="e">
        <f t="shared" ref="S13:S266" si="8">J13/L13</f>
        <v>#DIV/0!</v>
      </c>
      <c r="T13" s="84"/>
      <c r="U13" s="84"/>
      <c r="V13" s="84"/>
      <c r="W13" s="84"/>
      <c r="X13" s="85"/>
    </row>
    <row r="14" spans="1:26" ht="12.75" hidden="1" outlineLevel="1" x14ac:dyDescent="0.2">
      <c r="A14" s="68"/>
      <c r="B14" s="69"/>
      <c r="C14" s="70" t="s">
        <v>33</v>
      </c>
      <c r="D14" s="87"/>
      <c r="E14" s="73"/>
      <c r="F14" s="73"/>
      <c r="G14" s="74" t="e">
        <f t="shared" si="0"/>
        <v>#DIV/0!</v>
      </c>
      <c r="H14" s="75" t="e">
        <f t="shared" si="1"/>
        <v>#DIV/0!</v>
      </c>
      <c r="I14" s="76" t="e">
        <f t="shared" si="2"/>
        <v>#DIV/0!</v>
      </c>
      <c r="J14" s="87"/>
      <c r="K14" s="199"/>
      <c r="L14" s="73"/>
      <c r="M14" s="88"/>
      <c r="N14" s="79" t="e">
        <f t="shared" si="3"/>
        <v>#DIV/0!</v>
      </c>
      <c r="O14" s="80" t="e">
        <f t="shared" si="4"/>
        <v>#DIV/0!</v>
      </c>
      <c r="P14" s="79" t="e">
        <f t="shared" si="5"/>
        <v>#DIV/0!</v>
      </c>
      <c r="Q14" s="81" t="e">
        <f t="shared" si="6"/>
        <v>#DIV/0!</v>
      </c>
      <c r="R14" s="89">
        <f t="shared" si="7"/>
        <v>0</v>
      </c>
      <c r="S14" s="83" t="e">
        <f t="shared" si="8"/>
        <v>#DIV/0!</v>
      </c>
      <c r="T14" s="84"/>
      <c r="U14" s="84"/>
      <c r="V14" s="84"/>
      <c r="W14" s="84"/>
      <c r="X14" s="85"/>
    </row>
    <row r="15" spans="1:26" ht="12.75" hidden="1" outlineLevel="1" x14ac:dyDescent="0.2">
      <c r="A15" s="68"/>
      <c r="B15" s="69"/>
      <c r="C15" s="70" t="s">
        <v>66</v>
      </c>
      <c r="D15" s="87"/>
      <c r="E15" s="73"/>
      <c r="F15" s="73"/>
      <c r="G15" s="74" t="e">
        <f t="shared" si="0"/>
        <v>#DIV/0!</v>
      </c>
      <c r="H15" s="75" t="e">
        <f t="shared" si="1"/>
        <v>#DIV/0!</v>
      </c>
      <c r="I15" s="76" t="e">
        <f t="shared" si="2"/>
        <v>#DIV/0!</v>
      </c>
      <c r="J15" s="87"/>
      <c r="K15" s="199"/>
      <c r="L15" s="73"/>
      <c r="M15" s="88"/>
      <c r="N15" s="79" t="e">
        <f t="shared" si="3"/>
        <v>#DIV/0!</v>
      </c>
      <c r="O15" s="80" t="e">
        <f t="shared" si="4"/>
        <v>#DIV/0!</v>
      </c>
      <c r="P15" s="79" t="e">
        <f t="shared" si="5"/>
        <v>#DIV/0!</v>
      </c>
      <c r="Q15" s="81" t="e">
        <f t="shared" si="6"/>
        <v>#DIV/0!</v>
      </c>
      <c r="R15" s="89">
        <f t="shared" si="7"/>
        <v>0</v>
      </c>
      <c r="S15" s="83" t="e">
        <f t="shared" si="8"/>
        <v>#DIV/0!</v>
      </c>
      <c r="T15" s="84"/>
      <c r="U15" s="84"/>
      <c r="V15" s="84"/>
      <c r="W15" s="84"/>
      <c r="X15" s="85"/>
    </row>
    <row r="16" spans="1:26" ht="12.75" hidden="1" outlineLevel="1" x14ac:dyDescent="0.2">
      <c r="A16" s="68"/>
      <c r="B16" s="69"/>
      <c r="C16" s="70" t="s">
        <v>36</v>
      </c>
      <c r="D16" s="87"/>
      <c r="E16" s="73"/>
      <c r="F16" s="73"/>
      <c r="G16" s="74" t="e">
        <f t="shared" si="0"/>
        <v>#DIV/0!</v>
      </c>
      <c r="H16" s="75" t="e">
        <f t="shared" si="1"/>
        <v>#DIV/0!</v>
      </c>
      <c r="I16" s="76" t="e">
        <f t="shared" si="2"/>
        <v>#DIV/0!</v>
      </c>
      <c r="J16" s="87"/>
      <c r="K16" s="199"/>
      <c r="L16" s="73"/>
      <c r="M16" s="88"/>
      <c r="N16" s="79" t="e">
        <f t="shared" si="3"/>
        <v>#DIV/0!</v>
      </c>
      <c r="O16" s="80" t="e">
        <f t="shared" si="4"/>
        <v>#DIV/0!</v>
      </c>
      <c r="P16" s="79" t="e">
        <f t="shared" si="5"/>
        <v>#DIV/0!</v>
      </c>
      <c r="Q16" s="81" t="e">
        <f t="shared" si="6"/>
        <v>#DIV/0!</v>
      </c>
      <c r="R16" s="89">
        <f t="shared" si="7"/>
        <v>0</v>
      </c>
      <c r="S16" s="83" t="e">
        <f t="shared" si="8"/>
        <v>#DIV/0!</v>
      </c>
      <c r="T16" s="84"/>
      <c r="U16" s="84"/>
      <c r="V16" s="84"/>
      <c r="W16" s="84"/>
      <c r="X16" s="85"/>
    </row>
    <row r="17" spans="1:26" ht="12.75" hidden="1" outlineLevel="1" x14ac:dyDescent="0.2">
      <c r="A17" s="68"/>
      <c r="B17" s="69"/>
      <c r="C17" s="70" t="s">
        <v>38</v>
      </c>
      <c r="D17" s="87"/>
      <c r="E17" s="73"/>
      <c r="F17" s="73"/>
      <c r="G17" s="74" t="e">
        <f t="shared" si="0"/>
        <v>#DIV/0!</v>
      </c>
      <c r="H17" s="75" t="e">
        <f t="shared" si="1"/>
        <v>#DIV/0!</v>
      </c>
      <c r="I17" s="76" t="e">
        <f t="shared" si="2"/>
        <v>#DIV/0!</v>
      </c>
      <c r="J17" s="87"/>
      <c r="K17" s="199"/>
      <c r="L17" s="73"/>
      <c r="M17" s="88"/>
      <c r="N17" s="79" t="e">
        <f t="shared" si="3"/>
        <v>#DIV/0!</v>
      </c>
      <c r="O17" s="80" t="e">
        <f t="shared" si="4"/>
        <v>#DIV/0!</v>
      </c>
      <c r="P17" s="79" t="e">
        <f t="shared" si="5"/>
        <v>#DIV/0!</v>
      </c>
      <c r="Q17" s="81" t="e">
        <f t="shared" si="6"/>
        <v>#DIV/0!</v>
      </c>
      <c r="R17" s="89">
        <f t="shared" si="7"/>
        <v>0</v>
      </c>
      <c r="S17" s="83" t="e">
        <f t="shared" si="8"/>
        <v>#DIV/0!</v>
      </c>
      <c r="T17" s="84"/>
      <c r="U17" s="84"/>
      <c r="V17" s="84"/>
      <c r="W17" s="84"/>
      <c r="X17" s="85"/>
    </row>
    <row r="18" spans="1:26" ht="12.75" hidden="1" outlineLevel="1" x14ac:dyDescent="0.2">
      <c r="A18" s="68"/>
      <c r="B18" s="69"/>
      <c r="C18" s="70" t="s">
        <v>39</v>
      </c>
      <c r="D18" s="87"/>
      <c r="E18" s="73"/>
      <c r="F18" s="73"/>
      <c r="G18" s="74" t="e">
        <f t="shared" si="0"/>
        <v>#DIV/0!</v>
      </c>
      <c r="H18" s="75" t="e">
        <f t="shared" si="1"/>
        <v>#DIV/0!</v>
      </c>
      <c r="I18" s="76" t="e">
        <f t="shared" si="2"/>
        <v>#DIV/0!</v>
      </c>
      <c r="J18" s="87"/>
      <c r="K18" s="199"/>
      <c r="L18" s="73"/>
      <c r="M18" s="88"/>
      <c r="N18" s="79" t="e">
        <f t="shared" si="3"/>
        <v>#DIV/0!</v>
      </c>
      <c r="O18" s="80" t="e">
        <f t="shared" si="4"/>
        <v>#DIV/0!</v>
      </c>
      <c r="P18" s="79" t="e">
        <f t="shared" si="5"/>
        <v>#DIV/0!</v>
      </c>
      <c r="Q18" s="81" t="e">
        <f t="shared" si="6"/>
        <v>#DIV/0!</v>
      </c>
      <c r="R18" s="89">
        <f t="shared" si="7"/>
        <v>0</v>
      </c>
      <c r="S18" s="83" t="e">
        <f t="shared" si="8"/>
        <v>#DIV/0!</v>
      </c>
      <c r="T18" s="84"/>
      <c r="U18" s="84"/>
      <c r="V18" s="84"/>
      <c r="W18" s="84"/>
      <c r="X18" s="85"/>
    </row>
    <row r="19" spans="1:26" ht="12.75" hidden="1" outlineLevel="1" x14ac:dyDescent="0.2">
      <c r="A19" s="68"/>
      <c r="B19" s="69"/>
      <c r="C19" s="70" t="s">
        <v>40</v>
      </c>
      <c r="D19" s="87"/>
      <c r="E19" s="73"/>
      <c r="F19" s="73"/>
      <c r="G19" s="74" t="e">
        <f t="shared" si="0"/>
        <v>#DIV/0!</v>
      </c>
      <c r="H19" s="75" t="e">
        <f t="shared" si="1"/>
        <v>#DIV/0!</v>
      </c>
      <c r="I19" s="76" t="e">
        <f t="shared" si="2"/>
        <v>#DIV/0!</v>
      </c>
      <c r="J19" s="87"/>
      <c r="K19" s="199"/>
      <c r="L19" s="73"/>
      <c r="M19" s="88"/>
      <c r="N19" s="79" t="e">
        <f t="shared" si="3"/>
        <v>#DIV/0!</v>
      </c>
      <c r="O19" s="80" t="e">
        <f t="shared" si="4"/>
        <v>#DIV/0!</v>
      </c>
      <c r="P19" s="79" t="e">
        <f t="shared" si="5"/>
        <v>#DIV/0!</v>
      </c>
      <c r="Q19" s="81" t="e">
        <f t="shared" si="6"/>
        <v>#DIV/0!</v>
      </c>
      <c r="R19" s="89">
        <f t="shared" si="7"/>
        <v>0</v>
      </c>
      <c r="S19" s="83" t="e">
        <f t="shared" si="8"/>
        <v>#DIV/0!</v>
      </c>
      <c r="T19" s="84"/>
      <c r="U19" s="84"/>
      <c r="V19" s="84"/>
      <c r="W19" s="84"/>
      <c r="X19" s="85"/>
    </row>
    <row r="20" spans="1:26" ht="12.75" hidden="1" outlineLevel="1" x14ac:dyDescent="0.2">
      <c r="A20" s="68"/>
      <c r="B20" s="69"/>
      <c r="C20" s="70" t="s">
        <v>41</v>
      </c>
      <c r="D20" s="102"/>
      <c r="E20" s="73"/>
      <c r="F20" s="73"/>
      <c r="G20" s="74" t="e">
        <f t="shared" si="0"/>
        <v>#DIV/0!</v>
      </c>
      <c r="H20" s="75" t="e">
        <f t="shared" si="1"/>
        <v>#DIV/0!</v>
      </c>
      <c r="I20" s="76" t="e">
        <f t="shared" si="2"/>
        <v>#DIV/0!</v>
      </c>
      <c r="J20" s="102"/>
      <c r="K20" s="199"/>
      <c r="L20" s="73"/>
      <c r="M20" s="103"/>
      <c r="N20" s="79" t="e">
        <f t="shared" si="3"/>
        <v>#DIV/0!</v>
      </c>
      <c r="O20" s="80" t="e">
        <f t="shared" si="4"/>
        <v>#DIV/0!</v>
      </c>
      <c r="P20" s="79" t="e">
        <f t="shared" si="5"/>
        <v>#DIV/0!</v>
      </c>
      <c r="Q20" s="81" t="e">
        <f t="shared" si="6"/>
        <v>#DIV/0!</v>
      </c>
      <c r="R20" s="104">
        <f t="shared" si="7"/>
        <v>0</v>
      </c>
      <c r="S20" s="83" t="e">
        <f t="shared" si="8"/>
        <v>#DIV/0!</v>
      </c>
      <c r="T20" s="84"/>
      <c r="U20" s="84"/>
      <c r="V20" s="84"/>
      <c r="W20" s="84"/>
      <c r="X20" s="85"/>
    </row>
    <row r="21" spans="1:26" ht="12.75" hidden="1" outlineLevel="1" x14ac:dyDescent="0.2">
      <c r="A21" s="68"/>
      <c r="B21" s="69"/>
      <c r="C21" s="70" t="s">
        <v>43</v>
      </c>
      <c r="D21" s="105"/>
      <c r="E21" s="73"/>
      <c r="F21" s="73"/>
      <c r="G21" s="74" t="e">
        <f t="shared" si="0"/>
        <v>#DIV/0!</v>
      </c>
      <c r="H21" s="75" t="e">
        <f t="shared" si="1"/>
        <v>#DIV/0!</v>
      </c>
      <c r="I21" s="76" t="e">
        <f t="shared" si="2"/>
        <v>#DIV/0!</v>
      </c>
      <c r="J21" s="105"/>
      <c r="K21" s="199"/>
      <c r="L21" s="73"/>
      <c r="M21" s="106"/>
      <c r="N21" s="79" t="e">
        <f t="shared" si="3"/>
        <v>#DIV/0!</v>
      </c>
      <c r="O21" s="80" t="e">
        <f t="shared" si="4"/>
        <v>#DIV/0!</v>
      </c>
      <c r="P21" s="79" t="e">
        <f t="shared" si="5"/>
        <v>#DIV/0!</v>
      </c>
      <c r="Q21" s="81" t="e">
        <f t="shared" si="6"/>
        <v>#DIV/0!</v>
      </c>
      <c r="R21" s="107">
        <f t="shared" si="7"/>
        <v>0</v>
      </c>
      <c r="S21" s="83" t="e">
        <f t="shared" si="8"/>
        <v>#DIV/0!</v>
      </c>
      <c r="T21" s="84"/>
      <c r="U21" s="84"/>
      <c r="V21" s="84"/>
      <c r="W21" s="84"/>
      <c r="X21" s="85"/>
    </row>
    <row r="22" spans="1:26" ht="12.75" hidden="1" outlineLevel="1" x14ac:dyDescent="0.2">
      <c r="A22" s="68"/>
      <c r="B22" s="69"/>
      <c r="C22" s="70" t="s">
        <v>44</v>
      </c>
      <c r="D22" s="108"/>
      <c r="E22" s="73"/>
      <c r="F22" s="73"/>
      <c r="G22" s="74" t="e">
        <f t="shared" si="0"/>
        <v>#DIV/0!</v>
      </c>
      <c r="H22" s="75" t="e">
        <f t="shared" si="1"/>
        <v>#DIV/0!</v>
      </c>
      <c r="I22" s="76" t="e">
        <f t="shared" si="2"/>
        <v>#DIV/0!</v>
      </c>
      <c r="J22" s="108"/>
      <c r="K22" s="199"/>
      <c r="L22" s="73"/>
      <c r="M22" s="109"/>
      <c r="N22" s="79" t="e">
        <f t="shared" si="3"/>
        <v>#DIV/0!</v>
      </c>
      <c r="O22" s="80" t="e">
        <f t="shared" si="4"/>
        <v>#DIV/0!</v>
      </c>
      <c r="P22" s="79" t="e">
        <f t="shared" si="5"/>
        <v>#DIV/0!</v>
      </c>
      <c r="Q22" s="81" t="e">
        <f t="shared" si="6"/>
        <v>#DIV/0!</v>
      </c>
      <c r="R22" s="110">
        <f t="shared" si="7"/>
        <v>0</v>
      </c>
      <c r="S22" s="83" t="e">
        <f t="shared" si="8"/>
        <v>#DIV/0!</v>
      </c>
      <c r="T22" s="84"/>
      <c r="U22" s="84"/>
      <c r="V22" s="84"/>
      <c r="W22" s="84"/>
      <c r="X22" s="85"/>
    </row>
    <row r="23" spans="1:26" ht="12.75" hidden="1" outlineLevel="1" x14ac:dyDescent="0.2">
      <c r="A23" s="111"/>
      <c r="B23" s="69"/>
      <c r="C23" s="112" t="s">
        <v>45</v>
      </c>
      <c r="D23" s="71"/>
      <c r="E23" s="73"/>
      <c r="F23" s="73"/>
      <c r="G23" s="74" t="e">
        <f t="shared" si="0"/>
        <v>#DIV/0!</v>
      </c>
      <c r="H23" s="75" t="e">
        <f t="shared" si="1"/>
        <v>#DIV/0!</v>
      </c>
      <c r="I23" s="76" t="e">
        <f t="shared" si="2"/>
        <v>#DIV/0!</v>
      </c>
      <c r="J23" s="71"/>
      <c r="K23" s="199"/>
      <c r="L23" s="73"/>
      <c r="M23" s="78"/>
      <c r="N23" s="79" t="e">
        <f t="shared" si="3"/>
        <v>#DIV/0!</v>
      </c>
      <c r="O23" s="80" t="e">
        <f t="shared" si="4"/>
        <v>#DIV/0!</v>
      </c>
      <c r="P23" s="79" t="e">
        <f t="shared" si="5"/>
        <v>#DIV/0!</v>
      </c>
      <c r="Q23" s="81" t="e">
        <f t="shared" si="6"/>
        <v>#DIV/0!</v>
      </c>
      <c r="R23" s="82">
        <f t="shared" si="7"/>
        <v>0</v>
      </c>
      <c r="S23" s="83" t="e">
        <f t="shared" si="8"/>
        <v>#DIV/0!</v>
      </c>
      <c r="T23" s="113"/>
      <c r="U23" s="113"/>
      <c r="V23" s="113"/>
      <c r="W23" s="114"/>
      <c r="X23" s="115"/>
    </row>
    <row r="24" spans="1:26" ht="12.75" hidden="1" outlineLevel="1" x14ac:dyDescent="0.2">
      <c r="A24" s="118" t="str">
        <f t="shared" ref="A24:A26" si="9">IFERROR(IF(B24&gt;0,MONTH(B24)&amp;"-"&amp;YEAR(B24),B24),)</f>
        <v>9-2024</v>
      </c>
      <c r="B24" s="69">
        <v>45563</v>
      </c>
      <c r="C24" s="70" t="s">
        <v>46</v>
      </c>
      <c r="D24" s="116"/>
      <c r="E24" s="73"/>
      <c r="F24" s="73"/>
      <c r="G24" s="74" t="e">
        <f t="shared" si="0"/>
        <v>#DIV/0!</v>
      </c>
      <c r="H24" s="75" t="e">
        <f t="shared" si="1"/>
        <v>#DIV/0!</v>
      </c>
      <c r="I24" s="76" t="e">
        <f t="shared" si="2"/>
        <v>#DIV/0!</v>
      </c>
      <c r="J24" s="116"/>
      <c r="K24" s="199"/>
      <c r="L24" s="73"/>
      <c r="M24" s="117"/>
      <c r="N24" s="79" t="e">
        <f t="shared" si="3"/>
        <v>#DIV/0!</v>
      </c>
      <c r="O24" s="80" t="e">
        <f t="shared" si="4"/>
        <v>#DIV/0!</v>
      </c>
      <c r="P24" s="79" t="e">
        <f t="shared" si="5"/>
        <v>#DIV/0!</v>
      </c>
      <c r="Q24" s="81" t="e">
        <f t="shared" si="6"/>
        <v>#DIV/0!</v>
      </c>
      <c r="R24" s="82">
        <f t="shared" si="7"/>
        <v>0</v>
      </c>
      <c r="S24" s="83" t="e">
        <f t="shared" si="8"/>
        <v>#DIV/0!</v>
      </c>
      <c r="T24" s="84"/>
      <c r="U24" s="84"/>
      <c r="V24" s="84"/>
      <c r="W24" s="84"/>
      <c r="X24" s="85"/>
    </row>
    <row r="25" spans="1:26" ht="12.75" collapsed="1" x14ac:dyDescent="0.2">
      <c r="A25" s="111">
        <f t="shared" si="9"/>
        <v>0</v>
      </c>
      <c r="B25" s="206" t="s">
        <v>97</v>
      </c>
      <c r="C25" s="299"/>
      <c r="D25" s="208">
        <f t="shared" ref="D25:F25" si="10">SUM(D13:D24)</f>
        <v>0</v>
      </c>
      <c r="E25" s="209">
        <f t="shared" si="10"/>
        <v>0</v>
      </c>
      <c r="F25" s="209">
        <f t="shared" si="10"/>
        <v>0</v>
      </c>
      <c r="G25" s="210" t="e">
        <f t="shared" si="0"/>
        <v>#DIV/0!</v>
      </c>
      <c r="H25" s="211" t="e">
        <f t="shared" si="1"/>
        <v>#DIV/0!</v>
      </c>
      <c r="I25" s="212" t="e">
        <f t="shared" si="2"/>
        <v>#DIV/0!</v>
      </c>
      <c r="J25" s="213">
        <f t="shared" ref="J25:M25" si="11">SUM(J13:J24)</f>
        <v>0</v>
      </c>
      <c r="K25" s="296">
        <f t="shared" si="11"/>
        <v>0</v>
      </c>
      <c r="L25" s="209">
        <f t="shared" si="11"/>
        <v>0</v>
      </c>
      <c r="M25" s="208">
        <f t="shared" si="11"/>
        <v>0</v>
      </c>
      <c r="N25" s="214" t="e">
        <f t="shared" si="3"/>
        <v>#DIV/0!</v>
      </c>
      <c r="O25" s="215" t="e">
        <f t="shared" si="4"/>
        <v>#DIV/0!</v>
      </c>
      <c r="P25" s="214" t="e">
        <f t="shared" si="5"/>
        <v>#DIV/0!</v>
      </c>
      <c r="Q25" s="216" t="e">
        <f t="shared" si="6"/>
        <v>#DIV/0!</v>
      </c>
      <c r="R25" s="217">
        <f>SUM(R13:R24)</f>
        <v>0</v>
      </c>
      <c r="S25" s="218" t="e">
        <f t="shared" si="8"/>
        <v>#DIV/0!</v>
      </c>
      <c r="T25" s="300">
        <f t="shared" ref="T25:U25" si="12">IFERROR((D25-#REF!)/D25,)</f>
        <v>0</v>
      </c>
      <c r="U25" s="300">
        <f t="shared" si="12"/>
        <v>0</v>
      </c>
      <c r="V25" s="220" t="s">
        <v>139</v>
      </c>
      <c r="W25" s="221" t="s">
        <v>139</v>
      </c>
      <c r="X25" s="68"/>
    </row>
    <row r="26" spans="1:26" ht="12.75" hidden="1" outlineLevel="1" x14ac:dyDescent="0.2">
      <c r="A26" s="118" t="str">
        <f t="shared" si="9"/>
        <v>9-2024</v>
      </c>
      <c r="B26" s="69">
        <v>45564</v>
      </c>
      <c r="C26" s="70" t="s">
        <v>32</v>
      </c>
      <c r="D26" s="71">
        <v>803.8</v>
      </c>
      <c r="E26" s="73">
        <v>5</v>
      </c>
      <c r="F26" s="73">
        <v>6</v>
      </c>
      <c r="G26" s="74">
        <f t="shared" si="0"/>
        <v>0.83333333333333337</v>
      </c>
      <c r="H26" s="75">
        <f t="shared" si="1"/>
        <v>160.76</v>
      </c>
      <c r="I26" s="76">
        <f t="shared" si="2"/>
        <v>192.91199999999998</v>
      </c>
      <c r="J26" s="71">
        <v>65.67</v>
      </c>
      <c r="K26" s="199">
        <v>13527</v>
      </c>
      <c r="L26" s="73">
        <v>3</v>
      </c>
      <c r="M26" s="78">
        <v>389</v>
      </c>
      <c r="N26" s="79">
        <f t="shared" si="3"/>
        <v>0.16881748071979435</v>
      </c>
      <c r="O26" s="80">
        <f t="shared" si="4"/>
        <v>5.9235571798385864</v>
      </c>
      <c r="P26" s="79">
        <f t="shared" si="5"/>
        <v>8.1699427718337908E-2</v>
      </c>
      <c r="Q26" s="81">
        <f t="shared" si="6"/>
        <v>0.48395123164966414</v>
      </c>
      <c r="R26" s="82">
        <f t="shared" ref="R26:R42" si="13">D26-M26</f>
        <v>414.79999999999995</v>
      </c>
      <c r="S26" s="83">
        <f t="shared" si="8"/>
        <v>21.89</v>
      </c>
      <c r="T26" s="84"/>
      <c r="U26" s="84"/>
      <c r="V26" s="84"/>
      <c r="W26" s="84"/>
      <c r="X26" s="85"/>
      <c r="Y26" s="68"/>
      <c r="Z26" s="68"/>
    </row>
    <row r="27" spans="1:26" ht="12.75" hidden="1" outlineLevel="1" x14ac:dyDescent="0.2">
      <c r="A27" s="68"/>
      <c r="B27" s="86"/>
      <c r="C27" s="70" t="s">
        <v>33</v>
      </c>
      <c r="D27" s="87">
        <v>1080.7</v>
      </c>
      <c r="E27" s="73">
        <v>14</v>
      </c>
      <c r="F27" s="73">
        <v>11</v>
      </c>
      <c r="G27" s="74">
        <f t="shared" si="0"/>
        <v>1.2727272727272727</v>
      </c>
      <c r="H27" s="75">
        <f t="shared" si="1"/>
        <v>77.19285714285715</v>
      </c>
      <c r="I27" s="76">
        <f t="shared" si="2"/>
        <v>60.651530612244905</v>
      </c>
      <c r="J27" s="87">
        <v>1</v>
      </c>
      <c r="K27" s="199">
        <v>1334</v>
      </c>
      <c r="L27" s="73">
        <v>0</v>
      </c>
      <c r="M27" s="88">
        <v>0</v>
      </c>
      <c r="N27" s="79" t="e">
        <f t="shared" si="3"/>
        <v>#DIV/0!</v>
      </c>
      <c r="O27" s="80">
        <f t="shared" si="4"/>
        <v>0</v>
      </c>
      <c r="P27" s="79">
        <f t="shared" si="5"/>
        <v>9.2532617747756083E-4</v>
      </c>
      <c r="Q27" s="81">
        <f t="shared" si="6"/>
        <v>0</v>
      </c>
      <c r="R27" s="89">
        <f t="shared" si="13"/>
        <v>1080.7</v>
      </c>
      <c r="S27" s="83" t="e">
        <f t="shared" si="8"/>
        <v>#DIV/0!</v>
      </c>
      <c r="T27" s="84"/>
      <c r="U27" s="84"/>
      <c r="V27" s="84"/>
      <c r="W27" s="84"/>
      <c r="X27" s="85"/>
      <c r="Y27" s="68"/>
      <c r="Z27" s="68"/>
    </row>
    <row r="28" spans="1:26" ht="12.75" hidden="1" outlineLevel="1" x14ac:dyDescent="0.2">
      <c r="A28" s="68"/>
      <c r="B28" s="86"/>
      <c r="C28" s="70" t="s">
        <v>34</v>
      </c>
      <c r="D28" s="90">
        <v>0</v>
      </c>
      <c r="E28" s="73">
        <v>0</v>
      </c>
      <c r="F28" s="73">
        <v>0</v>
      </c>
      <c r="G28" s="74" t="e">
        <f t="shared" si="0"/>
        <v>#DIV/0!</v>
      </c>
      <c r="H28" s="75" t="e">
        <f t="shared" si="1"/>
        <v>#DIV/0!</v>
      </c>
      <c r="I28" s="76" t="e">
        <f t="shared" si="2"/>
        <v>#DIV/0!</v>
      </c>
      <c r="J28" s="90">
        <v>0</v>
      </c>
      <c r="K28" s="199">
        <v>0</v>
      </c>
      <c r="L28" s="73">
        <v>0</v>
      </c>
      <c r="M28" s="91">
        <v>0</v>
      </c>
      <c r="N28" s="79" t="e">
        <f t="shared" si="3"/>
        <v>#DIV/0!</v>
      </c>
      <c r="O28" s="80" t="e">
        <f t="shared" si="4"/>
        <v>#DIV/0!</v>
      </c>
      <c r="P28" s="79" t="e">
        <f t="shared" si="5"/>
        <v>#DIV/0!</v>
      </c>
      <c r="Q28" s="81" t="e">
        <f t="shared" si="6"/>
        <v>#DIV/0!</v>
      </c>
      <c r="R28" s="92">
        <f t="shared" si="13"/>
        <v>0</v>
      </c>
      <c r="S28" s="83" t="e">
        <f t="shared" si="8"/>
        <v>#DIV/0!</v>
      </c>
      <c r="T28" s="84"/>
      <c r="U28" s="84"/>
      <c r="V28" s="84"/>
      <c r="W28" s="84"/>
      <c r="X28" s="85"/>
      <c r="Y28" s="68"/>
      <c r="Z28" s="68"/>
    </row>
    <row r="29" spans="1:26" ht="12.75" hidden="1" outlineLevel="1" x14ac:dyDescent="0.2">
      <c r="A29" s="68"/>
      <c r="B29" s="86"/>
      <c r="C29" s="70" t="s">
        <v>35</v>
      </c>
      <c r="D29" s="90">
        <v>899.25</v>
      </c>
      <c r="E29" s="73">
        <v>15</v>
      </c>
      <c r="F29" s="73">
        <v>10</v>
      </c>
      <c r="G29" s="74">
        <f t="shared" si="0"/>
        <v>1.5</v>
      </c>
      <c r="H29" s="75">
        <f t="shared" si="1"/>
        <v>59.95</v>
      </c>
      <c r="I29" s="76">
        <f t="shared" si="2"/>
        <v>39.966666666666669</v>
      </c>
      <c r="J29" s="90">
        <v>54.67</v>
      </c>
      <c r="K29" s="199">
        <v>4307</v>
      </c>
      <c r="L29" s="73">
        <v>7</v>
      </c>
      <c r="M29" s="91">
        <v>419.65</v>
      </c>
      <c r="N29" s="79">
        <f t="shared" si="3"/>
        <v>0.13027522935779817</v>
      </c>
      <c r="O29" s="80">
        <f t="shared" si="4"/>
        <v>7.6760563380281681</v>
      </c>
      <c r="P29" s="79">
        <f t="shared" si="5"/>
        <v>6.0795107033639148E-2</v>
      </c>
      <c r="Q29" s="81">
        <f t="shared" si="6"/>
        <v>0.46666666666666662</v>
      </c>
      <c r="R29" s="92">
        <f t="shared" si="13"/>
        <v>479.6</v>
      </c>
      <c r="S29" s="83">
        <f t="shared" si="8"/>
        <v>7.8100000000000005</v>
      </c>
      <c r="T29" s="84"/>
      <c r="U29" s="84"/>
      <c r="V29" s="84"/>
      <c r="W29" s="84"/>
      <c r="X29" s="85"/>
      <c r="Y29" s="68"/>
      <c r="Z29" s="68"/>
    </row>
    <row r="30" spans="1:26" ht="12.75" hidden="1" outlineLevel="1" x14ac:dyDescent="0.2">
      <c r="A30" s="68"/>
      <c r="B30" s="86"/>
      <c r="C30" s="70" t="s">
        <v>62</v>
      </c>
      <c r="D30" s="200">
        <v>0</v>
      </c>
      <c r="E30" s="73">
        <v>0</v>
      </c>
      <c r="F30" s="73">
        <v>0</v>
      </c>
      <c r="G30" s="74" t="e">
        <f t="shared" si="0"/>
        <v>#DIV/0!</v>
      </c>
      <c r="H30" s="75" t="e">
        <f t="shared" si="1"/>
        <v>#DIV/0!</v>
      </c>
      <c r="I30" s="76" t="e">
        <f t="shared" si="2"/>
        <v>#DIV/0!</v>
      </c>
      <c r="J30" s="200">
        <v>0</v>
      </c>
      <c r="K30" s="199">
        <v>0</v>
      </c>
      <c r="L30" s="73">
        <v>0</v>
      </c>
      <c r="M30" s="313">
        <v>0</v>
      </c>
      <c r="N30" s="79" t="e">
        <f t="shared" si="3"/>
        <v>#DIV/0!</v>
      </c>
      <c r="O30" s="80" t="e">
        <f t="shared" si="4"/>
        <v>#DIV/0!</v>
      </c>
      <c r="P30" s="79" t="e">
        <f t="shared" si="5"/>
        <v>#DIV/0!</v>
      </c>
      <c r="Q30" s="81" t="e">
        <f t="shared" si="6"/>
        <v>#DIV/0!</v>
      </c>
      <c r="R30" s="92">
        <f t="shared" si="13"/>
        <v>0</v>
      </c>
      <c r="S30" s="83" t="e">
        <f t="shared" si="8"/>
        <v>#DIV/0!</v>
      </c>
      <c r="T30" s="84"/>
      <c r="U30" s="84"/>
      <c r="V30" s="84"/>
      <c r="W30" s="84"/>
      <c r="X30" s="85"/>
      <c r="Y30" s="68"/>
      <c r="Z30" s="68"/>
    </row>
    <row r="31" spans="1:26" ht="12.75" hidden="1" outlineLevel="1" x14ac:dyDescent="0.2">
      <c r="A31" s="68"/>
      <c r="B31" s="86"/>
      <c r="C31" s="70" t="s">
        <v>66</v>
      </c>
      <c r="D31" s="201">
        <v>115.02</v>
      </c>
      <c r="E31" s="73">
        <v>2</v>
      </c>
      <c r="F31" s="73">
        <v>2</v>
      </c>
      <c r="G31" s="74">
        <f t="shared" si="0"/>
        <v>1</v>
      </c>
      <c r="H31" s="75">
        <f t="shared" si="1"/>
        <v>57.51</v>
      </c>
      <c r="I31" s="76">
        <f t="shared" si="2"/>
        <v>57.51</v>
      </c>
      <c r="J31" s="201">
        <v>5.55</v>
      </c>
      <c r="K31" s="199">
        <v>0</v>
      </c>
      <c r="L31" s="73">
        <v>0</v>
      </c>
      <c r="M31" s="202">
        <v>0</v>
      </c>
      <c r="N31" s="79" t="e">
        <f t="shared" si="3"/>
        <v>#DIV/0!</v>
      </c>
      <c r="O31" s="80">
        <f t="shared" si="4"/>
        <v>0</v>
      </c>
      <c r="P31" s="79">
        <f t="shared" si="5"/>
        <v>4.8252477829942617E-2</v>
      </c>
      <c r="Q31" s="81">
        <f t="shared" si="6"/>
        <v>0</v>
      </c>
      <c r="R31" s="203">
        <f t="shared" si="13"/>
        <v>115.02</v>
      </c>
      <c r="S31" s="83" t="e">
        <f t="shared" si="8"/>
        <v>#DIV/0!</v>
      </c>
      <c r="T31" s="84"/>
      <c r="U31" s="84"/>
      <c r="V31" s="84"/>
      <c r="W31" s="84"/>
      <c r="X31" s="85"/>
      <c r="Y31" s="68"/>
      <c r="Z31" s="68"/>
    </row>
    <row r="32" spans="1:26" ht="12.75" hidden="1" outlineLevel="1" x14ac:dyDescent="0.2">
      <c r="A32" s="68"/>
      <c r="B32" s="86"/>
      <c r="C32" s="70" t="s">
        <v>36</v>
      </c>
      <c r="D32" s="90">
        <v>369.7</v>
      </c>
      <c r="E32" s="73">
        <v>6</v>
      </c>
      <c r="F32" s="73">
        <v>6</v>
      </c>
      <c r="G32" s="74">
        <f t="shared" si="0"/>
        <v>1</v>
      </c>
      <c r="H32" s="75">
        <f t="shared" si="1"/>
        <v>61.616666666666667</v>
      </c>
      <c r="I32" s="76">
        <f t="shared" si="2"/>
        <v>61.616666666666667</v>
      </c>
      <c r="J32" s="90">
        <v>6.48</v>
      </c>
      <c r="K32" s="199">
        <v>4126</v>
      </c>
      <c r="L32" s="73">
        <v>0</v>
      </c>
      <c r="M32" s="91">
        <v>0</v>
      </c>
      <c r="N32" s="79" t="e">
        <f t="shared" si="3"/>
        <v>#DIV/0!</v>
      </c>
      <c r="O32" s="80">
        <f t="shared" si="4"/>
        <v>0</v>
      </c>
      <c r="P32" s="79">
        <f t="shared" si="5"/>
        <v>1.7527725182580473E-2</v>
      </c>
      <c r="Q32" s="81">
        <f t="shared" si="6"/>
        <v>0</v>
      </c>
      <c r="R32" s="92">
        <f t="shared" si="13"/>
        <v>369.7</v>
      </c>
      <c r="S32" s="83" t="e">
        <f t="shared" si="8"/>
        <v>#DIV/0!</v>
      </c>
      <c r="T32" s="84"/>
      <c r="U32" s="84"/>
      <c r="V32" s="84"/>
      <c r="W32" s="84"/>
      <c r="X32" s="85"/>
      <c r="Y32" s="68"/>
      <c r="Z32" s="68"/>
    </row>
    <row r="33" spans="1:26" ht="12.75" hidden="1" outlineLevel="1" x14ac:dyDescent="0.2">
      <c r="A33" s="68"/>
      <c r="B33" s="69" t="s">
        <v>37</v>
      </c>
      <c r="C33" s="70" t="s">
        <v>38</v>
      </c>
      <c r="D33" s="93">
        <v>332.96</v>
      </c>
      <c r="E33" s="73">
        <v>4</v>
      </c>
      <c r="F33" s="73">
        <v>4</v>
      </c>
      <c r="G33" s="74">
        <f t="shared" si="0"/>
        <v>1</v>
      </c>
      <c r="H33" s="75">
        <f t="shared" si="1"/>
        <v>83.24</v>
      </c>
      <c r="I33" s="76">
        <f t="shared" si="2"/>
        <v>83.24</v>
      </c>
      <c r="J33" s="93">
        <v>0.85</v>
      </c>
      <c r="K33" s="199">
        <v>1816</v>
      </c>
      <c r="L33" s="73">
        <v>0</v>
      </c>
      <c r="M33" s="94">
        <v>0</v>
      </c>
      <c r="N33" s="79" t="e">
        <f t="shared" si="3"/>
        <v>#DIV/0!</v>
      </c>
      <c r="O33" s="80">
        <f t="shared" si="4"/>
        <v>0</v>
      </c>
      <c r="P33" s="79">
        <f t="shared" si="5"/>
        <v>2.5528592023065836E-3</v>
      </c>
      <c r="Q33" s="81">
        <f t="shared" si="6"/>
        <v>0</v>
      </c>
      <c r="R33" s="95">
        <f t="shared" si="13"/>
        <v>332.96</v>
      </c>
      <c r="S33" s="83" t="e">
        <f t="shared" si="8"/>
        <v>#DIV/0!</v>
      </c>
      <c r="T33" s="84"/>
      <c r="U33" s="84"/>
      <c r="V33" s="84"/>
      <c r="W33" s="84"/>
      <c r="X33" s="85"/>
      <c r="Y33" s="68"/>
      <c r="Z33" s="68"/>
    </row>
    <row r="34" spans="1:26" ht="12.75" hidden="1" outlineLevel="1" x14ac:dyDescent="0.2">
      <c r="A34" s="68"/>
      <c r="B34" s="86"/>
      <c r="C34" s="70" t="s">
        <v>39</v>
      </c>
      <c r="D34" s="96">
        <v>0</v>
      </c>
      <c r="E34" s="73">
        <v>0</v>
      </c>
      <c r="F34" s="73">
        <v>1</v>
      </c>
      <c r="G34" s="74">
        <f t="shared" si="0"/>
        <v>0</v>
      </c>
      <c r="H34" s="75" t="e">
        <f t="shared" si="1"/>
        <v>#DIV/0!</v>
      </c>
      <c r="I34" s="76" t="e">
        <f t="shared" si="2"/>
        <v>#DIV/0!</v>
      </c>
      <c r="J34" s="96">
        <v>54.18</v>
      </c>
      <c r="K34" s="199">
        <v>94</v>
      </c>
      <c r="L34" s="73">
        <v>1</v>
      </c>
      <c r="M34" s="97">
        <v>99.95</v>
      </c>
      <c r="N34" s="79">
        <f t="shared" si="3"/>
        <v>0.54207103551775881</v>
      </c>
      <c r="O34" s="80">
        <f t="shared" si="4"/>
        <v>1.8447766703580657</v>
      </c>
      <c r="P34" s="79" t="e">
        <f t="shared" si="5"/>
        <v>#DIV/0!</v>
      </c>
      <c r="Q34" s="81" t="e">
        <f t="shared" si="6"/>
        <v>#DIV/0!</v>
      </c>
      <c r="R34" s="98">
        <f t="shared" si="13"/>
        <v>-99.95</v>
      </c>
      <c r="S34" s="83">
        <f t="shared" si="8"/>
        <v>54.18</v>
      </c>
      <c r="T34" s="84"/>
      <c r="U34" s="84"/>
      <c r="V34" s="84"/>
      <c r="W34" s="84"/>
      <c r="X34" s="85"/>
      <c r="Y34" s="68"/>
      <c r="Z34" s="68"/>
    </row>
    <row r="35" spans="1:26" ht="12.75" hidden="1" outlineLevel="1" x14ac:dyDescent="0.2">
      <c r="A35" s="68"/>
      <c r="B35" s="86"/>
      <c r="C35" s="70" t="s">
        <v>40</v>
      </c>
      <c r="D35" s="99">
        <v>0</v>
      </c>
      <c r="E35" s="73">
        <v>0</v>
      </c>
      <c r="F35" s="73">
        <v>0</v>
      </c>
      <c r="G35" s="74" t="e">
        <f t="shared" si="0"/>
        <v>#DIV/0!</v>
      </c>
      <c r="H35" s="75" t="e">
        <f t="shared" si="1"/>
        <v>#DIV/0!</v>
      </c>
      <c r="I35" s="76" t="e">
        <f t="shared" si="2"/>
        <v>#DIV/0!</v>
      </c>
      <c r="J35" s="99">
        <v>0</v>
      </c>
      <c r="K35" s="199">
        <v>213470</v>
      </c>
      <c r="L35" s="73">
        <v>0</v>
      </c>
      <c r="M35" s="100">
        <v>0</v>
      </c>
      <c r="N35" s="79" t="e">
        <f t="shared" si="3"/>
        <v>#DIV/0!</v>
      </c>
      <c r="O35" s="80" t="e">
        <f t="shared" si="4"/>
        <v>#DIV/0!</v>
      </c>
      <c r="P35" s="79" t="e">
        <f t="shared" si="5"/>
        <v>#DIV/0!</v>
      </c>
      <c r="Q35" s="81" t="e">
        <f t="shared" si="6"/>
        <v>#DIV/0!</v>
      </c>
      <c r="R35" s="101">
        <f t="shared" si="13"/>
        <v>0</v>
      </c>
      <c r="S35" s="83" t="e">
        <f t="shared" si="8"/>
        <v>#DIV/0!</v>
      </c>
      <c r="T35" s="84"/>
      <c r="U35" s="84"/>
      <c r="V35" s="84"/>
      <c r="W35" s="84"/>
      <c r="X35" s="85"/>
      <c r="Y35" s="68"/>
      <c r="Z35" s="68"/>
    </row>
    <row r="36" spans="1:26" ht="12.75" hidden="1" outlineLevel="1" x14ac:dyDescent="0.2">
      <c r="A36" s="68"/>
      <c r="B36" s="86"/>
      <c r="C36" s="70" t="s">
        <v>41</v>
      </c>
      <c r="D36" s="102">
        <v>607.54999999999995</v>
      </c>
      <c r="E36" s="73">
        <v>5</v>
      </c>
      <c r="F36" s="73">
        <v>5</v>
      </c>
      <c r="G36" s="74">
        <f t="shared" si="0"/>
        <v>1</v>
      </c>
      <c r="H36" s="75">
        <f t="shared" si="1"/>
        <v>121.50999999999999</v>
      </c>
      <c r="I36" s="76">
        <f t="shared" si="2"/>
        <v>121.50999999999999</v>
      </c>
      <c r="J36" s="102">
        <v>0</v>
      </c>
      <c r="K36" s="199">
        <v>0</v>
      </c>
      <c r="L36" s="73">
        <v>0</v>
      </c>
      <c r="M36" s="103">
        <v>0</v>
      </c>
      <c r="N36" s="79" t="e">
        <f t="shared" si="3"/>
        <v>#DIV/0!</v>
      </c>
      <c r="O36" s="80" t="e">
        <f t="shared" si="4"/>
        <v>#DIV/0!</v>
      </c>
      <c r="P36" s="79">
        <f t="shared" si="5"/>
        <v>0</v>
      </c>
      <c r="Q36" s="81">
        <f t="shared" si="6"/>
        <v>0</v>
      </c>
      <c r="R36" s="104">
        <f t="shared" si="13"/>
        <v>607.54999999999995</v>
      </c>
      <c r="S36" s="83" t="e">
        <f t="shared" si="8"/>
        <v>#DIV/0!</v>
      </c>
      <c r="T36" s="84"/>
      <c r="U36" s="84"/>
      <c r="V36" s="84"/>
      <c r="W36" s="84"/>
      <c r="X36" s="85"/>
      <c r="Y36" s="68"/>
      <c r="Z36" s="68"/>
    </row>
    <row r="37" spans="1:26" ht="12.75" hidden="1" outlineLevel="1" x14ac:dyDescent="0.2">
      <c r="A37" s="68"/>
      <c r="B37" s="86"/>
      <c r="C37" s="70" t="s">
        <v>42</v>
      </c>
      <c r="D37" s="90">
        <v>0</v>
      </c>
      <c r="E37" s="73">
        <v>0</v>
      </c>
      <c r="F37" s="73">
        <v>0</v>
      </c>
      <c r="G37" s="74" t="e">
        <f t="shared" si="0"/>
        <v>#DIV/0!</v>
      </c>
      <c r="H37" s="75" t="e">
        <f t="shared" si="1"/>
        <v>#DIV/0!</v>
      </c>
      <c r="I37" s="76" t="e">
        <f t="shared" si="2"/>
        <v>#DIV/0!</v>
      </c>
      <c r="J37" s="90">
        <v>0</v>
      </c>
      <c r="K37" s="199">
        <v>8</v>
      </c>
      <c r="L37" s="73">
        <v>0</v>
      </c>
      <c r="M37" s="91">
        <v>0</v>
      </c>
      <c r="N37" s="79" t="e">
        <f t="shared" si="3"/>
        <v>#DIV/0!</v>
      </c>
      <c r="O37" s="80" t="e">
        <f t="shared" si="4"/>
        <v>#DIV/0!</v>
      </c>
      <c r="P37" s="79" t="e">
        <f t="shared" si="5"/>
        <v>#DIV/0!</v>
      </c>
      <c r="Q37" s="81" t="e">
        <f t="shared" si="6"/>
        <v>#DIV/0!</v>
      </c>
      <c r="R37" s="92">
        <f t="shared" si="13"/>
        <v>0</v>
      </c>
      <c r="S37" s="83" t="e">
        <f t="shared" si="8"/>
        <v>#DIV/0!</v>
      </c>
      <c r="T37" s="84"/>
      <c r="U37" s="84"/>
      <c r="V37" s="84"/>
      <c r="W37" s="84"/>
      <c r="X37" s="85"/>
      <c r="Y37" s="68"/>
      <c r="Z37" s="68"/>
    </row>
    <row r="38" spans="1:26" ht="12.75" hidden="1" outlineLevel="1" x14ac:dyDescent="0.2">
      <c r="A38" s="68"/>
      <c r="B38" s="86"/>
      <c r="C38" s="70" t="s">
        <v>43</v>
      </c>
      <c r="D38" s="105">
        <v>0</v>
      </c>
      <c r="E38" s="73">
        <v>0</v>
      </c>
      <c r="F38" s="73">
        <v>0</v>
      </c>
      <c r="G38" s="74" t="e">
        <f t="shared" si="0"/>
        <v>#DIV/0!</v>
      </c>
      <c r="H38" s="75" t="e">
        <f t="shared" si="1"/>
        <v>#DIV/0!</v>
      </c>
      <c r="I38" s="76" t="e">
        <f t="shared" si="2"/>
        <v>#DIV/0!</v>
      </c>
      <c r="J38" s="105">
        <v>0</v>
      </c>
      <c r="K38" s="199">
        <v>0</v>
      </c>
      <c r="L38" s="73">
        <v>0</v>
      </c>
      <c r="M38" s="106">
        <v>0</v>
      </c>
      <c r="N38" s="79" t="e">
        <f t="shared" si="3"/>
        <v>#DIV/0!</v>
      </c>
      <c r="O38" s="80" t="e">
        <f t="shared" si="4"/>
        <v>#DIV/0!</v>
      </c>
      <c r="P38" s="79" t="e">
        <f t="shared" si="5"/>
        <v>#DIV/0!</v>
      </c>
      <c r="Q38" s="81" t="e">
        <f t="shared" si="6"/>
        <v>#DIV/0!</v>
      </c>
      <c r="R38" s="107">
        <f t="shared" si="13"/>
        <v>0</v>
      </c>
      <c r="S38" s="83" t="e">
        <f t="shared" si="8"/>
        <v>#DIV/0!</v>
      </c>
      <c r="T38" s="84"/>
      <c r="U38" s="84"/>
      <c r="V38" s="84"/>
      <c r="W38" s="84"/>
      <c r="X38" s="85"/>
      <c r="Y38" s="68"/>
      <c r="Z38" s="68"/>
    </row>
    <row r="39" spans="1:26" ht="12.75" hidden="1" outlineLevel="1" x14ac:dyDescent="0.2">
      <c r="A39" s="68"/>
      <c r="B39" s="86"/>
      <c r="C39" s="70" t="s">
        <v>44</v>
      </c>
      <c r="D39" s="108">
        <v>20.7</v>
      </c>
      <c r="E39" s="73">
        <v>0</v>
      </c>
      <c r="F39" s="73">
        <v>1</v>
      </c>
      <c r="G39" s="74">
        <f t="shared" si="0"/>
        <v>0</v>
      </c>
      <c r="H39" s="75" t="e">
        <f t="shared" si="1"/>
        <v>#DIV/0!</v>
      </c>
      <c r="I39" s="76" t="e">
        <f t="shared" si="2"/>
        <v>#DIV/0!</v>
      </c>
      <c r="J39" s="108">
        <v>0</v>
      </c>
      <c r="K39" s="199">
        <v>1048</v>
      </c>
      <c r="L39" s="73">
        <v>0</v>
      </c>
      <c r="M39" s="109">
        <v>0</v>
      </c>
      <c r="N39" s="79" t="e">
        <f t="shared" si="3"/>
        <v>#DIV/0!</v>
      </c>
      <c r="O39" s="80" t="e">
        <f t="shared" si="4"/>
        <v>#DIV/0!</v>
      </c>
      <c r="P39" s="79">
        <f t="shared" si="5"/>
        <v>0</v>
      </c>
      <c r="Q39" s="81">
        <f t="shared" si="6"/>
        <v>0</v>
      </c>
      <c r="R39" s="110">
        <f t="shared" si="13"/>
        <v>20.7</v>
      </c>
      <c r="S39" s="83" t="e">
        <f t="shared" si="8"/>
        <v>#DIV/0!</v>
      </c>
      <c r="T39" s="84"/>
      <c r="U39" s="84"/>
      <c r="V39" s="84"/>
      <c r="W39" s="84"/>
      <c r="X39" s="85"/>
      <c r="Y39" s="68"/>
      <c r="Z39" s="68"/>
    </row>
    <row r="40" spans="1:26" ht="12.75" hidden="1" outlineLevel="1" x14ac:dyDescent="0.2">
      <c r="A40" s="111"/>
      <c r="B40" s="86"/>
      <c r="C40" s="112" t="s">
        <v>45</v>
      </c>
      <c r="D40" s="71">
        <v>0</v>
      </c>
      <c r="E40" s="73">
        <v>0</v>
      </c>
      <c r="F40" s="73">
        <v>0</v>
      </c>
      <c r="G40" s="74" t="e">
        <f t="shared" si="0"/>
        <v>#DIV/0!</v>
      </c>
      <c r="H40" s="75" t="e">
        <f t="shared" si="1"/>
        <v>#DIV/0!</v>
      </c>
      <c r="I40" s="76" t="e">
        <f t="shared" si="2"/>
        <v>#DIV/0!</v>
      </c>
      <c r="J40" s="71">
        <v>0</v>
      </c>
      <c r="K40" s="199">
        <v>0</v>
      </c>
      <c r="L40" s="73">
        <v>0</v>
      </c>
      <c r="M40" s="78">
        <v>0</v>
      </c>
      <c r="N40" s="79" t="e">
        <f t="shared" si="3"/>
        <v>#DIV/0!</v>
      </c>
      <c r="O40" s="80" t="e">
        <f t="shared" si="4"/>
        <v>#DIV/0!</v>
      </c>
      <c r="P40" s="79" t="e">
        <f t="shared" si="5"/>
        <v>#DIV/0!</v>
      </c>
      <c r="Q40" s="81" t="e">
        <f t="shared" si="6"/>
        <v>#DIV/0!</v>
      </c>
      <c r="R40" s="82">
        <f t="shared" si="13"/>
        <v>0</v>
      </c>
      <c r="S40" s="83" t="e">
        <f t="shared" si="8"/>
        <v>#DIV/0!</v>
      </c>
      <c r="T40" s="113"/>
      <c r="U40" s="113"/>
      <c r="V40" s="113"/>
      <c r="W40" s="114"/>
      <c r="X40" s="115"/>
      <c r="Y40" s="68"/>
      <c r="Z40" s="68"/>
    </row>
    <row r="41" spans="1:26" ht="12.75" hidden="1" outlineLevel="1" x14ac:dyDescent="0.2">
      <c r="A41" s="118"/>
      <c r="B41" s="69"/>
      <c r="C41" s="70" t="s">
        <v>46</v>
      </c>
      <c r="D41" s="116">
        <v>519.35</v>
      </c>
      <c r="E41" s="73">
        <v>13</v>
      </c>
      <c r="F41" s="73">
        <v>12</v>
      </c>
      <c r="G41" s="74">
        <f t="shared" si="0"/>
        <v>1.0833333333333333</v>
      </c>
      <c r="H41" s="75">
        <f t="shared" si="1"/>
        <v>39.950000000000003</v>
      </c>
      <c r="I41" s="76">
        <f t="shared" si="2"/>
        <v>36.876923076923084</v>
      </c>
      <c r="J41" s="116">
        <v>19.059999999999999</v>
      </c>
      <c r="K41" s="199">
        <v>11339</v>
      </c>
      <c r="L41" s="73">
        <v>6</v>
      </c>
      <c r="M41" s="117">
        <v>199.75</v>
      </c>
      <c r="N41" s="79">
        <f t="shared" si="3"/>
        <v>9.5419274092615761E-2</v>
      </c>
      <c r="O41" s="80">
        <f t="shared" si="4"/>
        <v>10.480062959076601</v>
      </c>
      <c r="P41" s="79">
        <f t="shared" si="5"/>
        <v>3.6699720804852218E-2</v>
      </c>
      <c r="Q41" s="81">
        <f t="shared" si="6"/>
        <v>0.38461538461538458</v>
      </c>
      <c r="R41" s="82">
        <f t="shared" si="13"/>
        <v>319.60000000000002</v>
      </c>
      <c r="S41" s="83">
        <f t="shared" si="8"/>
        <v>3.1766666666666663</v>
      </c>
      <c r="T41" s="84"/>
      <c r="U41" s="84"/>
      <c r="V41" s="84"/>
      <c r="W41" s="84"/>
      <c r="X41" s="85"/>
      <c r="Y41" s="68"/>
      <c r="Z41" s="68"/>
    </row>
    <row r="42" spans="1:26" ht="12.75" hidden="1" outlineLevel="1" x14ac:dyDescent="0.2">
      <c r="A42" s="118" t="str">
        <f t="shared" ref="A42:A43" si="14">IFERROR(IF(B42&gt;0,MONTH(B42)&amp;"-"&amp;YEAR(B42),B42),)</f>
        <v>10-2024</v>
      </c>
      <c r="B42" s="69">
        <v>45570</v>
      </c>
      <c r="C42" s="148" t="s">
        <v>49</v>
      </c>
      <c r="D42" s="116">
        <v>0</v>
      </c>
      <c r="E42" s="73">
        <v>0</v>
      </c>
      <c r="F42" s="73">
        <v>0</v>
      </c>
      <c r="G42" s="74" t="e">
        <f t="shared" si="0"/>
        <v>#DIV/0!</v>
      </c>
      <c r="H42" s="75" t="e">
        <f t="shared" si="1"/>
        <v>#DIV/0!</v>
      </c>
      <c r="I42" s="76" t="e">
        <f t="shared" si="2"/>
        <v>#DIV/0!</v>
      </c>
      <c r="J42" s="116">
        <v>0</v>
      </c>
      <c r="K42" s="199">
        <v>0</v>
      </c>
      <c r="L42" s="73">
        <v>0</v>
      </c>
      <c r="M42" s="117">
        <v>0</v>
      </c>
      <c r="N42" s="79" t="e">
        <f t="shared" si="3"/>
        <v>#DIV/0!</v>
      </c>
      <c r="O42" s="80" t="e">
        <f t="shared" si="4"/>
        <v>#DIV/0!</v>
      </c>
      <c r="P42" s="79" t="e">
        <f t="shared" si="5"/>
        <v>#DIV/0!</v>
      </c>
      <c r="Q42" s="81" t="e">
        <f t="shared" si="6"/>
        <v>#DIV/0!</v>
      </c>
      <c r="R42" s="82">
        <f t="shared" si="13"/>
        <v>0</v>
      </c>
      <c r="S42" s="83" t="e">
        <f t="shared" si="8"/>
        <v>#DIV/0!</v>
      </c>
      <c r="T42" s="84"/>
      <c r="U42" s="84"/>
      <c r="V42" s="84"/>
      <c r="W42" s="84"/>
      <c r="X42" s="85"/>
      <c r="Y42" s="68"/>
      <c r="Z42" s="68"/>
    </row>
    <row r="43" spans="1:26" ht="12.75" collapsed="1" x14ac:dyDescent="0.2">
      <c r="A43" s="111">
        <f t="shared" si="14"/>
        <v>0</v>
      </c>
      <c r="B43" s="206" t="s">
        <v>98</v>
      </c>
      <c r="C43" s="299"/>
      <c r="D43" s="208">
        <f t="shared" ref="D43:F43" si="15">SUM(D26:D41)</f>
        <v>4749.03</v>
      </c>
      <c r="E43" s="209">
        <f t="shared" si="15"/>
        <v>64</v>
      </c>
      <c r="F43" s="209">
        <f t="shared" si="15"/>
        <v>58</v>
      </c>
      <c r="G43" s="210">
        <f t="shared" si="0"/>
        <v>1.103448275862069</v>
      </c>
      <c r="H43" s="211">
        <f t="shared" si="1"/>
        <v>74.203593749999996</v>
      </c>
      <c r="I43" s="212">
        <f t="shared" si="2"/>
        <v>67.247006835937498</v>
      </c>
      <c r="J43" s="213">
        <f>SUM(J26:J42)</f>
        <v>207.46</v>
      </c>
      <c r="K43" s="296">
        <f>SUM(K26:K41)</f>
        <v>251069</v>
      </c>
      <c r="L43" s="209">
        <f t="shared" ref="L43:M43" si="16">SUM(L26:L42)</f>
        <v>17</v>
      </c>
      <c r="M43" s="208">
        <f t="shared" si="16"/>
        <v>1108.3499999999999</v>
      </c>
      <c r="N43" s="214">
        <f t="shared" si="3"/>
        <v>0.18717914016330583</v>
      </c>
      <c r="O43" s="215">
        <f t="shared" si="4"/>
        <v>5.3424756579581603</v>
      </c>
      <c r="P43" s="214">
        <f t="shared" si="5"/>
        <v>4.3684710351377019E-2</v>
      </c>
      <c r="Q43" s="216">
        <f t="shared" si="6"/>
        <v>0.23338450167718461</v>
      </c>
      <c r="R43" s="217">
        <f>SUM(R26:R41)</f>
        <v>3640.68</v>
      </c>
      <c r="S43" s="218">
        <f t="shared" si="8"/>
        <v>12.203529411764706</v>
      </c>
      <c r="T43" s="300">
        <f t="shared" ref="T43:U43" si="17">IFERROR((D43-#REF!)/D43,)</f>
        <v>0</v>
      </c>
      <c r="U43" s="300">
        <f t="shared" si="17"/>
        <v>0</v>
      </c>
      <c r="V43" s="220" t="s">
        <v>139</v>
      </c>
      <c r="W43" s="221" t="s">
        <v>139</v>
      </c>
      <c r="X43" s="68"/>
      <c r="Y43" s="68"/>
      <c r="Z43" s="68"/>
    </row>
    <row r="44" spans="1:26" ht="12.75" hidden="1" outlineLevel="1" x14ac:dyDescent="0.2">
      <c r="A44" s="68"/>
      <c r="B44" s="69">
        <v>45571</v>
      </c>
      <c r="C44" s="70" t="s">
        <v>32</v>
      </c>
      <c r="D44" s="71">
        <v>7564.65</v>
      </c>
      <c r="E44" s="73">
        <v>21</v>
      </c>
      <c r="F44" s="73">
        <v>22</v>
      </c>
      <c r="G44" s="74">
        <f t="shared" si="0"/>
        <v>0.95454545454545459</v>
      </c>
      <c r="H44" s="75">
        <f t="shared" si="1"/>
        <v>360.22142857142853</v>
      </c>
      <c r="I44" s="76">
        <f t="shared" si="2"/>
        <v>377.37482993197273</v>
      </c>
      <c r="J44" s="71">
        <v>605.67999999999995</v>
      </c>
      <c r="K44" s="199">
        <v>46335</v>
      </c>
      <c r="L44" s="73">
        <v>14</v>
      </c>
      <c r="M44" s="78">
        <v>3570.5</v>
      </c>
      <c r="N44" s="79">
        <f t="shared" si="3"/>
        <v>0.16963450497129251</v>
      </c>
      <c r="O44" s="80">
        <f t="shared" si="4"/>
        <v>5.8950270770043591</v>
      </c>
      <c r="P44" s="79">
        <f t="shared" si="5"/>
        <v>8.0067154461872E-2</v>
      </c>
      <c r="Q44" s="81">
        <f t="shared" si="6"/>
        <v>0.47199804353142583</v>
      </c>
      <c r="R44" s="82">
        <f t="shared" ref="R44:R60" si="18">D44-M44</f>
        <v>3994.1499999999996</v>
      </c>
      <c r="S44" s="83">
        <f t="shared" si="8"/>
        <v>43.262857142857136</v>
      </c>
      <c r="T44" s="84"/>
      <c r="U44" s="84"/>
      <c r="V44" s="84"/>
      <c r="W44" s="84"/>
      <c r="X44" s="85"/>
      <c r="Y44" s="68"/>
      <c r="Z44" s="68"/>
    </row>
    <row r="45" spans="1:26" ht="12.75" hidden="1" outlineLevel="1" x14ac:dyDescent="0.2">
      <c r="A45" s="68"/>
      <c r="B45" s="86"/>
      <c r="C45" s="70" t="s">
        <v>33</v>
      </c>
      <c r="D45" s="87">
        <v>3108.55</v>
      </c>
      <c r="E45" s="73">
        <v>32</v>
      </c>
      <c r="F45" s="73">
        <v>24</v>
      </c>
      <c r="G45" s="74">
        <f t="shared" si="0"/>
        <v>1.3333333333333333</v>
      </c>
      <c r="H45" s="75">
        <f t="shared" si="1"/>
        <v>97.142187500000006</v>
      </c>
      <c r="I45" s="76">
        <f t="shared" si="2"/>
        <v>72.856640625000011</v>
      </c>
      <c r="J45" s="87">
        <v>7.02</v>
      </c>
      <c r="K45" s="199">
        <v>2439</v>
      </c>
      <c r="L45" s="73">
        <v>0</v>
      </c>
      <c r="M45" s="88">
        <v>0</v>
      </c>
      <c r="N45" s="79" t="e">
        <f t="shared" si="3"/>
        <v>#DIV/0!</v>
      </c>
      <c r="O45" s="80">
        <f t="shared" si="4"/>
        <v>0</v>
      </c>
      <c r="P45" s="79">
        <f t="shared" si="5"/>
        <v>2.2582876260635984E-3</v>
      </c>
      <c r="Q45" s="81">
        <f t="shared" si="6"/>
        <v>0</v>
      </c>
      <c r="R45" s="89">
        <f t="shared" si="18"/>
        <v>3108.55</v>
      </c>
      <c r="S45" s="83" t="e">
        <f t="shared" si="8"/>
        <v>#DIV/0!</v>
      </c>
      <c r="T45" s="84"/>
      <c r="U45" s="84"/>
      <c r="V45" s="84"/>
      <c r="W45" s="84"/>
      <c r="X45" s="85"/>
      <c r="Y45" s="68"/>
      <c r="Z45" s="68"/>
    </row>
    <row r="46" spans="1:26" ht="12.75" hidden="1" outlineLevel="1" x14ac:dyDescent="0.2">
      <c r="A46" s="68"/>
      <c r="B46" s="86"/>
      <c r="C46" s="70" t="s">
        <v>34</v>
      </c>
      <c r="D46" s="90">
        <v>0</v>
      </c>
      <c r="E46" s="73">
        <v>0</v>
      </c>
      <c r="F46" s="73">
        <v>0</v>
      </c>
      <c r="G46" s="74" t="e">
        <f t="shared" si="0"/>
        <v>#DIV/0!</v>
      </c>
      <c r="H46" s="75" t="e">
        <f t="shared" si="1"/>
        <v>#DIV/0!</v>
      </c>
      <c r="I46" s="76" t="e">
        <f t="shared" si="2"/>
        <v>#DIV/0!</v>
      </c>
      <c r="J46" s="90">
        <v>0</v>
      </c>
      <c r="K46" s="199">
        <v>0</v>
      </c>
      <c r="L46" s="73">
        <v>0</v>
      </c>
      <c r="M46" s="91">
        <v>0</v>
      </c>
      <c r="N46" s="79" t="e">
        <f t="shared" si="3"/>
        <v>#DIV/0!</v>
      </c>
      <c r="O46" s="80" t="e">
        <f t="shared" si="4"/>
        <v>#DIV/0!</v>
      </c>
      <c r="P46" s="79" t="e">
        <f t="shared" si="5"/>
        <v>#DIV/0!</v>
      </c>
      <c r="Q46" s="81" t="e">
        <f t="shared" si="6"/>
        <v>#DIV/0!</v>
      </c>
      <c r="R46" s="92">
        <f t="shared" si="18"/>
        <v>0</v>
      </c>
      <c r="S46" s="83" t="e">
        <f t="shared" si="8"/>
        <v>#DIV/0!</v>
      </c>
      <c r="T46" s="84"/>
      <c r="U46" s="84"/>
      <c r="V46" s="84"/>
      <c r="W46" s="84"/>
      <c r="X46" s="85"/>
      <c r="Y46" s="68"/>
      <c r="Z46" s="68"/>
    </row>
    <row r="47" spans="1:26" ht="12.75" hidden="1" outlineLevel="1" x14ac:dyDescent="0.2">
      <c r="A47" s="68"/>
      <c r="B47" s="86"/>
      <c r="C47" s="70" t="s">
        <v>35</v>
      </c>
      <c r="D47" s="90">
        <v>539.54999999999995</v>
      </c>
      <c r="E47" s="73">
        <v>9</v>
      </c>
      <c r="F47" s="73">
        <v>9</v>
      </c>
      <c r="G47" s="74">
        <f t="shared" si="0"/>
        <v>1</v>
      </c>
      <c r="H47" s="75">
        <f t="shared" si="1"/>
        <v>59.949999999999996</v>
      </c>
      <c r="I47" s="76">
        <f t="shared" si="2"/>
        <v>59.949999999999996</v>
      </c>
      <c r="J47" s="90">
        <v>121</v>
      </c>
      <c r="K47" s="199">
        <v>6157</v>
      </c>
      <c r="L47" s="73">
        <v>6</v>
      </c>
      <c r="M47" s="91">
        <v>359.7</v>
      </c>
      <c r="N47" s="79">
        <f t="shared" si="3"/>
        <v>0.3363914373088685</v>
      </c>
      <c r="O47" s="80">
        <f t="shared" si="4"/>
        <v>2.9727272727272727</v>
      </c>
      <c r="P47" s="79">
        <f t="shared" si="5"/>
        <v>0.22426095820591235</v>
      </c>
      <c r="Q47" s="81">
        <f t="shared" si="6"/>
        <v>0.66666666666666674</v>
      </c>
      <c r="R47" s="92">
        <f t="shared" si="18"/>
        <v>179.84999999999997</v>
      </c>
      <c r="S47" s="83">
        <f t="shared" si="8"/>
        <v>20.166666666666668</v>
      </c>
      <c r="T47" s="84"/>
      <c r="U47" s="84"/>
      <c r="V47" s="84"/>
      <c r="W47" s="84"/>
      <c r="X47" s="85"/>
      <c r="Y47" s="68"/>
      <c r="Z47" s="68"/>
    </row>
    <row r="48" spans="1:26" ht="12.75" hidden="1" outlineLevel="1" x14ac:dyDescent="0.2">
      <c r="A48" s="68"/>
      <c r="B48" s="86"/>
      <c r="C48" s="70" t="s">
        <v>62</v>
      </c>
      <c r="D48" s="200">
        <v>0</v>
      </c>
      <c r="E48" s="73">
        <v>0</v>
      </c>
      <c r="F48" s="73">
        <v>0</v>
      </c>
      <c r="G48" s="74" t="e">
        <f t="shared" si="0"/>
        <v>#DIV/0!</v>
      </c>
      <c r="H48" s="75" t="e">
        <f t="shared" si="1"/>
        <v>#DIV/0!</v>
      </c>
      <c r="I48" s="76" t="e">
        <f t="shared" si="2"/>
        <v>#DIV/0!</v>
      </c>
      <c r="J48" s="200">
        <v>0</v>
      </c>
      <c r="K48" s="199">
        <v>0</v>
      </c>
      <c r="L48" s="73">
        <v>0</v>
      </c>
      <c r="M48" s="200">
        <v>0</v>
      </c>
      <c r="N48" s="79" t="e">
        <f t="shared" si="3"/>
        <v>#DIV/0!</v>
      </c>
      <c r="O48" s="80" t="e">
        <f t="shared" si="4"/>
        <v>#DIV/0!</v>
      </c>
      <c r="P48" s="79" t="e">
        <f t="shared" si="5"/>
        <v>#DIV/0!</v>
      </c>
      <c r="Q48" s="81" t="e">
        <f t="shared" si="6"/>
        <v>#DIV/0!</v>
      </c>
      <c r="R48" s="92">
        <f t="shared" si="18"/>
        <v>0</v>
      </c>
      <c r="S48" s="83" t="e">
        <f t="shared" si="8"/>
        <v>#DIV/0!</v>
      </c>
      <c r="T48" s="84"/>
      <c r="U48" s="84"/>
      <c r="V48" s="84"/>
      <c r="W48" s="84"/>
      <c r="X48" s="85"/>
      <c r="Y48" s="68"/>
      <c r="Z48" s="68"/>
    </row>
    <row r="49" spans="1:26" ht="12.75" hidden="1" outlineLevel="1" x14ac:dyDescent="0.2">
      <c r="A49" s="68"/>
      <c r="B49" s="86"/>
      <c r="C49" s="70" t="s">
        <v>66</v>
      </c>
      <c r="D49" s="201">
        <v>184.93</v>
      </c>
      <c r="E49" s="73">
        <v>3</v>
      </c>
      <c r="F49" s="73">
        <v>3</v>
      </c>
      <c r="G49" s="74">
        <f t="shared" si="0"/>
        <v>1</v>
      </c>
      <c r="H49" s="75">
        <f t="shared" si="1"/>
        <v>61.643333333333338</v>
      </c>
      <c r="I49" s="76">
        <f t="shared" si="2"/>
        <v>61.643333333333338</v>
      </c>
      <c r="J49" s="201">
        <v>36.68</v>
      </c>
      <c r="K49" s="199">
        <v>0</v>
      </c>
      <c r="L49" s="73">
        <v>0</v>
      </c>
      <c r="M49" s="202">
        <v>0</v>
      </c>
      <c r="N49" s="79" t="e">
        <f t="shared" si="3"/>
        <v>#DIV/0!</v>
      </c>
      <c r="O49" s="80">
        <f t="shared" si="4"/>
        <v>0</v>
      </c>
      <c r="P49" s="79">
        <f t="shared" si="5"/>
        <v>0.19834531985075432</v>
      </c>
      <c r="Q49" s="81">
        <f t="shared" si="6"/>
        <v>0</v>
      </c>
      <c r="R49" s="203">
        <f t="shared" si="18"/>
        <v>184.93</v>
      </c>
      <c r="S49" s="83" t="e">
        <f t="shared" si="8"/>
        <v>#DIV/0!</v>
      </c>
      <c r="T49" s="84"/>
      <c r="U49" s="84"/>
      <c r="V49" s="84"/>
      <c r="W49" s="84"/>
      <c r="X49" s="85"/>
      <c r="Y49" s="68"/>
      <c r="Z49" s="68"/>
    </row>
    <row r="50" spans="1:26" ht="12.75" hidden="1" outlineLevel="1" x14ac:dyDescent="0.2">
      <c r="A50" s="68"/>
      <c r="B50" s="86"/>
      <c r="C50" s="70" t="s">
        <v>36</v>
      </c>
      <c r="D50" s="90">
        <v>799.68</v>
      </c>
      <c r="E50" s="73">
        <v>12</v>
      </c>
      <c r="F50" s="73">
        <v>15</v>
      </c>
      <c r="G50" s="74">
        <f t="shared" si="0"/>
        <v>0.8</v>
      </c>
      <c r="H50" s="75">
        <f t="shared" si="1"/>
        <v>66.64</v>
      </c>
      <c r="I50" s="76">
        <f t="shared" si="2"/>
        <v>83.3</v>
      </c>
      <c r="J50" s="90">
        <v>12.57</v>
      </c>
      <c r="K50" s="199">
        <v>5515</v>
      </c>
      <c r="L50" s="73">
        <v>4</v>
      </c>
      <c r="M50" s="91">
        <v>279.8</v>
      </c>
      <c r="N50" s="79">
        <f t="shared" si="3"/>
        <v>4.4924946390278768E-2</v>
      </c>
      <c r="O50" s="80">
        <f t="shared" si="4"/>
        <v>22.259347653142402</v>
      </c>
      <c r="P50" s="79">
        <f t="shared" si="5"/>
        <v>1.5718787515006005E-2</v>
      </c>
      <c r="Q50" s="81">
        <f t="shared" si="6"/>
        <v>0.34988995598239298</v>
      </c>
      <c r="R50" s="92">
        <f t="shared" si="18"/>
        <v>519.87999999999988</v>
      </c>
      <c r="S50" s="83">
        <f t="shared" si="8"/>
        <v>3.1425000000000001</v>
      </c>
      <c r="T50" s="84"/>
      <c r="U50" s="84"/>
      <c r="V50" s="84"/>
      <c r="W50" s="84"/>
      <c r="X50" s="85"/>
      <c r="Y50" s="68"/>
      <c r="Z50" s="68"/>
    </row>
    <row r="51" spans="1:26" ht="12.75" hidden="1" outlineLevel="1" x14ac:dyDescent="0.2">
      <c r="A51" s="68"/>
      <c r="B51" s="69" t="s">
        <v>37</v>
      </c>
      <c r="C51" s="70" t="s">
        <v>38</v>
      </c>
      <c r="D51" s="93">
        <v>480.71</v>
      </c>
      <c r="E51" s="73">
        <v>4</v>
      </c>
      <c r="F51" s="73">
        <v>5</v>
      </c>
      <c r="G51" s="74">
        <f t="shared" si="0"/>
        <v>0.8</v>
      </c>
      <c r="H51" s="75">
        <f t="shared" si="1"/>
        <v>120.17749999999999</v>
      </c>
      <c r="I51" s="76">
        <f t="shared" si="2"/>
        <v>150.22187499999998</v>
      </c>
      <c r="J51" s="93">
        <v>12.48</v>
      </c>
      <c r="K51" s="199">
        <v>2459</v>
      </c>
      <c r="L51" s="73">
        <v>0</v>
      </c>
      <c r="M51" s="94">
        <v>0</v>
      </c>
      <c r="N51" s="79" t="e">
        <f t="shared" si="3"/>
        <v>#DIV/0!</v>
      </c>
      <c r="O51" s="80">
        <f t="shared" si="4"/>
        <v>0</v>
      </c>
      <c r="P51" s="79">
        <f t="shared" si="5"/>
        <v>2.5961598468931375E-2</v>
      </c>
      <c r="Q51" s="81">
        <f t="shared" si="6"/>
        <v>0</v>
      </c>
      <c r="R51" s="95">
        <f t="shared" si="18"/>
        <v>480.71</v>
      </c>
      <c r="S51" s="83" t="e">
        <f t="shared" si="8"/>
        <v>#DIV/0!</v>
      </c>
      <c r="T51" s="84"/>
      <c r="U51" s="84"/>
      <c r="V51" s="84"/>
      <c r="W51" s="84"/>
      <c r="X51" s="85"/>
      <c r="Y51" s="68"/>
      <c r="Z51" s="68"/>
    </row>
    <row r="52" spans="1:26" ht="12.75" hidden="1" outlineLevel="1" x14ac:dyDescent="0.2">
      <c r="A52" s="68"/>
      <c r="B52" s="86"/>
      <c r="C52" s="70" t="s">
        <v>39</v>
      </c>
      <c r="D52" s="96">
        <v>139.96</v>
      </c>
      <c r="E52" s="73">
        <v>1</v>
      </c>
      <c r="F52" s="73">
        <v>2</v>
      </c>
      <c r="G52" s="74">
        <f t="shared" si="0"/>
        <v>0.5</v>
      </c>
      <c r="H52" s="75">
        <f t="shared" si="1"/>
        <v>139.96</v>
      </c>
      <c r="I52" s="76">
        <f t="shared" si="2"/>
        <v>279.92</v>
      </c>
      <c r="J52" s="96">
        <v>272.19</v>
      </c>
      <c r="K52" s="199">
        <v>3341</v>
      </c>
      <c r="L52" s="73">
        <v>1</v>
      </c>
      <c r="M52" s="97">
        <v>64.959999999999994</v>
      </c>
      <c r="N52" s="79">
        <f t="shared" si="3"/>
        <v>4.1901169950738923</v>
      </c>
      <c r="O52" s="80">
        <f t="shared" si="4"/>
        <v>0.23865682060325505</v>
      </c>
      <c r="P52" s="79">
        <f t="shared" si="5"/>
        <v>1.9447699342669333</v>
      </c>
      <c r="Q52" s="81">
        <f t="shared" si="6"/>
        <v>0.46413260931694761</v>
      </c>
      <c r="R52" s="98">
        <f t="shared" si="18"/>
        <v>75.000000000000014</v>
      </c>
      <c r="S52" s="83">
        <f t="shared" si="8"/>
        <v>272.19</v>
      </c>
      <c r="T52" s="84"/>
      <c r="U52" s="84"/>
      <c r="V52" s="84"/>
      <c r="W52" s="84"/>
      <c r="X52" s="85"/>
      <c r="Y52" s="68"/>
      <c r="Z52" s="68"/>
    </row>
    <row r="53" spans="1:26" ht="12.75" hidden="1" outlineLevel="1" x14ac:dyDescent="0.2">
      <c r="A53" s="68"/>
      <c r="B53" s="86"/>
      <c r="C53" s="70" t="s">
        <v>40</v>
      </c>
      <c r="D53" s="99">
        <v>54.95</v>
      </c>
      <c r="E53" s="73">
        <v>1</v>
      </c>
      <c r="F53" s="73">
        <v>2</v>
      </c>
      <c r="G53" s="74">
        <f t="shared" si="0"/>
        <v>0.5</v>
      </c>
      <c r="H53" s="75">
        <f t="shared" si="1"/>
        <v>54.95</v>
      </c>
      <c r="I53" s="76">
        <f t="shared" si="2"/>
        <v>109.9</v>
      </c>
      <c r="J53" s="99">
        <v>0</v>
      </c>
      <c r="K53" s="199">
        <v>200741</v>
      </c>
      <c r="L53" s="73">
        <v>0</v>
      </c>
      <c r="M53" s="100">
        <v>0</v>
      </c>
      <c r="N53" s="79" t="e">
        <f t="shared" si="3"/>
        <v>#DIV/0!</v>
      </c>
      <c r="O53" s="80" t="e">
        <f t="shared" si="4"/>
        <v>#DIV/0!</v>
      </c>
      <c r="P53" s="79">
        <f t="shared" si="5"/>
        <v>0</v>
      </c>
      <c r="Q53" s="81">
        <f t="shared" si="6"/>
        <v>0</v>
      </c>
      <c r="R53" s="101">
        <f t="shared" si="18"/>
        <v>54.95</v>
      </c>
      <c r="S53" s="83" t="e">
        <f t="shared" si="8"/>
        <v>#DIV/0!</v>
      </c>
      <c r="T53" s="84"/>
      <c r="U53" s="84"/>
      <c r="V53" s="84"/>
      <c r="W53" s="84"/>
      <c r="X53" s="85"/>
      <c r="Y53" s="68"/>
      <c r="Z53" s="68"/>
    </row>
    <row r="54" spans="1:26" ht="12.75" hidden="1" outlineLevel="1" x14ac:dyDescent="0.2">
      <c r="A54" s="68"/>
      <c r="B54" s="86"/>
      <c r="C54" s="70" t="s">
        <v>41</v>
      </c>
      <c r="D54" s="102">
        <v>1158.25</v>
      </c>
      <c r="E54" s="73">
        <v>12</v>
      </c>
      <c r="F54" s="73">
        <v>12</v>
      </c>
      <c r="G54" s="74">
        <f t="shared" si="0"/>
        <v>1</v>
      </c>
      <c r="H54" s="75">
        <f t="shared" si="1"/>
        <v>96.520833333333329</v>
      </c>
      <c r="I54" s="76">
        <f t="shared" si="2"/>
        <v>96.520833333333329</v>
      </c>
      <c r="J54" s="102">
        <v>3.14</v>
      </c>
      <c r="K54" s="199">
        <v>0</v>
      </c>
      <c r="L54" s="73">
        <v>3</v>
      </c>
      <c r="M54" s="103">
        <v>770.1</v>
      </c>
      <c r="N54" s="79">
        <f t="shared" si="3"/>
        <v>4.0773925464225426E-3</v>
      </c>
      <c r="O54" s="80">
        <f t="shared" si="4"/>
        <v>245.25477707006368</v>
      </c>
      <c r="P54" s="79">
        <f t="shared" si="5"/>
        <v>2.7109864018994173E-3</v>
      </c>
      <c r="Q54" s="81">
        <f t="shared" si="6"/>
        <v>0.66488236563781566</v>
      </c>
      <c r="R54" s="104">
        <f t="shared" si="18"/>
        <v>388.15</v>
      </c>
      <c r="S54" s="83">
        <f t="shared" si="8"/>
        <v>1.0466666666666666</v>
      </c>
      <c r="T54" s="84"/>
      <c r="U54" s="84"/>
      <c r="V54" s="84"/>
      <c r="W54" s="84"/>
      <c r="X54" s="85"/>
      <c r="Y54" s="68"/>
      <c r="Z54" s="68"/>
    </row>
    <row r="55" spans="1:26" ht="12.75" hidden="1" outlineLevel="1" x14ac:dyDescent="0.2">
      <c r="A55" s="68"/>
      <c r="B55" s="86"/>
      <c r="C55" s="70" t="s">
        <v>42</v>
      </c>
      <c r="D55" s="90">
        <v>0</v>
      </c>
      <c r="E55" s="73">
        <v>0</v>
      </c>
      <c r="F55" s="73">
        <v>0</v>
      </c>
      <c r="G55" s="74" t="e">
        <f t="shared" si="0"/>
        <v>#DIV/0!</v>
      </c>
      <c r="H55" s="75" t="e">
        <f t="shared" si="1"/>
        <v>#DIV/0!</v>
      </c>
      <c r="I55" s="76" t="e">
        <f t="shared" si="2"/>
        <v>#DIV/0!</v>
      </c>
      <c r="J55" s="90">
        <v>0</v>
      </c>
      <c r="K55" s="199">
        <v>4524</v>
      </c>
      <c r="L55" s="73">
        <v>0</v>
      </c>
      <c r="M55" s="91">
        <v>0</v>
      </c>
      <c r="N55" s="79" t="e">
        <f t="shared" si="3"/>
        <v>#DIV/0!</v>
      </c>
      <c r="O55" s="80" t="e">
        <f t="shared" si="4"/>
        <v>#DIV/0!</v>
      </c>
      <c r="P55" s="79" t="e">
        <f t="shared" si="5"/>
        <v>#DIV/0!</v>
      </c>
      <c r="Q55" s="81" t="e">
        <f t="shared" si="6"/>
        <v>#DIV/0!</v>
      </c>
      <c r="R55" s="92">
        <f t="shared" si="18"/>
        <v>0</v>
      </c>
      <c r="S55" s="83" t="e">
        <f t="shared" si="8"/>
        <v>#DIV/0!</v>
      </c>
      <c r="T55" s="84"/>
      <c r="U55" s="84"/>
      <c r="V55" s="84"/>
      <c r="W55" s="84"/>
      <c r="X55" s="85"/>
      <c r="Y55" s="68"/>
      <c r="Z55" s="68"/>
    </row>
    <row r="56" spans="1:26" ht="12.75" hidden="1" outlineLevel="1" x14ac:dyDescent="0.2">
      <c r="A56" s="68"/>
      <c r="B56" s="86"/>
      <c r="C56" s="70" t="s">
        <v>43</v>
      </c>
      <c r="D56" s="105">
        <v>-58.5</v>
      </c>
      <c r="E56" s="73">
        <v>0</v>
      </c>
      <c r="F56" s="73">
        <v>1</v>
      </c>
      <c r="G56" s="74">
        <f t="shared" si="0"/>
        <v>0</v>
      </c>
      <c r="H56" s="75" t="e">
        <f t="shared" si="1"/>
        <v>#DIV/0!</v>
      </c>
      <c r="I56" s="76" t="e">
        <f t="shared" si="2"/>
        <v>#DIV/0!</v>
      </c>
      <c r="J56" s="105">
        <v>0</v>
      </c>
      <c r="K56" s="199">
        <v>0</v>
      </c>
      <c r="L56" s="73">
        <v>0</v>
      </c>
      <c r="M56" s="106">
        <v>0</v>
      </c>
      <c r="N56" s="79" t="e">
        <f t="shared" si="3"/>
        <v>#DIV/0!</v>
      </c>
      <c r="O56" s="80" t="e">
        <f t="shared" si="4"/>
        <v>#DIV/0!</v>
      </c>
      <c r="P56" s="79">
        <f t="shared" si="5"/>
        <v>0</v>
      </c>
      <c r="Q56" s="81">
        <f t="shared" si="6"/>
        <v>0</v>
      </c>
      <c r="R56" s="107">
        <f t="shared" si="18"/>
        <v>-58.5</v>
      </c>
      <c r="S56" s="83" t="e">
        <f t="shared" si="8"/>
        <v>#DIV/0!</v>
      </c>
      <c r="T56" s="84"/>
      <c r="U56" s="84"/>
      <c r="V56" s="84"/>
      <c r="W56" s="84"/>
      <c r="X56" s="85"/>
      <c r="Y56" s="68"/>
      <c r="Z56" s="68"/>
    </row>
    <row r="57" spans="1:26" ht="12.75" hidden="1" outlineLevel="1" x14ac:dyDescent="0.2">
      <c r="A57" s="68"/>
      <c r="B57" s="86"/>
      <c r="C57" s="70" t="s">
        <v>44</v>
      </c>
      <c r="D57" s="108">
        <v>60.87</v>
      </c>
      <c r="E57" s="73">
        <v>1</v>
      </c>
      <c r="F57" s="73">
        <v>1</v>
      </c>
      <c r="G57" s="74">
        <f t="shared" si="0"/>
        <v>1</v>
      </c>
      <c r="H57" s="75">
        <f t="shared" si="1"/>
        <v>60.87</v>
      </c>
      <c r="I57" s="76">
        <f t="shared" si="2"/>
        <v>60.87</v>
      </c>
      <c r="J57" s="108">
        <v>1.92</v>
      </c>
      <c r="K57" s="199">
        <v>2362</v>
      </c>
      <c r="L57" s="73">
        <v>0</v>
      </c>
      <c r="M57" s="109">
        <v>0</v>
      </c>
      <c r="N57" s="79" t="e">
        <f t="shared" si="3"/>
        <v>#DIV/0!</v>
      </c>
      <c r="O57" s="80">
        <f t="shared" si="4"/>
        <v>0</v>
      </c>
      <c r="P57" s="79">
        <f t="shared" si="5"/>
        <v>3.1542631838344014E-2</v>
      </c>
      <c r="Q57" s="81">
        <f t="shared" si="6"/>
        <v>0</v>
      </c>
      <c r="R57" s="110">
        <f t="shared" si="18"/>
        <v>60.87</v>
      </c>
      <c r="S57" s="83" t="e">
        <f t="shared" si="8"/>
        <v>#DIV/0!</v>
      </c>
      <c r="T57" s="84"/>
      <c r="U57" s="84"/>
      <c r="V57" s="84"/>
      <c r="W57" s="84"/>
      <c r="X57" s="85"/>
      <c r="Y57" s="68"/>
      <c r="Z57" s="68"/>
    </row>
    <row r="58" spans="1:26" ht="12.75" hidden="1" outlineLevel="1" x14ac:dyDescent="0.2">
      <c r="A58" s="111"/>
      <c r="B58" s="86"/>
      <c r="C58" s="112" t="s">
        <v>45</v>
      </c>
      <c r="D58" s="71">
        <v>0</v>
      </c>
      <c r="E58" s="73">
        <v>0</v>
      </c>
      <c r="F58" s="73">
        <v>0</v>
      </c>
      <c r="G58" s="74" t="e">
        <f t="shared" si="0"/>
        <v>#DIV/0!</v>
      </c>
      <c r="H58" s="75" t="e">
        <f t="shared" si="1"/>
        <v>#DIV/0!</v>
      </c>
      <c r="I58" s="76" t="e">
        <f t="shared" si="2"/>
        <v>#DIV/0!</v>
      </c>
      <c r="J58" s="71">
        <v>0</v>
      </c>
      <c r="K58" s="199">
        <v>0</v>
      </c>
      <c r="L58" s="73">
        <v>0</v>
      </c>
      <c r="M58" s="78">
        <v>0</v>
      </c>
      <c r="N58" s="79" t="e">
        <f t="shared" si="3"/>
        <v>#DIV/0!</v>
      </c>
      <c r="O58" s="80" t="e">
        <f t="shared" si="4"/>
        <v>#DIV/0!</v>
      </c>
      <c r="P58" s="79" t="e">
        <f t="shared" si="5"/>
        <v>#DIV/0!</v>
      </c>
      <c r="Q58" s="81" t="e">
        <f t="shared" si="6"/>
        <v>#DIV/0!</v>
      </c>
      <c r="R58" s="82">
        <f t="shared" si="18"/>
        <v>0</v>
      </c>
      <c r="S58" s="83" t="e">
        <f t="shared" si="8"/>
        <v>#DIV/0!</v>
      </c>
      <c r="T58" s="113"/>
      <c r="U58" s="113"/>
      <c r="V58" s="113"/>
      <c r="W58" s="114"/>
      <c r="X58" s="115"/>
      <c r="Y58" s="68"/>
      <c r="Z58" s="68"/>
    </row>
    <row r="59" spans="1:26" ht="12.75" hidden="1" outlineLevel="1" x14ac:dyDescent="0.2">
      <c r="A59" s="118"/>
      <c r="B59" s="69"/>
      <c r="C59" s="70" t="s">
        <v>46</v>
      </c>
      <c r="D59" s="116">
        <v>680.12</v>
      </c>
      <c r="E59" s="73">
        <v>19</v>
      </c>
      <c r="F59" s="73">
        <v>18</v>
      </c>
      <c r="G59" s="74">
        <f t="shared" si="0"/>
        <v>1.0555555555555556</v>
      </c>
      <c r="H59" s="75">
        <f t="shared" si="1"/>
        <v>35.795789473684209</v>
      </c>
      <c r="I59" s="76">
        <f t="shared" si="2"/>
        <v>33.911800554016615</v>
      </c>
      <c r="J59" s="116">
        <v>43.11</v>
      </c>
      <c r="K59" s="199">
        <v>23251</v>
      </c>
      <c r="L59" s="73">
        <v>7</v>
      </c>
      <c r="M59" s="117">
        <v>179.76</v>
      </c>
      <c r="N59" s="79">
        <f t="shared" si="3"/>
        <v>0.23981975967957278</v>
      </c>
      <c r="O59" s="80">
        <f t="shared" si="4"/>
        <v>4.1697981906750172</v>
      </c>
      <c r="P59" s="79">
        <f t="shared" si="5"/>
        <v>6.3385873081220956E-2</v>
      </c>
      <c r="Q59" s="81">
        <f t="shared" si="6"/>
        <v>0.26430629888843143</v>
      </c>
      <c r="R59" s="82">
        <f t="shared" si="18"/>
        <v>500.36</v>
      </c>
      <c r="S59" s="83">
        <f t="shared" si="8"/>
        <v>6.1585714285714284</v>
      </c>
      <c r="T59" s="84"/>
      <c r="U59" s="84"/>
      <c r="V59" s="84"/>
      <c r="W59" s="84"/>
      <c r="X59" s="85"/>
      <c r="Y59" s="68"/>
      <c r="Z59" s="68"/>
    </row>
    <row r="60" spans="1:26" ht="12.75" hidden="1" outlineLevel="1" x14ac:dyDescent="0.2">
      <c r="A60" s="118" t="str">
        <f t="shared" ref="A60:A61" si="19">IFERROR(IF(B60&gt;0,MONTH(B60)&amp;"-"&amp;YEAR(B60),B60),)</f>
        <v>10-2024</v>
      </c>
      <c r="B60" s="69">
        <v>45577</v>
      </c>
      <c r="C60" s="148" t="s">
        <v>49</v>
      </c>
      <c r="D60" s="116">
        <v>0</v>
      </c>
      <c r="E60" s="73">
        <v>0</v>
      </c>
      <c r="F60" s="73">
        <v>0</v>
      </c>
      <c r="G60" s="74" t="e">
        <f t="shared" si="0"/>
        <v>#DIV/0!</v>
      </c>
      <c r="H60" s="75" t="e">
        <f t="shared" si="1"/>
        <v>#DIV/0!</v>
      </c>
      <c r="I60" s="76" t="e">
        <f t="shared" si="2"/>
        <v>#DIV/0!</v>
      </c>
      <c r="J60" s="116">
        <v>0</v>
      </c>
      <c r="K60" s="199">
        <v>0</v>
      </c>
      <c r="L60" s="73">
        <v>0</v>
      </c>
      <c r="M60" s="117">
        <v>0</v>
      </c>
      <c r="N60" s="79" t="e">
        <f t="shared" si="3"/>
        <v>#DIV/0!</v>
      </c>
      <c r="O60" s="80" t="e">
        <f t="shared" si="4"/>
        <v>#DIV/0!</v>
      </c>
      <c r="P60" s="79" t="e">
        <f t="shared" si="5"/>
        <v>#DIV/0!</v>
      </c>
      <c r="Q60" s="81" t="e">
        <f t="shared" si="6"/>
        <v>#DIV/0!</v>
      </c>
      <c r="R60" s="82">
        <f t="shared" si="18"/>
        <v>0</v>
      </c>
      <c r="S60" s="83" t="e">
        <f t="shared" si="8"/>
        <v>#DIV/0!</v>
      </c>
      <c r="T60" s="84"/>
      <c r="U60" s="84"/>
      <c r="V60" s="84"/>
      <c r="W60" s="84"/>
      <c r="X60" s="85"/>
      <c r="Y60" s="68"/>
      <c r="Z60" s="68"/>
    </row>
    <row r="61" spans="1:26" ht="12.75" collapsed="1" x14ac:dyDescent="0.2">
      <c r="A61" s="111">
        <f t="shared" si="19"/>
        <v>0</v>
      </c>
      <c r="B61" s="206" t="s">
        <v>99</v>
      </c>
      <c r="C61" s="299"/>
      <c r="D61" s="208">
        <f t="shared" ref="D61:F61" si="20">SUM(D44:D59)</f>
        <v>14713.720000000001</v>
      </c>
      <c r="E61" s="209">
        <f t="shared" si="20"/>
        <v>115</v>
      </c>
      <c r="F61" s="209">
        <f t="shared" si="20"/>
        <v>114</v>
      </c>
      <c r="G61" s="210">
        <f t="shared" si="0"/>
        <v>1.0087719298245614</v>
      </c>
      <c r="H61" s="211">
        <f t="shared" si="1"/>
        <v>127.94539130434784</v>
      </c>
      <c r="I61" s="212">
        <f t="shared" si="2"/>
        <v>126.83282268431003</v>
      </c>
      <c r="J61" s="213">
        <f>SUM(J44:J60)</f>
        <v>1115.79</v>
      </c>
      <c r="K61" s="296">
        <f>SUM(K44:K59)</f>
        <v>297124</v>
      </c>
      <c r="L61" s="209">
        <f t="shared" ref="L61:M61" si="21">SUM(L44:L60)</f>
        <v>35</v>
      </c>
      <c r="M61" s="208">
        <f t="shared" si="21"/>
        <v>5224.8200000000006</v>
      </c>
      <c r="N61" s="214">
        <f t="shared" si="3"/>
        <v>0.21355568230101704</v>
      </c>
      <c r="O61" s="215">
        <f t="shared" si="4"/>
        <v>4.6826194893304303</v>
      </c>
      <c r="P61" s="214">
        <f t="shared" si="5"/>
        <v>7.5833303882362854E-2</v>
      </c>
      <c r="Q61" s="216">
        <f t="shared" si="6"/>
        <v>0.35509850669986925</v>
      </c>
      <c r="R61" s="217">
        <f>SUM(R44:R59)</f>
        <v>9488.9000000000015</v>
      </c>
      <c r="S61" s="218">
        <f t="shared" si="8"/>
        <v>31.879714285714286</v>
      </c>
      <c r="T61" s="300">
        <f t="shared" ref="T61:U61" si="22">IFERROR((D61-#REF!)/D61,)</f>
        <v>0</v>
      </c>
      <c r="U61" s="300">
        <f t="shared" si="22"/>
        <v>0</v>
      </c>
      <c r="V61" s="220" t="s">
        <v>139</v>
      </c>
      <c r="W61" s="221" t="s">
        <v>139</v>
      </c>
      <c r="X61" s="68"/>
      <c r="Y61" s="68"/>
      <c r="Z61" s="68"/>
    </row>
    <row r="62" spans="1:26" ht="12.75" hidden="1" outlineLevel="1" x14ac:dyDescent="0.2">
      <c r="A62" s="68"/>
      <c r="B62" s="69">
        <v>45578</v>
      </c>
      <c r="C62" s="70" t="s">
        <v>32</v>
      </c>
      <c r="D62" s="71">
        <v>378.65</v>
      </c>
      <c r="E62" s="73">
        <v>4</v>
      </c>
      <c r="F62" s="73">
        <v>6</v>
      </c>
      <c r="G62" s="74">
        <f t="shared" si="0"/>
        <v>0.66666666666666663</v>
      </c>
      <c r="H62" s="75">
        <f t="shared" si="1"/>
        <v>94.662499999999994</v>
      </c>
      <c r="I62" s="76">
        <f t="shared" si="2"/>
        <v>141.99375000000001</v>
      </c>
      <c r="J62" s="71">
        <v>219.79</v>
      </c>
      <c r="K62" s="199">
        <v>27574</v>
      </c>
      <c r="L62" s="73">
        <v>0</v>
      </c>
      <c r="M62" s="78">
        <v>0</v>
      </c>
      <c r="N62" s="79" t="e">
        <f t="shared" si="3"/>
        <v>#DIV/0!</v>
      </c>
      <c r="O62" s="80">
        <f t="shared" si="4"/>
        <v>0</v>
      </c>
      <c r="P62" s="79">
        <f t="shared" si="5"/>
        <v>0.58045688630661563</v>
      </c>
      <c r="Q62" s="81">
        <f t="shared" si="6"/>
        <v>0</v>
      </c>
      <c r="R62" s="82">
        <f t="shared" ref="R62:R78" si="23">D62-M62</f>
        <v>378.65</v>
      </c>
      <c r="S62" s="83" t="e">
        <f t="shared" si="8"/>
        <v>#DIV/0!</v>
      </c>
      <c r="T62" s="84"/>
      <c r="U62" s="84"/>
      <c r="V62" s="84"/>
      <c r="W62" s="84"/>
      <c r="X62" s="85"/>
      <c r="Y62" s="68"/>
      <c r="Z62" s="68"/>
    </row>
    <row r="63" spans="1:26" ht="12.75" hidden="1" outlineLevel="1" x14ac:dyDescent="0.2">
      <c r="A63" s="68"/>
      <c r="B63" s="86"/>
      <c r="C63" s="70" t="s">
        <v>33</v>
      </c>
      <c r="D63" s="87">
        <v>1512.39</v>
      </c>
      <c r="E63" s="73">
        <v>14</v>
      </c>
      <c r="F63" s="73">
        <v>19</v>
      </c>
      <c r="G63" s="74">
        <f t="shared" si="0"/>
        <v>0.73684210526315785</v>
      </c>
      <c r="H63" s="75">
        <f t="shared" si="1"/>
        <v>108.02785714285714</v>
      </c>
      <c r="I63" s="76">
        <f t="shared" si="2"/>
        <v>146.60923469387757</v>
      </c>
      <c r="J63" s="87">
        <v>6</v>
      </c>
      <c r="K63" s="199">
        <v>1366</v>
      </c>
      <c r="L63" s="73">
        <v>0</v>
      </c>
      <c r="M63" s="88">
        <v>0</v>
      </c>
      <c r="N63" s="79" t="e">
        <f t="shared" si="3"/>
        <v>#DIV/0!</v>
      </c>
      <c r="O63" s="80">
        <f t="shared" si="4"/>
        <v>0</v>
      </c>
      <c r="P63" s="79">
        <f t="shared" si="5"/>
        <v>3.9672306746275756E-3</v>
      </c>
      <c r="Q63" s="81">
        <f t="shared" si="6"/>
        <v>0</v>
      </c>
      <c r="R63" s="89">
        <f t="shared" si="23"/>
        <v>1512.39</v>
      </c>
      <c r="S63" s="83" t="e">
        <f t="shared" si="8"/>
        <v>#DIV/0!</v>
      </c>
      <c r="T63" s="84"/>
      <c r="U63" s="84"/>
      <c r="V63" s="84"/>
      <c r="W63" s="84"/>
      <c r="X63" s="85"/>
      <c r="Y63" s="68"/>
      <c r="Z63" s="68"/>
    </row>
    <row r="64" spans="1:26" ht="12.75" hidden="1" outlineLevel="1" x14ac:dyDescent="0.2">
      <c r="A64" s="68"/>
      <c r="B64" s="86"/>
      <c r="C64" s="70" t="s">
        <v>34</v>
      </c>
      <c r="D64" s="90">
        <v>69.95</v>
      </c>
      <c r="E64" s="73">
        <v>1</v>
      </c>
      <c r="F64" s="73">
        <v>1</v>
      </c>
      <c r="G64" s="74">
        <f t="shared" si="0"/>
        <v>1</v>
      </c>
      <c r="H64" s="75">
        <f t="shared" si="1"/>
        <v>69.95</v>
      </c>
      <c r="I64" s="76">
        <f t="shared" si="2"/>
        <v>69.95</v>
      </c>
      <c r="J64" s="90">
        <v>0</v>
      </c>
      <c r="K64" s="199">
        <v>0</v>
      </c>
      <c r="L64" s="73">
        <v>0</v>
      </c>
      <c r="M64" s="91">
        <v>0</v>
      </c>
      <c r="N64" s="79" t="e">
        <f t="shared" si="3"/>
        <v>#DIV/0!</v>
      </c>
      <c r="O64" s="80" t="e">
        <f t="shared" si="4"/>
        <v>#DIV/0!</v>
      </c>
      <c r="P64" s="79">
        <f t="shared" si="5"/>
        <v>0</v>
      </c>
      <c r="Q64" s="81">
        <f t="shared" si="6"/>
        <v>0</v>
      </c>
      <c r="R64" s="92">
        <f t="shared" si="23"/>
        <v>69.95</v>
      </c>
      <c r="S64" s="83" t="e">
        <f t="shared" si="8"/>
        <v>#DIV/0!</v>
      </c>
      <c r="T64" s="84"/>
      <c r="U64" s="84"/>
      <c r="V64" s="84"/>
      <c r="W64" s="84"/>
      <c r="X64" s="85"/>
      <c r="Y64" s="68"/>
      <c r="Z64" s="68"/>
    </row>
    <row r="65" spans="1:26" ht="12.75" hidden="1" outlineLevel="1" x14ac:dyDescent="0.2">
      <c r="A65" s="68"/>
      <c r="B65" s="86"/>
      <c r="C65" s="70" t="s">
        <v>35</v>
      </c>
      <c r="D65" s="90">
        <v>419.65</v>
      </c>
      <c r="E65" s="73">
        <v>7</v>
      </c>
      <c r="F65" s="73">
        <v>8</v>
      </c>
      <c r="G65" s="74">
        <f t="shared" si="0"/>
        <v>0.875</v>
      </c>
      <c r="H65" s="75">
        <f t="shared" si="1"/>
        <v>59.949999999999996</v>
      </c>
      <c r="I65" s="76">
        <f t="shared" si="2"/>
        <v>68.514285714285705</v>
      </c>
      <c r="J65" s="90">
        <v>68.36</v>
      </c>
      <c r="K65" s="199">
        <v>6922</v>
      </c>
      <c r="L65" s="73">
        <v>6</v>
      </c>
      <c r="M65" s="91">
        <v>359.7</v>
      </c>
      <c r="N65" s="79">
        <f t="shared" si="3"/>
        <v>0.19004726160689464</v>
      </c>
      <c r="O65" s="80">
        <f t="shared" si="4"/>
        <v>5.261849034523113</v>
      </c>
      <c r="P65" s="79">
        <f t="shared" si="5"/>
        <v>0.1628976528059097</v>
      </c>
      <c r="Q65" s="81">
        <f t="shared" si="6"/>
        <v>0.85714285714285721</v>
      </c>
      <c r="R65" s="92">
        <f t="shared" si="23"/>
        <v>59.949999999999989</v>
      </c>
      <c r="S65" s="83">
        <f t="shared" si="8"/>
        <v>11.393333333333333</v>
      </c>
      <c r="T65" s="84"/>
      <c r="U65" s="84"/>
      <c r="V65" s="84"/>
      <c r="W65" s="84"/>
      <c r="X65" s="85"/>
      <c r="Y65" s="68"/>
      <c r="Z65" s="68"/>
    </row>
    <row r="66" spans="1:26" ht="12.75" hidden="1" outlineLevel="1" x14ac:dyDescent="0.2">
      <c r="A66" s="68"/>
      <c r="B66" s="86"/>
      <c r="C66" s="70" t="s">
        <v>62</v>
      </c>
      <c r="D66" s="200">
        <v>0</v>
      </c>
      <c r="E66" s="73">
        <v>0</v>
      </c>
      <c r="F66" s="73">
        <v>0</v>
      </c>
      <c r="G66" s="74" t="e">
        <f t="shared" si="0"/>
        <v>#DIV/0!</v>
      </c>
      <c r="H66" s="75" t="e">
        <f t="shared" si="1"/>
        <v>#DIV/0!</v>
      </c>
      <c r="I66" s="76" t="e">
        <f t="shared" si="2"/>
        <v>#DIV/0!</v>
      </c>
      <c r="J66" s="200">
        <v>0</v>
      </c>
      <c r="K66" s="199">
        <v>0</v>
      </c>
      <c r="L66" s="73">
        <v>0</v>
      </c>
      <c r="M66" s="200">
        <v>0</v>
      </c>
      <c r="N66" s="79" t="e">
        <f t="shared" si="3"/>
        <v>#DIV/0!</v>
      </c>
      <c r="O66" s="80" t="e">
        <f t="shared" si="4"/>
        <v>#DIV/0!</v>
      </c>
      <c r="P66" s="79" t="e">
        <f t="shared" si="5"/>
        <v>#DIV/0!</v>
      </c>
      <c r="Q66" s="81" t="e">
        <f t="shared" si="6"/>
        <v>#DIV/0!</v>
      </c>
      <c r="R66" s="92">
        <f t="shared" si="23"/>
        <v>0</v>
      </c>
      <c r="S66" s="83" t="e">
        <f t="shared" si="8"/>
        <v>#DIV/0!</v>
      </c>
      <c r="T66" s="84"/>
      <c r="U66" s="84"/>
      <c r="V66" s="84"/>
      <c r="W66" s="84"/>
      <c r="X66" s="85"/>
      <c r="Y66" s="68"/>
      <c r="Z66" s="68"/>
    </row>
    <row r="67" spans="1:26" ht="12.75" hidden="1" outlineLevel="1" x14ac:dyDescent="0.2">
      <c r="A67" s="68"/>
      <c r="B67" s="86"/>
      <c r="C67" s="70" t="s">
        <v>66</v>
      </c>
      <c r="D67" s="201">
        <v>184.93</v>
      </c>
      <c r="E67" s="73">
        <v>3</v>
      </c>
      <c r="F67" s="73">
        <v>3</v>
      </c>
      <c r="G67" s="74">
        <f t="shared" si="0"/>
        <v>1</v>
      </c>
      <c r="H67" s="75">
        <f t="shared" si="1"/>
        <v>61.643333333333338</v>
      </c>
      <c r="I67" s="76">
        <f t="shared" si="2"/>
        <v>61.643333333333338</v>
      </c>
      <c r="J67" s="201">
        <v>48.23</v>
      </c>
      <c r="K67" s="199">
        <v>0</v>
      </c>
      <c r="L67" s="73">
        <v>1</v>
      </c>
      <c r="M67" s="202">
        <v>59.99</v>
      </c>
      <c r="N67" s="79">
        <f t="shared" si="3"/>
        <v>0.8039673278879812</v>
      </c>
      <c r="O67" s="80">
        <f t="shared" si="4"/>
        <v>1.2438316400580554</v>
      </c>
      <c r="P67" s="79">
        <f t="shared" si="5"/>
        <v>0.26080138430757582</v>
      </c>
      <c r="Q67" s="81">
        <f t="shared" si="6"/>
        <v>0.32439301357270317</v>
      </c>
      <c r="R67" s="203">
        <f t="shared" si="23"/>
        <v>124.94</v>
      </c>
      <c r="S67" s="83">
        <f t="shared" si="8"/>
        <v>48.23</v>
      </c>
      <c r="T67" s="84"/>
      <c r="U67" s="84"/>
      <c r="V67" s="84"/>
      <c r="W67" s="84"/>
      <c r="X67" s="85"/>
      <c r="Y67" s="68"/>
      <c r="Z67" s="68"/>
    </row>
    <row r="68" spans="1:26" ht="12.75" hidden="1" outlineLevel="1" x14ac:dyDescent="0.2">
      <c r="A68" s="68"/>
      <c r="B68" s="86"/>
      <c r="C68" s="70" t="s">
        <v>36</v>
      </c>
      <c r="D68" s="90">
        <v>489.6</v>
      </c>
      <c r="E68" s="73">
        <v>8</v>
      </c>
      <c r="F68" s="73">
        <v>4</v>
      </c>
      <c r="G68" s="74">
        <f t="shared" si="0"/>
        <v>2</v>
      </c>
      <c r="H68" s="75">
        <f t="shared" si="1"/>
        <v>61.2</v>
      </c>
      <c r="I68" s="76">
        <f t="shared" si="2"/>
        <v>30.6</v>
      </c>
      <c r="J68" s="90">
        <v>13.16</v>
      </c>
      <c r="K68" s="199">
        <v>5838</v>
      </c>
      <c r="L68" s="73">
        <v>0</v>
      </c>
      <c r="M68" s="91">
        <v>0</v>
      </c>
      <c r="N68" s="79" t="e">
        <f t="shared" si="3"/>
        <v>#DIV/0!</v>
      </c>
      <c r="O68" s="80">
        <f t="shared" si="4"/>
        <v>0</v>
      </c>
      <c r="P68" s="79">
        <f t="shared" si="5"/>
        <v>2.687908496732026E-2</v>
      </c>
      <c r="Q68" s="81">
        <f t="shared" si="6"/>
        <v>0</v>
      </c>
      <c r="R68" s="92">
        <f t="shared" si="23"/>
        <v>489.6</v>
      </c>
      <c r="S68" s="83" t="e">
        <f t="shared" si="8"/>
        <v>#DIV/0!</v>
      </c>
      <c r="T68" s="84"/>
      <c r="U68" s="84"/>
      <c r="V68" s="84"/>
      <c r="W68" s="84"/>
      <c r="X68" s="85"/>
      <c r="Y68" s="68"/>
      <c r="Z68" s="68"/>
    </row>
    <row r="69" spans="1:26" ht="12.75" hidden="1" outlineLevel="1" x14ac:dyDescent="0.2">
      <c r="A69" s="68"/>
      <c r="B69" s="69" t="s">
        <v>37</v>
      </c>
      <c r="C69" s="70" t="s">
        <v>38</v>
      </c>
      <c r="D69" s="93">
        <v>24.95</v>
      </c>
      <c r="E69" s="73">
        <v>1</v>
      </c>
      <c r="F69" s="73">
        <v>1</v>
      </c>
      <c r="G69" s="74">
        <f t="shared" si="0"/>
        <v>1</v>
      </c>
      <c r="H69" s="75">
        <f t="shared" si="1"/>
        <v>24.95</v>
      </c>
      <c r="I69" s="76">
        <f t="shared" si="2"/>
        <v>24.95</v>
      </c>
      <c r="J69" s="93">
        <v>5.46</v>
      </c>
      <c r="K69" s="199">
        <v>2747</v>
      </c>
      <c r="L69" s="73">
        <v>0</v>
      </c>
      <c r="M69" s="94">
        <v>0</v>
      </c>
      <c r="N69" s="79" t="e">
        <f t="shared" si="3"/>
        <v>#DIV/0!</v>
      </c>
      <c r="O69" s="80">
        <f t="shared" si="4"/>
        <v>0</v>
      </c>
      <c r="P69" s="79">
        <f t="shared" si="5"/>
        <v>0.21883767535070139</v>
      </c>
      <c r="Q69" s="81">
        <f t="shared" si="6"/>
        <v>0</v>
      </c>
      <c r="R69" s="95">
        <f t="shared" si="23"/>
        <v>24.95</v>
      </c>
      <c r="S69" s="83" t="e">
        <f t="shared" si="8"/>
        <v>#DIV/0!</v>
      </c>
      <c r="T69" s="84"/>
      <c r="U69" s="84"/>
      <c r="V69" s="84"/>
      <c r="W69" s="84"/>
      <c r="X69" s="85"/>
      <c r="Y69" s="68"/>
      <c r="Z69" s="68"/>
    </row>
    <row r="70" spans="1:26" ht="12.75" hidden="1" outlineLevel="1" x14ac:dyDescent="0.2">
      <c r="A70" s="68"/>
      <c r="B70" s="86"/>
      <c r="C70" s="70" t="s">
        <v>39</v>
      </c>
      <c r="D70" s="96">
        <v>99.95</v>
      </c>
      <c r="E70" s="73">
        <v>1</v>
      </c>
      <c r="F70" s="73">
        <v>1</v>
      </c>
      <c r="G70" s="74">
        <f t="shared" si="0"/>
        <v>1</v>
      </c>
      <c r="H70" s="75">
        <f t="shared" si="1"/>
        <v>99.95</v>
      </c>
      <c r="I70" s="76">
        <f t="shared" si="2"/>
        <v>99.95</v>
      </c>
      <c r="J70" s="96">
        <v>132.82</v>
      </c>
      <c r="K70" s="199">
        <v>2947</v>
      </c>
      <c r="L70" s="73">
        <v>2</v>
      </c>
      <c r="M70" s="97">
        <v>263.95</v>
      </c>
      <c r="N70" s="79">
        <f t="shared" si="3"/>
        <v>0.50320136389467707</v>
      </c>
      <c r="O70" s="80">
        <f t="shared" si="4"/>
        <v>1.9872760126486975</v>
      </c>
      <c r="P70" s="79">
        <f t="shared" si="5"/>
        <v>1.3288644322161078</v>
      </c>
      <c r="Q70" s="81">
        <f t="shared" si="6"/>
        <v>2.6408204102051025</v>
      </c>
      <c r="R70" s="98">
        <f t="shared" si="23"/>
        <v>-164</v>
      </c>
      <c r="S70" s="83">
        <f t="shared" si="8"/>
        <v>66.41</v>
      </c>
      <c r="T70" s="84"/>
      <c r="U70" s="84"/>
      <c r="V70" s="84"/>
      <c r="W70" s="84"/>
      <c r="X70" s="85"/>
      <c r="Y70" s="68"/>
      <c r="Z70" s="68"/>
    </row>
    <row r="71" spans="1:26" ht="12.75" hidden="1" outlineLevel="1" x14ac:dyDescent="0.2">
      <c r="A71" s="68"/>
      <c r="B71" s="86"/>
      <c r="C71" s="70" t="s">
        <v>40</v>
      </c>
      <c r="D71" s="99">
        <v>54.95</v>
      </c>
      <c r="E71" s="73">
        <v>1</v>
      </c>
      <c r="F71" s="73">
        <v>1</v>
      </c>
      <c r="G71" s="74">
        <f t="shared" si="0"/>
        <v>1</v>
      </c>
      <c r="H71" s="75">
        <f t="shared" si="1"/>
        <v>54.95</v>
      </c>
      <c r="I71" s="76">
        <f t="shared" si="2"/>
        <v>54.95</v>
      </c>
      <c r="J71" s="99">
        <v>0</v>
      </c>
      <c r="K71" s="199">
        <v>233376</v>
      </c>
      <c r="L71" s="73">
        <v>0</v>
      </c>
      <c r="M71" s="100">
        <v>0</v>
      </c>
      <c r="N71" s="79" t="e">
        <f t="shared" si="3"/>
        <v>#DIV/0!</v>
      </c>
      <c r="O71" s="80" t="e">
        <f t="shared" si="4"/>
        <v>#DIV/0!</v>
      </c>
      <c r="P71" s="79">
        <f t="shared" si="5"/>
        <v>0</v>
      </c>
      <c r="Q71" s="81">
        <f t="shared" si="6"/>
        <v>0</v>
      </c>
      <c r="R71" s="101">
        <f t="shared" si="23"/>
        <v>54.95</v>
      </c>
      <c r="S71" s="83" t="e">
        <f t="shared" si="8"/>
        <v>#DIV/0!</v>
      </c>
      <c r="T71" s="84"/>
      <c r="U71" s="84"/>
      <c r="V71" s="84"/>
      <c r="W71" s="84"/>
      <c r="X71" s="85"/>
      <c r="Y71" s="68"/>
      <c r="Z71" s="68"/>
    </row>
    <row r="72" spans="1:26" ht="12.75" hidden="1" outlineLevel="1" x14ac:dyDescent="0.2">
      <c r="A72" s="68"/>
      <c r="B72" s="86"/>
      <c r="C72" s="70" t="s">
        <v>41</v>
      </c>
      <c r="D72" s="102">
        <v>910.4</v>
      </c>
      <c r="E72" s="73">
        <v>9</v>
      </c>
      <c r="F72" s="73">
        <v>8</v>
      </c>
      <c r="G72" s="74">
        <f t="shared" si="0"/>
        <v>1.125</v>
      </c>
      <c r="H72" s="75">
        <f t="shared" si="1"/>
        <v>101.15555555555555</v>
      </c>
      <c r="I72" s="76">
        <f t="shared" si="2"/>
        <v>89.916049382716039</v>
      </c>
      <c r="J72" s="102">
        <v>8.6999999999999993</v>
      </c>
      <c r="K72" s="199">
        <v>0</v>
      </c>
      <c r="L72" s="73">
        <v>2</v>
      </c>
      <c r="M72" s="103">
        <v>110</v>
      </c>
      <c r="N72" s="79">
        <f t="shared" si="3"/>
        <v>7.9090909090909087E-2</v>
      </c>
      <c r="O72" s="80">
        <f t="shared" si="4"/>
        <v>12.643678160919542</v>
      </c>
      <c r="P72" s="79">
        <f t="shared" si="5"/>
        <v>9.5562390158172219E-3</v>
      </c>
      <c r="Q72" s="81">
        <f t="shared" si="6"/>
        <v>0.12082601054481547</v>
      </c>
      <c r="R72" s="104">
        <f t="shared" si="23"/>
        <v>800.4</v>
      </c>
      <c r="S72" s="83">
        <f t="shared" si="8"/>
        <v>4.3499999999999996</v>
      </c>
      <c r="T72" s="84"/>
      <c r="U72" s="84"/>
      <c r="V72" s="84"/>
      <c r="W72" s="84"/>
      <c r="X72" s="85"/>
      <c r="Y72" s="68"/>
      <c r="Z72" s="68"/>
    </row>
    <row r="73" spans="1:26" ht="12.75" hidden="1" outlineLevel="1" x14ac:dyDescent="0.2">
      <c r="A73" s="68"/>
      <c r="B73" s="86"/>
      <c r="C73" s="70" t="s">
        <v>42</v>
      </c>
      <c r="D73" s="90">
        <v>0</v>
      </c>
      <c r="E73" s="73">
        <v>0</v>
      </c>
      <c r="F73" s="73">
        <v>0</v>
      </c>
      <c r="G73" s="74" t="e">
        <f t="shared" si="0"/>
        <v>#DIV/0!</v>
      </c>
      <c r="H73" s="75" t="e">
        <f t="shared" si="1"/>
        <v>#DIV/0!</v>
      </c>
      <c r="I73" s="76" t="e">
        <f t="shared" si="2"/>
        <v>#DIV/0!</v>
      </c>
      <c r="J73" s="90">
        <v>0</v>
      </c>
      <c r="K73" s="199">
        <v>6163</v>
      </c>
      <c r="L73" s="73">
        <v>0</v>
      </c>
      <c r="M73" s="91">
        <v>0</v>
      </c>
      <c r="N73" s="79" t="e">
        <f t="shared" si="3"/>
        <v>#DIV/0!</v>
      </c>
      <c r="O73" s="80" t="e">
        <f t="shared" si="4"/>
        <v>#DIV/0!</v>
      </c>
      <c r="P73" s="79" t="e">
        <f t="shared" si="5"/>
        <v>#DIV/0!</v>
      </c>
      <c r="Q73" s="81" t="e">
        <f t="shared" si="6"/>
        <v>#DIV/0!</v>
      </c>
      <c r="R73" s="92">
        <f t="shared" si="23"/>
        <v>0</v>
      </c>
      <c r="S73" s="83" t="e">
        <f t="shared" si="8"/>
        <v>#DIV/0!</v>
      </c>
      <c r="T73" s="84"/>
      <c r="U73" s="84"/>
      <c r="V73" s="84"/>
      <c r="W73" s="84"/>
      <c r="X73" s="85"/>
      <c r="Y73" s="68"/>
      <c r="Z73" s="68"/>
    </row>
    <row r="74" spans="1:26" ht="12.75" hidden="1" outlineLevel="1" x14ac:dyDescent="0.2">
      <c r="A74" s="68"/>
      <c r="B74" s="86"/>
      <c r="C74" s="70" t="s">
        <v>43</v>
      </c>
      <c r="D74" s="105">
        <v>0</v>
      </c>
      <c r="E74" s="73">
        <v>0</v>
      </c>
      <c r="F74" s="73">
        <v>0</v>
      </c>
      <c r="G74" s="74" t="e">
        <f t="shared" si="0"/>
        <v>#DIV/0!</v>
      </c>
      <c r="H74" s="75" t="e">
        <f t="shared" si="1"/>
        <v>#DIV/0!</v>
      </c>
      <c r="I74" s="76" t="e">
        <f t="shared" si="2"/>
        <v>#DIV/0!</v>
      </c>
      <c r="J74" s="105">
        <v>0</v>
      </c>
      <c r="K74" s="199">
        <v>0</v>
      </c>
      <c r="L74" s="73">
        <v>0</v>
      </c>
      <c r="M74" s="106">
        <v>0</v>
      </c>
      <c r="N74" s="79" t="e">
        <f t="shared" si="3"/>
        <v>#DIV/0!</v>
      </c>
      <c r="O74" s="80" t="e">
        <f t="shared" si="4"/>
        <v>#DIV/0!</v>
      </c>
      <c r="P74" s="79" t="e">
        <f t="shared" si="5"/>
        <v>#DIV/0!</v>
      </c>
      <c r="Q74" s="81" t="e">
        <f t="shared" si="6"/>
        <v>#DIV/0!</v>
      </c>
      <c r="R74" s="107">
        <f t="shared" si="23"/>
        <v>0</v>
      </c>
      <c r="S74" s="83" t="e">
        <f t="shared" si="8"/>
        <v>#DIV/0!</v>
      </c>
      <c r="T74" s="84"/>
      <c r="U74" s="84"/>
      <c r="V74" s="84"/>
      <c r="W74" s="84"/>
      <c r="X74" s="85"/>
      <c r="Y74" s="68"/>
      <c r="Z74" s="68"/>
    </row>
    <row r="75" spans="1:26" ht="12.75" hidden="1" outlineLevel="1" x14ac:dyDescent="0.2">
      <c r="A75" s="68"/>
      <c r="B75" s="86"/>
      <c r="C75" s="70" t="s">
        <v>44</v>
      </c>
      <c r="D75" s="108">
        <v>0</v>
      </c>
      <c r="E75" s="73">
        <v>0</v>
      </c>
      <c r="F75" s="73">
        <v>0</v>
      </c>
      <c r="G75" s="74" t="e">
        <f t="shared" si="0"/>
        <v>#DIV/0!</v>
      </c>
      <c r="H75" s="75" t="e">
        <f t="shared" si="1"/>
        <v>#DIV/0!</v>
      </c>
      <c r="I75" s="76" t="e">
        <f t="shared" si="2"/>
        <v>#DIV/0!</v>
      </c>
      <c r="J75" s="108">
        <v>0.76</v>
      </c>
      <c r="K75" s="199">
        <v>1120</v>
      </c>
      <c r="L75" s="73">
        <v>0</v>
      </c>
      <c r="M75" s="109">
        <v>0</v>
      </c>
      <c r="N75" s="79" t="e">
        <f t="shared" si="3"/>
        <v>#DIV/0!</v>
      </c>
      <c r="O75" s="80">
        <f t="shared" si="4"/>
        <v>0</v>
      </c>
      <c r="P75" s="79" t="e">
        <f t="shared" si="5"/>
        <v>#DIV/0!</v>
      </c>
      <c r="Q75" s="81" t="e">
        <f t="shared" si="6"/>
        <v>#DIV/0!</v>
      </c>
      <c r="R75" s="110">
        <f t="shared" si="23"/>
        <v>0</v>
      </c>
      <c r="S75" s="83" t="e">
        <f t="shared" si="8"/>
        <v>#DIV/0!</v>
      </c>
      <c r="T75" s="84"/>
      <c r="U75" s="84"/>
      <c r="V75" s="84"/>
      <c r="W75" s="84"/>
      <c r="X75" s="85"/>
      <c r="Y75" s="68"/>
      <c r="Z75" s="68"/>
    </row>
    <row r="76" spans="1:26" ht="12.75" hidden="1" outlineLevel="1" x14ac:dyDescent="0.2">
      <c r="A76" s="111"/>
      <c r="B76" s="86"/>
      <c r="C76" s="112" t="s">
        <v>45</v>
      </c>
      <c r="D76" s="71">
        <v>0</v>
      </c>
      <c r="E76" s="73">
        <v>0</v>
      </c>
      <c r="F76" s="73">
        <v>0</v>
      </c>
      <c r="G76" s="74" t="e">
        <f t="shared" si="0"/>
        <v>#DIV/0!</v>
      </c>
      <c r="H76" s="75" t="e">
        <f t="shared" si="1"/>
        <v>#DIV/0!</v>
      </c>
      <c r="I76" s="76" t="e">
        <f t="shared" si="2"/>
        <v>#DIV/0!</v>
      </c>
      <c r="J76" s="71">
        <v>0</v>
      </c>
      <c r="K76" s="199">
        <v>0</v>
      </c>
      <c r="L76" s="73">
        <v>0</v>
      </c>
      <c r="M76" s="78">
        <v>0</v>
      </c>
      <c r="N76" s="79" t="e">
        <f t="shared" si="3"/>
        <v>#DIV/0!</v>
      </c>
      <c r="O76" s="80" t="e">
        <f t="shared" si="4"/>
        <v>#DIV/0!</v>
      </c>
      <c r="P76" s="79" t="e">
        <f t="shared" si="5"/>
        <v>#DIV/0!</v>
      </c>
      <c r="Q76" s="81" t="e">
        <f t="shared" si="6"/>
        <v>#DIV/0!</v>
      </c>
      <c r="R76" s="82">
        <f t="shared" si="23"/>
        <v>0</v>
      </c>
      <c r="S76" s="83" t="e">
        <f t="shared" si="8"/>
        <v>#DIV/0!</v>
      </c>
      <c r="T76" s="113"/>
      <c r="U76" s="113"/>
      <c r="V76" s="113"/>
      <c r="W76" s="114"/>
      <c r="X76" s="115"/>
      <c r="Y76" s="68"/>
      <c r="Z76" s="68"/>
    </row>
    <row r="77" spans="1:26" ht="12.75" hidden="1" outlineLevel="1" x14ac:dyDescent="0.2">
      <c r="A77" s="118"/>
      <c r="B77" s="69"/>
      <c r="C77" s="70" t="s">
        <v>46</v>
      </c>
      <c r="D77" s="116">
        <v>239.7</v>
      </c>
      <c r="E77" s="73">
        <v>6</v>
      </c>
      <c r="F77" s="73">
        <v>5</v>
      </c>
      <c r="G77" s="74">
        <f t="shared" si="0"/>
        <v>1.2</v>
      </c>
      <c r="H77" s="75">
        <f t="shared" si="1"/>
        <v>39.949999999999996</v>
      </c>
      <c r="I77" s="76">
        <f t="shared" si="2"/>
        <v>33.291666666666664</v>
      </c>
      <c r="J77" s="116">
        <v>52.14</v>
      </c>
      <c r="K77" s="199">
        <v>26589</v>
      </c>
      <c r="L77" s="73">
        <v>3</v>
      </c>
      <c r="M77" s="117">
        <v>119.85</v>
      </c>
      <c r="N77" s="79">
        <f t="shared" si="3"/>
        <v>0.43504380475594495</v>
      </c>
      <c r="O77" s="80">
        <f t="shared" si="4"/>
        <v>2.2986191024165707</v>
      </c>
      <c r="P77" s="79">
        <f t="shared" si="5"/>
        <v>0.21752190237797248</v>
      </c>
      <c r="Q77" s="81">
        <f t="shared" si="6"/>
        <v>0.5</v>
      </c>
      <c r="R77" s="82">
        <f t="shared" si="23"/>
        <v>119.85</v>
      </c>
      <c r="S77" s="83">
        <f t="shared" si="8"/>
        <v>17.38</v>
      </c>
      <c r="T77" s="84"/>
      <c r="U77" s="84"/>
      <c r="V77" s="84"/>
      <c r="W77" s="84"/>
      <c r="X77" s="85"/>
      <c r="Y77" s="68"/>
      <c r="Z77" s="68"/>
    </row>
    <row r="78" spans="1:26" ht="12.75" hidden="1" outlineLevel="1" x14ac:dyDescent="0.2">
      <c r="A78" s="118" t="str">
        <f t="shared" ref="A78:A79" si="24">IFERROR(IF(B78&gt;0,MONTH(B78)&amp;"-"&amp;YEAR(B78),B78),)</f>
        <v>10-2024</v>
      </c>
      <c r="B78" s="69">
        <v>45584</v>
      </c>
      <c r="C78" s="148" t="s">
        <v>49</v>
      </c>
      <c r="D78" s="116">
        <v>0</v>
      </c>
      <c r="E78" s="73">
        <v>0</v>
      </c>
      <c r="F78" s="73">
        <v>0</v>
      </c>
      <c r="G78" s="74" t="e">
        <f t="shared" si="0"/>
        <v>#DIV/0!</v>
      </c>
      <c r="H78" s="75" t="e">
        <f t="shared" si="1"/>
        <v>#DIV/0!</v>
      </c>
      <c r="I78" s="76" t="e">
        <f t="shared" si="2"/>
        <v>#DIV/0!</v>
      </c>
      <c r="J78" s="116">
        <v>0</v>
      </c>
      <c r="K78" s="199">
        <v>0</v>
      </c>
      <c r="L78" s="73">
        <v>0</v>
      </c>
      <c r="M78" s="117">
        <v>0</v>
      </c>
      <c r="N78" s="79" t="e">
        <f t="shared" si="3"/>
        <v>#DIV/0!</v>
      </c>
      <c r="O78" s="80" t="e">
        <f t="shared" si="4"/>
        <v>#DIV/0!</v>
      </c>
      <c r="P78" s="79" t="e">
        <f t="shared" si="5"/>
        <v>#DIV/0!</v>
      </c>
      <c r="Q78" s="81" t="e">
        <f t="shared" si="6"/>
        <v>#DIV/0!</v>
      </c>
      <c r="R78" s="82">
        <f t="shared" si="23"/>
        <v>0</v>
      </c>
      <c r="S78" s="83" t="e">
        <f t="shared" si="8"/>
        <v>#DIV/0!</v>
      </c>
      <c r="T78" s="84"/>
      <c r="U78" s="84"/>
      <c r="V78" s="84"/>
      <c r="W78" s="84"/>
      <c r="X78" s="85"/>
      <c r="Y78" s="68"/>
      <c r="Z78" s="68"/>
    </row>
    <row r="79" spans="1:26" ht="12.75" collapsed="1" x14ac:dyDescent="0.2">
      <c r="A79" s="111">
        <f t="shared" si="24"/>
        <v>0</v>
      </c>
      <c r="B79" s="206" t="s">
        <v>100</v>
      </c>
      <c r="C79" s="299"/>
      <c r="D79" s="208">
        <f t="shared" ref="D79:F79" si="25">SUM(D62:D77)</f>
        <v>4385.119999999999</v>
      </c>
      <c r="E79" s="209">
        <f t="shared" si="25"/>
        <v>55</v>
      </c>
      <c r="F79" s="209">
        <f t="shared" si="25"/>
        <v>57</v>
      </c>
      <c r="G79" s="210">
        <f t="shared" si="0"/>
        <v>0.96491228070175439</v>
      </c>
      <c r="H79" s="211">
        <f t="shared" si="1"/>
        <v>79.72945454545453</v>
      </c>
      <c r="I79" s="212">
        <f t="shared" si="2"/>
        <v>82.628707438016519</v>
      </c>
      <c r="J79" s="213">
        <f>SUM(J62:J78)</f>
        <v>555.41999999999996</v>
      </c>
      <c r="K79" s="296">
        <f>SUM(K62:K77)</f>
        <v>314642</v>
      </c>
      <c r="L79" s="209">
        <f t="shared" ref="L79:M79" si="26">SUM(L62:L78)</f>
        <v>14</v>
      </c>
      <c r="M79" s="208">
        <f t="shared" si="26"/>
        <v>913.49</v>
      </c>
      <c r="N79" s="214">
        <f t="shared" si="3"/>
        <v>0.60801979222542113</v>
      </c>
      <c r="O79" s="215">
        <f t="shared" si="4"/>
        <v>1.6446833027258652</v>
      </c>
      <c r="P79" s="214">
        <f t="shared" si="5"/>
        <v>0.12666015981318643</v>
      </c>
      <c r="Q79" s="216">
        <f t="shared" si="6"/>
        <v>0.20831584996533736</v>
      </c>
      <c r="R79" s="217">
        <f>SUM(R62:R77)</f>
        <v>3471.6299999999997</v>
      </c>
      <c r="S79" s="218">
        <f t="shared" si="8"/>
        <v>39.67285714285714</v>
      </c>
      <c r="T79" s="300">
        <f t="shared" ref="T79:U79" si="27">IFERROR((D79-#REF!)/D79,)</f>
        <v>0</v>
      </c>
      <c r="U79" s="300">
        <f t="shared" si="27"/>
        <v>0</v>
      </c>
      <c r="V79" s="220" t="s">
        <v>139</v>
      </c>
      <c r="W79" s="221" t="s">
        <v>139</v>
      </c>
      <c r="X79" s="68"/>
      <c r="Y79" s="68"/>
      <c r="Z79" s="68"/>
    </row>
    <row r="80" spans="1:26" ht="12.75" hidden="1" outlineLevel="1" x14ac:dyDescent="0.2">
      <c r="A80" s="68"/>
      <c r="B80" s="69">
        <v>45585</v>
      </c>
      <c r="C80" s="70" t="s">
        <v>32</v>
      </c>
      <c r="D80" s="71">
        <v>1007.89</v>
      </c>
      <c r="E80" s="73">
        <v>4</v>
      </c>
      <c r="F80" s="73">
        <v>3</v>
      </c>
      <c r="G80" s="74">
        <f t="shared" si="0"/>
        <v>1.3333333333333333</v>
      </c>
      <c r="H80" s="75">
        <f t="shared" si="1"/>
        <v>251.9725</v>
      </c>
      <c r="I80" s="76">
        <f t="shared" si="2"/>
        <v>188.979375</v>
      </c>
      <c r="J80" s="71">
        <v>78.67</v>
      </c>
      <c r="K80" s="199">
        <v>11254</v>
      </c>
      <c r="L80" s="73">
        <v>2</v>
      </c>
      <c r="M80" s="78">
        <v>109.9</v>
      </c>
      <c r="N80" s="79">
        <f t="shared" si="3"/>
        <v>0.71583257506824383</v>
      </c>
      <c r="O80" s="80">
        <f t="shared" si="4"/>
        <v>1.3969747044616754</v>
      </c>
      <c r="P80" s="79">
        <f t="shared" si="5"/>
        <v>7.8054152734921473E-2</v>
      </c>
      <c r="Q80" s="81">
        <f t="shared" si="6"/>
        <v>0.1090396769488734</v>
      </c>
      <c r="R80" s="82">
        <f t="shared" ref="R80:R96" si="28">D80-M80</f>
        <v>897.99</v>
      </c>
      <c r="S80" s="83">
        <f t="shared" si="8"/>
        <v>39.335000000000001</v>
      </c>
      <c r="T80" s="84"/>
      <c r="U80" s="84"/>
      <c r="V80" s="84"/>
      <c r="W80" s="84"/>
      <c r="X80" s="85"/>
      <c r="Y80" s="68"/>
      <c r="Z80" s="68"/>
    </row>
    <row r="81" spans="1:26" ht="12.75" hidden="1" outlineLevel="1" x14ac:dyDescent="0.2">
      <c r="A81" s="68"/>
      <c r="B81" s="86"/>
      <c r="C81" s="70" t="s">
        <v>33</v>
      </c>
      <c r="D81" s="87">
        <v>1644.35</v>
      </c>
      <c r="E81" s="73">
        <v>14</v>
      </c>
      <c r="F81" s="73">
        <v>14</v>
      </c>
      <c r="G81" s="74">
        <f t="shared" si="0"/>
        <v>1</v>
      </c>
      <c r="H81" s="75">
        <f t="shared" si="1"/>
        <v>117.45357142857142</v>
      </c>
      <c r="I81" s="76">
        <f t="shared" si="2"/>
        <v>117.45357142857142</v>
      </c>
      <c r="J81" s="87">
        <v>5</v>
      </c>
      <c r="K81" s="199">
        <v>936</v>
      </c>
      <c r="L81" s="73">
        <v>0</v>
      </c>
      <c r="M81" s="88">
        <v>0</v>
      </c>
      <c r="N81" s="79" t="e">
        <f t="shared" si="3"/>
        <v>#DIV/0!</v>
      </c>
      <c r="O81" s="80">
        <f t="shared" si="4"/>
        <v>0</v>
      </c>
      <c r="P81" s="79">
        <f t="shared" si="5"/>
        <v>3.0407151762094444E-3</v>
      </c>
      <c r="Q81" s="81">
        <f t="shared" si="6"/>
        <v>0</v>
      </c>
      <c r="R81" s="89">
        <f t="shared" si="28"/>
        <v>1644.35</v>
      </c>
      <c r="S81" s="83" t="e">
        <f t="shared" si="8"/>
        <v>#DIV/0!</v>
      </c>
      <c r="T81" s="84"/>
      <c r="U81" s="84"/>
      <c r="V81" s="84"/>
      <c r="W81" s="84"/>
      <c r="X81" s="85"/>
      <c r="Y81" s="68"/>
      <c r="Z81" s="68"/>
    </row>
    <row r="82" spans="1:26" ht="12.75" hidden="1" outlineLevel="1" x14ac:dyDescent="0.2">
      <c r="A82" s="68"/>
      <c r="B82" s="86"/>
      <c r="C82" s="70" t="s">
        <v>34</v>
      </c>
      <c r="D82" s="90">
        <v>0</v>
      </c>
      <c r="E82" s="73">
        <v>0</v>
      </c>
      <c r="F82" s="73">
        <v>0</v>
      </c>
      <c r="G82" s="74" t="e">
        <f t="shared" si="0"/>
        <v>#DIV/0!</v>
      </c>
      <c r="H82" s="75" t="e">
        <f t="shared" si="1"/>
        <v>#DIV/0!</v>
      </c>
      <c r="I82" s="76" t="e">
        <f t="shared" si="2"/>
        <v>#DIV/0!</v>
      </c>
      <c r="J82" s="90">
        <v>0</v>
      </c>
      <c r="K82" s="199">
        <v>0</v>
      </c>
      <c r="L82" s="73">
        <v>0</v>
      </c>
      <c r="M82" s="91">
        <v>0</v>
      </c>
      <c r="N82" s="79" t="e">
        <f t="shared" si="3"/>
        <v>#DIV/0!</v>
      </c>
      <c r="O82" s="80" t="e">
        <f t="shared" si="4"/>
        <v>#DIV/0!</v>
      </c>
      <c r="P82" s="79" t="e">
        <f t="shared" si="5"/>
        <v>#DIV/0!</v>
      </c>
      <c r="Q82" s="81" t="e">
        <f t="shared" si="6"/>
        <v>#DIV/0!</v>
      </c>
      <c r="R82" s="92">
        <f t="shared" si="28"/>
        <v>0</v>
      </c>
      <c r="S82" s="83" t="e">
        <f t="shared" si="8"/>
        <v>#DIV/0!</v>
      </c>
      <c r="T82" s="84"/>
      <c r="U82" s="84"/>
      <c r="V82" s="84"/>
      <c r="W82" s="84"/>
      <c r="X82" s="85"/>
      <c r="Y82" s="68"/>
      <c r="Z82" s="68"/>
    </row>
    <row r="83" spans="1:26" ht="12.75" hidden="1" outlineLevel="1" x14ac:dyDescent="0.2">
      <c r="A83" s="68"/>
      <c r="B83" s="86"/>
      <c r="C83" s="70" t="s">
        <v>35</v>
      </c>
      <c r="D83" s="90">
        <v>839.3</v>
      </c>
      <c r="E83" s="73">
        <v>14</v>
      </c>
      <c r="F83" s="73">
        <v>11</v>
      </c>
      <c r="G83" s="74">
        <f t="shared" si="0"/>
        <v>1.2727272727272727</v>
      </c>
      <c r="H83" s="75">
        <f t="shared" si="1"/>
        <v>59.949999999999996</v>
      </c>
      <c r="I83" s="76">
        <f t="shared" si="2"/>
        <v>47.103571428571428</v>
      </c>
      <c r="J83" s="90">
        <v>104.64</v>
      </c>
      <c r="K83" s="199">
        <v>7815</v>
      </c>
      <c r="L83" s="73">
        <v>10</v>
      </c>
      <c r="M83" s="91">
        <v>599.5</v>
      </c>
      <c r="N83" s="79">
        <f t="shared" si="3"/>
        <v>0.17454545454545456</v>
      </c>
      <c r="O83" s="80">
        <f t="shared" si="4"/>
        <v>5.729166666666667</v>
      </c>
      <c r="P83" s="79">
        <f t="shared" si="5"/>
        <v>0.12467532467532469</v>
      </c>
      <c r="Q83" s="81">
        <f t="shared" si="6"/>
        <v>0.7142857142857143</v>
      </c>
      <c r="R83" s="92">
        <f t="shared" si="28"/>
        <v>239.79999999999995</v>
      </c>
      <c r="S83" s="83">
        <f t="shared" si="8"/>
        <v>10.464</v>
      </c>
      <c r="T83" s="84"/>
      <c r="U83" s="84"/>
      <c r="V83" s="84"/>
      <c r="W83" s="84"/>
      <c r="X83" s="85"/>
      <c r="Y83" s="68"/>
      <c r="Z83" s="68"/>
    </row>
    <row r="84" spans="1:26" ht="12.75" hidden="1" outlineLevel="1" x14ac:dyDescent="0.2">
      <c r="A84" s="68"/>
      <c r="B84" s="86"/>
      <c r="C84" s="70" t="s">
        <v>62</v>
      </c>
      <c r="D84" s="200">
        <v>0</v>
      </c>
      <c r="E84" s="73">
        <v>0</v>
      </c>
      <c r="F84" s="73">
        <v>0</v>
      </c>
      <c r="G84" s="74" t="e">
        <f t="shared" si="0"/>
        <v>#DIV/0!</v>
      </c>
      <c r="H84" s="75" t="e">
        <f t="shared" si="1"/>
        <v>#DIV/0!</v>
      </c>
      <c r="I84" s="76" t="e">
        <f t="shared" si="2"/>
        <v>#DIV/0!</v>
      </c>
      <c r="J84" s="200">
        <v>0</v>
      </c>
      <c r="K84" s="199">
        <v>0</v>
      </c>
      <c r="L84" s="73">
        <v>0</v>
      </c>
      <c r="M84" s="200">
        <v>0</v>
      </c>
      <c r="N84" s="79" t="e">
        <f t="shared" si="3"/>
        <v>#DIV/0!</v>
      </c>
      <c r="O84" s="80" t="e">
        <f t="shared" si="4"/>
        <v>#DIV/0!</v>
      </c>
      <c r="P84" s="79" t="e">
        <f t="shared" si="5"/>
        <v>#DIV/0!</v>
      </c>
      <c r="Q84" s="81" t="e">
        <f t="shared" si="6"/>
        <v>#DIV/0!</v>
      </c>
      <c r="R84" s="92">
        <f t="shared" si="28"/>
        <v>0</v>
      </c>
      <c r="S84" s="83" t="e">
        <f t="shared" si="8"/>
        <v>#DIV/0!</v>
      </c>
      <c r="T84" s="84"/>
      <c r="U84" s="84"/>
      <c r="V84" s="84"/>
      <c r="W84" s="84"/>
      <c r="X84" s="85"/>
      <c r="Y84" s="68"/>
      <c r="Z84" s="68"/>
    </row>
    <row r="85" spans="1:26" ht="12.75" hidden="1" outlineLevel="1" x14ac:dyDescent="0.2">
      <c r="A85" s="68"/>
      <c r="B85" s="86"/>
      <c r="C85" s="70" t="s">
        <v>66</v>
      </c>
      <c r="D85" s="201">
        <v>0</v>
      </c>
      <c r="E85" s="73">
        <v>0</v>
      </c>
      <c r="F85" s="73">
        <v>0</v>
      </c>
      <c r="G85" s="74" t="e">
        <f t="shared" si="0"/>
        <v>#DIV/0!</v>
      </c>
      <c r="H85" s="75" t="e">
        <f t="shared" si="1"/>
        <v>#DIV/0!</v>
      </c>
      <c r="I85" s="76" t="e">
        <f t="shared" si="2"/>
        <v>#DIV/0!</v>
      </c>
      <c r="J85" s="201">
        <v>30.78</v>
      </c>
      <c r="K85" s="199">
        <v>0</v>
      </c>
      <c r="L85" s="73">
        <v>0</v>
      </c>
      <c r="M85" s="202">
        <v>0</v>
      </c>
      <c r="N85" s="79" t="e">
        <f t="shared" si="3"/>
        <v>#DIV/0!</v>
      </c>
      <c r="O85" s="80">
        <f t="shared" si="4"/>
        <v>0</v>
      </c>
      <c r="P85" s="79" t="e">
        <f t="shared" si="5"/>
        <v>#DIV/0!</v>
      </c>
      <c r="Q85" s="81" t="e">
        <f t="shared" si="6"/>
        <v>#DIV/0!</v>
      </c>
      <c r="R85" s="203">
        <f t="shared" si="28"/>
        <v>0</v>
      </c>
      <c r="S85" s="83" t="e">
        <f t="shared" si="8"/>
        <v>#DIV/0!</v>
      </c>
      <c r="T85" s="84"/>
      <c r="U85" s="84"/>
      <c r="V85" s="84"/>
      <c r="W85" s="84"/>
      <c r="X85" s="85"/>
      <c r="Y85" s="68"/>
      <c r="Z85" s="68"/>
    </row>
    <row r="86" spans="1:26" ht="12.75" hidden="1" outlineLevel="1" x14ac:dyDescent="0.2">
      <c r="A86" s="68"/>
      <c r="B86" s="86"/>
      <c r="C86" s="70" t="s">
        <v>36</v>
      </c>
      <c r="D86" s="90">
        <v>489.88</v>
      </c>
      <c r="E86" s="73">
        <v>8</v>
      </c>
      <c r="F86" s="73">
        <v>7</v>
      </c>
      <c r="G86" s="74">
        <f t="shared" si="0"/>
        <v>1.1428571428571428</v>
      </c>
      <c r="H86" s="75">
        <f t="shared" si="1"/>
        <v>61.234999999999999</v>
      </c>
      <c r="I86" s="76">
        <f t="shared" si="2"/>
        <v>53.580625000000005</v>
      </c>
      <c r="J86" s="90">
        <v>16.170000000000002</v>
      </c>
      <c r="K86" s="199">
        <v>14312</v>
      </c>
      <c r="L86" s="73">
        <v>2</v>
      </c>
      <c r="M86" s="91">
        <v>139.9</v>
      </c>
      <c r="N86" s="79">
        <f t="shared" si="3"/>
        <v>0.11558255897069336</v>
      </c>
      <c r="O86" s="80">
        <f t="shared" si="4"/>
        <v>8.6518243661100804</v>
      </c>
      <c r="P86" s="79">
        <f t="shared" si="5"/>
        <v>3.3008083612313222E-2</v>
      </c>
      <c r="Q86" s="81">
        <f t="shared" si="6"/>
        <v>0.28558014207561039</v>
      </c>
      <c r="R86" s="92">
        <f t="shared" si="28"/>
        <v>349.98</v>
      </c>
      <c r="S86" s="83">
        <f t="shared" si="8"/>
        <v>8.0850000000000009</v>
      </c>
      <c r="T86" s="84"/>
      <c r="U86" s="84"/>
      <c r="V86" s="84"/>
      <c r="W86" s="84"/>
      <c r="X86" s="85"/>
      <c r="Y86" s="68"/>
      <c r="Z86" s="68"/>
    </row>
    <row r="87" spans="1:26" ht="12.75" hidden="1" outlineLevel="1" x14ac:dyDescent="0.2">
      <c r="A87" s="68"/>
      <c r="B87" s="69" t="s">
        <v>37</v>
      </c>
      <c r="C87" s="70" t="s">
        <v>38</v>
      </c>
      <c r="D87" s="93">
        <v>24.95</v>
      </c>
      <c r="E87" s="73">
        <v>1</v>
      </c>
      <c r="F87" s="73">
        <v>1</v>
      </c>
      <c r="G87" s="74">
        <f t="shared" si="0"/>
        <v>1</v>
      </c>
      <c r="H87" s="75">
        <f t="shared" si="1"/>
        <v>24.95</v>
      </c>
      <c r="I87" s="76">
        <f t="shared" si="2"/>
        <v>24.95</v>
      </c>
      <c r="J87" s="93">
        <v>6.47</v>
      </c>
      <c r="K87" s="199">
        <v>2898</v>
      </c>
      <c r="L87" s="73">
        <v>1</v>
      </c>
      <c r="M87" s="94">
        <v>24.95</v>
      </c>
      <c r="N87" s="79">
        <f t="shared" si="3"/>
        <v>0.25931863727454907</v>
      </c>
      <c r="O87" s="80">
        <f t="shared" si="4"/>
        <v>3.8562596599690879</v>
      </c>
      <c r="P87" s="79">
        <f t="shared" si="5"/>
        <v>0.25931863727454907</v>
      </c>
      <c r="Q87" s="81">
        <f t="shared" si="6"/>
        <v>1</v>
      </c>
      <c r="R87" s="95">
        <f t="shared" si="28"/>
        <v>0</v>
      </c>
      <c r="S87" s="83">
        <f t="shared" si="8"/>
        <v>6.47</v>
      </c>
      <c r="T87" s="84"/>
      <c r="U87" s="84"/>
      <c r="V87" s="84"/>
      <c r="W87" s="84"/>
      <c r="X87" s="85"/>
      <c r="Y87" s="68"/>
      <c r="Z87" s="68"/>
    </row>
    <row r="88" spans="1:26" ht="12.75" hidden="1" outlineLevel="1" x14ac:dyDescent="0.2">
      <c r="A88" s="68"/>
      <c r="B88" s="86"/>
      <c r="C88" s="70" t="s">
        <v>39</v>
      </c>
      <c r="D88" s="96">
        <v>263.95</v>
      </c>
      <c r="E88" s="73">
        <v>2</v>
      </c>
      <c r="F88" s="73">
        <v>2</v>
      </c>
      <c r="G88" s="74">
        <f t="shared" si="0"/>
        <v>1</v>
      </c>
      <c r="H88" s="75">
        <f t="shared" si="1"/>
        <v>131.97499999999999</v>
      </c>
      <c r="I88" s="76">
        <f t="shared" si="2"/>
        <v>131.97499999999999</v>
      </c>
      <c r="J88" s="96">
        <v>88.43</v>
      </c>
      <c r="K88" s="199">
        <v>2279</v>
      </c>
      <c r="L88" s="73">
        <v>1</v>
      </c>
      <c r="M88" s="97">
        <v>99.95</v>
      </c>
      <c r="N88" s="79">
        <f t="shared" si="3"/>
        <v>0.88474237118559285</v>
      </c>
      <c r="O88" s="80">
        <f t="shared" si="4"/>
        <v>1.1302725319461722</v>
      </c>
      <c r="P88" s="79">
        <f t="shared" si="5"/>
        <v>0.3350255730251942</v>
      </c>
      <c r="Q88" s="81">
        <f t="shared" si="6"/>
        <v>0.37867020268990342</v>
      </c>
      <c r="R88" s="98">
        <f t="shared" si="28"/>
        <v>164</v>
      </c>
      <c r="S88" s="83">
        <f t="shared" si="8"/>
        <v>88.43</v>
      </c>
      <c r="T88" s="84"/>
      <c r="U88" s="84"/>
      <c r="V88" s="84"/>
      <c r="W88" s="84"/>
      <c r="X88" s="85"/>
      <c r="Y88" s="68"/>
      <c r="Z88" s="68"/>
    </row>
    <row r="89" spans="1:26" ht="12.75" hidden="1" outlineLevel="1" x14ac:dyDescent="0.2">
      <c r="A89" s="68"/>
      <c r="B89" s="86"/>
      <c r="C89" s="70" t="s">
        <v>40</v>
      </c>
      <c r="D89" s="99">
        <v>0</v>
      </c>
      <c r="E89" s="73">
        <v>0</v>
      </c>
      <c r="F89" s="73">
        <v>0</v>
      </c>
      <c r="G89" s="74" t="e">
        <f t="shared" si="0"/>
        <v>#DIV/0!</v>
      </c>
      <c r="H89" s="75" t="e">
        <f t="shared" si="1"/>
        <v>#DIV/0!</v>
      </c>
      <c r="I89" s="76" t="e">
        <f t="shared" si="2"/>
        <v>#DIV/0!</v>
      </c>
      <c r="J89" s="99">
        <v>0</v>
      </c>
      <c r="K89" s="199">
        <v>169671</v>
      </c>
      <c r="L89" s="73">
        <v>0</v>
      </c>
      <c r="M89" s="100">
        <v>0</v>
      </c>
      <c r="N89" s="79" t="e">
        <f t="shared" si="3"/>
        <v>#DIV/0!</v>
      </c>
      <c r="O89" s="80" t="e">
        <f t="shared" si="4"/>
        <v>#DIV/0!</v>
      </c>
      <c r="P89" s="79" t="e">
        <f t="shared" si="5"/>
        <v>#DIV/0!</v>
      </c>
      <c r="Q89" s="81" t="e">
        <f t="shared" si="6"/>
        <v>#DIV/0!</v>
      </c>
      <c r="R89" s="101">
        <f t="shared" si="28"/>
        <v>0</v>
      </c>
      <c r="S89" s="83" t="e">
        <f t="shared" si="8"/>
        <v>#DIV/0!</v>
      </c>
      <c r="T89" s="84"/>
      <c r="U89" s="84"/>
      <c r="V89" s="84"/>
      <c r="W89" s="84"/>
      <c r="X89" s="85"/>
      <c r="Y89" s="68"/>
      <c r="Z89" s="68"/>
    </row>
    <row r="90" spans="1:26" ht="12.75" hidden="1" outlineLevel="1" x14ac:dyDescent="0.2">
      <c r="A90" s="68"/>
      <c r="B90" s="86"/>
      <c r="C90" s="70" t="s">
        <v>41</v>
      </c>
      <c r="D90" s="102">
        <v>2096.83</v>
      </c>
      <c r="E90" s="73">
        <v>20</v>
      </c>
      <c r="F90" s="73">
        <v>17</v>
      </c>
      <c r="G90" s="74">
        <f t="shared" si="0"/>
        <v>1.1764705882352942</v>
      </c>
      <c r="H90" s="75">
        <f t="shared" si="1"/>
        <v>104.8415</v>
      </c>
      <c r="I90" s="76">
        <f t="shared" si="2"/>
        <v>89.115274999999997</v>
      </c>
      <c r="J90" s="102">
        <v>13.26</v>
      </c>
      <c r="K90" s="199">
        <v>0</v>
      </c>
      <c r="L90" s="73">
        <v>3</v>
      </c>
      <c r="M90" s="103">
        <v>366.7</v>
      </c>
      <c r="N90" s="79">
        <f t="shared" si="3"/>
        <v>3.6160349059176436E-2</v>
      </c>
      <c r="O90" s="80">
        <f t="shared" si="4"/>
        <v>27.654600301659126</v>
      </c>
      <c r="P90" s="79">
        <f t="shared" si="5"/>
        <v>6.3238316887873599E-3</v>
      </c>
      <c r="Q90" s="81">
        <f t="shared" si="6"/>
        <v>0.17488303772838046</v>
      </c>
      <c r="R90" s="104">
        <f t="shared" si="28"/>
        <v>1730.1299999999999</v>
      </c>
      <c r="S90" s="83">
        <f t="shared" si="8"/>
        <v>4.42</v>
      </c>
      <c r="T90" s="84"/>
      <c r="U90" s="84"/>
      <c r="V90" s="84"/>
      <c r="W90" s="84"/>
      <c r="X90" s="85"/>
      <c r="Y90" s="68"/>
      <c r="Z90" s="68"/>
    </row>
    <row r="91" spans="1:26" ht="12.75" hidden="1" outlineLevel="1" x14ac:dyDescent="0.2">
      <c r="A91" s="68"/>
      <c r="B91" s="86"/>
      <c r="C91" s="70" t="s">
        <v>42</v>
      </c>
      <c r="D91" s="90">
        <v>0</v>
      </c>
      <c r="E91" s="73">
        <v>0</v>
      </c>
      <c r="F91" s="73">
        <v>0</v>
      </c>
      <c r="G91" s="74" t="e">
        <f t="shared" si="0"/>
        <v>#DIV/0!</v>
      </c>
      <c r="H91" s="75" t="e">
        <f t="shared" si="1"/>
        <v>#DIV/0!</v>
      </c>
      <c r="I91" s="76" t="e">
        <f t="shared" si="2"/>
        <v>#DIV/0!</v>
      </c>
      <c r="J91" s="90">
        <v>0</v>
      </c>
      <c r="K91" s="199">
        <v>6681</v>
      </c>
      <c r="L91" s="73">
        <v>0</v>
      </c>
      <c r="M91" s="91">
        <v>0</v>
      </c>
      <c r="N91" s="79" t="e">
        <f t="shared" si="3"/>
        <v>#DIV/0!</v>
      </c>
      <c r="O91" s="80" t="e">
        <f t="shared" si="4"/>
        <v>#DIV/0!</v>
      </c>
      <c r="P91" s="79" t="e">
        <f t="shared" si="5"/>
        <v>#DIV/0!</v>
      </c>
      <c r="Q91" s="81" t="e">
        <f t="shared" si="6"/>
        <v>#DIV/0!</v>
      </c>
      <c r="R91" s="92">
        <f t="shared" si="28"/>
        <v>0</v>
      </c>
      <c r="S91" s="83" t="e">
        <f t="shared" si="8"/>
        <v>#DIV/0!</v>
      </c>
      <c r="T91" s="84"/>
      <c r="U91" s="84"/>
      <c r="V91" s="84"/>
      <c r="W91" s="84"/>
      <c r="X91" s="85"/>
      <c r="Y91" s="68"/>
      <c r="Z91" s="68"/>
    </row>
    <row r="92" spans="1:26" ht="12.75" hidden="1" outlineLevel="1" x14ac:dyDescent="0.2">
      <c r="A92" s="68"/>
      <c r="B92" s="86"/>
      <c r="C92" s="70" t="s">
        <v>43</v>
      </c>
      <c r="D92" s="105">
        <v>0</v>
      </c>
      <c r="E92" s="73">
        <v>0</v>
      </c>
      <c r="F92" s="73">
        <v>0</v>
      </c>
      <c r="G92" s="74" t="e">
        <f t="shared" si="0"/>
        <v>#DIV/0!</v>
      </c>
      <c r="H92" s="75" t="e">
        <f t="shared" si="1"/>
        <v>#DIV/0!</v>
      </c>
      <c r="I92" s="76" t="e">
        <f t="shared" si="2"/>
        <v>#DIV/0!</v>
      </c>
      <c r="J92" s="105">
        <v>0</v>
      </c>
      <c r="K92" s="199">
        <v>0</v>
      </c>
      <c r="L92" s="73">
        <v>0</v>
      </c>
      <c r="M92" s="106">
        <v>0</v>
      </c>
      <c r="N92" s="79" t="e">
        <f t="shared" si="3"/>
        <v>#DIV/0!</v>
      </c>
      <c r="O92" s="80" t="e">
        <f t="shared" si="4"/>
        <v>#DIV/0!</v>
      </c>
      <c r="P92" s="79" t="e">
        <f t="shared" si="5"/>
        <v>#DIV/0!</v>
      </c>
      <c r="Q92" s="81" t="e">
        <f t="shared" si="6"/>
        <v>#DIV/0!</v>
      </c>
      <c r="R92" s="107">
        <f t="shared" si="28"/>
        <v>0</v>
      </c>
      <c r="S92" s="83" t="e">
        <f t="shared" si="8"/>
        <v>#DIV/0!</v>
      </c>
      <c r="T92" s="84"/>
      <c r="U92" s="84"/>
      <c r="V92" s="84"/>
      <c r="W92" s="84"/>
      <c r="X92" s="85"/>
      <c r="Y92" s="68"/>
      <c r="Z92" s="68"/>
    </row>
    <row r="93" spans="1:26" ht="12.75" hidden="1" outlineLevel="1" x14ac:dyDescent="0.2">
      <c r="A93" s="68"/>
      <c r="B93" s="86"/>
      <c r="C93" s="70" t="s">
        <v>44</v>
      </c>
      <c r="D93" s="108">
        <v>179.85</v>
      </c>
      <c r="E93" s="73">
        <v>3</v>
      </c>
      <c r="F93" s="73">
        <v>3</v>
      </c>
      <c r="G93" s="74">
        <f t="shared" si="0"/>
        <v>1</v>
      </c>
      <c r="H93" s="75">
        <f t="shared" si="1"/>
        <v>59.949999999999996</v>
      </c>
      <c r="I93" s="76">
        <f t="shared" si="2"/>
        <v>59.949999999999996</v>
      </c>
      <c r="J93" s="108">
        <v>0</v>
      </c>
      <c r="K93" s="199">
        <v>611</v>
      </c>
      <c r="L93" s="73">
        <v>0</v>
      </c>
      <c r="M93" s="109">
        <v>0</v>
      </c>
      <c r="N93" s="79" t="e">
        <f t="shared" si="3"/>
        <v>#DIV/0!</v>
      </c>
      <c r="O93" s="80" t="e">
        <f t="shared" si="4"/>
        <v>#DIV/0!</v>
      </c>
      <c r="P93" s="79">
        <f t="shared" si="5"/>
        <v>0</v>
      </c>
      <c r="Q93" s="81">
        <f t="shared" si="6"/>
        <v>0</v>
      </c>
      <c r="R93" s="110">
        <f t="shared" si="28"/>
        <v>179.85</v>
      </c>
      <c r="S93" s="83" t="e">
        <f t="shared" si="8"/>
        <v>#DIV/0!</v>
      </c>
      <c r="T93" s="84"/>
      <c r="U93" s="84"/>
      <c r="V93" s="84"/>
      <c r="W93" s="84"/>
      <c r="X93" s="85"/>
      <c r="Y93" s="68"/>
      <c r="Z93" s="68"/>
    </row>
    <row r="94" spans="1:26" ht="12.75" hidden="1" outlineLevel="1" x14ac:dyDescent="0.2">
      <c r="A94" s="111"/>
      <c r="B94" s="86"/>
      <c r="C94" s="112" t="s">
        <v>45</v>
      </c>
      <c r="D94" s="71">
        <v>0</v>
      </c>
      <c r="E94" s="73">
        <v>0</v>
      </c>
      <c r="F94" s="73">
        <v>0</v>
      </c>
      <c r="G94" s="74" t="e">
        <f t="shared" si="0"/>
        <v>#DIV/0!</v>
      </c>
      <c r="H94" s="75" t="e">
        <f t="shared" si="1"/>
        <v>#DIV/0!</v>
      </c>
      <c r="I94" s="76" t="e">
        <f t="shared" si="2"/>
        <v>#DIV/0!</v>
      </c>
      <c r="J94" s="71">
        <v>0</v>
      </c>
      <c r="K94" s="199">
        <v>0</v>
      </c>
      <c r="L94" s="73">
        <v>0</v>
      </c>
      <c r="M94" s="78">
        <v>0</v>
      </c>
      <c r="N94" s="79" t="e">
        <f t="shared" si="3"/>
        <v>#DIV/0!</v>
      </c>
      <c r="O94" s="80" t="e">
        <f t="shared" si="4"/>
        <v>#DIV/0!</v>
      </c>
      <c r="P94" s="79" t="e">
        <f t="shared" si="5"/>
        <v>#DIV/0!</v>
      </c>
      <c r="Q94" s="81" t="e">
        <f t="shared" si="6"/>
        <v>#DIV/0!</v>
      </c>
      <c r="R94" s="82">
        <f t="shared" si="28"/>
        <v>0</v>
      </c>
      <c r="S94" s="83" t="e">
        <f t="shared" si="8"/>
        <v>#DIV/0!</v>
      </c>
      <c r="T94" s="113"/>
      <c r="U94" s="113"/>
      <c r="V94" s="113"/>
      <c r="W94" s="114"/>
      <c r="X94" s="115"/>
      <c r="Y94" s="68"/>
      <c r="Z94" s="68"/>
    </row>
    <row r="95" spans="1:26" ht="12.75" hidden="1" outlineLevel="1" x14ac:dyDescent="0.2">
      <c r="A95" s="118"/>
      <c r="B95" s="69"/>
      <c r="C95" s="70" t="s">
        <v>46</v>
      </c>
      <c r="D95" s="116">
        <v>319.60000000000002</v>
      </c>
      <c r="E95" s="73">
        <v>8</v>
      </c>
      <c r="F95" s="73">
        <v>9</v>
      </c>
      <c r="G95" s="74">
        <f t="shared" si="0"/>
        <v>0.88888888888888884</v>
      </c>
      <c r="H95" s="75">
        <f t="shared" si="1"/>
        <v>39.950000000000003</v>
      </c>
      <c r="I95" s="76">
        <f t="shared" si="2"/>
        <v>44.943750000000009</v>
      </c>
      <c r="J95" s="116">
        <v>34.479999999999997</v>
      </c>
      <c r="K95" s="199">
        <v>29173</v>
      </c>
      <c r="L95" s="73">
        <v>3</v>
      </c>
      <c r="M95" s="117">
        <v>119.85</v>
      </c>
      <c r="N95" s="79">
        <f t="shared" si="3"/>
        <v>0.28769294952023361</v>
      </c>
      <c r="O95" s="80">
        <f t="shared" si="4"/>
        <v>3.4759280742459397</v>
      </c>
      <c r="P95" s="79">
        <f t="shared" si="5"/>
        <v>0.10788485607008759</v>
      </c>
      <c r="Q95" s="81">
        <f t="shared" si="6"/>
        <v>0.37499999999999994</v>
      </c>
      <c r="R95" s="82">
        <f t="shared" si="28"/>
        <v>199.75000000000003</v>
      </c>
      <c r="S95" s="83">
        <f t="shared" si="8"/>
        <v>11.493333333333332</v>
      </c>
      <c r="T95" s="84"/>
      <c r="U95" s="84"/>
      <c r="V95" s="84"/>
      <c r="W95" s="84"/>
      <c r="X95" s="85"/>
      <c r="Y95" s="68"/>
      <c r="Z95" s="68"/>
    </row>
    <row r="96" spans="1:26" ht="12.75" hidden="1" outlineLevel="1" x14ac:dyDescent="0.2">
      <c r="A96" s="118" t="str">
        <f t="shared" ref="A96:A97" si="29">IFERROR(IF(B96&gt;0,MONTH(B96)&amp;"-"&amp;YEAR(B96),B96),)</f>
        <v>10-2024</v>
      </c>
      <c r="B96" s="69">
        <v>45591</v>
      </c>
      <c r="C96" s="148" t="s">
        <v>49</v>
      </c>
      <c r="D96" s="116">
        <v>0</v>
      </c>
      <c r="E96" s="73">
        <v>0</v>
      </c>
      <c r="F96" s="73">
        <v>0</v>
      </c>
      <c r="G96" s="74" t="e">
        <f t="shared" si="0"/>
        <v>#DIV/0!</v>
      </c>
      <c r="H96" s="75" t="e">
        <f t="shared" si="1"/>
        <v>#DIV/0!</v>
      </c>
      <c r="I96" s="76" t="e">
        <f t="shared" si="2"/>
        <v>#DIV/0!</v>
      </c>
      <c r="J96" s="116">
        <v>0</v>
      </c>
      <c r="K96" s="199">
        <v>0</v>
      </c>
      <c r="L96" s="73">
        <v>0</v>
      </c>
      <c r="M96" s="117">
        <v>0</v>
      </c>
      <c r="N96" s="79" t="e">
        <f t="shared" si="3"/>
        <v>#DIV/0!</v>
      </c>
      <c r="O96" s="80" t="e">
        <f t="shared" si="4"/>
        <v>#DIV/0!</v>
      </c>
      <c r="P96" s="79" t="e">
        <f t="shared" si="5"/>
        <v>#DIV/0!</v>
      </c>
      <c r="Q96" s="81" t="e">
        <f t="shared" si="6"/>
        <v>#DIV/0!</v>
      </c>
      <c r="R96" s="82">
        <f t="shared" si="28"/>
        <v>0</v>
      </c>
      <c r="S96" s="83" t="e">
        <f t="shared" si="8"/>
        <v>#DIV/0!</v>
      </c>
      <c r="T96" s="84"/>
      <c r="U96" s="84"/>
      <c r="V96" s="84"/>
      <c r="W96" s="84"/>
      <c r="X96" s="85"/>
      <c r="Y96" s="68"/>
      <c r="Z96" s="68"/>
    </row>
    <row r="97" spans="1:26" ht="12.75" collapsed="1" x14ac:dyDescent="0.2">
      <c r="A97" s="111">
        <f t="shared" si="29"/>
        <v>0</v>
      </c>
      <c r="B97" s="206" t="s">
        <v>101</v>
      </c>
      <c r="C97" s="299"/>
      <c r="D97" s="208">
        <f t="shared" ref="D97:F97" si="30">SUM(D80:D95)</f>
        <v>6866.6</v>
      </c>
      <c r="E97" s="209">
        <f t="shared" si="30"/>
        <v>74</v>
      </c>
      <c r="F97" s="209">
        <f t="shared" si="30"/>
        <v>67</v>
      </c>
      <c r="G97" s="210">
        <f t="shared" si="0"/>
        <v>1.1044776119402986</v>
      </c>
      <c r="H97" s="211">
        <f t="shared" si="1"/>
        <v>92.791891891891893</v>
      </c>
      <c r="I97" s="212">
        <f t="shared" si="2"/>
        <v>84.014280496712928</v>
      </c>
      <c r="J97" s="213">
        <f>SUM(J80:J96)</f>
        <v>377.9</v>
      </c>
      <c r="K97" s="296">
        <f>SUM(K80:K95)</f>
        <v>245630</v>
      </c>
      <c r="L97" s="209">
        <f t="shared" ref="L97:M97" si="31">SUM(L80:L96)</f>
        <v>22</v>
      </c>
      <c r="M97" s="208">
        <f t="shared" si="31"/>
        <v>1460.75</v>
      </c>
      <c r="N97" s="214">
        <f t="shared" si="3"/>
        <v>0.25870272120486049</v>
      </c>
      <c r="O97" s="215">
        <f t="shared" si="4"/>
        <v>3.8654405927494047</v>
      </c>
      <c r="P97" s="214">
        <f t="shared" si="5"/>
        <v>5.5034514898202887E-2</v>
      </c>
      <c r="Q97" s="216">
        <f t="shared" si="6"/>
        <v>0.21273264788978533</v>
      </c>
      <c r="R97" s="217">
        <f>SUM(R80:R95)</f>
        <v>5405.85</v>
      </c>
      <c r="S97" s="218">
        <f t="shared" si="8"/>
        <v>17.177272727272726</v>
      </c>
      <c r="T97" s="300">
        <f t="shared" ref="T97:U97" si="32">IFERROR((D97-#REF!)/D97,)</f>
        <v>0</v>
      </c>
      <c r="U97" s="300">
        <f t="shared" si="32"/>
        <v>0</v>
      </c>
      <c r="V97" s="220" t="s">
        <v>139</v>
      </c>
      <c r="W97" s="221" t="s">
        <v>139</v>
      </c>
      <c r="X97" s="68"/>
      <c r="Y97" s="68"/>
      <c r="Z97" s="68"/>
    </row>
    <row r="98" spans="1:26" ht="12.75" hidden="1" outlineLevel="1" x14ac:dyDescent="0.2">
      <c r="A98" s="68"/>
      <c r="B98" s="69">
        <v>45592</v>
      </c>
      <c r="C98" s="70" t="s">
        <v>32</v>
      </c>
      <c r="D98" s="71">
        <v>2135.9</v>
      </c>
      <c r="E98" s="73">
        <v>6</v>
      </c>
      <c r="F98" s="73">
        <v>5</v>
      </c>
      <c r="G98" s="74">
        <f t="shared" si="0"/>
        <v>1.2</v>
      </c>
      <c r="H98" s="75">
        <f t="shared" si="1"/>
        <v>355.98333333333335</v>
      </c>
      <c r="I98" s="76">
        <f t="shared" si="2"/>
        <v>296.65277777777783</v>
      </c>
      <c r="J98" s="71">
        <v>109.16</v>
      </c>
      <c r="K98" s="199">
        <v>13239</v>
      </c>
      <c r="L98" s="73">
        <v>3</v>
      </c>
      <c r="M98" s="78">
        <v>1557</v>
      </c>
      <c r="N98" s="79">
        <f t="shared" si="3"/>
        <v>7.0109184328837504E-2</v>
      </c>
      <c r="O98" s="80">
        <f t="shared" si="4"/>
        <v>14.263466471234885</v>
      </c>
      <c r="P98" s="79">
        <f t="shared" si="5"/>
        <v>5.1107261575916468E-2</v>
      </c>
      <c r="Q98" s="81">
        <f t="shared" si="6"/>
        <v>0.72896671192471552</v>
      </c>
      <c r="R98" s="82">
        <f t="shared" ref="R98:R114" si="33">D98-M98</f>
        <v>578.90000000000009</v>
      </c>
      <c r="S98" s="83">
        <f t="shared" si="8"/>
        <v>36.386666666666663</v>
      </c>
      <c r="T98" s="84"/>
      <c r="U98" s="84"/>
      <c r="V98" s="84"/>
      <c r="W98" s="84"/>
      <c r="X98" s="85"/>
      <c r="Y98" s="68"/>
      <c r="Z98" s="68"/>
    </row>
    <row r="99" spans="1:26" ht="12.75" hidden="1" outlineLevel="1" x14ac:dyDescent="0.2">
      <c r="A99" s="68"/>
      <c r="B99" s="86"/>
      <c r="C99" s="70" t="s">
        <v>33</v>
      </c>
      <c r="D99" s="87">
        <v>2231.5500000000002</v>
      </c>
      <c r="E99" s="73">
        <v>33</v>
      </c>
      <c r="F99" s="73">
        <v>15</v>
      </c>
      <c r="G99" s="74">
        <f t="shared" si="0"/>
        <v>2.2000000000000002</v>
      </c>
      <c r="H99" s="75">
        <f t="shared" si="1"/>
        <v>67.622727272727275</v>
      </c>
      <c r="I99" s="76">
        <f t="shared" si="2"/>
        <v>30.737603305785122</v>
      </c>
      <c r="J99" s="87">
        <v>0</v>
      </c>
      <c r="K99" s="199">
        <v>581</v>
      </c>
      <c r="L99" s="73">
        <v>0</v>
      </c>
      <c r="M99" s="88">
        <v>0</v>
      </c>
      <c r="N99" s="79" t="e">
        <f t="shared" si="3"/>
        <v>#DIV/0!</v>
      </c>
      <c r="O99" s="80" t="e">
        <f t="shared" si="4"/>
        <v>#DIV/0!</v>
      </c>
      <c r="P99" s="79">
        <f t="shared" si="5"/>
        <v>0</v>
      </c>
      <c r="Q99" s="81">
        <f t="shared" si="6"/>
        <v>0</v>
      </c>
      <c r="R99" s="89">
        <f t="shared" si="33"/>
        <v>2231.5500000000002</v>
      </c>
      <c r="S99" s="83" t="e">
        <f t="shared" si="8"/>
        <v>#DIV/0!</v>
      </c>
      <c r="T99" s="84"/>
      <c r="U99" s="84"/>
      <c r="V99" s="84"/>
      <c r="W99" s="84"/>
      <c r="X99" s="85"/>
      <c r="Y99" s="68"/>
      <c r="Z99" s="68"/>
    </row>
    <row r="100" spans="1:26" ht="12.75" hidden="1" outlineLevel="1" x14ac:dyDescent="0.2">
      <c r="A100" s="68"/>
      <c r="B100" s="86"/>
      <c r="C100" s="70" t="s">
        <v>34</v>
      </c>
      <c r="D100" s="90">
        <v>0</v>
      </c>
      <c r="E100" s="73">
        <v>0</v>
      </c>
      <c r="F100" s="73">
        <v>0</v>
      </c>
      <c r="G100" s="74" t="e">
        <f t="shared" si="0"/>
        <v>#DIV/0!</v>
      </c>
      <c r="H100" s="75" t="e">
        <f t="shared" si="1"/>
        <v>#DIV/0!</v>
      </c>
      <c r="I100" s="76" t="e">
        <f t="shared" si="2"/>
        <v>#DIV/0!</v>
      </c>
      <c r="J100" s="90">
        <v>0</v>
      </c>
      <c r="K100" s="199">
        <v>0</v>
      </c>
      <c r="L100" s="73">
        <v>0</v>
      </c>
      <c r="M100" s="91">
        <v>0</v>
      </c>
      <c r="N100" s="79" t="e">
        <f t="shared" si="3"/>
        <v>#DIV/0!</v>
      </c>
      <c r="O100" s="80" t="e">
        <f t="shared" si="4"/>
        <v>#DIV/0!</v>
      </c>
      <c r="P100" s="79" t="e">
        <f t="shared" si="5"/>
        <v>#DIV/0!</v>
      </c>
      <c r="Q100" s="81" t="e">
        <f t="shared" si="6"/>
        <v>#DIV/0!</v>
      </c>
      <c r="R100" s="92">
        <f t="shared" si="33"/>
        <v>0</v>
      </c>
      <c r="S100" s="83" t="e">
        <f t="shared" si="8"/>
        <v>#DIV/0!</v>
      </c>
      <c r="T100" s="84"/>
      <c r="U100" s="84"/>
      <c r="V100" s="84"/>
      <c r="W100" s="84"/>
      <c r="X100" s="85"/>
      <c r="Y100" s="68"/>
      <c r="Z100" s="68"/>
    </row>
    <row r="101" spans="1:26" ht="12.75" hidden="1" outlineLevel="1" x14ac:dyDescent="0.2">
      <c r="A101" s="68"/>
      <c r="B101" s="86"/>
      <c r="C101" s="70" t="s">
        <v>35</v>
      </c>
      <c r="D101" s="90">
        <v>299.75</v>
      </c>
      <c r="E101" s="73">
        <v>5</v>
      </c>
      <c r="F101" s="73">
        <v>5</v>
      </c>
      <c r="G101" s="74">
        <f t="shared" si="0"/>
        <v>1</v>
      </c>
      <c r="H101" s="75">
        <f t="shared" si="1"/>
        <v>59.95</v>
      </c>
      <c r="I101" s="76">
        <f t="shared" si="2"/>
        <v>59.95</v>
      </c>
      <c r="J101" s="90">
        <v>100.59</v>
      </c>
      <c r="K101" s="199">
        <v>8112</v>
      </c>
      <c r="L101" s="73">
        <v>5</v>
      </c>
      <c r="M101" s="91">
        <v>299.75</v>
      </c>
      <c r="N101" s="79">
        <f t="shared" si="3"/>
        <v>0.33557964970809007</v>
      </c>
      <c r="O101" s="80">
        <f t="shared" si="4"/>
        <v>2.979918480962322</v>
      </c>
      <c r="P101" s="79">
        <f t="shared" si="5"/>
        <v>0.33557964970809007</v>
      </c>
      <c r="Q101" s="81">
        <f t="shared" si="6"/>
        <v>1</v>
      </c>
      <c r="R101" s="92">
        <f t="shared" si="33"/>
        <v>0</v>
      </c>
      <c r="S101" s="83">
        <f t="shared" si="8"/>
        <v>20.118000000000002</v>
      </c>
      <c r="T101" s="84"/>
      <c r="U101" s="84"/>
      <c r="V101" s="84"/>
      <c r="W101" s="84"/>
      <c r="X101" s="85"/>
      <c r="Y101" s="68"/>
      <c r="Z101" s="68"/>
    </row>
    <row r="102" spans="1:26" ht="12.75" hidden="1" outlineLevel="1" x14ac:dyDescent="0.2">
      <c r="A102" s="68"/>
      <c r="B102" s="86"/>
      <c r="C102" s="70" t="s">
        <v>62</v>
      </c>
      <c r="D102" s="200">
        <v>108</v>
      </c>
      <c r="E102" s="73">
        <v>3</v>
      </c>
      <c r="F102" s="73">
        <v>2</v>
      </c>
      <c r="G102" s="74">
        <f t="shared" si="0"/>
        <v>1.5</v>
      </c>
      <c r="H102" s="75">
        <f t="shared" si="1"/>
        <v>36</v>
      </c>
      <c r="I102" s="76">
        <f t="shared" si="2"/>
        <v>24</v>
      </c>
      <c r="J102" s="200">
        <v>0</v>
      </c>
      <c r="K102" s="199">
        <v>0</v>
      </c>
      <c r="L102" s="73">
        <v>0</v>
      </c>
      <c r="M102" s="200">
        <v>0</v>
      </c>
      <c r="N102" s="79" t="e">
        <f t="shared" si="3"/>
        <v>#DIV/0!</v>
      </c>
      <c r="O102" s="80" t="e">
        <f t="shared" si="4"/>
        <v>#DIV/0!</v>
      </c>
      <c r="P102" s="79">
        <f t="shared" si="5"/>
        <v>0</v>
      </c>
      <c r="Q102" s="81">
        <f t="shared" si="6"/>
        <v>0</v>
      </c>
      <c r="R102" s="92">
        <f t="shared" si="33"/>
        <v>108</v>
      </c>
      <c r="S102" s="83" t="e">
        <f t="shared" si="8"/>
        <v>#DIV/0!</v>
      </c>
      <c r="T102" s="84"/>
      <c r="U102" s="84"/>
      <c r="V102" s="84"/>
      <c r="W102" s="84"/>
      <c r="X102" s="85"/>
      <c r="Y102" s="68"/>
      <c r="Z102" s="68"/>
    </row>
    <row r="103" spans="1:26" ht="12.75" hidden="1" outlineLevel="1" x14ac:dyDescent="0.2">
      <c r="A103" s="68"/>
      <c r="B103" s="86"/>
      <c r="C103" s="70" t="s">
        <v>66</v>
      </c>
      <c r="D103" s="201">
        <v>301.69</v>
      </c>
      <c r="E103" s="73">
        <v>5</v>
      </c>
      <c r="F103" s="73">
        <v>4</v>
      </c>
      <c r="G103" s="74">
        <f t="shared" si="0"/>
        <v>1.25</v>
      </c>
      <c r="H103" s="75">
        <f t="shared" si="1"/>
        <v>60.338000000000001</v>
      </c>
      <c r="I103" s="76">
        <f t="shared" si="2"/>
        <v>48.270400000000002</v>
      </c>
      <c r="J103" s="201">
        <v>21.31</v>
      </c>
      <c r="K103" s="199">
        <v>0</v>
      </c>
      <c r="L103" s="73">
        <v>2</v>
      </c>
      <c r="M103" s="202">
        <v>119.98</v>
      </c>
      <c r="N103" s="79">
        <f t="shared" si="3"/>
        <v>0.1776129354892482</v>
      </c>
      <c r="O103" s="80">
        <f t="shared" si="4"/>
        <v>5.6302205537306431</v>
      </c>
      <c r="P103" s="79">
        <f t="shared" si="5"/>
        <v>7.0635420464715437E-2</v>
      </c>
      <c r="Q103" s="81">
        <f t="shared" si="6"/>
        <v>0.39769299612184694</v>
      </c>
      <c r="R103" s="203">
        <f t="shared" si="33"/>
        <v>181.70999999999998</v>
      </c>
      <c r="S103" s="83">
        <f t="shared" si="8"/>
        <v>10.654999999999999</v>
      </c>
      <c r="T103" s="84"/>
      <c r="U103" s="84"/>
      <c r="V103" s="84"/>
      <c r="W103" s="84"/>
      <c r="X103" s="85"/>
      <c r="Y103" s="68"/>
      <c r="Z103" s="68"/>
    </row>
    <row r="104" spans="1:26" ht="12.75" hidden="1" outlineLevel="1" x14ac:dyDescent="0.2">
      <c r="A104" s="68"/>
      <c r="B104" s="86"/>
      <c r="C104" s="70" t="s">
        <v>36</v>
      </c>
      <c r="D104" s="90">
        <v>689.45</v>
      </c>
      <c r="E104" s="73">
        <v>11</v>
      </c>
      <c r="F104" s="73">
        <v>7</v>
      </c>
      <c r="G104" s="74">
        <f t="shared" si="0"/>
        <v>1.5714285714285714</v>
      </c>
      <c r="H104" s="75">
        <f t="shared" si="1"/>
        <v>62.677272727272729</v>
      </c>
      <c r="I104" s="76">
        <f t="shared" si="2"/>
        <v>39.885537190082644</v>
      </c>
      <c r="J104" s="90">
        <v>18.36</v>
      </c>
      <c r="K104" s="199">
        <v>15764</v>
      </c>
      <c r="L104" s="73">
        <v>2</v>
      </c>
      <c r="M104" s="91">
        <v>129.9</v>
      </c>
      <c r="N104" s="79">
        <f t="shared" si="3"/>
        <v>0.1413394919168591</v>
      </c>
      <c r="O104" s="80">
        <f t="shared" si="4"/>
        <v>7.0751633986928111</v>
      </c>
      <c r="P104" s="79">
        <f t="shared" si="5"/>
        <v>2.6629922401914568E-2</v>
      </c>
      <c r="Q104" s="81">
        <f t="shared" si="6"/>
        <v>0.18841105228805569</v>
      </c>
      <c r="R104" s="92">
        <f t="shared" si="33"/>
        <v>559.55000000000007</v>
      </c>
      <c r="S104" s="83">
        <f t="shared" si="8"/>
        <v>9.18</v>
      </c>
      <c r="T104" s="84"/>
      <c r="U104" s="84"/>
      <c r="V104" s="84"/>
      <c r="W104" s="84"/>
      <c r="X104" s="85"/>
      <c r="Y104" s="68"/>
      <c r="Z104" s="68"/>
    </row>
    <row r="105" spans="1:26" ht="12.75" hidden="1" outlineLevel="1" x14ac:dyDescent="0.2">
      <c r="A105" s="68"/>
      <c r="B105" s="69" t="s">
        <v>37</v>
      </c>
      <c r="C105" s="70" t="s">
        <v>38</v>
      </c>
      <c r="D105" s="93">
        <v>32.950000000000003</v>
      </c>
      <c r="E105" s="73">
        <v>1</v>
      </c>
      <c r="F105" s="73">
        <v>1</v>
      </c>
      <c r="G105" s="74">
        <f t="shared" si="0"/>
        <v>1</v>
      </c>
      <c r="H105" s="75">
        <f t="shared" si="1"/>
        <v>32.950000000000003</v>
      </c>
      <c r="I105" s="76">
        <f t="shared" si="2"/>
        <v>32.950000000000003</v>
      </c>
      <c r="J105" s="93">
        <v>5.31</v>
      </c>
      <c r="K105" s="199">
        <v>3631</v>
      </c>
      <c r="L105" s="73">
        <v>1</v>
      </c>
      <c r="M105" s="94">
        <v>32.950000000000003</v>
      </c>
      <c r="N105" s="79">
        <f t="shared" si="3"/>
        <v>0.16115326251896811</v>
      </c>
      <c r="O105" s="80">
        <f t="shared" si="4"/>
        <v>6.2052730696798504</v>
      </c>
      <c r="P105" s="79">
        <f t="shared" si="5"/>
        <v>0.16115326251896811</v>
      </c>
      <c r="Q105" s="81">
        <f t="shared" si="6"/>
        <v>1</v>
      </c>
      <c r="R105" s="95">
        <f t="shared" si="33"/>
        <v>0</v>
      </c>
      <c r="S105" s="83">
        <f t="shared" si="8"/>
        <v>5.31</v>
      </c>
      <c r="T105" s="84"/>
      <c r="U105" s="84"/>
      <c r="V105" s="84"/>
      <c r="W105" s="84"/>
      <c r="X105" s="85"/>
      <c r="Y105" s="68"/>
      <c r="Z105" s="68"/>
    </row>
    <row r="106" spans="1:26" ht="12.75" hidden="1" outlineLevel="1" x14ac:dyDescent="0.2">
      <c r="A106" s="68"/>
      <c r="B106" s="86"/>
      <c r="C106" s="70" t="s">
        <v>39</v>
      </c>
      <c r="D106" s="96">
        <v>99.95</v>
      </c>
      <c r="E106" s="73">
        <v>1</v>
      </c>
      <c r="F106" s="73">
        <v>1</v>
      </c>
      <c r="G106" s="74">
        <f t="shared" si="0"/>
        <v>1</v>
      </c>
      <c r="H106" s="75">
        <f t="shared" si="1"/>
        <v>99.95</v>
      </c>
      <c r="I106" s="76">
        <f t="shared" si="2"/>
        <v>99.95</v>
      </c>
      <c r="J106" s="96">
        <v>9.35</v>
      </c>
      <c r="K106" s="199">
        <v>2765</v>
      </c>
      <c r="L106" s="73">
        <v>1</v>
      </c>
      <c r="M106" s="97">
        <v>99.95</v>
      </c>
      <c r="N106" s="79">
        <f t="shared" si="3"/>
        <v>9.3546773386693344E-2</v>
      </c>
      <c r="O106" s="80">
        <f t="shared" si="4"/>
        <v>10.689839572192515</v>
      </c>
      <c r="P106" s="79">
        <f t="shared" si="5"/>
        <v>9.3546773386693344E-2</v>
      </c>
      <c r="Q106" s="81">
        <f t="shared" si="6"/>
        <v>1</v>
      </c>
      <c r="R106" s="98">
        <f t="shared" si="33"/>
        <v>0</v>
      </c>
      <c r="S106" s="83">
        <f t="shared" si="8"/>
        <v>9.35</v>
      </c>
      <c r="T106" s="84"/>
      <c r="U106" s="84"/>
      <c r="V106" s="84"/>
      <c r="W106" s="84"/>
      <c r="X106" s="85"/>
      <c r="Y106" s="68"/>
      <c r="Z106" s="68"/>
    </row>
    <row r="107" spans="1:26" ht="12.75" hidden="1" outlineLevel="1" x14ac:dyDescent="0.2">
      <c r="A107" s="68"/>
      <c r="B107" s="86"/>
      <c r="C107" s="70" t="s">
        <v>40</v>
      </c>
      <c r="D107" s="99">
        <v>0</v>
      </c>
      <c r="E107" s="73">
        <v>0</v>
      </c>
      <c r="F107" s="73">
        <v>0</v>
      </c>
      <c r="G107" s="74" t="e">
        <f t="shared" si="0"/>
        <v>#DIV/0!</v>
      </c>
      <c r="H107" s="75" t="e">
        <f t="shared" si="1"/>
        <v>#DIV/0!</v>
      </c>
      <c r="I107" s="76" t="e">
        <f t="shared" si="2"/>
        <v>#DIV/0!</v>
      </c>
      <c r="J107" s="99">
        <v>0</v>
      </c>
      <c r="K107" s="199">
        <v>165372</v>
      </c>
      <c r="L107" s="73">
        <v>0</v>
      </c>
      <c r="M107" s="100">
        <v>0</v>
      </c>
      <c r="N107" s="79" t="e">
        <f t="shared" si="3"/>
        <v>#DIV/0!</v>
      </c>
      <c r="O107" s="80" t="e">
        <f t="shared" si="4"/>
        <v>#DIV/0!</v>
      </c>
      <c r="P107" s="79" t="e">
        <f t="shared" si="5"/>
        <v>#DIV/0!</v>
      </c>
      <c r="Q107" s="81" t="e">
        <f t="shared" si="6"/>
        <v>#DIV/0!</v>
      </c>
      <c r="R107" s="101">
        <f t="shared" si="33"/>
        <v>0</v>
      </c>
      <c r="S107" s="83" t="e">
        <f t="shared" si="8"/>
        <v>#DIV/0!</v>
      </c>
      <c r="T107" s="84"/>
      <c r="U107" s="84"/>
      <c r="V107" s="84"/>
      <c r="W107" s="84"/>
      <c r="X107" s="85"/>
      <c r="Y107" s="68"/>
      <c r="Z107" s="68"/>
    </row>
    <row r="108" spans="1:26" ht="12.75" hidden="1" outlineLevel="1" x14ac:dyDescent="0.2">
      <c r="A108" s="68"/>
      <c r="B108" s="86"/>
      <c r="C108" s="70" t="s">
        <v>41</v>
      </c>
      <c r="D108" s="102">
        <v>1271.73</v>
      </c>
      <c r="E108" s="73">
        <v>16</v>
      </c>
      <c r="F108" s="73">
        <v>14</v>
      </c>
      <c r="G108" s="74">
        <f t="shared" si="0"/>
        <v>1.1428571428571428</v>
      </c>
      <c r="H108" s="75">
        <f t="shared" si="1"/>
        <v>79.483125000000001</v>
      </c>
      <c r="I108" s="76">
        <f t="shared" si="2"/>
        <v>69.547734375000005</v>
      </c>
      <c r="J108" s="102">
        <v>7.53</v>
      </c>
      <c r="K108" s="199">
        <v>0</v>
      </c>
      <c r="L108" s="73">
        <v>5</v>
      </c>
      <c r="M108" s="103">
        <v>275</v>
      </c>
      <c r="N108" s="79">
        <f t="shared" si="3"/>
        <v>2.7381818181818184E-2</v>
      </c>
      <c r="O108" s="80">
        <f t="shared" si="4"/>
        <v>36.520584329349269</v>
      </c>
      <c r="P108" s="79">
        <f t="shared" si="5"/>
        <v>5.921068151258522E-3</v>
      </c>
      <c r="Q108" s="81">
        <f t="shared" si="6"/>
        <v>0.21624086873786103</v>
      </c>
      <c r="R108" s="104">
        <f t="shared" si="33"/>
        <v>996.73</v>
      </c>
      <c r="S108" s="83">
        <f t="shared" si="8"/>
        <v>1.506</v>
      </c>
      <c r="T108" s="84"/>
      <c r="U108" s="84"/>
      <c r="V108" s="84"/>
      <c r="W108" s="84"/>
      <c r="X108" s="85"/>
      <c r="Y108" s="68"/>
      <c r="Z108" s="68"/>
    </row>
    <row r="109" spans="1:26" ht="12.75" hidden="1" outlineLevel="1" x14ac:dyDescent="0.2">
      <c r="A109" s="68"/>
      <c r="B109" s="86"/>
      <c r="C109" s="70" t="s">
        <v>42</v>
      </c>
      <c r="D109" s="90">
        <v>0</v>
      </c>
      <c r="E109" s="73">
        <v>0</v>
      </c>
      <c r="F109" s="73">
        <v>0</v>
      </c>
      <c r="G109" s="74" t="e">
        <f t="shared" si="0"/>
        <v>#DIV/0!</v>
      </c>
      <c r="H109" s="75" t="e">
        <f t="shared" si="1"/>
        <v>#DIV/0!</v>
      </c>
      <c r="I109" s="76" t="e">
        <f t="shared" si="2"/>
        <v>#DIV/0!</v>
      </c>
      <c r="J109" s="90">
        <v>0</v>
      </c>
      <c r="K109" s="199">
        <v>5673</v>
      </c>
      <c r="L109" s="73">
        <v>0</v>
      </c>
      <c r="M109" s="91">
        <v>0</v>
      </c>
      <c r="N109" s="79" t="e">
        <f t="shared" si="3"/>
        <v>#DIV/0!</v>
      </c>
      <c r="O109" s="80" t="e">
        <f t="shared" si="4"/>
        <v>#DIV/0!</v>
      </c>
      <c r="P109" s="79" t="e">
        <f t="shared" si="5"/>
        <v>#DIV/0!</v>
      </c>
      <c r="Q109" s="81" t="e">
        <f t="shared" si="6"/>
        <v>#DIV/0!</v>
      </c>
      <c r="R109" s="92">
        <f t="shared" si="33"/>
        <v>0</v>
      </c>
      <c r="S109" s="83" t="e">
        <f t="shared" si="8"/>
        <v>#DIV/0!</v>
      </c>
      <c r="T109" s="84"/>
      <c r="U109" s="84"/>
      <c r="V109" s="84"/>
      <c r="W109" s="84"/>
      <c r="X109" s="85"/>
      <c r="Y109" s="68"/>
      <c r="Z109" s="68"/>
    </row>
    <row r="110" spans="1:26" ht="12.75" hidden="1" outlineLevel="1" x14ac:dyDescent="0.2">
      <c r="A110" s="68"/>
      <c r="B110" s="86"/>
      <c r="C110" s="70" t="s">
        <v>43</v>
      </c>
      <c r="D110" s="105">
        <v>195</v>
      </c>
      <c r="E110" s="73">
        <v>1</v>
      </c>
      <c r="F110" s="73">
        <v>1</v>
      </c>
      <c r="G110" s="74">
        <f t="shared" si="0"/>
        <v>1</v>
      </c>
      <c r="H110" s="75">
        <f t="shared" si="1"/>
        <v>195</v>
      </c>
      <c r="I110" s="76">
        <f t="shared" si="2"/>
        <v>195</v>
      </c>
      <c r="J110" s="105">
        <v>0</v>
      </c>
      <c r="K110" s="199">
        <v>0</v>
      </c>
      <c r="L110" s="73">
        <v>0</v>
      </c>
      <c r="M110" s="106">
        <v>0</v>
      </c>
      <c r="N110" s="79" t="e">
        <f t="shared" si="3"/>
        <v>#DIV/0!</v>
      </c>
      <c r="O110" s="80" t="e">
        <f t="shared" si="4"/>
        <v>#DIV/0!</v>
      </c>
      <c r="P110" s="79">
        <f t="shared" si="5"/>
        <v>0</v>
      </c>
      <c r="Q110" s="81">
        <f t="shared" si="6"/>
        <v>0</v>
      </c>
      <c r="R110" s="107">
        <f t="shared" si="33"/>
        <v>195</v>
      </c>
      <c r="S110" s="83" t="e">
        <f t="shared" si="8"/>
        <v>#DIV/0!</v>
      </c>
      <c r="T110" s="84"/>
      <c r="U110" s="84"/>
      <c r="V110" s="84"/>
      <c r="W110" s="84"/>
      <c r="X110" s="85"/>
      <c r="Y110" s="68"/>
      <c r="Z110" s="68"/>
    </row>
    <row r="111" spans="1:26" ht="12.75" hidden="1" outlineLevel="1" x14ac:dyDescent="0.2">
      <c r="A111" s="68"/>
      <c r="B111" s="86"/>
      <c r="C111" s="70" t="s">
        <v>44</v>
      </c>
      <c r="D111" s="108">
        <v>0</v>
      </c>
      <c r="E111" s="73">
        <v>0</v>
      </c>
      <c r="F111" s="73">
        <v>1</v>
      </c>
      <c r="G111" s="74">
        <f t="shared" si="0"/>
        <v>0</v>
      </c>
      <c r="H111" s="75" t="e">
        <f t="shared" si="1"/>
        <v>#DIV/0!</v>
      </c>
      <c r="I111" s="76" t="e">
        <f t="shared" si="2"/>
        <v>#DIV/0!</v>
      </c>
      <c r="J111" s="108">
        <v>0.8</v>
      </c>
      <c r="K111" s="199">
        <v>663</v>
      </c>
      <c r="L111" s="73">
        <v>0</v>
      </c>
      <c r="M111" s="109">
        <v>0</v>
      </c>
      <c r="N111" s="79" t="e">
        <f t="shared" si="3"/>
        <v>#DIV/0!</v>
      </c>
      <c r="O111" s="80">
        <f t="shared" si="4"/>
        <v>0</v>
      </c>
      <c r="P111" s="79" t="e">
        <f t="shared" si="5"/>
        <v>#DIV/0!</v>
      </c>
      <c r="Q111" s="81" t="e">
        <f t="shared" si="6"/>
        <v>#DIV/0!</v>
      </c>
      <c r="R111" s="110">
        <f t="shared" si="33"/>
        <v>0</v>
      </c>
      <c r="S111" s="83" t="e">
        <f t="shared" si="8"/>
        <v>#DIV/0!</v>
      </c>
      <c r="T111" s="84"/>
      <c r="U111" s="84"/>
      <c r="V111" s="84"/>
      <c r="W111" s="84"/>
      <c r="X111" s="85"/>
      <c r="Y111" s="68"/>
      <c r="Z111" s="68"/>
    </row>
    <row r="112" spans="1:26" ht="12.75" hidden="1" outlineLevel="1" x14ac:dyDescent="0.2">
      <c r="A112" s="111"/>
      <c r="B112" s="86"/>
      <c r="C112" s="112" t="s">
        <v>45</v>
      </c>
      <c r="D112" s="71">
        <v>19.95</v>
      </c>
      <c r="E112" s="73">
        <v>1</v>
      </c>
      <c r="F112" s="73">
        <v>1</v>
      </c>
      <c r="G112" s="74">
        <f t="shared" si="0"/>
        <v>1</v>
      </c>
      <c r="H112" s="75">
        <f t="shared" si="1"/>
        <v>19.95</v>
      </c>
      <c r="I112" s="76">
        <f t="shared" si="2"/>
        <v>19.95</v>
      </c>
      <c r="J112" s="71">
        <v>0</v>
      </c>
      <c r="K112" s="199">
        <v>0</v>
      </c>
      <c r="L112" s="73">
        <v>0</v>
      </c>
      <c r="M112" s="78">
        <v>0</v>
      </c>
      <c r="N112" s="79" t="e">
        <f t="shared" si="3"/>
        <v>#DIV/0!</v>
      </c>
      <c r="O112" s="80" t="e">
        <f t="shared" si="4"/>
        <v>#DIV/0!</v>
      </c>
      <c r="P112" s="79">
        <f t="shared" si="5"/>
        <v>0</v>
      </c>
      <c r="Q112" s="81">
        <f t="shared" si="6"/>
        <v>0</v>
      </c>
      <c r="R112" s="82">
        <f t="shared" si="33"/>
        <v>19.95</v>
      </c>
      <c r="S112" s="83" t="e">
        <f t="shared" si="8"/>
        <v>#DIV/0!</v>
      </c>
      <c r="T112" s="113"/>
      <c r="U112" s="113"/>
      <c r="V112" s="113"/>
      <c r="W112" s="114"/>
      <c r="X112" s="115"/>
      <c r="Y112" s="68"/>
      <c r="Z112" s="68"/>
    </row>
    <row r="113" spans="1:26" ht="12.75" hidden="1" outlineLevel="1" x14ac:dyDescent="0.2">
      <c r="A113" s="118"/>
      <c r="B113" s="69"/>
      <c r="C113" s="70" t="s">
        <v>46</v>
      </c>
      <c r="D113" s="116">
        <v>479.4</v>
      </c>
      <c r="E113" s="73">
        <v>12</v>
      </c>
      <c r="F113" s="73">
        <v>11</v>
      </c>
      <c r="G113" s="74">
        <f t="shared" si="0"/>
        <v>1.0909090909090908</v>
      </c>
      <c r="H113" s="75">
        <f t="shared" si="1"/>
        <v>39.949999999999996</v>
      </c>
      <c r="I113" s="76">
        <f t="shared" si="2"/>
        <v>36.62083333333333</v>
      </c>
      <c r="J113" s="116">
        <v>33.35</v>
      </c>
      <c r="K113" s="199">
        <v>28007</v>
      </c>
      <c r="L113" s="73">
        <v>5</v>
      </c>
      <c r="M113" s="117">
        <v>199.75</v>
      </c>
      <c r="N113" s="79">
        <f t="shared" si="3"/>
        <v>0.1669586983729662</v>
      </c>
      <c r="O113" s="80">
        <f t="shared" si="4"/>
        <v>5.9895052473763117</v>
      </c>
      <c r="P113" s="79">
        <f t="shared" si="5"/>
        <v>6.9566124322069253E-2</v>
      </c>
      <c r="Q113" s="81">
        <f t="shared" si="6"/>
        <v>0.41666666666666669</v>
      </c>
      <c r="R113" s="82">
        <f t="shared" si="33"/>
        <v>279.64999999999998</v>
      </c>
      <c r="S113" s="83">
        <f t="shared" si="8"/>
        <v>6.67</v>
      </c>
      <c r="T113" s="84"/>
      <c r="U113" s="84"/>
      <c r="V113" s="84"/>
      <c r="W113" s="84"/>
      <c r="X113" s="85"/>
      <c r="Y113" s="68"/>
      <c r="Z113" s="68"/>
    </row>
    <row r="114" spans="1:26" ht="12.75" hidden="1" outlineLevel="1" x14ac:dyDescent="0.2">
      <c r="A114" s="118" t="str">
        <f t="shared" ref="A114:A115" si="34">IFERROR(IF(B114&gt;0,MONTH(B114)&amp;"-"&amp;YEAR(B114),B114),)</f>
        <v>11-2024</v>
      </c>
      <c r="B114" s="69">
        <v>45598</v>
      </c>
      <c r="C114" s="148" t="s">
        <v>49</v>
      </c>
      <c r="D114" s="116">
        <v>0</v>
      </c>
      <c r="E114" s="73">
        <v>0</v>
      </c>
      <c r="F114" s="73">
        <v>0</v>
      </c>
      <c r="G114" s="74" t="e">
        <f t="shared" si="0"/>
        <v>#DIV/0!</v>
      </c>
      <c r="H114" s="75" t="e">
        <f t="shared" si="1"/>
        <v>#DIV/0!</v>
      </c>
      <c r="I114" s="76" t="e">
        <f t="shared" si="2"/>
        <v>#DIV/0!</v>
      </c>
      <c r="J114" s="116">
        <v>0</v>
      </c>
      <c r="K114" s="199">
        <v>0</v>
      </c>
      <c r="L114" s="73">
        <v>0</v>
      </c>
      <c r="M114" s="117">
        <v>0</v>
      </c>
      <c r="N114" s="79" t="e">
        <f t="shared" si="3"/>
        <v>#DIV/0!</v>
      </c>
      <c r="O114" s="80" t="e">
        <f t="shared" si="4"/>
        <v>#DIV/0!</v>
      </c>
      <c r="P114" s="79" t="e">
        <f t="shared" si="5"/>
        <v>#DIV/0!</v>
      </c>
      <c r="Q114" s="81" t="e">
        <f t="shared" si="6"/>
        <v>#DIV/0!</v>
      </c>
      <c r="R114" s="82">
        <f t="shared" si="33"/>
        <v>0</v>
      </c>
      <c r="S114" s="83" t="e">
        <f t="shared" si="8"/>
        <v>#DIV/0!</v>
      </c>
      <c r="T114" s="84"/>
      <c r="U114" s="84"/>
      <c r="V114" s="84"/>
      <c r="W114" s="84"/>
      <c r="X114" s="85"/>
      <c r="Y114" s="68"/>
      <c r="Z114" s="68"/>
    </row>
    <row r="115" spans="1:26" ht="12.75" collapsed="1" x14ac:dyDescent="0.2">
      <c r="A115" s="111">
        <f t="shared" si="34"/>
        <v>0</v>
      </c>
      <c r="B115" s="206" t="s">
        <v>102</v>
      </c>
      <c r="C115" s="299"/>
      <c r="D115" s="208">
        <f t="shared" ref="D115:F115" si="35">SUM(D98:D113)</f>
        <v>7865.3199999999988</v>
      </c>
      <c r="E115" s="209">
        <f t="shared" si="35"/>
        <v>95</v>
      </c>
      <c r="F115" s="209">
        <f t="shared" si="35"/>
        <v>68</v>
      </c>
      <c r="G115" s="210">
        <f t="shared" si="0"/>
        <v>1.3970588235294117</v>
      </c>
      <c r="H115" s="211">
        <f t="shared" si="1"/>
        <v>82.792842105263148</v>
      </c>
      <c r="I115" s="212">
        <f t="shared" si="2"/>
        <v>59.262244875346255</v>
      </c>
      <c r="J115" s="213">
        <f>SUM(J98:J114)</f>
        <v>305.76000000000005</v>
      </c>
      <c r="K115" s="296">
        <f>SUM(K98:K113)</f>
        <v>243807</v>
      </c>
      <c r="L115" s="209">
        <f t="shared" ref="L115:M115" si="36">SUM(L98:L114)</f>
        <v>24</v>
      </c>
      <c r="M115" s="208">
        <f t="shared" si="36"/>
        <v>2714.2799999999997</v>
      </c>
      <c r="N115" s="214">
        <f t="shared" si="3"/>
        <v>0.11264865820770152</v>
      </c>
      <c r="O115" s="215">
        <f t="shared" si="4"/>
        <v>8.8771585557299826</v>
      </c>
      <c r="P115" s="214">
        <f t="shared" si="5"/>
        <v>3.8874451389136117E-2</v>
      </c>
      <c r="Q115" s="216">
        <f t="shared" si="6"/>
        <v>0.34509466874837896</v>
      </c>
      <c r="R115" s="217">
        <f>SUM(R98:R113)</f>
        <v>5151.04</v>
      </c>
      <c r="S115" s="218">
        <f t="shared" si="8"/>
        <v>12.740000000000002</v>
      </c>
      <c r="T115" s="300">
        <f t="shared" ref="T115:U115" si="37">IFERROR((D115-#REF!)/D115,)</f>
        <v>0</v>
      </c>
      <c r="U115" s="300">
        <f t="shared" si="37"/>
        <v>0</v>
      </c>
      <c r="V115" s="220" t="s">
        <v>139</v>
      </c>
      <c r="W115" s="221" t="s">
        <v>139</v>
      </c>
      <c r="X115" s="68"/>
      <c r="Y115" s="68"/>
      <c r="Z115" s="68"/>
    </row>
    <row r="116" spans="1:26" ht="12.75" hidden="1" outlineLevel="1" x14ac:dyDescent="0.2">
      <c r="A116" s="68"/>
      <c r="B116" s="69">
        <v>45599</v>
      </c>
      <c r="C116" s="70" t="s">
        <v>32</v>
      </c>
      <c r="D116" s="71">
        <v>3154.45</v>
      </c>
      <c r="E116" s="73">
        <v>10</v>
      </c>
      <c r="F116" s="73">
        <v>7</v>
      </c>
      <c r="G116" s="74">
        <f t="shared" si="0"/>
        <v>1.4285714285714286</v>
      </c>
      <c r="H116" s="75">
        <f t="shared" si="1"/>
        <v>315.44499999999999</v>
      </c>
      <c r="I116" s="76">
        <f t="shared" si="2"/>
        <v>220.8115</v>
      </c>
      <c r="J116" s="71">
        <v>124.7</v>
      </c>
      <c r="K116" s="199">
        <v>17850</v>
      </c>
      <c r="L116" s="73">
        <v>5</v>
      </c>
      <c r="M116" s="78">
        <v>906</v>
      </c>
      <c r="N116" s="79">
        <f t="shared" si="3"/>
        <v>0.13763796909492274</v>
      </c>
      <c r="O116" s="80">
        <f t="shared" si="4"/>
        <v>7.2654370489174012</v>
      </c>
      <c r="P116" s="79">
        <f t="shared" si="5"/>
        <v>3.9531455562776395E-2</v>
      </c>
      <c r="Q116" s="81">
        <f t="shared" si="6"/>
        <v>0.28721330184342758</v>
      </c>
      <c r="R116" s="82">
        <f t="shared" ref="R116:R132" si="38">D116-M116</f>
        <v>2248.4499999999998</v>
      </c>
      <c r="S116" s="83">
        <f t="shared" si="8"/>
        <v>24.94</v>
      </c>
      <c r="T116" s="84"/>
      <c r="U116" s="84"/>
      <c r="V116" s="84"/>
      <c r="W116" s="84"/>
      <c r="X116" s="85"/>
      <c r="Y116" s="68"/>
      <c r="Z116" s="68"/>
    </row>
    <row r="117" spans="1:26" ht="12.75" hidden="1" outlineLevel="1" x14ac:dyDescent="0.2">
      <c r="A117" s="68"/>
      <c r="B117" s="86"/>
      <c r="C117" s="70" t="s">
        <v>33</v>
      </c>
      <c r="D117" s="87">
        <v>1357.67</v>
      </c>
      <c r="E117" s="73">
        <v>14</v>
      </c>
      <c r="F117" s="73">
        <v>13</v>
      </c>
      <c r="G117" s="74">
        <f t="shared" si="0"/>
        <v>1.0769230769230769</v>
      </c>
      <c r="H117" s="75">
        <f t="shared" si="1"/>
        <v>96.976428571428571</v>
      </c>
      <c r="I117" s="76">
        <f t="shared" si="2"/>
        <v>90.049540816326541</v>
      </c>
      <c r="J117" s="87">
        <v>3.02</v>
      </c>
      <c r="K117" s="199">
        <v>2205</v>
      </c>
      <c r="L117" s="73">
        <v>0</v>
      </c>
      <c r="M117" s="88">
        <v>0</v>
      </c>
      <c r="N117" s="79" t="e">
        <f t="shared" si="3"/>
        <v>#DIV/0!</v>
      </c>
      <c r="O117" s="80">
        <f t="shared" si="4"/>
        <v>0</v>
      </c>
      <c r="P117" s="79">
        <f t="shared" si="5"/>
        <v>2.2243991544336986E-3</v>
      </c>
      <c r="Q117" s="81">
        <f t="shared" si="6"/>
        <v>0</v>
      </c>
      <c r="R117" s="89">
        <f t="shared" si="38"/>
        <v>1357.67</v>
      </c>
      <c r="S117" s="83" t="e">
        <f t="shared" si="8"/>
        <v>#DIV/0!</v>
      </c>
      <c r="T117" s="84"/>
      <c r="U117" s="84"/>
      <c r="V117" s="84"/>
      <c r="W117" s="84"/>
      <c r="X117" s="85"/>
      <c r="Y117" s="68"/>
      <c r="Z117" s="68"/>
    </row>
    <row r="118" spans="1:26" ht="12.75" hidden="1" outlineLevel="1" x14ac:dyDescent="0.2">
      <c r="A118" s="68"/>
      <c r="B118" s="86"/>
      <c r="C118" s="70" t="s">
        <v>34</v>
      </c>
      <c r="D118" s="90">
        <v>0</v>
      </c>
      <c r="E118" s="73">
        <v>0</v>
      </c>
      <c r="F118" s="73">
        <v>0</v>
      </c>
      <c r="G118" s="74" t="e">
        <f t="shared" si="0"/>
        <v>#DIV/0!</v>
      </c>
      <c r="H118" s="75" t="e">
        <f t="shared" si="1"/>
        <v>#DIV/0!</v>
      </c>
      <c r="I118" s="76" t="e">
        <f t="shared" si="2"/>
        <v>#DIV/0!</v>
      </c>
      <c r="J118" s="90">
        <v>0</v>
      </c>
      <c r="K118" s="199">
        <v>0</v>
      </c>
      <c r="L118" s="73">
        <v>0</v>
      </c>
      <c r="M118" s="91">
        <v>0</v>
      </c>
      <c r="N118" s="79" t="e">
        <f t="shared" si="3"/>
        <v>#DIV/0!</v>
      </c>
      <c r="O118" s="80" t="e">
        <f t="shared" si="4"/>
        <v>#DIV/0!</v>
      </c>
      <c r="P118" s="79" t="e">
        <f t="shared" si="5"/>
        <v>#DIV/0!</v>
      </c>
      <c r="Q118" s="81" t="e">
        <f t="shared" si="6"/>
        <v>#DIV/0!</v>
      </c>
      <c r="R118" s="92">
        <f t="shared" si="38"/>
        <v>0</v>
      </c>
      <c r="S118" s="83" t="e">
        <f t="shared" si="8"/>
        <v>#DIV/0!</v>
      </c>
      <c r="T118" s="84"/>
      <c r="U118" s="84"/>
      <c r="V118" s="84"/>
      <c r="W118" s="84"/>
      <c r="X118" s="85"/>
      <c r="Y118" s="68"/>
      <c r="Z118" s="68"/>
    </row>
    <row r="119" spans="1:26" ht="12.75" hidden="1" outlineLevel="1" x14ac:dyDescent="0.2">
      <c r="A119" s="68"/>
      <c r="B119" s="86"/>
      <c r="C119" s="70" t="s">
        <v>35</v>
      </c>
      <c r="D119" s="90">
        <v>359.7</v>
      </c>
      <c r="E119" s="73">
        <v>6</v>
      </c>
      <c r="F119" s="73">
        <v>6</v>
      </c>
      <c r="G119" s="74">
        <f t="shared" si="0"/>
        <v>1</v>
      </c>
      <c r="H119" s="75">
        <f t="shared" si="1"/>
        <v>59.949999999999996</v>
      </c>
      <c r="I119" s="76">
        <f t="shared" si="2"/>
        <v>59.949999999999996</v>
      </c>
      <c r="J119" s="90">
        <v>103.24</v>
      </c>
      <c r="K119" s="199">
        <v>7476</v>
      </c>
      <c r="L119" s="73">
        <v>5</v>
      </c>
      <c r="M119" s="91">
        <v>299.75</v>
      </c>
      <c r="N119" s="79">
        <f t="shared" si="3"/>
        <v>0.34442035029190993</v>
      </c>
      <c r="O119" s="80">
        <f t="shared" si="4"/>
        <v>2.9034289035257652</v>
      </c>
      <c r="P119" s="79">
        <f t="shared" si="5"/>
        <v>0.2870169585765916</v>
      </c>
      <c r="Q119" s="81">
        <f t="shared" si="6"/>
        <v>0.83333333333333337</v>
      </c>
      <c r="R119" s="92">
        <f t="shared" si="38"/>
        <v>59.949999999999989</v>
      </c>
      <c r="S119" s="83">
        <f t="shared" si="8"/>
        <v>20.648</v>
      </c>
      <c r="T119" s="84"/>
      <c r="U119" s="84"/>
      <c r="V119" s="84"/>
      <c r="W119" s="84"/>
      <c r="X119" s="85"/>
      <c r="Y119" s="68"/>
      <c r="Z119" s="68"/>
    </row>
    <row r="120" spans="1:26" ht="12.75" hidden="1" outlineLevel="1" x14ac:dyDescent="0.2">
      <c r="A120" s="68"/>
      <c r="B120" s="86"/>
      <c r="C120" s="70" t="s">
        <v>62</v>
      </c>
      <c r="D120" s="200">
        <v>78</v>
      </c>
      <c r="E120" s="73">
        <v>2</v>
      </c>
      <c r="F120" s="73">
        <v>1</v>
      </c>
      <c r="G120" s="74">
        <f t="shared" si="0"/>
        <v>2</v>
      </c>
      <c r="H120" s="75">
        <f t="shared" si="1"/>
        <v>39</v>
      </c>
      <c r="I120" s="76">
        <f t="shared" si="2"/>
        <v>19.5</v>
      </c>
      <c r="J120" s="200">
        <v>0</v>
      </c>
      <c r="K120" s="199">
        <v>0</v>
      </c>
      <c r="L120" s="73">
        <v>0</v>
      </c>
      <c r="M120" s="200">
        <v>0</v>
      </c>
      <c r="N120" s="79" t="e">
        <f t="shared" si="3"/>
        <v>#DIV/0!</v>
      </c>
      <c r="O120" s="80" t="e">
        <f t="shared" si="4"/>
        <v>#DIV/0!</v>
      </c>
      <c r="P120" s="79">
        <f t="shared" si="5"/>
        <v>0</v>
      </c>
      <c r="Q120" s="81">
        <f t="shared" si="6"/>
        <v>0</v>
      </c>
      <c r="R120" s="92">
        <f t="shared" si="38"/>
        <v>78</v>
      </c>
      <c r="S120" s="83" t="e">
        <f t="shared" si="8"/>
        <v>#DIV/0!</v>
      </c>
      <c r="T120" s="84"/>
      <c r="U120" s="84"/>
      <c r="V120" s="84"/>
      <c r="W120" s="84"/>
      <c r="X120" s="85"/>
      <c r="Y120" s="68"/>
      <c r="Z120" s="68"/>
    </row>
    <row r="121" spans="1:26" ht="12.75" hidden="1" outlineLevel="1" x14ac:dyDescent="0.2">
      <c r="A121" s="68"/>
      <c r="B121" s="86"/>
      <c r="C121" s="70" t="s">
        <v>66</v>
      </c>
      <c r="D121" s="201">
        <v>319.79000000000002</v>
      </c>
      <c r="E121" s="73">
        <v>5</v>
      </c>
      <c r="F121" s="73">
        <v>2</v>
      </c>
      <c r="G121" s="74">
        <f t="shared" si="0"/>
        <v>2.5</v>
      </c>
      <c r="H121" s="75">
        <f t="shared" si="1"/>
        <v>63.958000000000006</v>
      </c>
      <c r="I121" s="76">
        <f t="shared" si="2"/>
        <v>25.583200000000001</v>
      </c>
      <c r="J121" s="201">
        <v>36.17</v>
      </c>
      <c r="K121" s="199">
        <v>0</v>
      </c>
      <c r="L121" s="73">
        <v>5</v>
      </c>
      <c r="M121" s="202">
        <v>319.79000000000002</v>
      </c>
      <c r="N121" s="79">
        <f t="shared" si="3"/>
        <v>0.11310547546827605</v>
      </c>
      <c r="O121" s="80">
        <f t="shared" si="4"/>
        <v>8.8413049488526401</v>
      </c>
      <c r="P121" s="79">
        <f t="shared" si="5"/>
        <v>0.11310547546827605</v>
      </c>
      <c r="Q121" s="81">
        <f t="shared" si="6"/>
        <v>1</v>
      </c>
      <c r="R121" s="203">
        <f t="shared" si="38"/>
        <v>0</v>
      </c>
      <c r="S121" s="83">
        <f t="shared" si="8"/>
        <v>7.234</v>
      </c>
      <c r="T121" s="84"/>
      <c r="U121" s="84"/>
      <c r="V121" s="84"/>
      <c r="W121" s="84"/>
      <c r="X121" s="85"/>
      <c r="Y121" s="68"/>
      <c r="Z121" s="68"/>
    </row>
    <row r="122" spans="1:26" ht="12.75" hidden="1" outlineLevel="1" x14ac:dyDescent="0.2">
      <c r="A122" s="68"/>
      <c r="B122" s="86"/>
      <c r="C122" s="70" t="s">
        <v>36</v>
      </c>
      <c r="D122" s="90">
        <v>979.25</v>
      </c>
      <c r="E122" s="73">
        <v>15</v>
      </c>
      <c r="F122" s="73">
        <v>12</v>
      </c>
      <c r="G122" s="74">
        <f t="shared" si="0"/>
        <v>1.25</v>
      </c>
      <c r="H122" s="75">
        <f t="shared" si="1"/>
        <v>65.283333333333331</v>
      </c>
      <c r="I122" s="76">
        <f t="shared" si="2"/>
        <v>52.226666666666667</v>
      </c>
      <c r="J122" s="90">
        <v>30.69</v>
      </c>
      <c r="K122" s="199">
        <v>18530</v>
      </c>
      <c r="L122" s="73">
        <v>2</v>
      </c>
      <c r="M122" s="91">
        <v>139.9</v>
      </c>
      <c r="N122" s="79">
        <f t="shared" si="3"/>
        <v>0.21937097927090779</v>
      </c>
      <c r="O122" s="80">
        <f t="shared" si="4"/>
        <v>4.5584881068752034</v>
      </c>
      <c r="P122" s="79">
        <f t="shared" si="5"/>
        <v>3.134031146285423E-2</v>
      </c>
      <c r="Q122" s="81">
        <f t="shared" si="6"/>
        <v>0.14286443706918561</v>
      </c>
      <c r="R122" s="92">
        <f t="shared" si="38"/>
        <v>839.35</v>
      </c>
      <c r="S122" s="83">
        <f t="shared" si="8"/>
        <v>15.345000000000001</v>
      </c>
      <c r="T122" s="84"/>
      <c r="U122" s="84"/>
      <c r="V122" s="84"/>
      <c r="W122" s="84"/>
      <c r="X122" s="85"/>
      <c r="Y122" s="68"/>
      <c r="Z122" s="68"/>
    </row>
    <row r="123" spans="1:26" ht="12.75" hidden="1" outlineLevel="1" x14ac:dyDescent="0.2">
      <c r="A123" s="68"/>
      <c r="B123" s="69" t="s">
        <v>37</v>
      </c>
      <c r="C123" s="70" t="s">
        <v>38</v>
      </c>
      <c r="D123" s="93">
        <v>211.75</v>
      </c>
      <c r="E123" s="73">
        <v>5</v>
      </c>
      <c r="F123" s="73">
        <v>5</v>
      </c>
      <c r="G123" s="74">
        <f t="shared" si="0"/>
        <v>1</v>
      </c>
      <c r="H123" s="75">
        <f t="shared" si="1"/>
        <v>42.35</v>
      </c>
      <c r="I123" s="76">
        <f t="shared" si="2"/>
        <v>42.35</v>
      </c>
      <c r="J123" s="93">
        <v>8.8800000000000008</v>
      </c>
      <c r="K123" s="199">
        <v>3373</v>
      </c>
      <c r="L123" s="73">
        <v>0</v>
      </c>
      <c r="M123" s="94">
        <v>0</v>
      </c>
      <c r="N123" s="79" t="e">
        <f t="shared" si="3"/>
        <v>#DIV/0!</v>
      </c>
      <c r="O123" s="80">
        <f t="shared" si="4"/>
        <v>0</v>
      </c>
      <c r="P123" s="79">
        <f t="shared" si="5"/>
        <v>4.1936245572609214E-2</v>
      </c>
      <c r="Q123" s="81">
        <f t="shared" si="6"/>
        <v>0</v>
      </c>
      <c r="R123" s="95">
        <f t="shared" si="38"/>
        <v>211.75</v>
      </c>
      <c r="S123" s="83" t="e">
        <f t="shared" si="8"/>
        <v>#DIV/0!</v>
      </c>
      <c r="T123" s="84"/>
      <c r="U123" s="84"/>
      <c r="V123" s="84"/>
      <c r="W123" s="84"/>
      <c r="X123" s="85"/>
      <c r="Y123" s="68"/>
      <c r="Z123" s="68"/>
    </row>
    <row r="124" spans="1:26" ht="12.75" hidden="1" outlineLevel="1" x14ac:dyDescent="0.2">
      <c r="A124" s="68"/>
      <c r="B124" s="86"/>
      <c r="C124" s="70" t="s">
        <v>39</v>
      </c>
      <c r="D124" s="96">
        <v>99.95</v>
      </c>
      <c r="E124" s="73">
        <v>1</v>
      </c>
      <c r="F124" s="73">
        <v>1</v>
      </c>
      <c r="G124" s="74">
        <f t="shared" si="0"/>
        <v>1</v>
      </c>
      <c r="H124" s="75">
        <f t="shared" si="1"/>
        <v>99.95</v>
      </c>
      <c r="I124" s="76">
        <f t="shared" si="2"/>
        <v>99.95</v>
      </c>
      <c r="J124" s="96">
        <v>85.13</v>
      </c>
      <c r="K124" s="199">
        <v>3936</v>
      </c>
      <c r="L124" s="73">
        <v>0</v>
      </c>
      <c r="M124" s="97">
        <v>0</v>
      </c>
      <c r="N124" s="79" t="e">
        <f t="shared" si="3"/>
        <v>#DIV/0!</v>
      </c>
      <c r="O124" s="80">
        <f t="shared" si="4"/>
        <v>0</v>
      </c>
      <c r="P124" s="79">
        <f t="shared" si="5"/>
        <v>0.85172586293146568</v>
      </c>
      <c r="Q124" s="81">
        <f t="shared" si="6"/>
        <v>0</v>
      </c>
      <c r="R124" s="98">
        <f t="shared" si="38"/>
        <v>99.95</v>
      </c>
      <c r="S124" s="83" t="e">
        <f t="shared" si="8"/>
        <v>#DIV/0!</v>
      </c>
      <c r="T124" s="84"/>
      <c r="U124" s="84"/>
      <c r="V124" s="84"/>
      <c r="W124" s="84"/>
      <c r="X124" s="85"/>
      <c r="Y124" s="68"/>
      <c r="Z124" s="68"/>
    </row>
    <row r="125" spans="1:26" ht="12.75" hidden="1" outlineLevel="1" x14ac:dyDescent="0.2">
      <c r="A125" s="68"/>
      <c r="B125" s="86"/>
      <c r="C125" s="70" t="s">
        <v>40</v>
      </c>
      <c r="D125" s="99">
        <v>0</v>
      </c>
      <c r="E125" s="73">
        <v>0</v>
      </c>
      <c r="F125" s="73">
        <v>0</v>
      </c>
      <c r="G125" s="74" t="e">
        <f t="shared" si="0"/>
        <v>#DIV/0!</v>
      </c>
      <c r="H125" s="75" t="e">
        <f t="shared" si="1"/>
        <v>#DIV/0!</v>
      </c>
      <c r="I125" s="76" t="e">
        <f t="shared" si="2"/>
        <v>#DIV/0!</v>
      </c>
      <c r="J125" s="99">
        <v>0</v>
      </c>
      <c r="K125" s="199">
        <v>194007</v>
      </c>
      <c r="L125" s="73">
        <v>0</v>
      </c>
      <c r="M125" s="100">
        <v>0</v>
      </c>
      <c r="N125" s="79" t="e">
        <f t="shared" si="3"/>
        <v>#DIV/0!</v>
      </c>
      <c r="O125" s="80" t="e">
        <f t="shared" si="4"/>
        <v>#DIV/0!</v>
      </c>
      <c r="P125" s="79" t="e">
        <f t="shared" si="5"/>
        <v>#DIV/0!</v>
      </c>
      <c r="Q125" s="81" t="e">
        <f t="shared" si="6"/>
        <v>#DIV/0!</v>
      </c>
      <c r="R125" s="101">
        <f t="shared" si="38"/>
        <v>0</v>
      </c>
      <c r="S125" s="83" t="e">
        <f t="shared" si="8"/>
        <v>#DIV/0!</v>
      </c>
      <c r="T125" s="84"/>
      <c r="U125" s="84"/>
      <c r="V125" s="84"/>
      <c r="W125" s="84"/>
      <c r="X125" s="85"/>
      <c r="Y125" s="68"/>
      <c r="Z125" s="68"/>
    </row>
    <row r="126" spans="1:26" ht="12.75" hidden="1" outlineLevel="1" x14ac:dyDescent="0.2">
      <c r="A126" s="68"/>
      <c r="B126" s="86"/>
      <c r="C126" s="70" t="s">
        <v>41</v>
      </c>
      <c r="D126" s="102">
        <v>1973.8</v>
      </c>
      <c r="E126" s="73">
        <v>21</v>
      </c>
      <c r="F126" s="73">
        <v>20</v>
      </c>
      <c r="G126" s="74">
        <f t="shared" si="0"/>
        <v>1.05</v>
      </c>
      <c r="H126" s="75">
        <f t="shared" si="1"/>
        <v>93.990476190476187</v>
      </c>
      <c r="I126" s="76">
        <f t="shared" si="2"/>
        <v>89.51473922902494</v>
      </c>
      <c r="J126" s="102">
        <v>28.84</v>
      </c>
      <c r="K126" s="199">
        <v>0</v>
      </c>
      <c r="L126" s="73">
        <v>7</v>
      </c>
      <c r="M126" s="103">
        <v>681.55</v>
      </c>
      <c r="N126" s="79">
        <f t="shared" si="3"/>
        <v>4.2315310688870955E-2</v>
      </c>
      <c r="O126" s="80">
        <f t="shared" si="4"/>
        <v>23.632108183079055</v>
      </c>
      <c r="P126" s="79">
        <f t="shared" si="5"/>
        <v>1.4611409463978113E-2</v>
      </c>
      <c r="Q126" s="81">
        <f t="shared" si="6"/>
        <v>0.34529840915999593</v>
      </c>
      <c r="R126" s="104">
        <f t="shared" si="38"/>
        <v>1292.25</v>
      </c>
      <c r="S126" s="83">
        <f t="shared" si="8"/>
        <v>4.12</v>
      </c>
      <c r="T126" s="84"/>
      <c r="U126" s="84"/>
      <c r="V126" s="84"/>
      <c r="W126" s="84"/>
      <c r="X126" s="85"/>
      <c r="Y126" s="68"/>
      <c r="Z126" s="68"/>
    </row>
    <row r="127" spans="1:26" ht="12.75" hidden="1" outlineLevel="1" x14ac:dyDescent="0.2">
      <c r="A127" s="68"/>
      <c r="B127" s="86"/>
      <c r="C127" s="70" t="s">
        <v>42</v>
      </c>
      <c r="D127" s="90">
        <v>0</v>
      </c>
      <c r="E127" s="73">
        <v>0</v>
      </c>
      <c r="F127" s="73">
        <v>0</v>
      </c>
      <c r="G127" s="74" t="e">
        <f t="shared" si="0"/>
        <v>#DIV/0!</v>
      </c>
      <c r="H127" s="75" t="e">
        <f t="shared" si="1"/>
        <v>#DIV/0!</v>
      </c>
      <c r="I127" s="76" t="e">
        <f t="shared" si="2"/>
        <v>#DIV/0!</v>
      </c>
      <c r="J127" s="90">
        <v>0</v>
      </c>
      <c r="K127" s="199">
        <v>7983</v>
      </c>
      <c r="L127" s="73">
        <v>0</v>
      </c>
      <c r="M127" s="91">
        <v>0</v>
      </c>
      <c r="N127" s="79" t="e">
        <f t="shared" si="3"/>
        <v>#DIV/0!</v>
      </c>
      <c r="O127" s="80" t="e">
        <f t="shared" si="4"/>
        <v>#DIV/0!</v>
      </c>
      <c r="P127" s="79" t="e">
        <f t="shared" si="5"/>
        <v>#DIV/0!</v>
      </c>
      <c r="Q127" s="81" t="e">
        <f t="shared" si="6"/>
        <v>#DIV/0!</v>
      </c>
      <c r="R127" s="92">
        <f t="shared" si="38"/>
        <v>0</v>
      </c>
      <c r="S127" s="83" t="e">
        <f t="shared" si="8"/>
        <v>#DIV/0!</v>
      </c>
      <c r="T127" s="84"/>
      <c r="U127" s="84"/>
      <c r="V127" s="84"/>
      <c r="W127" s="84"/>
      <c r="X127" s="85"/>
      <c r="Y127" s="68"/>
      <c r="Z127" s="68"/>
    </row>
    <row r="128" spans="1:26" ht="12.75" hidden="1" outlineLevel="1" x14ac:dyDescent="0.2">
      <c r="A128" s="68"/>
      <c r="B128" s="86"/>
      <c r="C128" s="70" t="s">
        <v>43</v>
      </c>
      <c r="D128" s="105">
        <v>0</v>
      </c>
      <c r="E128" s="73">
        <v>0</v>
      </c>
      <c r="F128" s="73">
        <v>0</v>
      </c>
      <c r="G128" s="74" t="e">
        <f t="shared" si="0"/>
        <v>#DIV/0!</v>
      </c>
      <c r="H128" s="75" t="e">
        <f t="shared" si="1"/>
        <v>#DIV/0!</v>
      </c>
      <c r="I128" s="76" t="e">
        <f t="shared" si="2"/>
        <v>#DIV/0!</v>
      </c>
      <c r="J128" s="105">
        <v>0</v>
      </c>
      <c r="K128" s="199">
        <v>0</v>
      </c>
      <c r="L128" s="73">
        <v>0</v>
      </c>
      <c r="M128" s="106">
        <v>0</v>
      </c>
      <c r="N128" s="79" t="e">
        <f t="shared" si="3"/>
        <v>#DIV/0!</v>
      </c>
      <c r="O128" s="80" t="e">
        <f t="shared" si="4"/>
        <v>#DIV/0!</v>
      </c>
      <c r="P128" s="79" t="e">
        <f t="shared" si="5"/>
        <v>#DIV/0!</v>
      </c>
      <c r="Q128" s="81" t="e">
        <f t="shared" si="6"/>
        <v>#DIV/0!</v>
      </c>
      <c r="R128" s="107">
        <f t="shared" si="38"/>
        <v>0</v>
      </c>
      <c r="S128" s="83" t="e">
        <f t="shared" si="8"/>
        <v>#DIV/0!</v>
      </c>
      <c r="T128" s="84"/>
      <c r="U128" s="84"/>
      <c r="V128" s="84"/>
      <c r="W128" s="84"/>
      <c r="X128" s="85"/>
      <c r="Y128" s="68"/>
      <c r="Z128" s="68"/>
    </row>
    <row r="129" spans="1:26" ht="12.75" hidden="1" outlineLevel="1" x14ac:dyDescent="0.2">
      <c r="A129" s="68"/>
      <c r="B129" s="86"/>
      <c r="C129" s="70" t="s">
        <v>44</v>
      </c>
      <c r="D129" s="108">
        <v>59.95</v>
      </c>
      <c r="E129" s="73">
        <v>1</v>
      </c>
      <c r="F129" s="73">
        <v>1</v>
      </c>
      <c r="G129" s="74">
        <f t="shared" si="0"/>
        <v>1</v>
      </c>
      <c r="H129" s="75">
        <f t="shared" si="1"/>
        <v>59.95</v>
      </c>
      <c r="I129" s="76">
        <f t="shared" si="2"/>
        <v>59.95</v>
      </c>
      <c r="J129" s="108">
        <v>1.58</v>
      </c>
      <c r="K129" s="199">
        <v>692</v>
      </c>
      <c r="L129" s="73">
        <v>0</v>
      </c>
      <c r="M129" s="109">
        <v>0</v>
      </c>
      <c r="N129" s="79" t="e">
        <f t="shared" si="3"/>
        <v>#DIV/0!</v>
      </c>
      <c r="O129" s="80">
        <f t="shared" si="4"/>
        <v>0</v>
      </c>
      <c r="P129" s="79">
        <f t="shared" si="5"/>
        <v>2.6355296080066721E-2</v>
      </c>
      <c r="Q129" s="81">
        <f t="shared" si="6"/>
        <v>0</v>
      </c>
      <c r="R129" s="110">
        <f t="shared" si="38"/>
        <v>59.95</v>
      </c>
      <c r="S129" s="83" t="e">
        <f t="shared" si="8"/>
        <v>#DIV/0!</v>
      </c>
      <c r="T129" s="84"/>
      <c r="U129" s="84"/>
      <c r="V129" s="84"/>
      <c r="W129" s="84"/>
      <c r="X129" s="85"/>
      <c r="Y129" s="68"/>
      <c r="Z129" s="68"/>
    </row>
    <row r="130" spans="1:26" ht="12.75" hidden="1" outlineLevel="1" x14ac:dyDescent="0.2">
      <c r="A130" s="111"/>
      <c r="B130" s="86"/>
      <c r="C130" s="112" t="s">
        <v>45</v>
      </c>
      <c r="D130" s="71">
        <v>39.9</v>
      </c>
      <c r="E130" s="73">
        <v>2</v>
      </c>
      <c r="F130" s="73">
        <v>2</v>
      </c>
      <c r="G130" s="74">
        <f t="shared" si="0"/>
        <v>1</v>
      </c>
      <c r="H130" s="75">
        <f t="shared" si="1"/>
        <v>19.95</v>
      </c>
      <c r="I130" s="76">
        <f t="shared" si="2"/>
        <v>19.95</v>
      </c>
      <c r="J130" s="71">
        <v>0</v>
      </c>
      <c r="K130" s="199">
        <v>0</v>
      </c>
      <c r="L130" s="73">
        <v>0</v>
      </c>
      <c r="M130" s="78">
        <v>0</v>
      </c>
      <c r="N130" s="79" t="e">
        <f t="shared" si="3"/>
        <v>#DIV/0!</v>
      </c>
      <c r="O130" s="80" t="e">
        <f t="shared" si="4"/>
        <v>#DIV/0!</v>
      </c>
      <c r="P130" s="79">
        <f t="shared" si="5"/>
        <v>0</v>
      </c>
      <c r="Q130" s="81">
        <f t="shared" si="6"/>
        <v>0</v>
      </c>
      <c r="R130" s="82">
        <f t="shared" si="38"/>
        <v>39.9</v>
      </c>
      <c r="S130" s="83" t="e">
        <f t="shared" si="8"/>
        <v>#DIV/0!</v>
      </c>
      <c r="T130" s="113"/>
      <c r="U130" s="113"/>
      <c r="V130" s="113"/>
      <c r="W130" s="114"/>
      <c r="X130" s="115"/>
      <c r="Y130" s="68"/>
      <c r="Z130" s="68"/>
    </row>
    <row r="131" spans="1:26" ht="12.75" hidden="1" outlineLevel="1" x14ac:dyDescent="0.2">
      <c r="A131" s="118"/>
      <c r="B131" s="69"/>
      <c r="C131" s="70" t="s">
        <v>46</v>
      </c>
      <c r="D131" s="116">
        <v>431.52</v>
      </c>
      <c r="E131" s="73">
        <v>12</v>
      </c>
      <c r="F131" s="73">
        <v>13</v>
      </c>
      <c r="G131" s="74">
        <f t="shared" si="0"/>
        <v>0.92307692307692313</v>
      </c>
      <c r="H131" s="75">
        <f t="shared" si="1"/>
        <v>35.96</v>
      </c>
      <c r="I131" s="76">
        <f t="shared" si="2"/>
        <v>38.956666666666663</v>
      </c>
      <c r="J131" s="116">
        <v>36.909999999999997</v>
      </c>
      <c r="K131" s="199">
        <v>27910</v>
      </c>
      <c r="L131" s="73">
        <v>10</v>
      </c>
      <c r="M131" s="117">
        <v>323.64</v>
      </c>
      <c r="N131" s="79">
        <f t="shared" si="3"/>
        <v>0.11404647138796192</v>
      </c>
      <c r="O131" s="80">
        <f t="shared" si="4"/>
        <v>8.7683554592251429</v>
      </c>
      <c r="P131" s="79">
        <f t="shared" si="5"/>
        <v>8.5534853540971442E-2</v>
      </c>
      <c r="Q131" s="81">
        <f t="shared" si="6"/>
        <v>0.75</v>
      </c>
      <c r="R131" s="82">
        <f t="shared" si="38"/>
        <v>107.88</v>
      </c>
      <c r="S131" s="83">
        <f t="shared" si="8"/>
        <v>3.6909999999999998</v>
      </c>
      <c r="T131" s="84"/>
      <c r="U131" s="84"/>
      <c r="V131" s="84"/>
      <c r="W131" s="84"/>
      <c r="X131" s="85"/>
      <c r="Y131" s="68"/>
      <c r="Z131" s="68"/>
    </row>
    <row r="132" spans="1:26" ht="12.75" hidden="1" outlineLevel="1" x14ac:dyDescent="0.2">
      <c r="A132" s="118" t="str">
        <f t="shared" ref="A132:A133" si="39">IFERROR(IF(B132&gt;0,MONTH(B132)&amp;"-"&amp;YEAR(B132),B132),)</f>
        <v>11-2024</v>
      </c>
      <c r="B132" s="69">
        <v>45605</v>
      </c>
      <c r="C132" s="148" t="s">
        <v>49</v>
      </c>
      <c r="D132" s="116">
        <v>0</v>
      </c>
      <c r="E132" s="73">
        <v>0</v>
      </c>
      <c r="F132" s="73">
        <v>0</v>
      </c>
      <c r="G132" s="74" t="e">
        <f t="shared" si="0"/>
        <v>#DIV/0!</v>
      </c>
      <c r="H132" s="75" t="e">
        <f t="shared" si="1"/>
        <v>#DIV/0!</v>
      </c>
      <c r="I132" s="76" t="e">
        <f t="shared" si="2"/>
        <v>#DIV/0!</v>
      </c>
      <c r="J132" s="116">
        <v>0</v>
      </c>
      <c r="K132" s="199">
        <v>0</v>
      </c>
      <c r="L132" s="73">
        <v>0</v>
      </c>
      <c r="M132" s="117">
        <v>0</v>
      </c>
      <c r="N132" s="79" t="e">
        <f t="shared" si="3"/>
        <v>#DIV/0!</v>
      </c>
      <c r="O132" s="80" t="e">
        <f t="shared" si="4"/>
        <v>#DIV/0!</v>
      </c>
      <c r="P132" s="79" t="e">
        <f t="shared" si="5"/>
        <v>#DIV/0!</v>
      </c>
      <c r="Q132" s="81" t="e">
        <f t="shared" si="6"/>
        <v>#DIV/0!</v>
      </c>
      <c r="R132" s="82">
        <f t="shared" si="38"/>
        <v>0</v>
      </c>
      <c r="S132" s="83" t="e">
        <f t="shared" si="8"/>
        <v>#DIV/0!</v>
      </c>
      <c r="T132" s="84"/>
      <c r="U132" s="84"/>
      <c r="V132" s="84"/>
      <c r="W132" s="84"/>
      <c r="X132" s="85"/>
      <c r="Y132" s="68"/>
      <c r="Z132" s="68"/>
    </row>
    <row r="133" spans="1:26" ht="12.75" collapsed="1" x14ac:dyDescent="0.2">
      <c r="A133" s="111">
        <f t="shared" si="39"/>
        <v>0</v>
      </c>
      <c r="B133" s="206" t="s">
        <v>103</v>
      </c>
      <c r="C133" s="299"/>
      <c r="D133" s="208">
        <f t="shared" ref="D133:F133" si="40">SUM(D116:D132)</f>
        <v>9065.73</v>
      </c>
      <c r="E133" s="209">
        <f t="shared" si="40"/>
        <v>94</v>
      </c>
      <c r="F133" s="209">
        <f t="shared" si="40"/>
        <v>83</v>
      </c>
      <c r="G133" s="210">
        <f t="shared" si="0"/>
        <v>1.1325301204819278</v>
      </c>
      <c r="H133" s="211">
        <f t="shared" si="1"/>
        <v>96.443936170212766</v>
      </c>
      <c r="I133" s="212">
        <f t="shared" si="2"/>
        <v>85.15794363965594</v>
      </c>
      <c r="J133" s="213">
        <f t="shared" ref="J133:M133" si="41">SUM(J116:J132)</f>
        <v>459.15999999999997</v>
      </c>
      <c r="K133" s="296">
        <f t="shared" si="41"/>
        <v>283962</v>
      </c>
      <c r="L133" s="209">
        <f t="shared" si="41"/>
        <v>34</v>
      </c>
      <c r="M133" s="208">
        <f t="shared" si="41"/>
        <v>2670.6299999999997</v>
      </c>
      <c r="N133" s="214">
        <f t="shared" si="3"/>
        <v>0.17192946982547191</v>
      </c>
      <c r="O133" s="215">
        <f t="shared" si="4"/>
        <v>5.8163385312309428</v>
      </c>
      <c r="P133" s="214">
        <f t="shared" si="5"/>
        <v>5.0647879431661873E-2</v>
      </c>
      <c r="Q133" s="216">
        <f t="shared" si="6"/>
        <v>0.29458521266351412</v>
      </c>
      <c r="R133" s="217">
        <f>SUM(R116:R132)</f>
        <v>6395.0999999999995</v>
      </c>
      <c r="S133" s="218">
        <f t="shared" si="8"/>
        <v>13.50470588235294</v>
      </c>
      <c r="T133" s="300">
        <f t="shared" ref="T133:U133" si="42">IFERROR((D133-#REF!)/D133,)</f>
        <v>0</v>
      </c>
      <c r="U133" s="300">
        <f t="shared" si="42"/>
        <v>0</v>
      </c>
      <c r="V133" s="220" t="s">
        <v>139</v>
      </c>
      <c r="W133" s="221" t="s">
        <v>139</v>
      </c>
      <c r="X133" s="68"/>
      <c r="Y133" s="68"/>
      <c r="Z133" s="68"/>
    </row>
    <row r="134" spans="1:26" ht="12.75" hidden="1" outlineLevel="1" x14ac:dyDescent="0.2">
      <c r="A134" s="68"/>
      <c r="B134" s="69">
        <v>45606</v>
      </c>
      <c r="C134" s="70" t="s">
        <v>32</v>
      </c>
      <c r="D134" s="71">
        <v>1666.05</v>
      </c>
      <c r="E134" s="73">
        <v>7</v>
      </c>
      <c r="F134" s="73">
        <v>8</v>
      </c>
      <c r="G134" s="74">
        <f t="shared" si="0"/>
        <v>0.875</v>
      </c>
      <c r="H134" s="75">
        <f t="shared" si="1"/>
        <v>238.00714285714284</v>
      </c>
      <c r="I134" s="76">
        <f t="shared" si="2"/>
        <v>272.00816326530611</v>
      </c>
      <c r="J134" s="71">
        <v>169.35</v>
      </c>
      <c r="K134" s="199">
        <v>38590</v>
      </c>
      <c r="L134" s="73">
        <v>3</v>
      </c>
      <c r="M134" s="78">
        <v>517</v>
      </c>
      <c r="N134" s="79">
        <f t="shared" si="3"/>
        <v>0.32756286266924561</v>
      </c>
      <c r="O134" s="80">
        <f t="shared" si="4"/>
        <v>3.052849129022734</v>
      </c>
      <c r="P134" s="79">
        <f t="shared" si="5"/>
        <v>0.10164760961555776</v>
      </c>
      <c r="Q134" s="81">
        <f t="shared" si="6"/>
        <v>0.31031481648209841</v>
      </c>
      <c r="R134" s="82">
        <f t="shared" ref="R134:R150" si="43">D134-M134</f>
        <v>1149.05</v>
      </c>
      <c r="S134" s="83">
        <f t="shared" si="8"/>
        <v>56.449999999999996</v>
      </c>
      <c r="T134" s="84"/>
      <c r="U134" s="84"/>
      <c r="V134" s="84"/>
      <c r="W134" s="84"/>
      <c r="X134" s="85"/>
      <c r="Y134" s="68"/>
      <c r="Z134" s="68"/>
    </row>
    <row r="135" spans="1:26" ht="12.75" hidden="1" outlineLevel="1" x14ac:dyDescent="0.2">
      <c r="A135" s="68"/>
      <c r="B135" s="86"/>
      <c r="C135" s="70" t="s">
        <v>33</v>
      </c>
      <c r="D135" s="87">
        <v>988.09</v>
      </c>
      <c r="E135" s="73">
        <v>7</v>
      </c>
      <c r="F135" s="73">
        <v>12</v>
      </c>
      <c r="G135" s="74">
        <f t="shared" si="0"/>
        <v>0.58333333333333337</v>
      </c>
      <c r="H135" s="75">
        <f t="shared" si="1"/>
        <v>141.15571428571428</v>
      </c>
      <c r="I135" s="76">
        <f t="shared" si="2"/>
        <v>241.98122448979589</v>
      </c>
      <c r="J135" s="87">
        <v>144.79</v>
      </c>
      <c r="K135" s="199">
        <v>22599</v>
      </c>
      <c r="L135" s="73">
        <v>2</v>
      </c>
      <c r="M135" s="88">
        <v>0</v>
      </c>
      <c r="N135" s="79" t="e">
        <f t="shared" si="3"/>
        <v>#DIV/0!</v>
      </c>
      <c r="O135" s="80">
        <f t="shared" si="4"/>
        <v>0</v>
      </c>
      <c r="P135" s="79">
        <f t="shared" si="5"/>
        <v>0.14653523464461737</v>
      </c>
      <c r="Q135" s="81">
        <f t="shared" si="6"/>
        <v>0</v>
      </c>
      <c r="R135" s="89">
        <f t="shared" si="43"/>
        <v>988.09</v>
      </c>
      <c r="S135" s="83">
        <f t="shared" si="8"/>
        <v>72.394999999999996</v>
      </c>
      <c r="T135" s="84"/>
      <c r="U135" s="84"/>
      <c r="V135" s="84"/>
      <c r="W135" s="84"/>
      <c r="X135" s="85"/>
      <c r="Y135" s="68"/>
      <c r="Z135" s="68"/>
    </row>
    <row r="136" spans="1:26" ht="12.75" hidden="1" outlineLevel="1" x14ac:dyDescent="0.2">
      <c r="A136" s="68"/>
      <c r="B136" s="86"/>
      <c r="C136" s="70" t="s">
        <v>34</v>
      </c>
      <c r="D136" s="90">
        <v>0</v>
      </c>
      <c r="E136" s="73">
        <v>0</v>
      </c>
      <c r="F136" s="73">
        <v>0</v>
      </c>
      <c r="G136" s="74" t="e">
        <f t="shared" si="0"/>
        <v>#DIV/0!</v>
      </c>
      <c r="H136" s="75" t="e">
        <f t="shared" si="1"/>
        <v>#DIV/0!</v>
      </c>
      <c r="I136" s="76" t="e">
        <f t="shared" si="2"/>
        <v>#DIV/0!</v>
      </c>
      <c r="J136" s="90">
        <v>0</v>
      </c>
      <c r="K136" s="199">
        <v>0</v>
      </c>
      <c r="L136" s="73">
        <v>0</v>
      </c>
      <c r="M136" s="91">
        <v>0</v>
      </c>
      <c r="N136" s="79" t="e">
        <f t="shared" si="3"/>
        <v>#DIV/0!</v>
      </c>
      <c r="O136" s="80" t="e">
        <f t="shared" si="4"/>
        <v>#DIV/0!</v>
      </c>
      <c r="P136" s="79" t="e">
        <f t="shared" si="5"/>
        <v>#DIV/0!</v>
      </c>
      <c r="Q136" s="81" t="e">
        <f t="shared" si="6"/>
        <v>#DIV/0!</v>
      </c>
      <c r="R136" s="92">
        <f t="shared" si="43"/>
        <v>0</v>
      </c>
      <c r="S136" s="83" t="e">
        <f t="shared" si="8"/>
        <v>#DIV/0!</v>
      </c>
      <c r="T136" s="84"/>
      <c r="U136" s="84"/>
      <c r="V136" s="84"/>
      <c r="W136" s="84"/>
      <c r="X136" s="85"/>
      <c r="Y136" s="68"/>
      <c r="Z136" s="68"/>
    </row>
    <row r="137" spans="1:26" ht="12.75" hidden="1" outlineLevel="1" x14ac:dyDescent="0.2">
      <c r="A137" s="68"/>
      <c r="B137" s="86"/>
      <c r="C137" s="70" t="s">
        <v>35</v>
      </c>
      <c r="D137" s="90">
        <v>659.45</v>
      </c>
      <c r="E137" s="73">
        <v>11</v>
      </c>
      <c r="F137" s="73">
        <v>10</v>
      </c>
      <c r="G137" s="74">
        <f t="shared" si="0"/>
        <v>1.1000000000000001</v>
      </c>
      <c r="H137" s="75">
        <f t="shared" si="1"/>
        <v>59.95</v>
      </c>
      <c r="I137" s="76">
        <f t="shared" si="2"/>
        <v>54.5</v>
      </c>
      <c r="J137" s="90">
        <v>80.06</v>
      </c>
      <c r="K137" s="199">
        <v>7027</v>
      </c>
      <c r="L137" s="73">
        <v>6</v>
      </c>
      <c r="M137" s="91">
        <v>359.7</v>
      </c>
      <c r="N137" s="79">
        <f t="shared" si="3"/>
        <v>0.22257436752849599</v>
      </c>
      <c r="O137" s="80">
        <f t="shared" si="4"/>
        <v>4.4928803397451906</v>
      </c>
      <c r="P137" s="79">
        <f t="shared" si="5"/>
        <v>0.12140420047008871</v>
      </c>
      <c r="Q137" s="81">
        <f t="shared" si="6"/>
        <v>0.54545454545454541</v>
      </c>
      <c r="R137" s="92">
        <f t="shared" si="43"/>
        <v>299.75000000000006</v>
      </c>
      <c r="S137" s="83">
        <f t="shared" si="8"/>
        <v>13.343333333333334</v>
      </c>
      <c r="T137" s="84"/>
      <c r="U137" s="84"/>
      <c r="V137" s="84"/>
      <c r="W137" s="84"/>
      <c r="X137" s="85"/>
      <c r="Y137" s="68"/>
      <c r="Z137" s="68"/>
    </row>
    <row r="138" spans="1:26" ht="12.75" hidden="1" outlineLevel="1" x14ac:dyDescent="0.2">
      <c r="A138" s="68"/>
      <c r="B138" s="86"/>
      <c r="C138" s="70" t="s">
        <v>62</v>
      </c>
      <c r="D138" s="200">
        <v>72</v>
      </c>
      <c r="E138" s="73">
        <v>2</v>
      </c>
      <c r="F138" s="73">
        <v>1</v>
      </c>
      <c r="G138" s="74">
        <f t="shared" si="0"/>
        <v>2</v>
      </c>
      <c r="H138" s="75">
        <f t="shared" si="1"/>
        <v>36</v>
      </c>
      <c r="I138" s="76">
        <f t="shared" si="2"/>
        <v>18</v>
      </c>
      <c r="J138" s="200">
        <v>0</v>
      </c>
      <c r="K138" s="199">
        <v>0</v>
      </c>
      <c r="L138" s="73">
        <v>0</v>
      </c>
      <c r="M138" s="200">
        <v>0</v>
      </c>
      <c r="N138" s="79" t="e">
        <f t="shared" si="3"/>
        <v>#DIV/0!</v>
      </c>
      <c r="O138" s="80" t="e">
        <f t="shared" si="4"/>
        <v>#DIV/0!</v>
      </c>
      <c r="P138" s="79">
        <f t="shared" si="5"/>
        <v>0</v>
      </c>
      <c r="Q138" s="81">
        <f t="shared" si="6"/>
        <v>0</v>
      </c>
      <c r="R138" s="92">
        <f t="shared" si="43"/>
        <v>72</v>
      </c>
      <c r="S138" s="83" t="e">
        <f t="shared" si="8"/>
        <v>#DIV/0!</v>
      </c>
      <c r="T138" s="84"/>
      <c r="U138" s="84"/>
      <c r="V138" s="84"/>
      <c r="W138" s="84"/>
      <c r="X138" s="85"/>
      <c r="Y138" s="68"/>
      <c r="Z138" s="68"/>
    </row>
    <row r="139" spans="1:26" ht="12.75" hidden="1" outlineLevel="1" x14ac:dyDescent="0.2">
      <c r="A139" s="68"/>
      <c r="B139" s="86"/>
      <c r="C139" s="70" t="s">
        <v>66</v>
      </c>
      <c r="D139" s="201">
        <v>249.88</v>
      </c>
      <c r="E139" s="73">
        <v>4</v>
      </c>
      <c r="F139" s="73">
        <v>2</v>
      </c>
      <c r="G139" s="74">
        <f t="shared" si="0"/>
        <v>2</v>
      </c>
      <c r="H139" s="75">
        <f t="shared" si="1"/>
        <v>62.47</v>
      </c>
      <c r="I139" s="76">
        <f t="shared" si="2"/>
        <v>31.234999999999999</v>
      </c>
      <c r="J139" s="201">
        <v>40.880000000000003</v>
      </c>
      <c r="K139" s="199">
        <v>15705</v>
      </c>
      <c r="L139" s="73">
        <v>0</v>
      </c>
      <c r="M139" s="202">
        <v>0</v>
      </c>
      <c r="N139" s="79" t="e">
        <f t="shared" si="3"/>
        <v>#DIV/0!</v>
      </c>
      <c r="O139" s="80">
        <f t="shared" si="4"/>
        <v>0</v>
      </c>
      <c r="P139" s="79">
        <f t="shared" si="5"/>
        <v>0.1635985272931007</v>
      </c>
      <c r="Q139" s="81">
        <f t="shared" si="6"/>
        <v>0</v>
      </c>
      <c r="R139" s="203">
        <f t="shared" si="43"/>
        <v>249.88</v>
      </c>
      <c r="S139" s="83" t="e">
        <f t="shared" si="8"/>
        <v>#DIV/0!</v>
      </c>
      <c r="T139" s="84"/>
      <c r="U139" s="84"/>
      <c r="V139" s="84"/>
      <c r="W139" s="84"/>
      <c r="X139" s="85"/>
      <c r="Y139" s="68"/>
      <c r="Z139" s="68"/>
    </row>
    <row r="140" spans="1:26" ht="12.75" hidden="1" outlineLevel="1" x14ac:dyDescent="0.2">
      <c r="A140" s="68"/>
      <c r="B140" s="86"/>
      <c r="C140" s="70" t="s">
        <v>36</v>
      </c>
      <c r="D140" s="90">
        <v>549.54999999999995</v>
      </c>
      <c r="E140" s="73">
        <v>9</v>
      </c>
      <c r="F140" s="73">
        <v>7</v>
      </c>
      <c r="G140" s="74">
        <f t="shared" si="0"/>
        <v>1.2857142857142858</v>
      </c>
      <c r="H140" s="75">
        <f t="shared" si="1"/>
        <v>61.061111111111103</v>
      </c>
      <c r="I140" s="76">
        <f t="shared" si="2"/>
        <v>47.491975308641969</v>
      </c>
      <c r="J140" s="90">
        <v>22</v>
      </c>
      <c r="K140" s="199">
        <v>3043</v>
      </c>
      <c r="L140" s="73">
        <v>2</v>
      </c>
      <c r="M140" s="91">
        <v>119.9</v>
      </c>
      <c r="N140" s="79">
        <f t="shared" si="3"/>
        <v>0.18348623853211007</v>
      </c>
      <c r="O140" s="80">
        <f t="shared" si="4"/>
        <v>5.45</v>
      </c>
      <c r="P140" s="79">
        <f t="shared" si="5"/>
        <v>4.0032754071513056E-2</v>
      </c>
      <c r="Q140" s="81">
        <f t="shared" si="6"/>
        <v>0.2181785096897462</v>
      </c>
      <c r="R140" s="92">
        <f t="shared" si="43"/>
        <v>429.65</v>
      </c>
      <c r="S140" s="83">
        <f t="shared" si="8"/>
        <v>11</v>
      </c>
      <c r="T140" s="84"/>
      <c r="U140" s="84"/>
      <c r="V140" s="84"/>
      <c r="W140" s="84"/>
      <c r="X140" s="85"/>
      <c r="Y140" s="68"/>
      <c r="Z140" s="68"/>
    </row>
    <row r="141" spans="1:26" ht="12.75" hidden="1" outlineLevel="1" x14ac:dyDescent="0.2">
      <c r="A141" s="68"/>
      <c r="B141" s="138" t="s">
        <v>37</v>
      </c>
      <c r="C141" s="70" t="s">
        <v>38</v>
      </c>
      <c r="D141" s="93">
        <v>310.60000000000002</v>
      </c>
      <c r="E141" s="73">
        <v>8</v>
      </c>
      <c r="F141" s="73">
        <v>4</v>
      </c>
      <c r="G141" s="74">
        <f t="shared" si="0"/>
        <v>2</v>
      </c>
      <c r="H141" s="75">
        <f t="shared" si="1"/>
        <v>38.825000000000003</v>
      </c>
      <c r="I141" s="76">
        <f t="shared" si="2"/>
        <v>19.412500000000001</v>
      </c>
      <c r="J141" s="93">
        <v>12.83</v>
      </c>
      <c r="K141" s="199">
        <v>3931</v>
      </c>
      <c r="L141" s="73">
        <v>4</v>
      </c>
      <c r="M141" s="94">
        <v>131.80000000000001</v>
      </c>
      <c r="N141" s="79">
        <f t="shared" si="3"/>
        <v>9.7344461305007582E-2</v>
      </c>
      <c r="O141" s="80">
        <f t="shared" si="4"/>
        <v>10.272798129384256</v>
      </c>
      <c r="P141" s="79">
        <f t="shared" si="5"/>
        <v>4.1307147456535735E-2</v>
      </c>
      <c r="Q141" s="81">
        <f t="shared" si="6"/>
        <v>0.42433998712169996</v>
      </c>
      <c r="R141" s="95">
        <f t="shared" si="43"/>
        <v>178.8</v>
      </c>
      <c r="S141" s="83">
        <f t="shared" si="8"/>
        <v>3.2075</v>
      </c>
      <c r="T141" s="84"/>
      <c r="U141" s="84"/>
      <c r="V141" s="84"/>
      <c r="W141" s="84"/>
      <c r="X141" s="85"/>
      <c r="Y141" s="68"/>
      <c r="Z141" s="68"/>
    </row>
    <row r="142" spans="1:26" ht="12.75" hidden="1" outlineLevel="1" x14ac:dyDescent="0.2">
      <c r="A142" s="68"/>
      <c r="B142" s="86"/>
      <c r="C142" s="70" t="s">
        <v>39</v>
      </c>
      <c r="D142" s="96">
        <v>24.95</v>
      </c>
      <c r="E142" s="73">
        <v>1</v>
      </c>
      <c r="F142" s="73">
        <v>1</v>
      </c>
      <c r="G142" s="74">
        <f t="shared" si="0"/>
        <v>1</v>
      </c>
      <c r="H142" s="75">
        <f t="shared" si="1"/>
        <v>24.95</v>
      </c>
      <c r="I142" s="76">
        <f t="shared" si="2"/>
        <v>24.95</v>
      </c>
      <c r="J142" s="96">
        <v>168.9</v>
      </c>
      <c r="K142" s="199">
        <v>301644</v>
      </c>
      <c r="L142" s="73">
        <v>0</v>
      </c>
      <c r="M142" s="97">
        <v>0</v>
      </c>
      <c r="N142" s="79" t="e">
        <f t="shared" si="3"/>
        <v>#DIV/0!</v>
      </c>
      <c r="O142" s="80">
        <f t="shared" si="4"/>
        <v>0</v>
      </c>
      <c r="P142" s="79">
        <f t="shared" si="5"/>
        <v>6.7695390781563134</v>
      </c>
      <c r="Q142" s="81">
        <f t="shared" si="6"/>
        <v>0</v>
      </c>
      <c r="R142" s="98">
        <f t="shared" si="43"/>
        <v>24.95</v>
      </c>
      <c r="S142" s="83" t="e">
        <f t="shared" si="8"/>
        <v>#DIV/0!</v>
      </c>
      <c r="T142" s="84"/>
      <c r="U142" s="84"/>
      <c r="V142" s="84"/>
      <c r="W142" s="84"/>
      <c r="X142" s="85"/>
      <c r="Y142" s="68"/>
      <c r="Z142" s="68"/>
    </row>
    <row r="143" spans="1:26" ht="12.75" hidden="1" outlineLevel="1" x14ac:dyDescent="0.2">
      <c r="A143" s="68"/>
      <c r="B143" s="86"/>
      <c r="C143" s="70" t="s">
        <v>40</v>
      </c>
      <c r="D143" s="99">
        <v>0</v>
      </c>
      <c r="E143" s="73">
        <v>0</v>
      </c>
      <c r="F143" s="73">
        <v>0</v>
      </c>
      <c r="G143" s="74" t="e">
        <f t="shared" si="0"/>
        <v>#DIV/0!</v>
      </c>
      <c r="H143" s="75" t="e">
        <f t="shared" si="1"/>
        <v>#DIV/0!</v>
      </c>
      <c r="I143" s="76" t="e">
        <f t="shared" si="2"/>
        <v>#DIV/0!</v>
      </c>
      <c r="J143" s="99">
        <v>0</v>
      </c>
      <c r="K143" s="199">
        <v>0</v>
      </c>
      <c r="L143" s="73">
        <v>0</v>
      </c>
      <c r="M143" s="100">
        <v>0</v>
      </c>
      <c r="N143" s="79" t="e">
        <f t="shared" si="3"/>
        <v>#DIV/0!</v>
      </c>
      <c r="O143" s="80" t="e">
        <f t="shared" si="4"/>
        <v>#DIV/0!</v>
      </c>
      <c r="P143" s="79" t="e">
        <f t="shared" si="5"/>
        <v>#DIV/0!</v>
      </c>
      <c r="Q143" s="81" t="e">
        <f t="shared" si="6"/>
        <v>#DIV/0!</v>
      </c>
      <c r="R143" s="101">
        <f t="shared" si="43"/>
        <v>0</v>
      </c>
      <c r="S143" s="83" t="e">
        <f t="shared" si="8"/>
        <v>#DIV/0!</v>
      </c>
      <c r="T143" s="84"/>
      <c r="U143" s="84"/>
      <c r="V143" s="84"/>
      <c r="W143" s="84"/>
      <c r="X143" s="85"/>
      <c r="Y143" s="68"/>
      <c r="Z143" s="68"/>
    </row>
    <row r="144" spans="1:26" ht="12.75" hidden="1" outlineLevel="1" x14ac:dyDescent="0.2">
      <c r="A144" s="68"/>
      <c r="B144" s="86"/>
      <c r="C144" s="70" t="s">
        <v>41</v>
      </c>
      <c r="D144" s="102">
        <v>1765.4</v>
      </c>
      <c r="E144" s="73">
        <v>25</v>
      </c>
      <c r="F144" s="73">
        <v>21</v>
      </c>
      <c r="G144" s="74">
        <f t="shared" si="0"/>
        <v>1.1904761904761905</v>
      </c>
      <c r="H144" s="75">
        <f t="shared" si="1"/>
        <v>70.616</v>
      </c>
      <c r="I144" s="76">
        <f t="shared" si="2"/>
        <v>59.317439999999998</v>
      </c>
      <c r="J144" s="102">
        <v>46.03</v>
      </c>
      <c r="K144" s="199">
        <v>14418</v>
      </c>
      <c r="L144" s="73">
        <v>8</v>
      </c>
      <c r="M144" s="103">
        <v>628.70000000000005</v>
      </c>
      <c r="N144" s="79">
        <f t="shared" si="3"/>
        <v>7.3214569747097183E-2</v>
      </c>
      <c r="O144" s="80">
        <f t="shared" si="4"/>
        <v>13.658483597653705</v>
      </c>
      <c r="P144" s="79">
        <f t="shared" si="5"/>
        <v>2.6073411124957514E-2</v>
      </c>
      <c r="Q144" s="81">
        <f t="shared" si="6"/>
        <v>0.35612325818511387</v>
      </c>
      <c r="R144" s="104">
        <f t="shared" si="43"/>
        <v>1136.7</v>
      </c>
      <c r="S144" s="83">
        <f t="shared" si="8"/>
        <v>5.7537500000000001</v>
      </c>
      <c r="T144" s="84"/>
      <c r="U144" s="84"/>
      <c r="V144" s="84"/>
      <c r="W144" s="84"/>
      <c r="X144" s="85"/>
      <c r="Y144" s="68"/>
      <c r="Z144" s="68"/>
    </row>
    <row r="145" spans="1:26" ht="12.75" hidden="1" outlineLevel="1" x14ac:dyDescent="0.2">
      <c r="A145" s="68"/>
      <c r="B145" s="86"/>
      <c r="C145" s="70" t="s">
        <v>42</v>
      </c>
      <c r="D145" s="90">
        <v>0</v>
      </c>
      <c r="E145" s="73">
        <v>0</v>
      </c>
      <c r="F145" s="73">
        <v>0</v>
      </c>
      <c r="G145" s="74" t="e">
        <f t="shared" si="0"/>
        <v>#DIV/0!</v>
      </c>
      <c r="H145" s="75" t="e">
        <f t="shared" si="1"/>
        <v>#DIV/0!</v>
      </c>
      <c r="I145" s="76" t="e">
        <f t="shared" si="2"/>
        <v>#DIV/0!</v>
      </c>
      <c r="J145" s="90">
        <v>6.75</v>
      </c>
      <c r="K145" s="199">
        <v>11147</v>
      </c>
      <c r="L145" s="73">
        <v>0</v>
      </c>
      <c r="M145" s="91">
        <v>0</v>
      </c>
      <c r="N145" s="79" t="e">
        <f t="shared" si="3"/>
        <v>#DIV/0!</v>
      </c>
      <c r="O145" s="80">
        <f t="shared" si="4"/>
        <v>0</v>
      </c>
      <c r="P145" s="79" t="e">
        <f t="shared" si="5"/>
        <v>#DIV/0!</v>
      </c>
      <c r="Q145" s="81" t="e">
        <f t="shared" si="6"/>
        <v>#DIV/0!</v>
      </c>
      <c r="R145" s="92">
        <f t="shared" si="43"/>
        <v>0</v>
      </c>
      <c r="S145" s="83" t="e">
        <f t="shared" si="8"/>
        <v>#DIV/0!</v>
      </c>
      <c r="T145" s="84"/>
      <c r="U145" s="84"/>
      <c r="V145" s="84"/>
      <c r="W145" s="84"/>
      <c r="X145" s="85"/>
      <c r="Y145" s="68"/>
      <c r="Z145" s="68"/>
    </row>
    <row r="146" spans="1:26" ht="12.75" hidden="1" outlineLevel="1" x14ac:dyDescent="0.2">
      <c r="A146" s="68"/>
      <c r="B146" s="86"/>
      <c r="C146" s="70" t="s">
        <v>43</v>
      </c>
      <c r="D146" s="105">
        <v>0</v>
      </c>
      <c r="E146" s="73">
        <v>0</v>
      </c>
      <c r="F146" s="73">
        <v>0</v>
      </c>
      <c r="G146" s="74" t="e">
        <f t="shared" si="0"/>
        <v>#DIV/0!</v>
      </c>
      <c r="H146" s="75" t="e">
        <f t="shared" si="1"/>
        <v>#DIV/0!</v>
      </c>
      <c r="I146" s="76" t="e">
        <f t="shared" si="2"/>
        <v>#DIV/0!</v>
      </c>
      <c r="J146" s="105">
        <v>19.28</v>
      </c>
      <c r="K146" s="199">
        <v>17256</v>
      </c>
      <c r="L146" s="73">
        <v>0</v>
      </c>
      <c r="M146" s="106">
        <v>0</v>
      </c>
      <c r="N146" s="79" t="e">
        <f t="shared" si="3"/>
        <v>#DIV/0!</v>
      </c>
      <c r="O146" s="80">
        <f t="shared" si="4"/>
        <v>0</v>
      </c>
      <c r="P146" s="79" t="e">
        <f t="shared" si="5"/>
        <v>#DIV/0!</v>
      </c>
      <c r="Q146" s="81" t="e">
        <f t="shared" si="6"/>
        <v>#DIV/0!</v>
      </c>
      <c r="R146" s="107">
        <f t="shared" si="43"/>
        <v>0</v>
      </c>
      <c r="S146" s="83" t="e">
        <f t="shared" si="8"/>
        <v>#DIV/0!</v>
      </c>
      <c r="T146" s="84"/>
      <c r="U146" s="84"/>
      <c r="V146" s="84"/>
      <c r="W146" s="84"/>
      <c r="X146" s="85"/>
      <c r="Y146" s="68"/>
      <c r="Z146" s="68"/>
    </row>
    <row r="147" spans="1:26" ht="12.75" hidden="1" outlineLevel="1" x14ac:dyDescent="0.2">
      <c r="A147" s="68"/>
      <c r="B147" s="86"/>
      <c r="C147" s="70" t="s">
        <v>44</v>
      </c>
      <c r="D147" s="108">
        <v>0</v>
      </c>
      <c r="E147" s="73">
        <v>0</v>
      </c>
      <c r="F147" s="73">
        <v>0</v>
      </c>
      <c r="G147" s="74" t="e">
        <f t="shared" si="0"/>
        <v>#DIV/0!</v>
      </c>
      <c r="H147" s="75" t="e">
        <f t="shared" si="1"/>
        <v>#DIV/0!</v>
      </c>
      <c r="I147" s="76" t="e">
        <f t="shared" si="2"/>
        <v>#DIV/0!</v>
      </c>
      <c r="J147" s="108">
        <v>0.79</v>
      </c>
      <c r="K147" s="199">
        <v>820</v>
      </c>
      <c r="L147" s="73">
        <v>0</v>
      </c>
      <c r="M147" s="109">
        <v>0</v>
      </c>
      <c r="N147" s="79" t="e">
        <f t="shared" si="3"/>
        <v>#DIV/0!</v>
      </c>
      <c r="O147" s="80">
        <f t="shared" si="4"/>
        <v>0</v>
      </c>
      <c r="P147" s="79" t="e">
        <f t="shared" si="5"/>
        <v>#DIV/0!</v>
      </c>
      <c r="Q147" s="81" t="e">
        <f t="shared" si="6"/>
        <v>#DIV/0!</v>
      </c>
      <c r="R147" s="110">
        <f t="shared" si="43"/>
        <v>0</v>
      </c>
      <c r="S147" s="83" t="e">
        <f t="shared" si="8"/>
        <v>#DIV/0!</v>
      </c>
      <c r="T147" s="84"/>
      <c r="U147" s="84"/>
      <c r="V147" s="84"/>
      <c r="W147" s="84"/>
      <c r="X147" s="85"/>
      <c r="Y147" s="68"/>
      <c r="Z147" s="68"/>
    </row>
    <row r="148" spans="1:26" ht="12.75" hidden="1" outlineLevel="1" x14ac:dyDescent="0.2">
      <c r="A148" s="111"/>
      <c r="B148" s="86"/>
      <c r="C148" s="112" t="s">
        <v>45</v>
      </c>
      <c r="D148" s="71">
        <v>0</v>
      </c>
      <c r="E148" s="73">
        <v>0</v>
      </c>
      <c r="F148" s="73">
        <v>0</v>
      </c>
      <c r="G148" s="74" t="e">
        <f t="shared" si="0"/>
        <v>#DIV/0!</v>
      </c>
      <c r="H148" s="75" t="e">
        <f t="shared" si="1"/>
        <v>#DIV/0!</v>
      </c>
      <c r="I148" s="76" t="e">
        <f t="shared" si="2"/>
        <v>#DIV/0!</v>
      </c>
      <c r="J148" s="71">
        <v>0</v>
      </c>
      <c r="K148" s="199">
        <v>0</v>
      </c>
      <c r="L148" s="73">
        <v>0</v>
      </c>
      <c r="M148" s="78">
        <v>0</v>
      </c>
      <c r="N148" s="79" t="e">
        <f t="shared" si="3"/>
        <v>#DIV/0!</v>
      </c>
      <c r="O148" s="80" t="e">
        <f t="shared" si="4"/>
        <v>#DIV/0!</v>
      </c>
      <c r="P148" s="79" t="e">
        <f t="shared" si="5"/>
        <v>#DIV/0!</v>
      </c>
      <c r="Q148" s="81" t="e">
        <f t="shared" si="6"/>
        <v>#DIV/0!</v>
      </c>
      <c r="R148" s="82">
        <f t="shared" si="43"/>
        <v>0</v>
      </c>
      <c r="S148" s="83" t="e">
        <f t="shared" si="8"/>
        <v>#DIV/0!</v>
      </c>
      <c r="T148" s="113"/>
      <c r="U148" s="113"/>
      <c r="V148" s="113"/>
      <c r="W148" s="114"/>
      <c r="X148" s="115"/>
      <c r="Y148" s="68"/>
      <c r="Z148" s="68"/>
    </row>
    <row r="149" spans="1:26" ht="12.75" hidden="1" outlineLevel="1" x14ac:dyDescent="0.2">
      <c r="A149" s="118"/>
      <c r="B149" s="69"/>
      <c r="C149" s="70" t="s">
        <v>46</v>
      </c>
      <c r="D149" s="116">
        <v>498.44</v>
      </c>
      <c r="E149" s="73">
        <v>14</v>
      </c>
      <c r="F149" s="73">
        <v>16</v>
      </c>
      <c r="G149" s="74">
        <f t="shared" si="0"/>
        <v>0.875</v>
      </c>
      <c r="H149" s="75">
        <f t="shared" si="1"/>
        <v>35.60285714285714</v>
      </c>
      <c r="I149" s="76">
        <f t="shared" si="2"/>
        <v>40.688979591836734</v>
      </c>
      <c r="J149" s="116">
        <v>49.79</v>
      </c>
      <c r="K149" s="199">
        <v>31083</v>
      </c>
      <c r="L149" s="73">
        <v>8</v>
      </c>
      <c r="M149" s="117">
        <v>215.76</v>
      </c>
      <c r="N149" s="79">
        <f t="shared" si="3"/>
        <v>0.23076566555431963</v>
      </c>
      <c r="O149" s="80">
        <f t="shared" si="4"/>
        <v>4.3334002811809595</v>
      </c>
      <c r="P149" s="79">
        <f t="shared" si="5"/>
        <v>9.9891661985394425E-2</v>
      </c>
      <c r="Q149" s="81">
        <f t="shared" si="6"/>
        <v>0.43287055613514164</v>
      </c>
      <c r="R149" s="82">
        <f t="shared" si="43"/>
        <v>282.68</v>
      </c>
      <c r="S149" s="83">
        <f t="shared" si="8"/>
        <v>6.2237499999999999</v>
      </c>
      <c r="T149" s="84"/>
      <c r="U149" s="84"/>
      <c r="V149" s="84"/>
      <c r="W149" s="84"/>
      <c r="X149" s="85"/>
      <c r="Y149" s="68"/>
      <c r="Z149" s="68"/>
    </row>
    <row r="150" spans="1:26" ht="12.75" hidden="1" outlineLevel="1" x14ac:dyDescent="0.2">
      <c r="A150" s="118" t="str">
        <f t="shared" ref="A150:A151" si="44">IFERROR(IF(B150&gt;0,MONTH(B150)&amp;"-"&amp;YEAR(B150),B150),)</f>
        <v>11-2024</v>
      </c>
      <c r="B150" s="69">
        <v>45612</v>
      </c>
      <c r="C150" s="148" t="s">
        <v>49</v>
      </c>
      <c r="D150" s="116">
        <v>0</v>
      </c>
      <c r="E150" s="73">
        <v>0</v>
      </c>
      <c r="F150" s="73">
        <v>0</v>
      </c>
      <c r="G150" s="74" t="e">
        <f t="shared" si="0"/>
        <v>#DIV/0!</v>
      </c>
      <c r="H150" s="75" t="e">
        <f t="shared" si="1"/>
        <v>#DIV/0!</v>
      </c>
      <c r="I150" s="76" t="e">
        <f t="shared" si="2"/>
        <v>#DIV/0!</v>
      </c>
      <c r="J150" s="116">
        <v>0</v>
      </c>
      <c r="K150" s="199">
        <v>0</v>
      </c>
      <c r="L150" s="73">
        <v>0</v>
      </c>
      <c r="M150" s="117">
        <v>0</v>
      </c>
      <c r="N150" s="79" t="e">
        <f t="shared" si="3"/>
        <v>#DIV/0!</v>
      </c>
      <c r="O150" s="80" t="e">
        <f t="shared" si="4"/>
        <v>#DIV/0!</v>
      </c>
      <c r="P150" s="79" t="e">
        <f t="shared" si="5"/>
        <v>#DIV/0!</v>
      </c>
      <c r="Q150" s="81" t="e">
        <f t="shared" si="6"/>
        <v>#DIV/0!</v>
      </c>
      <c r="R150" s="82">
        <f t="shared" si="43"/>
        <v>0</v>
      </c>
      <c r="S150" s="83" t="e">
        <f t="shared" si="8"/>
        <v>#DIV/0!</v>
      </c>
      <c r="T150" s="84"/>
      <c r="U150" s="84"/>
      <c r="V150" s="84"/>
      <c r="W150" s="84"/>
      <c r="X150" s="85"/>
      <c r="Y150" s="68"/>
      <c r="Z150" s="68"/>
    </row>
    <row r="151" spans="1:26" ht="12.75" collapsed="1" x14ac:dyDescent="0.2">
      <c r="A151" s="255">
        <f t="shared" si="44"/>
        <v>0</v>
      </c>
      <c r="B151" s="206" t="s">
        <v>104</v>
      </c>
      <c r="C151" s="257"/>
      <c r="D151" s="258">
        <f t="shared" ref="D151:F151" si="45">SUM(D134:D150)</f>
        <v>6784.4100000000008</v>
      </c>
      <c r="E151" s="259">
        <f t="shared" si="45"/>
        <v>88</v>
      </c>
      <c r="F151" s="259">
        <f t="shared" si="45"/>
        <v>82</v>
      </c>
      <c r="G151" s="260">
        <f t="shared" si="0"/>
        <v>1.0731707317073171</v>
      </c>
      <c r="H151" s="261">
        <f t="shared" si="1"/>
        <v>77.095568181818194</v>
      </c>
      <c r="I151" s="262">
        <f t="shared" si="2"/>
        <v>71.839052169421493</v>
      </c>
      <c r="J151" s="263">
        <f t="shared" ref="J151:M151" si="46">SUM(J134:J150)</f>
        <v>761.44999999999982</v>
      </c>
      <c r="K151" s="314">
        <f t="shared" si="46"/>
        <v>467263</v>
      </c>
      <c r="L151" s="259">
        <f t="shared" si="46"/>
        <v>33</v>
      </c>
      <c r="M151" s="258">
        <f t="shared" si="46"/>
        <v>1972.8600000000001</v>
      </c>
      <c r="N151" s="264">
        <f t="shared" si="3"/>
        <v>0.38596251127804293</v>
      </c>
      <c r="O151" s="265">
        <f t="shared" si="4"/>
        <v>2.5909252084838146</v>
      </c>
      <c r="P151" s="264">
        <f t="shared" si="5"/>
        <v>0.11223525700834704</v>
      </c>
      <c r="Q151" s="266">
        <f t="shared" si="6"/>
        <v>0.29079315666358607</v>
      </c>
      <c r="R151" s="267">
        <f>SUM(R134:R150)</f>
        <v>4811.55</v>
      </c>
      <c r="S151" s="268">
        <f t="shared" si="8"/>
        <v>23.074242424242417</v>
      </c>
      <c r="T151" s="269">
        <f t="shared" ref="T151:U151" si="47">IFERROR((D151-#REF!)/D151,)</f>
        <v>0</v>
      </c>
      <c r="U151" s="269">
        <f t="shared" si="47"/>
        <v>0</v>
      </c>
      <c r="V151" s="269" t="s">
        <v>139</v>
      </c>
      <c r="W151" s="270" t="s">
        <v>139</v>
      </c>
      <c r="X151" s="67"/>
    </row>
    <row r="152" spans="1:26" ht="12.75" hidden="1" outlineLevel="1" x14ac:dyDescent="0.2">
      <c r="A152" s="68"/>
      <c r="B152" s="69">
        <v>45613</v>
      </c>
      <c r="C152" s="70" t="s">
        <v>32</v>
      </c>
      <c r="D152" s="71">
        <v>8280.4599999999991</v>
      </c>
      <c r="E152" s="73">
        <v>19</v>
      </c>
      <c r="F152" s="73">
        <v>14</v>
      </c>
      <c r="G152" s="74">
        <f t="shared" si="0"/>
        <v>1.3571428571428572</v>
      </c>
      <c r="H152" s="75">
        <f t="shared" si="1"/>
        <v>435.81368421052628</v>
      </c>
      <c r="I152" s="76">
        <f t="shared" si="2"/>
        <v>321.12587257617724</v>
      </c>
      <c r="J152" s="71">
        <v>186.02</v>
      </c>
      <c r="K152" s="199">
        <v>26293</v>
      </c>
      <c r="L152" s="73">
        <v>9</v>
      </c>
      <c r="M152" s="78">
        <v>2623.03</v>
      </c>
      <c r="N152" s="79">
        <f t="shared" si="3"/>
        <v>7.0917984163353071E-2</v>
      </c>
      <c r="O152" s="80">
        <f t="shared" si="4"/>
        <v>14.100795613374906</v>
      </c>
      <c r="P152" s="79">
        <f t="shared" si="5"/>
        <v>2.2464935522905734E-2</v>
      </c>
      <c r="Q152" s="81">
        <f t="shared" si="6"/>
        <v>0.31677346427613928</v>
      </c>
      <c r="R152" s="82">
        <f t="shared" ref="R152:R168" si="48">D152-M152</f>
        <v>5657.4299999999985</v>
      </c>
      <c r="S152" s="83">
        <f t="shared" si="8"/>
        <v>20.66888888888889</v>
      </c>
      <c r="T152" s="84"/>
      <c r="U152" s="84"/>
      <c r="V152" s="84"/>
      <c r="W152" s="84"/>
      <c r="X152" s="85"/>
      <c r="Y152" s="68"/>
      <c r="Z152" s="68"/>
    </row>
    <row r="153" spans="1:26" ht="12.75" hidden="1" outlineLevel="1" x14ac:dyDescent="0.2">
      <c r="A153" s="68"/>
      <c r="B153" s="86"/>
      <c r="C153" s="70" t="s">
        <v>33</v>
      </c>
      <c r="D153" s="87">
        <v>4007.05</v>
      </c>
      <c r="E153" s="73">
        <v>18</v>
      </c>
      <c r="F153" s="73">
        <v>22</v>
      </c>
      <c r="G153" s="74">
        <f t="shared" si="0"/>
        <v>0.81818181818181823</v>
      </c>
      <c r="H153" s="75">
        <f t="shared" si="1"/>
        <v>222.61388888888891</v>
      </c>
      <c r="I153" s="76">
        <f t="shared" si="2"/>
        <v>272.08364197530864</v>
      </c>
      <c r="J153" s="87">
        <v>49.95</v>
      </c>
      <c r="K153" s="199">
        <v>17187</v>
      </c>
      <c r="L153" s="73">
        <v>3</v>
      </c>
      <c r="M153" s="88">
        <v>36.9</v>
      </c>
      <c r="N153" s="79">
        <f t="shared" si="3"/>
        <v>1.3536585365853659</v>
      </c>
      <c r="O153" s="80">
        <f t="shared" si="4"/>
        <v>0.73873873873873863</v>
      </c>
      <c r="P153" s="79">
        <f t="shared" si="5"/>
        <v>1.2465529504248762E-2</v>
      </c>
      <c r="Q153" s="81">
        <f t="shared" si="6"/>
        <v>9.2087695436792651E-3</v>
      </c>
      <c r="R153" s="89">
        <f t="shared" si="48"/>
        <v>3970.15</v>
      </c>
      <c r="S153" s="83">
        <f t="shared" si="8"/>
        <v>16.650000000000002</v>
      </c>
      <c r="T153" s="84"/>
      <c r="U153" s="84"/>
      <c r="V153" s="84"/>
      <c r="W153" s="84"/>
      <c r="X153" s="85"/>
      <c r="Y153" s="68"/>
      <c r="Z153" s="68"/>
    </row>
    <row r="154" spans="1:26" ht="12.75" hidden="1" outlineLevel="1" x14ac:dyDescent="0.2">
      <c r="A154" s="68"/>
      <c r="B154" s="86"/>
      <c r="C154" s="70" t="s">
        <v>34</v>
      </c>
      <c r="D154" s="90">
        <v>0</v>
      </c>
      <c r="E154" s="73">
        <v>0</v>
      </c>
      <c r="F154" s="73">
        <v>0</v>
      </c>
      <c r="G154" s="74" t="e">
        <f t="shared" si="0"/>
        <v>#DIV/0!</v>
      </c>
      <c r="H154" s="75" t="e">
        <f t="shared" si="1"/>
        <v>#DIV/0!</v>
      </c>
      <c r="I154" s="76" t="e">
        <f t="shared" si="2"/>
        <v>#DIV/0!</v>
      </c>
      <c r="J154" s="90">
        <v>0</v>
      </c>
      <c r="K154" s="199">
        <v>0</v>
      </c>
      <c r="L154" s="73">
        <v>0</v>
      </c>
      <c r="M154" s="91">
        <v>0</v>
      </c>
      <c r="N154" s="79" t="e">
        <f t="shared" si="3"/>
        <v>#DIV/0!</v>
      </c>
      <c r="O154" s="80" t="e">
        <f t="shared" si="4"/>
        <v>#DIV/0!</v>
      </c>
      <c r="P154" s="79" t="e">
        <f t="shared" si="5"/>
        <v>#DIV/0!</v>
      </c>
      <c r="Q154" s="81" t="e">
        <f t="shared" si="6"/>
        <v>#DIV/0!</v>
      </c>
      <c r="R154" s="92">
        <f t="shared" si="48"/>
        <v>0</v>
      </c>
      <c r="S154" s="83" t="e">
        <f t="shared" si="8"/>
        <v>#DIV/0!</v>
      </c>
      <c r="T154" s="84"/>
      <c r="U154" s="84"/>
      <c r="V154" s="84"/>
      <c r="W154" s="84"/>
      <c r="X154" s="85"/>
      <c r="Y154" s="68"/>
      <c r="Z154" s="68"/>
    </row>
    <row r="155" spans="1:26" ht="12.75" hidden="1" outlineLevel="1" x14ac:dyDescent="0.2">
      <c r="A155" s="68"/>
      <c r="B155" s="86"/>
      <c r="C155" s="70" t="s">
        <v>35</v>
      </c>
      <c r="D155" s="90">
        <v>239.8</v>
      </c>
      <c r="E155" s="73">
        <v>4</v>
      </c>
      <c r="F155" s="73">
        <v>4</v>
      </c>
      <c r="G155" s="74">
        <f t="shared" si="0"/>
        <v>1</v>
      </c>
      <c r="H155" s="75">
        <f t="shared" si="1"/>
        <v>59.95</v>
      </c>
      <c r="I155" s="76">
        <f t="shared" si="2"/>
        <v>59.95</v>
      </c>
      <c r="J155" s="90">
        <v>81.63</v>
      </c>
      <c r="K155" s="199">
        <v>6910</v>
      </c>
      <c r="L155" s="73">
        <v>1</v>
      </c>
      <c r="M155" s="91">
        <v>59.95</v>
      </c>
      <c r="N155" s="79">
        <f t="shared" si="3"/>
        <v>1.3616346955796497</v>
      </c>
      <c r="O155" s="80">
        <f t="shared" si="4"/>
        <v>0.73441136836947207</v>
      </c>
      <c r="P155" s="79">
        <f t="shared" si="5"/>
        <v>0.34040867389491242</v>
      </c>
      <c r="Q155" s="81">
        <f t="shared" si="6"/>
        <v>0.25</v>
      </c>
      <c r="R155" s="92">
        <f t="shared" si="48"/>
        <v>179.85000000000002</v>
      </c>
      <c r="S155" s="83">
        <f t="shared" si="8"/>
        <v>81.63</v>
      </c>
      <c r="T155" s="84"/>
      <c r="U155" s="84"/>
      <c r="V155" s="84"/>
      <c r="W155" s="84"/>
      <c r="X155" s="85"/>
      <c r="Y155" s="68"/>
      <c r="Z155" s="68"/>
    </row>
    <row r="156" spans="1:26" ht="12.75" hidden="1" outlineLevel="1" x14ac:dyDescent="0.2">
      <c r="A156" s="68"/>
      <c r="B156" s="86"/>
      <c r="C156" s="70" t="s">
        <v>62</v>
      </c>
      <c r="D156" s="200">
        <v>0</v>
      </c>
      <c r="E156" s="73">
        <v>0</v>
      </c>
      <c r="F156" s="73">
        <v>0</v>
      </c>
      <c r="G156" s="74" t="e">
        <f t="shared" si="0"/>
        <v>#DIV/0!</v>
      </c>
      <c r="H156" s="75" t="e">
        <f t="shared" si="1"/>
        <v>#DIV/0!</v>
      </c>
      <c r="I156" s="76" t="e">
        <f t="shared" si="2"/>
        <v>#DIV/0!</v>
      </c>
      <c r="J156" s="200">
        <v>0</v>
      </c>
      <c r="K156" s="199">
        <v>0</v>
      </c>
      <c r="L156" s="73">
        <v>0</v>
      </c>
      <c r="M156" s="200">
        <v>0</v>
      </c>
      <c r="N156" s="79" t="e">
        <f t="shared" si="3"/>
        <v>#DIV/0!</v>
      </c>
      <c r="O156" s="80" t="e">
        <f t="shared" si="4"/>
        <v>#DIV/0!</v>
      </c>
      <c r="P156" s="79" t="e">
        <f t="shared" si="5"/>
        <v>#DIV/0!</v>
      </c>
      <c r="Q156" s="81" t="e">
        <f t="shared" si="6"/>
        <v>#DIV/0!</v>
      </c>
      <c r="R156" s="92">
        <f t="shared" si="48"/>
        <v>0</v>
      </c>
      <c r="S156" s="83" t="e">
        <f t="shared" si="8"/>
        <v>#DIV/0!</v>
      </c>
      <c r="T156" s="84"/>
      <c r="U156" s="84"/>
      <c r="V156" s="84"/>
      <c r="W156" s="84"/>
      <c r="X156" s="85"/>
      <c r="Y156" s="68"/>
      <c r="Z156" s="68"/>
    </row>
    <row r="157" spans="1:26" ht="12.75" hidden="1" outlineLevel="1" x14ac:dyDescent="0.2">
      <c r="A157" s="68"/>
      <c r="B157" s="86"/>
      <c r="C157" s="70" t="s">
        <v>66</v>
      </c>
      <c r="D157" s="201">
        <v>244.92</v>
      </c>
      <c r="E157" s="73">
        <v>4</v>
      </c>
      <c r="F157" s="73">
        <v>4</v>
      </c>
      <c r="G157" s="74">
        <f t="shared" si="0"/>
        <v>1</v>
      </c>
      <c r="H157" s="75">
        <f t="shared" si="1"/>
        <v>61.23</v>
      </c>
      <c r="I157" s="76">
        <f t="shared" si="2"/>
        <v>61.23</v>
      </c>
      <c r="J157" s="201">
        <v>38.479999999999997</v>
      </c>
      <c r="K157" s="199">
        <v>7805</v>
      </c>
      <c r="L157" s="73">
        <v>1</v>
      </c>
      <c r="M157" s="202">
        <v>59.99</v>
      </c>
      <c r="N157" s="79">
        <f t="shared" si="3"/>
        <v>0.64144024004000655</v>
      </c>
      <c r="O157" s="80">
        <f t="shared" si="4"/>
        <v>1.5589916839916842</v>
      </c>
      <c r="P157" s="79">
        <f t="shared" si="5"/>
        <v>0.15711252653927812</v>
      </c>
      <c r="Q157" s="81">
        <f t="shared" si="6"/>
        <v>0.24493712232565737</v>
      </c>
      <c r="R157" s="203">
        <f t="shared" si="48"/>
        <v>184.92999999999998</v>
      </c>
      <c r="S157" s="83">
        <f t="shared" si="8"/>
        <v>38.479999999999997</v>
      </c>
      <c r="T157" s="84"/>
      <c r="U157" s="84"/>
      <c r="V157" s="84"/>
      <c r="W157" s="84"/>
      <c r="X157" s="85"/>
      <c r="Y157" s="68"/>
      <c r="Z157" s="68"/>
    </row>
    <row r="158" spans="1:26" ht="12.75" hidden="1" outlineLevel="1" x14ac:dyDescent="0.2">
      <c r="A158" s="68"/>
      <c r="B158" s="86"/>
      <c r="C158" s="70" t="s">
        <v>36</v>
      </c>
      <c r="D158" s="90">
        <v>579.83000000000004</v>
      </c>
      <c r="E158" s="73">
        <v>9</v>
      </c>
      <c r="F158" s="73">
        <v>9</v>
      </c>
      <c r="G158" s="74">
        <f t="shared" si="0"/>
        <v>1</v>
      </c>
      <c r="H158" s="75">
        <f t="shared" si="1"/>
        <v>64.425555555555562</v>
      </c>
      <c r="I158" s="76">
        <f t="shared" si="2"/>
        <v>64.425555555555562</v>
      </c>
      <c r="J158" s="90">
        <v>71.239999999999995</v>
      </c>
      <c r="K158" s="199">
        <v>4134</v>
      </c>
      <c r="L158" s="73">
        <v>1</v>
      </c>
      <c r="M158" s="91">
        <v>69.95</v>
      </c>
      <c r="N158" s="79">
        <f t="shared" si="3"/>
        <v>1.0184417441029305</v>
      </c>
      <c r="O158" s="80">
        <f t="shared" si="4"/>
        <v>0.98189219539584516</v>
      </c>
      <c r="P158" s="79">
        <f t="shared" si="5"/>
        <v>0.12286359795112359</v>
      </c>
      <c r="Q158" s="81">
        <f t="shared" si="6"/>
        <v>0.1206388079264612</v>
      </c>
      <c r="R158" s="92">
        <f t="shared" si="48"/>
        <v>509.88000000000005</v>
      </c>
      <c r="S158" s="83">
        <f t="shared" si="8"/>
        <v>71.239999999999995</v>
      </c>
      <c r="T158" s="84"/>
      <c r="U158" s="84"/>
      <c r="V158" s="84"/>
      <c r="W158" s="84"/>
      <c r="X158" s="85"/>
      <c r="Y158" s="68"/>
      <c r="Z158" s="68"/>
    </row>
    <row r="159" spans="1:26" ht="12.75" hidden="1" outlineLevel="1" x14ac:dyDescent="0.2">
      <c r="A159" s="68"/>
      <c r="B159" s="69" t="s">
        <v>37</v>
      </c>
      <c r="C159" s="70" t="s">
        <v>38</v>
      </c>
      <c r="D159" s="93">
        <v>33.14</v>
      </c>
      <c r="E159" s="73">
        <v>2</v>
      </c>
      <c r="F159" s="73">
        <v>5</v>
      </c>
      <c r="G159" s="74">
        <f t="shared" si="0"/>
        <v>0.4</v>
      </c>
      <c r="H159" s="75">
        <f t="shared" si="1"/>
        <v>16.57</v>
      </c>
      <c r="I159" s="76">
        <f t="shared" si="2"/>
        <v>41.424999999999997</v>
      </c>
      <c r="J159" s="93">
        <v>64.97</v>
      </c>
      <c r="K159" s="199">
        <v>8876</v>
      </c>
      <c r="L159" s="73">
        <v>0</v>
      </c>
      <c r="M159" s="94">
        <v>0</v>
      </c>
      <c r="N159" s="79" t="e">
        <f t="shared" si="3"/>
        <v>#DIV/0!</v>
      </c>
      <c r="O159" s="80">
        <f t="shared" si="4"/>
        <v>0</v>
      </c>
      <c r="P159" s="79">
        <f t="shared" si="5"/>
        <v>1.960470730235365</v>
      </c>
      <c r="Q159" s="81">
        <f t="shared" si="6"/>
        <v>0</v>
      </c>
      <c r="R159" s="95">
        <f t="shared" si="48"/>
        <v>33.14</v>
      </c>
      <c r="S159" s="83" t="e">
        <f t="shared" si="8"/>
        <v>#DIV/0!</v>
      </c>
      <c r="T159" s="84"/>
      <c r="U159" s="84"/>
      <c r="V159" s="84"/>
      <c r="W159" s="84"/>
      <c r="X159" s="85"/>
      <c r="Y159" s="68"/>
      <c r="Z159" s="68"/>
    </row>
    <row r="160" spans="1:26" ht="12.75" hidden="1" outlineLevel="1" x14ac:dyDescent="0.2">
      <c r="A160" s="68"/>
      <c r="B160" s="86"/>
      <c r="C160" s="70" t="s">
        <v>39</v>
      </c>
      <c r="D160" s="96">
        <v>99.95</v>
      </c>
      <c r="E160" s="73">
        <v>1</v>
      </c>
      <c r="F160" s="73">
        <v>1</v>
      </c>
      <c r="G160" s="74">
        <f t="shared" si="0"/>
        <v>1</v>
      </c>
      <c r="H160" s="75">
        <f t="shared" si="1"/>
        <v>99.95</v>
      </c>
      <c r="I160" s="76">
        <f t="shared" si="2"/>
        <v>99.95</v>
      </c>
      <c r="J160" s="96">
        <v>167.87</v>
      </c>
      <c r="K160" s="199">
        <v>315267</v>
      </c>
      <c r="L160" s="73">
        <v>1</v>
      </c>
      <c r="M160" s="97">
        <v>99.95</v>
      </c>
      <c r="N160" s="79">
        <f t="shared" si="3"/>
        <v>1.6795397698849426</v>
      </c>
      <c r="O160" s="80">
        <f t="shared" si="4"/>
        <v>0.59540120331208668</v>
      </c>
      <c r="P160" s="79">
        <f t="shared" si="5"/>
        <v>1.6795397698849426</v>
      </c>
      <c r="Q160" s="81">
        <f t="shared" si="6"/>
        <v>1</v>
      </c>
      <c r="R160" s="98">
        <f t="shared" si="48"/>
        <v>0</v>
      </c>
      <c r="S160" s="83">
        <f t="shared" si="8"/>
        <v>167.87</v>
      </c>
      <c r="T160" s="84"/>
      <c r="U160" s="84"/>
      <c r="V160" s="84"/>
      <c r="W160" s="84"/>
      <c r="X160" s="85"/>
      <c r="Y160" s="68"/>
      <c r="Z160" s="68"/>
    </row>
    <row r="161" spans="1:26" ht="12.75" hidden="1" outlineLevel="1" x14ac:dyDescent="0.2">
      <c r="A161" s="68"/>
      <c r="B161" s="86"/>
      <c r="C161" s="70" t="s">
        <v>40</v>
      </c>
      <c r="D161" s="99">
        <v>54.95</v>
      </c>
      <c r="E161" s="73">
        <v>1</v>
      </c>
      <c r="F161" s="73">
        <v>1</v>
      </c>
      <c r="G161" s="74">
        <f t="shared" si="0"/>
        <v>1</v>
      </c>
      <c r="H161" s="75">
        <f t="shared" si="1"/>
        <v>54.95</v>
      </c>
      <c r="I161" s="76">
        <f t="shared" si="2"/>
        <v>54.95</v>
      </c>
      <c r="J161" s="99">
        <v>0</v>
      </c>
      <c r="K161" s="199">
        <v>0</v>
      </c>
      <c r="L161" s="73">
        <v>0</v>
      </c>
      <c r="M161" s="100">
        <v>0</v>
      </c>
      <c r="N161" s="79" t="e">
        <f t="shared" si="3"/>
        <v>#DIV/0!</v>
      </c>
      <c r="O161" s="80" t="e">
        <f t="shared" si="4"/>
        <v>#DIV/0!</v>
      </c>
      <c r="P161" s="79">
        <f t="shared" si="5"/>
        <v>0</v>
      </c>
      <c r="Q161" s="81">
        <f t="shared" si="6"/>
        <v>0</v>
      </c>
      <c r="R161" s="101">
        <f t="shared" si="48"/>
        <v>54.95</v>
      </c>
      <c r="S161" s="83" t="e">
        <f t="shared" si="8"/>
        <v>#DIV/0!</v>
      </c>
      <c r="T161" s="84"/>
      <c r="U161" s="84"/>
      <c r="V161" s="84"/>
      <c r="W161" s="84"/>
      <c r="X161" s="85"/>
      <c r="Y161" s="68"/>
      <c r="Z161" s="68"/>
    </row>
    <row r="162" spans="1:26" ht="12.75" hidden="1" outlineLevel="1" x14ac:dyDescent="0.2">
      <c r="A162" s="68"/>
      <c r="B162" s="86"/>
      <c r="C162" s="70" t="s">
        <v>41</v>
      </c>
      <c r="D162" s="102">
        <v>562</v>
      </c>
      <c r="E162" s="73">
        <v>10</v>
      </c>
      <c r="F162" s="73">
        <v>11</v>
      </c>
      <c r="G162" s="74">
        <f t="shared" si="0"/>
        <v>0.90909090909090906</v>
      </c>
      <c r="H162" s="75">
        <f t="shared" si="1"/>
        <v>56.2</v>
      </c>
      <c r="I162" s="76">
        <f t="shared" si="2"/>
        <v>61.820000000000007</v>
      </c>
      <c r="J162" s="102">
        <v>41.57</v>
      </c>
      <c r="K162" s="199">
        <v>11690</v>
      </c>
      <c r="L162" s="73">
        <v>1</v>
      </c>
      <c r="M162" s="103">
        <v>55</v>
      </c>
      <c r="N162" s="79">
        <f t="shared" si="3"/>
        <v>0.75581818181818183</v>
      </c>
      <c r="O162" s="80">
        <f t="shared" si="4"/>
        <v>1.3230695212893915</v>
      </c>
      <c r="P162" s="79">
        <f t="shared" si="5"/>
        <v>7.3967971530249116E-2</v>
      </c>
      <c r="Q162" s="81">
        <f t="shared" si="6"/>
        <v>9.7864768683274025E-2</v>
      </c>
      <c r="R162" s="104">
        <f t="shared" si="48"/>
        <v>507</v>
      </c>
      <c r="S162" s="83">
        <f t="shared" si="8"/>
        <v>41.57</v>
      </c>
      <c r="T162" s="84"/>
      <c r="U162" s="84"/>
      <c r="V162" s="84"/>
      <c r="W162" s="84"/>
      <c r="X162" s="85"/>
      <c r="Y162" s="68"/>
      <c r="Z162" s="68"/>
    </row>
    <row r="163" spans="1:26" ht="12.75" hidden="1" outlineLevel="1" x14ac:dyDescent="0.2">
      <c r="A163" s="68"/>
      <c r="B163" s="86"/>
      <c r="C163" s="70" t="s">
        <v>42</v>
      </c>
      <c r="D163" s="90">
        <v>0</v>
      </c>
      <c r="E163" s="73">
        <v>0</v>
      </c>
      <c r="F163" s="73">
        <v>0</v>
      </c>
      <c r="G163" s="74" t="e">
        <f t="shared" si="0"/>
        <v>#DIV/0!</v>
      </c>
      <c r="H163" s="75" t="e">
        <f t="shared" si="1"/>
        <v>#DIV/0!</v>
      </c>
      <c r="I163" s="76" t="e">
        <f t="shared" si="2"/>
        <v>#DIV/0!</v>
      </c>
      <c r="J163" s="90">
        <v>5.47</v>
      </c>
      <c r="K163" s="199">
        <v>6439</v>
      </c>
      <c r="L163" s="73">
        <v>0</v>
      </c>
      <c r="M163" s="91">
        <v>0</v>
      </c>
      <c r="N163" s="79" t="e">
        <f t="shared" si="3"/>
        <v>#DIV/0!</v>
      </c>
      <c r="O163" s="80">
        <f t="shared" si="4"/>
        <v>0</v>
      </c>
      <c r="P163" s="79" t="e">
        <f t="shared" si="5"/>
        <v>#DIV/0!</v>
      </c>
      <c r="Q163" s="81" t="e">
        <f t="shared" si="6"/>
        <v>#DIV/0!</v>
      </c>
      <c r="R163" s="92">
        <f t="shared" si="48"/>
        <v>0</v>
      </c>
      <c r="S163" s="83" t="e">
        <f t="shared" si="8"/>
        <v>#DIV/0!</v>
      </c>
      <c r="T163" s="84"/>
      <c r="U163" s="84"/>
      <c r="V163" s="84"/>
      <c r="W163" s="84"/>
      <c r="X163" s="85"/>
      <c r="Y163" s="68"/>
      <c r="Z163" s="68"/>
    </row>
    <row r="164" spans="1:26" ht="12.75" hidden="1" outlineLevel="1" x14ac:dyDescent="0.2">
      <c r="A164" s="68"/>
      <c r="B164" s="86"/>
      <c r="C164" s="70" t="s">
        <v>43</v>
      </c>
      <c r="D164" s="105">
        <v>782.96</v>
      </c>
      <c r="E164" s="73">
        <v>5</v>
      </c>
      <c r="F164" s="73">
        <v>5</v>
      </c>
      <c r="G164" s="74">
        <f t="shared" si="0"/>
        <v>1</v>
      </c>
      <c r="H164" s="75">
        <f t="shared" si="1"/>
        <v>156.59200000000001</v>
      </c>
      <c r="I164" s="76">
        <f t="shared" si="2"/>
        <v>156.59200000000001</v>
      </c>
      <c r="J164" s="105">
        <v>26.72</v>
      </c>
      <c r="K164" s="199">
        <v>26790</v>
      </c>
      <c r="L164" s="73">
        <v>2</v>
      </c>
      <c r="M164" s="106">
        <v>312</v>
      </c>
      <c r="N164" s="79">
        <f t="shared" si="3"/>
        <v>8.5641025641025631E-2</v>
      </c>
      <c r="O164" s="80">
        <f t="shared" si="4"/>
        <v>11.676646706586826</v>
      </c>
      <c r="P164" s="79">
        <f t="shared" si="5"/>
        <v>3.4126903034637779E-2</v>
      </c>
      <c r="Q164" s="81">
        <f t="shared" si="6"/>
        <v>0.39848778992541123</v>
      </c>
      <c r="R164" s="107">
        <f t="shared" si="48"/>
        <v>470.96000000000004</v>
      </c>
      <c r="S164" s="83">
        <f t="shared" si="8"/>
        <v>13.36</v>
      </c>
      <c r="T164" s="84"/>
      <c r="U164" s="84"/>
      <c r="V164" s="84"/>
      <c r="W164" s="84"/>
      <c r="X164" s="85"/>
      <c r="Y164" s="68"/>
      <c r="Z164" s="68"/>
    </row>
    <row r="165" spans="1:26" ht="12.75" hidden="1" outlineLevel="1" x14ac:dyDescent="0.2">
      <c r="A165" s="68"/>
      <c r="B165" s="86"/>
      <c r="C165" s="70" t="s">
        <v>44</v>
      </c>
      <c r="D165" s="108">
        <v>119.9</v>
      </c>
      <c r="E165" s="73">
        <v>2</v>
      </c>
      <c r="F165" s="73">
        <v>2</v>
      </c>
      <c r="G165" s="74">
        <f t="shared" si="0"/>
        <v>1</v>
      </c>
      <c r="H165" s="75">
        <f t="shared" si="1"/>
        <v>59.95</v>
      </c>
      <c r="I165" s="76">
        <f t="shared" si="2"/>
        <v>59.95</v>
      </c>
      <c r="J165" s="108">
        <v>1.99</v>
      </c>
      <c r="K165" s="199">
        <v>876</v>
      </c>
      <c r="L165" s="73">
        <v>0</v>
      </c>
      <c r="M165" s="109">
        <v>0</v>
      </c>
      <c r="N165" s="79" t="e">
        <f t="shared" si="3"/>
        <v>#DIV/0!</v>
      </c>
      <c r="O165" s="80">
        <f t="shared" si="4"/>
        <v>0</v>
      </c>
      <c r="P165" s="79">
        <f t="shared" si="5"/>
        <v>1.659716430358632E-2</v>
      </c>
      <c r="Q165" s="81">
        <f t="shared" si="6"/>
        <v>0</v>
      </c>
      <c r="R165" s="110">
        <f t="shared" si="48"/>
        <v>119.9</v>
      </c>
      <c r="S165" s="83" t="e">
        <f t="shared" si="8"/>
        <v>#DIV/0!</v>
      </c>
      <c r="T165" s="84"/>
      <c r="U165" s="84"/>
      <c r="V165" s="84"/>
      <c r="W165" s="84"/>
      <c r="X165" s="85"/>
      <c r="Y165" s="68"/>
      <c r="Z165" s="68"/>
    </row>
    <row r="166" spans="1:26" ht="12.75" hidden="1" outlineLevel="1" x14ac:dyDescent="0.2">
      <c r="A166" s="111"/>
      <c r="B166" s="86"/>
      <c r="C166" s="112" t="s">
        <v>45</v>
      </c>
      <c r="D166" s="71">
        <v>0</v>
      </c>
      <c r="E166" s="73">
        <v>0</v>
      </c>
      <c r="F166" s="73">
        <v>0</v>
      </c>
      <c r="G166" s="74" t="e">
        <f t="shared" si="0"/>
        <v>#DIV/0!</v>
      </c>
      <c r="H166" s="75" t="e">
        <f t="shared" si="1"/>
        <v>#DIV/0!</v>
      </c>
      <c r="I166" s="76" t="e">
        <f t="shared" si="2"/>
        <v>#DIV/0!</v>
      </c>
      <c r="J166" s="71">
        <v>0</v>
      </c>
      <c r="K166" s="199">
        <v>0</v>
      </c>
      <c r="L166" s="73">
        <v>0</v>
      </c>
      <c r="M166" s="78">
        <v>0</v>
      </c>
      <c r="N166" s="79" t="e">
        <f t="shared" si="3"/>
        <v>#DIV/0!</v>
      </c>
      <c r="O166" s="80" t="e">
        <f t="shared" si="4"/>
        <v>#DIV/0!</v>
      </c>
      <c r="P166" s="79" t="e">
        <f t="shared" si="5"/>
        <v>#DIV/0!</v>
      </c>
      <c r="Q166" s="81" t="e">
        <f t="shared" si="6"/>
        <v>#DIV/0!</v>
      </c>
      <c r="R166" s="82">
        <f t="shared" si="48"/>
        <v>0</v>
      </c>
      <c r="S166" s="83" t="e">
        <f t="shared" si="8"/>
        <v>#DIV/0!</v>
      </c>
      <c r="T166" s="113"/>
      <c r="U166" s="113"/>
      <c r="V166" s="113"/>
      <c r="W166" s="114"/>
      <c r="X166" s="115"/>
      <c r="Y166" s="68"/>
      <c r="Z166" s="68"/>
    </row>
    <row r="167" spans="1:26" ht="12.75" hidden="1" outlineLevel="1" x14ac:dyDescent="0.2">
      <c r="A167" s="118"/>
      <c r="B167" s="69"/>
      <c r="C167" s="70" t="s">
        <v>46</v>
      </c>
      <c r="D167" s="116">
        <v>467.48</v>
      </c>
      <c r="E167" s="73">
        <v>13</v>
      </c>
      <c r="F167" s="73">
        <v>13</v>
      </c>
      <c r="G167" s="74">
        <f t="shared" si="0"/>
        <v>1</v>
      </c>
      <c r="H167" s="75">
        <f t="shared" si="1"/>
        <v>35.96</v>
      </c>
      <c r="I167" s="76">
        <f t="shared" si="2"/>
        <v>35.96</v>
      </c>
      <c r="J167" s="116">
        <v>71.95</v>
      </c>
      <c r="K167" s="199">
        <v>25228</v>
      </c>
      <c r="L167" s="73">
        <v>3</v>
      </c>
      <c r="M167" s="117">
        <v>107.88</v>
      </c>
      <c r="N167" s="79">
        <f t="shared" si="3"/>
        <v>0.6669447534297368</v>
      </c>
      <c r="O167" s="80">
        <f t="shared" si="4"/>
        <v>1.4993745656706046</v>
      </c>
      <c r="P167" s="79">
        <f t="shared" si="5"/>
        <v>0.15391032771455462</v>
      </c>
      <c r="Q167" s="81">
        <f t="shared" si="6"/>
        <v>0.23076923076923075</v>
      </c>
      <c r="R167" s="82">
        <f t="shared" si="48"/>
        <v>359.6</v>
      </c>
      <c r="S167" s="83">
        <f t="shared" si="8"/>
        <v>23.983333333333334</v>
      </c>
      <c r="T167" s="84"/>
      <c r="U167" s="84"/>
      <c r="V167" s="84"/>
      <c r="W167" s="84"/>
      <c r="X167" s="85"/>
      <c r="Y167" s="68"/>
      <c r="Z167" s="68"/>
    </row>
    <row r="168" spans="1:26" ht="12.75" hidden="1" outlineLevel="1" x14ac:dyDescent="0.2">
      <c r="A168" s="118" t="str">
        <f t="shared" ref="A168:A169" si="49">IFERROR(IF(B168&gt;0,MONTH(B168)&amp;"-"&amp;YEAR(B168),B168),)</f>
        <v>11-2024</v>
      </c>
      <c r="B168" s="69">
        <v>45619</v>
      </c>
      <c r="C168" s="148" t="s">
        <v>49</v>
      </c>
      <c r="D168" s="116">
        <v>0</v>
      </c>
      <c r="E168" s="73">
        <v>0</v>
      </c>
      <c r="F168" s="73">
        <v>0</v>
      </c>
      <c r="G168" s="74" t="e">
        <f t="shared" si="0"/>
        <v>#DIV/0!</v>
      </c>
      <c r="H168" s="75" t="e">
        <f t="shared" si="1"/>
        <v>#DIV/0!</v>
      </c>
      <c r="I168" s="76" t="e">
        <f t="shared" si="2"/>
        <v>#DIV/0!</v>
      </c>
      <c r="J168" s="116">
        <v>3.19</v>
      </c>
      <c r="K168" s="199">
        <v>11055</v>
      </c>
      <c r="L168" s="73">
        <v>0</v>
      </c>
      <c r="M168" s="117">
        <v>0</v>
      </c>
      <c r="N168" s="79" t="e">
        <f t="shared" si="3"/>
        <v>#DIV/0!</v>
      </c>
      <c r="O168" s="80">
        <f t="shared" si="4"/>
        <v>0</v>
      </c>
      <c r="P168" s="79" t="e">
        <f t="shared" si="5"/>
        <v>#DIV/0!</v>
      </c>
      <c r="Q168" s="81" t="e">
        <f t="shared" si="6"/>
        <v>#DIV/0!</v>
      </c>
      <c r="R168" s="82">
        <f t="shared" si="48"/>
        <v>0</v>
      </c>
      <c r="S168" s="83" t="e">
        <f t="shared" si="8"/>
        <v>#DIV/0!</v>
      </c>
      <c r="T168" s="84"/>
      <c r="U168" s="84"/>
      <c r="V168" s="84"/>
      <c r="W168" s="84"/>
      <c r="X168" s="85"/>
      <c r="Y168" s="68"/>
      <c r="Z168" s="68"/>
    </row>
    <row r="169" spans="1:26" ht="12.75" collapsed="1" x14ac:dyDescent="0.2">
      <c r="A169" s="111">
        <f t="shared" si="49"/>
        <v>0</v>
      </c>
      <c r="B169" s="206" t="s">
        <v>105</v>
      </c>
      <c r="C169" s="299"/>
      <c r="D169" s="208">
        <f t="shared" ref="D169:F169" si="50">SUM(D152:D168)</f>
        <v>15472.439999999997</v>
      </c>
      <c r="E169" s="209">
        <f t="shared" si="50"/>
        <v>88</v>
      </c>
      <c r="F169" s="209">
        <f t="shared" si="50"/>
        <v>91</v>
      </c>
      <c r="G169" s="210">
        <f t="shared" si="0"/>
        <v>0.96703296703296704</v>
      </c>
      <c r="H169" s="211">
        <f t="shared" si="1"/>
        <v>175.82318181818178</v>
      </c>
      <c r="I169" s="212">
        <f t="shared" si="2"/>
        <v>181.81715392561981</v>
      </c>
      <c r="J169" s="213">
        <f t="shared" ref="J169:M169" si="51">SUM(J152:J168)</f>
        <v>811.0500000000003</v>
      </c>
      <c r="K169" s="296">
        <f t="shared" si="51"/>
        <v>468550</v>
      </c>
      <c r="L169" s="209">
        <f t="shared" si="51"/>
        <v>22</v>
      </c>
      <c r="M169" s="208">
        <f t="shared" si="51"/>
        <v>3424.6499999999996</v>
      </c>
      <c r="N169" s="214">
        <f t="shared" si="3"/>
        <v>0.23682712101966635</v>
      </c>
      <c r="O169" s="215">
        <f t="shared" si="4"/>
        <v>4.2224893656371352</v>
      </c>
      <c r="P169" s="214">
        <f t="shared" si="5"/>
        <v>5.2419010834748786E-2</v>
      </c>
      <c r="Q169" s="216">
        <f t="shared" si="6"/>
        <v>0.2213387158069445</v>
      </c>
      <c r="R169" s="217">
        <f>SUM(R152:R168)</f>
        <v>12047.789999999997</v>
      </c>
      <c r="S169" s="218">
        <f t="shared" si="8"/>
        <v>36.865909090909106</v>
      </c>
      <c r="T169" s="300">
        <f t="shared" ref="T169:U169" si="52">IFERROR((D169-#REF!)/D169,)</f>
        <v>0</v>
      </c>
      <c r="U169" s="300">
        <f t="shared" si="52"/>
        <v>0</v>
      </c>
      <c r="V169" s="220" t="s">
        <v>139</v>
      </c>
      <c r="W169" s="221" t="s">
        <v>139</v>
      </c>
      <c r="X169" s="68"/>
      <c r="Y169" s="68"/>
      <c r="Z169" s="68"/>
    </row>
    <row r="170" spans="1:26" ht="12.75" hidden="1" outlineLevel="1" x14ac:dyDescent="0.2">
      <c r="A170" s="68"/>
      <c r="B170" s="69">
        <v>45620</v>
      </c>
      <c r="C170" s="70" t="s">
        <v>32</v>
      </c>
      <c r="D170" s="71">
        <v>13177.52</v>
      </c>
      <c r="E170" s="73">
        <v>40</v>
      </c>
      <c r="F170" s="73">
        <v>43</v>
      </c>
      <c r="G170" s="74">
        <f t="shared" si="0"/>
        <v>0.93023255813953487</v>
      </c>
      <c r="H170" s="75">
        <f t="shared" si="1"/>
        <v>329.43799999999999</v>
      </c>
      <c r="I170" s="76">
        <f t="shared" si="2"/>
        <v>354.14585</v>
      </c>
      <c r="J170" s="71">
        <v>220.45</v>
      </c>
      <c r="K170" s="199">
        <v>140</v>
      </c>
      <c r="L170" s="73">
        <v>20</v>
      </c>
      <c r="M170" s="78">
        <v>4606.57</v>
      </c>
      <c r="N170" s="79">
        <f t="shared" si="3"/>
        <v>4.7855562815717553E-2</v>
      </c>
      <c r="O170" s="80">
        <f t="shared" si="4"/>
        <v>20.896212293036971</v>
      </c>
      <c r="P170" s="79">
        <f t="shared" si="5"/>
        <v>1.6729247992034919E-2</v>
      </c>
      <c r="Q170" s="81">
        <f t="shared" si="6"/>
        <v>0.34957791754442413</v>
      </c>
      <c r="R170" s="82">
        <f t="shared" ref="R170:R186" si="53">D170-M170</f>
        <v>8570.9500000000007</v>
      </c>
      <c r="S170" s="83">
        <f t="shared" si="8"/>
        <v>11.022499999999999</v>
      </c>
      <c r="T170" s="84"/>
      <c r="U170" s="84"/>
      <c r="V170" s="84"/>
      <c r="W170" s="84"/>
      <c r="X170" s="85"/>
      <c r="Y170" s="68"/>
      <c r="Z170" s="68"/>
    </row>
    <row r="171" spans="1:26" ht="12.75" hidden="1" outlineLevel="1" x14ac:dyDescent="0.2">
      <c r="A171" s="68"/>
      <c r="B171" s="86"/>
      <c r="C171" s="70" t="s">
        <v>33</v>
      </c>
      <c r="D171" s="87">
        <v>11326.16</v>
      </c>
      <c r="E171" s="73">
        <v>45</v>
      </c>
      <c r="F171" s="73">
        <v>52</v>
      </c>
      <c r="G171" s="74">
        <f t="shared" si="0"/>
        <v>0.86538461538461542</v>
      </c>
      <c r="H171" s="75">
        <f t="shared" si="1"/>
        <v>251.69244444444445</v>
      </c>
      <c r="I171" s="76">
        <f t="shared" si="2"/>
        <v>290.84460246913579</v>
      </c>
      <c r="J171" s="87">
        <v>71.45</v>
      </c>
      <c r="K171" s="199">
        <v>42</v>
      </c>
      <c r="L171" s="73">
        <v>6</v>
      </c>
      <c r="M171" s="88">
        <v>1587.8</v>
      </c>
      <c r="N171" s="79">
        <f t="shared" si="3"/>
        <v>4.4999370197757904E-2</v>
      </c>
      <c r="O171" s="80">
        <f t="shared" si="4"/>
        <v>22.222533240027989</v>
      </c>
      <c r="P171" s="79">
        <f t="shared" si="5"/>
        <v>6.3084046137437582E-3</v>
      </c>
      <c r="Q171" s="81">
        <f t="shared" si="6"/>
        <v>0.1401887312204666</v>
      </c>
      <c r="R171" s="89">
        <f t="shared" si="53"/>
        <v>9738.36</v>
      </c>
      <c r="S171" s="83">
        <f t="shared" si="8"/>
        <v>11.908333333333333</v>
      </c>
      <c r="T171" s="84"/>
      <c r="U171" s="84"/>
      <c r="V171" s="84"/>
      <c r="W171" s="84"/>
      <c r="X171" s="85"/>
      <c r="Y171" s="68"/>
      <c r="Z171" s="68"/>
    </row>
    <row r="172" spans="1:26" ht="12.75" hidden="1" outlineLevel="1" x14ac:dyDescent="0.2">
      <c r="A172" s="68"/>
      <c r="B172" s="86"/>
      <c r="C172" s="70" t="s">
        <v>34</v>
      </c>
      <c r="D172" s="90">
        <v>69.95</v>
      </c>
      <c r="E172" s="73">
        <v>1</v>
      </c>
      <c r="F172" s="73">
        <v>1</v>
      </c>
      <c r="G172" s="74">
        <f t="shared" si="0"/>
        <v>1</v>
      </c>
      <c r="H172" s="75">
        <f t="shared" si="1"/>
        <v>69.95</v>
      </c>
      <c r="I172" s="76">
        <f t="shared" si="2"/>
        <v>69.95</v>
      </c>
      <c r="J172" s="90">
        <v>0</v>
      </c>
      <c r="K172" s="199">
        <v>0</v>
      </c>
      <c r="L172" s="73">
        <v>0</v>
      </c>
      <c r="M172" s="91">
        <v>0</v>
      </c>
      <c r="N172" s="79" t="e">
        <f t="shared" si="3"/>
        <v>#DIV/0!</v>
      </c>
      <c r="O172" s="80" t="e">
        <f t="shared" si="4"/>
        <v>#DIV/0!</v>
      </c>
      <c r="P172" s="79">
        <f t="shared" si="5"/>
        <v>0</v>
      </c>
      <c r="Q172" s="81">
        <f t="shared" si="6"/>
        <v>0</v>
      </c>
      <c r="R172" s="92">
        <f t="shared" si="53"/>
        <v>69.95</v>
      </c>
      <c r="S172" s="83" t="e">
        <f t="shared" si="8"/>
        <v>#DIV/0!</v>
      </c>
      <c r="T172" s="84"/>
      <c r="U172" s="84"/>
      <c r="V172" s="84"/>
      <c r="W172" s="84"/>
      <c r="X172" s="85"/>
      <c r="Y172" s="68"/>
      <c r="Z172" s="68"/>
    </row>
    <row r="173" spans="1:26" ht="12.75" hidden="1" outlineLevel="1" x14ac:dyDescent="0.2">
      <c r="A173" s="68"/>
      <c r="B173" s="86"/>
      <c r="C173" s="70" t="s">
        <v>35</v>
      </c>
      <c r="D173" s="90">
        <v>602.63</v>
      </c>
      <c r="E173" s="73">
        <v>10</v>
      </c>
      <c r="F173" s="73">
        <v>10</v>
      </c>
      <c r="G173" s="74">
        <f t="shared" si="0"/>
        <v>1</v>
      </c>
      <c r="H173" s="75">
        <f t="shared" si="1"/>
        <v>60.262999999999998</v>
      </c>
      <c r="I173" s="76">
        <f t="shared" si="2"/>
        <v>60.262999999999998</v>
      </c>
      <c r="J173" s="90">
        <v>91.24</v>
      </c>
      <c r="K173" s="199">
        <v>59</v>
      </c>
      <c r="L173" s="73">
        <v>4</v>
      </c>
      <c r="M173" s="91">
        <v>239.8</v>
      </c>
      <c r="N173" s="79">
        <f t="shared" si="3"/>
        <v>0.38048373644703914</v>
      </c>
      <c r="O173" s="80">
        <f t="shared" si="4"/>
        <v>2.6282332310390184</v>
      </c>
      <c r="P173" s="79">
        <f t="shared" si="5"/>
        <v>0.15140301677646317</v>
      </c>
      <c r="Q173" s="81">
        <f t="shared" si="6"/>
        <v>0.39792243997145849</v>
      </c>
      <c r="R173" s="92">
        <f t="shared" si="53"/>
        <v>362.83</v>
      </c>
      <c r="S173" s="83">
        <f t="shared" si="8"/>
        <v>22.81</v>
      </c>
      <c r="T173" s="84"/>
      <c r="U173" s="84"/>
      <c r="V173" s="84"/>
      <c r="W173" s="84"/>
      <c r="X173" s="85"/>
      <c r="Y173" s="68"/>
      <c r="Z173" s="68"/>
    </row>
    <row r="174" spans="1:26" ht="12.75" hidden="1" outlineLevel="1" x14ac:dyDescent="0.2">
      <c r="A174" s="68"/>
      <c r="B174" s="86"/>
      <c r="C174" s="70" t="s">
        <v>62</v>
      </c>
      <c r="D174" s="200">
        <v>0</v>
      </c>
      <c r="E174" s="73">
        <v>0</v>
      </c>
      <c r="F174" s="73">
        <v>0</v>
      </c>
      <c r="G174" s="74" t="e">
        <f t="shared" si="0"/>
        <v>#DIV/0!</v>
      </c>
      <c r="H174" s="75" t="e">
        <f t="shared" si="1"/>
        <v>#DIV/0!</v>
      </c>
      <c r="I174" s="76" t="e">
        <f t="shared" si="2"/>
        <v>#DIV/0!</v>
      </c>
      <c r="J174" s="200">
        <v>0</v>
      </c>
      <c r="K174" s="199">
        <v>0</v>
      </c>
      <c r="L174" s="73">
        <v>0</v>
      </c>
      <c r="M174" s="200">
        <v>0</v>
      </c>
      <c r="N174" s="79" t="e">
        <f t="shared" si="3"/>
        <v>#DIV/0!</v>
      </c>
      <c r="O174" s="80" t="e">
        <f t="shared" si="4"/>
        <v>#DIV/0!</v>
      </c>
      <c r="P174" s="79" t="e">
        <f t="shared" si="5"/>
        <v>#DIV/0!</v>
      </c>
      <c r="Q174" s="81" t="e">
        <f t="shared" si="6"/>
        <v>#DIV/0!</v>
      </c>
      <c r="R174" s="92">
        <f t="shared" si="53"/>
        <v>0</v>
      </c>
      <c r="S174" s="83" t="e">
        <f t="shared" si="8"/>
        <v>#DIV/0!</v>
      </c>
      <c r="T174" s="84"/>
      <c r="U174" s="84"/>
      <c r="V174" s="84"/>
      <c r="W174" s="84"/>
      <c r="X174" s="85"/>
      <c r="Y174" s="68"/>
      <c r="Z174" s="68"/>
    </row>
    <row r="175" spans="1:26" ht="12.75" hidden="1" outlineLevel="1" x14ac:dyDescent="0.2">
      <c r="A175" s="68"/>
      <c r="B175" s="86"/>
      <c r="C175" s="70" t="s">
        <v>66</v>
      </c>
      <c r="D175" s="201">
        <v>180.87</v>
      </c>
      <c r="E175" s="73">
        <v>3</v>
      </c>
      <c r="F175" s="73">
        <v>3</v>
      </c>
      <c r="G175" s="74">
        <f t="shared" si="0"/>
        <v>1</v>
      </c>
      <c r="H175" s="75">
        <f t="shared" si="1"/>
        <v>60.29</v>
      </c>
      <c r="I175" s="76">
        <f t="shared" si="2"/>
        <v>60.29</v>
      </c>
      <c r="J175" s="201">
        <v>28.19</v>
      </c>
      <c r="K175" s="199">
        <v>11</v>
      </c>
      <c r="L175" s="73">
        <v>0</v>
      </c>
      <c r="M175" s="202">
        <v>0</v>
      </c>
      <c r="N175" s="79" t="e">
        <f t="shared" si="3"/>
        <v>#DIV/0!</v>
      </c>
      <c r="O175" s="80">
        <f t="shared" si="4"/>
        <v>0</v>
      </c>
      <c r="P175" s="79">
        <f t="shared" si="5"/>
        <v>0.1558577984187538</v>
      </c>
      <c r="Q175" s="81">
        <f t="shared" si="6"/>
        <v>0</v>
      </c>
      <c r="R175" s="203">
        <f t="shared" si="53"/>
        <v>180.87</v>
      </c>
      <c r="S175" s="83" t="e">
        <f t="shared" si="8"/>
        <v>#DIV/0!</v>
      </c>
      <c r="T175" s="84"/>
      <c r="U175" s="84"/>
      <c r="V175" s="84"/>
      <c r="W175" s="84"/>
      <c r="X175" s="85"/>
      <c r="Y175" s="68"/>
      <c r="Z175" s="68"/>
    </row>
    <row r="176" spans="1:26" ht="12.75" hidden="1" outlineLevel="1" x14ac:dyDescent="0.2">
      <c r="A176" s="68"/>
      <c r="B176" s="86"/>
      <c r="C176" s="70" t="s">
        <v>36</v>
      </c>
      <c r="D176" s="90">
        <v>669.5</v>
      </c>
      <c r="E176" s="73">
        <v>10</v>
      </c>
      <c r="F176" s="73">
        <v>8</v>
      </c>
      <c r="G176" s="74">
        <f t="shared" si="0"/>
        <v>1.25</v>
      </c>
      <c r="H176" s="75">
        <f t="shared" si="1"/>
        <v>66.95</v>
      </c>
      <c r="I176" s="76">
        <f t="shared" si="2"/>
        <v>53.56</v>
      </c>
      <c r="J176" s="90">
        <v>100.59</v>
      </c>
      <c r="K176" s="199">
        <v>32</v>
      </c>
      <c r="L176" s="73">
        <v>3</v>
      </c>
      <c r="M176" s="91">
        <v>209.85</v>
      </c>
      <c r="N176" s="79">
        <f t="shared" si="3"/>
        <v>0.47934238741958546</v>
      </c>
      <c r="O176" s="80">
        <f t="shared" si="4"/>
        <v>2.0861914703250819</v>
      </c>
      <c r="P176" s="79">
        <f t="shared" si="5"/>
        <v>0.15024645257654967</v>
      </c>
      <c r="Q176" s="81">
        <f t="shared" si="6"/>
        <v>0.31344286781179986</v>
      </c>
      <c r="R176" s="92">
        <f t="shared" si="53"/>
        <v>459.65</v>
      </c>
      <c r="S176" s="83">
        <f t="shared" si="8"/>
        <v>33.53</v>
      </c>
      <c r="T176" s="84"/>
      <c r="U176" s="84"/>
      <c r="V176" s="84"/>
      <c r="W176" s="84"/>
      <c r="X176" s="85"/>
      <c r="Y176" s="68"/>
      <c r="Z176" s="68"/>
    </row>
    <row r="177" spans="1:26" ht="12.75" hidden="1" outlineLevel="1" x14ac:dyDescent="0.2">
      <c r="A177" s="68"/>
      <c r="B177" s="69" t="s">
        <v>37</v>
      </c>
      <c r="C177" s="70" t="s">
        <v>38</v>
      </c>
      <c r="D177" s="93">
        <v>1549.59</v>
      </c>
      <c r="E177" s="73">
        <v>36</v>
      </c>
      <c r="F177" s="73">
        <v>35</v>
      </c>
      <c r="G177" s="74">
        <f t="shared" si="0"/>
        <v>1.0285714285714285</v>
      </c>
      <c r="H177" s="75">
        <f t="shared" si="1"/>
        <v>43.044166666666662</v>
      </c>
      <c r="I177" s="76">
        <f t="shared" si="2"/>
        <v>41.848495370370372</v>
      </c>
      <c r="J177" s="93">
        <v>406.07</v>
      </c>
      <c r="K177" s="199">
        <v>234</v>
      </c>
      <c r="L177" s="73">
        <v>14</v>
      </c>
      <c r="M177" s="94">
        <v>285.83999999999997</v>
      </c>
      <c r="N177" s="79">
        <f t="shared" si="3"/>
        <v>1.4206199272320179</v>
      </c>
      <c r="O177" s="80">
        <f t="shared" si="4"/>
        <v>0.70391804368704902</v>
      </c>
      <c r="P177" s="79">
        <f t="shared" si="5"/>
        <v>0.26204996160274652</v>
      </c>
      <c r="Q177" s="81">
        <f t="shared" si="6"/>
        <v>0.18446169631967166</v>
      </c>
      <c r="R177" s="95">
        <f t="shared" si="53"/>
        <v>1263.75</v>
      </c>
      <c r="S177" s="83">
        <f t="shared" si="8"/>
        <v>29.004999999999999</v>
      </c>
      <c r="T177" s="84"/>
      <c r="U177" s="84"/>
      <c r="V177" s="84"/>
      <c r="W177" s="84"/>
      <c r="X177" s="85"/>
      <c r="Y177" s="68"/>
      <c r="Z177" s="68"/>
    </row>
    <row r="178" spans="1:26" ht="12.75" hidden="1" outlineLevel="1" x14ac:dyDescent="0.2">
      <c r="A178" s="68"/>
      <c r="B178" s="86"/>
      <c r="C178" s="70" t="s">
        <v>39</v>
      </c>
      <c r="D178" s="96">
        <v>309.77999999999997</v>
      </c>
      <c r="E178" s="73">
        <v>6</v>
      </c>
      <c r="F178" s="73">
        <v>6</v>
      </c>
      <c r="G178" s="74">
        <f t="shared" si="0"/>
        <v>1</v>
      </c>
      <c r="H178" s="75">
        <f t="shared" si="1"/>
        <v>51.629999999999995</v>
      </c>
      <c r="I178" s="76">
        <f t="shared" si="2"/>
        <v>51.629999999999995</v>
      </c>
      <c r="J178" s="96">
        <v>238.88</v>
      </c>
      <c r="K178" s="199">
        <v>161</v>
      </c>
      <c r="L178" s="73">
        <v>1</v>
      </c>
      <c r="M178" s="97">
        <v>64.97</v>
      </c>
      <c r="N178" s="79">
        <f t="shared" si="3"/>
        <v>3.6767738956441436</v>
      </c>
      <c r="O178" s="80">
        <f t="shared" si="4"/>
        <v>0.2719775619557937</v>
      </c>
      <c r="P178" s="79">
        <f t="shared" si="5"/>
        <v>0.77112789721738018</v>
      </c>
      <c r="Q178" s="81">
        <f t="shared" si="6"/>
        <v>0.20972948544128092</v>
      </c>
      <c r="R178" s="98">
        <f t="shared" si="53"/>
        <v>244.80999999999997</v>
      </c>
      <c r="S178" s="83">
        <f t="shared" si="8"/>
        <v>238.88</v>
      </c>
      <c r="T178" s="84"/>
      <c r="U178" s="84"/>
      <c r="V178" s="84"/>
      <c r="W178" s="84"/>
      <c r="X178" s="85"/>
      <c r="Y178" s="68"/>
      <c r="Z178" s="68"/>
    </row>
    <row r="179" spans="1:26" ht="12.75" hidden="1" outlineLevel="1" x14ac:dyDescent="0.2">
      <c r="A179" s="68"/>
      <c r="B179" s="86"/>
      <c r="C179" s="70" t="s">
        <v>40</v>
      </c>
      <c r="D179" s="99">
        <v>0</v>
      </c>
      <c r="E179" s="73">
        <v>0</v>
      </c>
      <c r="F179" s="73">
        <v>0</v>
      </c>
      <c r="G179" s="74" t="e">
        <f t="shared" si="0"/>
        <v>#DIV/0!</v>
      </c>
      <c r="H179" s="75" t="e">
        <f t="shared" si="1"/>
        <v>#DIV/0!</v>
      </c>
      <c r="I179" s="76" t="e">
        <f t="shared" si="2"/>
        <v>#DIV/0!</v>
      </c>
      <c r="J179" s="99">
        <v>0</v>
      </c>
      <c r="K179" s="199">
        <v>0</v>
      </c>
      <c r="L179" s="73">
        <v>0</v>
      </c>
      <c r="M179" s="100">
        <v>0</v>
      </c>
      <c r="N179" s="79" t="e">
        <f t="shared" si="3"/>
        <v>#DIV/0!</v>
      </c>
      <c r="O179" s="80" t="e">
        <f t="shared" si="4"/>
        <v>#DIV/0!</v>
      </c>
      <c r="P179" s="79" t="e">
        <f t="shared" si="5"/>
        <v>#DIV/0!</v>
      </c>
      <c r="Q179" s="81" t="e">
        <f t="shared" si="6"/>
        <v>#DIV/0!</v>
      </c>
      <c r="R179" s="101">
        <f t="shared" si="53"/>
        <v>0</v>
      </c>
      <c r="S179" s="83" t="e">
        <f t="shared" si="8"/>
        <v>#DIV/0!</v>
      </c>
      <c r="T179" s="84"/>
      <c r="U179" s="84"/>
      <c r="V179" s="84"/>
      <c r="W179" s="84"/>
      <c r="X179" s="85"/>
      <c r="Y179" s="68"/>
      <c r="Z179" s="68"/>
    </row>
    <row r="180" spans="1:26" ht="12.75" hidden="1" outlineLevel="1" x14ac:dyDescent="0.2">
      <c r="A180" s="68"/>
      <c r="B180" s="86"/>
      <c r="C180" s="70" t="s">
        <v>41</v>
      </c>
      <c r="D180" s="102">
        <v>550.99</v>
      </c>
      <c r="E180" s="73">
        <v>10</v>
      </c>
      <c r="F180" s="73">
        <v>11</v>
      </c>
      <c r="G180" s="74">
        <f t="shared" si="0"/>
        <v>0.90909090909090906</v>
      </c>
      <c r="H180" s="75">
        <f t="shared" si="1"/>
        <v>55.099000000000004</v>
      </c>
      <c r="I180" s="76">
        <f t="shared" si="2"/>
        <v>60.608900000000006</v>
      </c>
      <c r="J180" s="102">
        <v>50.59</v>
      </c>
      <c r="K180" s="199">
        <v>37</v>
      </c>
      <c r="L180" s="73">
        <v>2</v>
      </c>
      <c r="M180" s="103">
        <v>299.7</v>
      </c>
      <c r="N180" s="79">
        <f t="shared" si="3"/>
        <v>0.16880213546880216</v>
      </c>
      <c r="O180" s="80">
        <f t="shared" si="4"/>
        <v>5.9240956710812407</v>
      </c>
      <c r="P180" s="79">
        <f t="shared" si="5"/>
        <v>9.1816548394707709E-2</v>
      </c>
      <c r="Q180" s="81">
        <f t="shared" si="6"/>
        <v>0.54393001687870923</v>
      </c>
      <c r="R180" s="104">
        <f t="shared" si="53"/>
        <v>251.29000000000002</v>
      </c>
      <c r="S180" s="83">
        <f t="shared" si="8"/>
        <v>25.295000000000002</v>
      </c>
      <c r="T180" s="84"/>
      <c r="U180" s="84"/>
      <c r="V180" s="84"/>
      <c r="W180" s="84"/>
      <c r="X180" s="85"/>
      <c r="Y180" s="68"/>
      <c r="Z180" s="68"/>
    </row>
    <row r="181" spans="1:26" ht="12.75" hidden="1" outlineLevel="1" x14ac:dyDescent="0.2">
      <c r="A181" s="68"/>
      <c r="B181" s="86"/>
      <c r="C181" s="70" t="s">
        <v>42</v>
      </c>
      <c r="D181" s="90">
        <v>169.91</v>
      </c>
      <c r="E181" s="73">
        <v>5</v>
      </c>
      <c r="F181" s="73">
        <v>4</v>
      </c>
      <c r="G181" s="74">
        <f t="shared" si="0"/>
        <v>1.25</v>
      </c>
      <c r="H181" s="75">
        <f t="shared" si="1"/>
        <v>33.981999999999999</v>
      </c>
      <c r="I181" s="76">
        <f t="shared" si="2"/>
        <v>27.185600000000001</v>
      </c>
      <c r="J181" s="90">
        <v>6.14</v>
      </c>
      <c r="K181" s="199">
        <v>10</v>
      </c>
      <c r="L181" s="73">
        <v>4</v>
      </c>
      <c r="M181" s="91">
        <v>79.959999999999994</v>
      </c>
      <c r="N181" s="79">
        <f t="shared" si="3"/>
        <v>7.6788394197098556E-2</v>
      </c>
      <c r="O181" s="80">
        <f t="shared" si="4"/>
        <v>13.022801302931596</v>
      </c>
      <c r="P181" s="79">
        <f t="shared" si="5"/>
        <v>3.6136778294391145E-2</v>
      </c>
      <c r="Q181" s="81">
        <f t="shared" si="6"/>
        <v>0.47060208345594723</v>
      </c>
      <c r="R181" s="92">
        <f t="shared" si="53"/>
        <v>89.95</v>
      </c>
      <c r="S181" s="83">
        <f t="shared" si="8"/>
        <v>1.5349999999999999</v>
      </c>
      <c r="T181" s="84"/>
      <c r="U181" s="84"/>
      <c r="V181" s="84"/>
      <c r="W181" s="84"/>
      <c r="X181" s="85"/>
      <c r="Y181" s="68"/>
      <c r="Z181" s="68"/>
    </row>
    <row r="182" spans="1:26" ht="12.75" hidden="1" outlineLevel="1" x14ac:dyDescent="0.2">
      <c r="A182" s="68"/>
      <c r="B182" s="86"/>
      <c r="C182" s="70" t="s">
        <v>43</v>
      </c>
      <c r="D182" s="105">
        <v>1607.88</v>
      </c>
      <c r="E182" s="73">
        <v>11</v>
      </c>
      <c r="F182" s="73">
        <v>11</v>
      </c>
      <c r="G182" s="74">
        <f t="shared" si="0"/>
        <v>1</v>
      </c>
      <c r="H182" s="75">
        <f t="shared" si="1"/>
        <v>146.17090909090911</v>
      </c>
      <c r="I182" s="76">
        <f t="shared" si="2"/>
        <v>146.17090909090911</v>
      </c>
      <c r="J182" s="105">
        <v>49.21</v>
      </c>
      <c r="K182" s="199">
        <v>88</v>
      </c>
      <c r="L182" s="73">
        <v>3</v>
      </c>
      <c r="M182" s="106">
        <v>312</v>
      </c>
      <c r="N182" s="79">
        <f t="shared" si="3"/>
        <v>0.15772435897435896</v>
      </c>
      <c r="O182" s="80">
        <f t="shared" si="4"/>
        <v>6.3401747612273924</v>
      </c>
      <c r="P182" s="79">
        <f t="shared" si="5"/>
        <v>3.0605517824713286E-2</v>
      </c>
      <c r="Q182" s="81">
        <f t="shared" si="6"/>
        <v>0.19404433166654225</v>
      </c>
      <c r="R182" s="107">
        <f t="shared" si="53"/>
        <v>1295.8800000000001</v>
      </c>
      <c r="S182" s="83">
        <f t="shared" si="8"/>
        <v>16.403333333333332</v>
      </c>
      <c r="T182" s="84"/>
      <c r="U182" s="84"/>
      <c r="V182" s="84"/>
      <c r="W182" s="84"/>
      <c r="X182" s="85"/>
      <c r="Y182" s="68"/>
      <c r="Z182" s="68"/>
    </row>
    <row r="183" spans="1:26" ht="12.75" hidden="1" outlineLevel="1" x14ac:dyDescent="0.2">
      <c r="A183" s="68"/>
      <c r="B183" s="86"/>
      <c r="C183" s="70" t="s">
        <v>44</v>
      </c>
      <c r="D183" s="108">
        <v>0</v>
      </c>
      <c r="E183" s="73">
        <v>0</v>
      </c>
      <c r="F183" s="73">
        <v>0</v>
      </c>
      <c r="G183" s="74" t="e">
        <f t="shared" si="0"/>
        <v>#DIV/0!</v>
      </c>
      <c r="H183" s="75" t="e">
        <f t="shared" si="1"/>
        <v>#DIV/0!</v>
      </c>
      <c r="I183" s="76" t="e">
        <f t="shared" si="2"/>
        <v>#DIV/0!</v>
      </c>
      <c r="J183" s="108">
        <v>2.17</v>
      </c>
      <c r="K183" s="199">
        <v>2</v>
      </c>
      <c r="L183" s="73">
        <v>0</v>
      </c>
      <c r="M183" s="109">
        <v>0</v>
      </c>
      <c r="N183" s="79" t="e">
        <f t="shared" si="3"/>
        <v>#DIV/0!</v>
      </c>
      <c r="O183" s="80">
        <f t="shared" si="4"/>
        <v>0</v>
      </c>
      <c r="P183" s="79" t="e">
        <f t="shared" si="5"/>
        <v>#DIV/0!</v>
      </c>
      <c r="Q183" s="81" t="e">
        <f t="shared" si="6"/>
        <v>#DIV/0!</v>
      </c>
      <c r="R183" s="110">
        <f t="shared" si="53"/>
        <v>0</v>
      </c>
      <c r="S183" s="83" t="e">
        <f t="shared" si="8"/>
        <v>#DIV/0!</v>
      </c>
      <c r="T183" s="84"/>
      <c r="U183" s="84"/>
      <c r="V183" s="84"/>
      <c r="W183" s="84"/>
      <c r="X183" s="85"/>
      <c r="Y183" s="68"/>
      <c r="Z183" s="68"/>
    </row>
    <row r="184" spans="1:26" ht="12.75" hidden="1" outlineLevel="1" x14ac:dyDescent="0.2">
      <c r="A184" s="111"/>
      <c r="B184" s="86"/>
      <c r="C184" s="112" t="s">
        <v>45</v>
      </c>
      <c r="D184" s="71">
        <v>0</v>
      </c>
      <c r="E184" s="73">
        <v>0</v>
      </c>
      <c r="F184" s="73">
        <v>0</v>
      </c>
      <c r="G184" s="74" t="e">
        <f t="shared" si="0"/>
        <v>#DIV/0!</v>
      </c>
      <c r="H184" s="75" t="e">
        <f t="shared" si="1"/>
        <v>#DIV/0!</v>
      </c>
      <c r="I184" s="76" t="e">
        <f t="shared" si="2"/>
        <v>#DIV/0!</v>
      </c>
      <c r="J184" s="71">
        <v>0</v>
      </c>
      <c r="K184" s="199">
        <v>0</v>
      </c>
      <c r="L184" s="73">
        <v>5</v>
      </c>
      <c r="M184" s="78">
        <v>0</v>
      </c>
      <c r="N184" s="79" t="e">
        <f t="shared" si="3"/>
        <v>#DIV/0!</v>
      </c>
      <c r="O184" s="80" t="e">
        <f t="shared" si="4"/>
        <v>#DIV/0!</v>
      </c>
      <c r="P184" s="79" t="e">
        <f t="shared" si="5"/>
        <v>#DIV/0!</v>
      </c>
      <c r="Q184" s="81" t="e">
        <f t="shared" si="6"/>
        <v>#DIV/0!</v>
      </c>
      <c r="R184" s="82">
        <f t="shared" si="53"/>
        <v>0</v>
      </c>
      <c r="S184" s="83">
        <f t="shared" si="8"/>
        <v>0</v>
      </c>
      <c r="T184" s="113"/>
      <c r="U184" s="113"/>
      <c r="V184" s="113"/>
      <c r="W184" s="114"/>
      <c r="X184" s="115"/>
      <c r="Y184" s="68"/>
      <c r="Z184" s="68"/>
    </row>
    <row r="185" spans="1:26" ht="12.75" hidden="1" outlineLevel="1" x14ac:dyDescent="0.2">
      <c r="A185" s="118"/>
      <c r="B185" s="69"/>
      <c r="C185" s="70" t="s">
        <v>46</v>
      </c>
      <c r="D185" s="116">
        <v>323.64</v>
      </c>
      <c r="E185" s="73">
        <v>9</v>
      </c>
      <c r="F185" s="73">
        <v>12</v>
      </c>
      <c r="G185" s="74">
        <f t="shared" si="0"/>
        <v>0.75</v>
      </c>
      <c r="H185" s="75">
        <f t="shared" si="1"/>
        <v>35.96</v>
      </c>
      <c r="I185" s="76">
        <f t="shared" si="2"/>
        <v>47.946666666666665</v>
      </c>
      <c r="J185" s="116">
        <v>121.98</v>
      </c>
      <c r="K185" s="199">
        <v>108</v>
      </c>
      <c r="L185" s="73">
        <v>1</v>
      </c>
      <c r="M185" s="117">
        <v>35.96</v>
      </c>
      <c r="N185" s="79">
        <f t="shared" si="3"/>
        <v>3.3921023359288096</v>
      </c>
      <c r="O185" s="80">
        <f t="shared" si="4"/>
        <v>0.29480242662731593</v>
      </c>
      <c r="P185" s="79">
        <f t="shared" si="5"/>
        <v>0.37690025954764556</v>
      </c>
      <c r="Q185" s="81">
        <f t="shared" si="6"/>
        <v>0.11111111111111112</v>
      </c>
      <c r="R185" s="82">
        <f t="shared" si="53"/>
        <v>287.68</v>
      </c>
      <c r="S185" s="83">
        <f t="shared" si="8"/>
        <v>121.98</v>
      </c>
      <c r="T185" s="84"/>
      <c r="U185" s="84"/>
      <c r="V185" s="84"/>
      <c r="W185" s="84"/>
      <c r="X185" s="85"/>
      <c r="Y185" s="68"/>
      <c r="Z185" s="68"/>
    </row>
    <row r="186" spans="1:26" ht="12.75" hidden="1" outlineLevel="1" x14ac:dyDescent="0.2">
      <c r="A186" s="118" t="str">
        <f t="shared" ref="A186:A187" si="54">IFERROR(IF(B186&gt;0,MONTH(B186)&amp;"-"&amp;YEAR(B186),B186),)</f>
        <v>11-2024</v>
      </c>
      <c r="B186" s="69">
        <v>45626</v>
      </c>
      <c r="C186" s="148" t="s">
        <v>49</v>
      </c>
      <c r="D186" s="116">
        <v>146.96</v>
      </c>
      <c r="E186" s="73">
        <v>1</v>
      </c>
      <c r="F186" s="73">
        <v>1</v>
      </c>
      <c r="G186" s="74">
        <f t="shared" si="0"/>
        <v>1</v>
      </c>
      <c r="H186" s="75">
        <f t="shared" si="1"/>
        <v>146.96</v>
      </c>
      <c r="I186" s="76">
        <f t="shared" si="2"/>
        <v>146.96</v>
      </c>
      <c r="J186" s="116">
        <v>4.17</v>
      </c>
      <c r="K186" s="199">
        <v>11</v>
      </c>
      <c r="L186" s="73">
        <v>1</v>
      </c>
      <c r="M186" s="117">
        <v>146.96</v>
      </c>
      <c r="N186" s="79">
        <f t="shared" si="3"/>
        <v>2.8375068045726728E-2</v>
      </c>
      <c r="O186" s="80">
        <f t="shared" si="4"/>
        <v>35.242206235011992</v>
      </c>
      <c r="P186" s="79">
        <f t="shared" si="5"/>
        <v>2.8375068045726728E-2</v>
      </c>
      <c r="Q186" s="81">
        <f t="shared" si="6"/>
        <v>1</v>
      </c>
      <c r="R186" s="82">
        <f t="shared" si="53"/>
        <v>0</v>
      </c>
      <c r="S186" s="83">
        <f t="shared" si="8"/>
        <v>4.17</v>
      </c>
      <c r="T186" s="84"/>
      <c r="U186" s="84"/>
      <c r="V186" s="84"/>
      <c r="W186" s="84"/>
      <c r="X186" s="85"/>
      <c r="Y186" s="68"/>
      <c r="Z186" s="68"/>
    </row>
    <row r="187" spans="1:26" ht="12.75" collapsed="1" x14ac:dyDescent="0.2">
      <c r="A187" s="111">
        <f t="shared" si="54"/>
        <v>0</v>
      </c>
      <c r="B187" s="206" t="s">
        <v>106</v>
      </c>
      <c r="C187" s="299"/>
      <c r="D187" s="208">
        <f t="shared" ref="D187:F187" si="55">SUM(D170:D186)</f>
        <v>30685.38</v>
      </c>
      <c r="E187" s="209">
        <f t="shared" si="55"/>
        <v>187</v>
      </c>
      <c r="F187" s="209">
        <f t="shared" si="55"/>
        <v>197</v>
      </c>
      <c r="G187" s="210">
        <f t="shared" si="0"/>
        <v>0.949238578680203</v>
      </c>
      <c r="H187" s="211">
        <f t="shared" si="1"/>
        <v>164.09294117647059</v>
      </c>
      <c r="I187" s="212">
        <f t="shared" si="2"/>
        <v>172.86796476879522</v>
      </c>
      <c r="J187" s="213">
        <f t="shared" ref="J187:M187" si="56">SUM(J170:J186)</f>
        <v>1391.13</v>
      </c>
      <c r="K187" s="296">
        <f t="shared" si="56"/>
        <v>935</v>
      </c>
      <c r="L187" s="209">
        <f t="shared" si="56"/>
        <v>64</v>
      </c>
      <c r="M187" s="208">
        <f t="shared" si="56"/>
        <v>7869.4100000000008</v>
      </c>
      <c r="N187" s="214">
        <f t="shared" si="3"/>
        <v>0.17677691211920588</v>
      </c>
      <c r="O187" s="215">
        <f t="shared" si="4"/>
        <v>5.6568473111786819</v>
      </c>
      <c r="P187" s="214">
        <f t="shared" si="5"/>
        <v>4.533527041216371E-2</v>
      </c>
      <c r="Q187" s="216">
        <f t="shared" si="6"/>
        <v>0.25645470253260677</v>
      </c>
      <c r="R187" s="217">
        <f>SUM(R170:R186)</f>
        <v>22815.970000000008</v>
      </c>
      <c r="S187" s="218">
        <f t="shared" si="8"/>
        <v>21.736406250000002</v>
      </c>
      <c r="T187" s="300">
        <f t="shared" ref="T187:U187" si="57">IFERROR((D187-#REF!)/D187,)</f>
        <v>0</v>
      </c>
      <c r="U187" s="300">
        <f t="shared" si="57"/>
        <v>0</v>
      </c>
      <c r="V187" s="220" t="s">
        <v>139</v>
      </c>
      <c r="W187" s="221" t="s">
        <v>139</v>
      </c>
      <c r="X187" s="68"/>
      <c r="Y187" s="68"/>
      <c r="Z187" s="68"/>
    </row>
    <row r="188" spans="1:26" ht="12.75" hidden="1" outlineLevel="1" x14ac:dyDescent="0.2">
      <c r="A188" s="68"/>
      <c r="B188" s="69">
        <v>45627</v>
      </c>
      <c r="C188" s="70" t="s">
        <v>32</v>
      </c>
      <c r="D188" s="71">
        <v>7360.63</v>
      </c>
      <c r="E188" s="73">
        <v>25</v>
      </c>
      <c r="F188" s="73">
        <v>27</v>
      </c>
      <c r="G188" s="74">
        <f t="shared" si="0"/>
        <v>0.92592592592592593</v>
      </c>
      <c r="H188" s="75">
        <f t="shared" si="1"/>
        <v>294.42520000000002</v>
      </c>
      <c r="I188" s="76">
        <f t="shared" si="2"/>
        <v>317.97921600000001</v>
      </c>
      <c r="J188" s="71">
        <v>79.989999999999995</v>
      </c>
      <c r="K188" s="199">
        <v>26192</v>
      </c>
      <c r="L188" s="73">
        <v>5</v>
      </c>
      <c r="M188" s="78">
        <v>1230.03</v>
      </c>
      <c r="N188" s="79">
        <f t="shared" si="3"/>
        <v>6.5030934204856783E-2</v>
      </c>
      <c r="O188" s="80">
        <f t="shared" si="4"/>
        <v>15.377297162145268</v>
      </c>
      <c r="P188" s="79">
        <f t="shared" si="5"/>
        <v>1.0867276306511806E-2</v>
      </c>
      <c r="Q188" s="81">
        <f t="shared" si="6"/>
        <v>0.1671093371083725</v>
      </c>
      <c r="R188" s="82">
        <f t="shared" ref="R188:R204" si="58">D188-M188</f>
        <v>6130.6</v>
      </c>
      <c r="S188" s="83">
        <f t="shared" si="8"/>
        <v>15.997999999999999</v>
      </c>
      <c r="T188" s="84"/>
      <c r="U188" s="84"/>
      <c r="V188" s="84"/>
      <c r="W188" s="84"/>
      <c r="X188" s="85"/>
      <c r="Y188" s="68"/>
      <c r="Z188" s="68"/>
    </row>
    <row r="189" spans="1:26" ht="12.75" hidden="1" outlineLevel="1" x14ac:dyDescent="0.2">
      <c r="A189" s="68"/>
      <c r="B189" s="86"/>
      <c r="C189" s="70" t="s">
        <v>33</v>
      </c>
      <c r="D189" s="87">
        <v>17172.03</v>
      </c>
      <c r="E189" s="73">
        <v>61</v>
      </c>
      <c r="F189" s="73">
        <v>72</v>
      </c>
      <c r="G189" s="74">
        <f t="shared" si="0"/>
        <v>0.84722222222222221</v>
      </c>
      <c r="H189" s="75">
        <f t="shared" si="1"/>
        <v>281.50868852459013</v>
      </c>
      <c r="I189" s="76">
        <f t="shared" si="2"/>
        <v>332.27255038968013</v>
      </c>
      <c r="J189" s="87">
        <v>111.67</v>
      </c>
      <c r="K189" s="199">
        <v>16225</v>
      </c>
      <c r="L189" s="73">
        <v>13</v>
      </c>
      <c r="M189" s="88">
        <v>2490.16</v>
      </c>
      <c r="N189" s="79">
        <f t="shared" si="3"/>
        <v>4.4844507983422759E-2</v>
      </c>
      <c r="O189" s="80">
        <f t="shared" si="4"/>
        <v>22.299274648517954</v>
      </c>
      <c r="P189" s="79">
        <f t="shared" si="5"/>
        <v>6.5030168244523219E-3</v>
      </c>
      <c r="Q189" s="81">
        <f t="shared" si="6"/>
        <v>0.14501255821239539</v>
      </c>
      <c r="R189" s="89">
        <f t="shared" si="58"/>
        <v>14681.869999999999</v>
      </c>
      <c r="S189" s="83">
        <f t="shared" si="8"/>
        <v>8.59</v>
      </c>
      <c r="T189" s="84"/>
      <c r="U189" s="84"/>
      <c r="V189" s="84"/>
      <c r="W189" s="84"/>
      <c r="X189" s="85"/>
      <c r="Y189" s="68"/>
      <c r="Z189" s="68"/>
    </row>
    <row r="190" spans="1:26" ht="12.75" hidden="1" outlineLevel="1" x14ac:dyDescent="0.2">
      <c r="A190" s="68"/>
      <c r="B190" s="86"/>
      <c r="C190" s="70" t="s">
        <v>34</v>
      </c>
      <c r="D190" s="90">
        <v>-69.95</v>
      </c>
      <c r="E190" s="73">
        <v>-1</v>
      </c>
      <c r="F190" s="73">
        <v>0</v>
      </c>
      <c r="G190" s="74" t="e">
        <f t="shared" si="0"/>
        <v>#DIV/0!</v>
      </c>
      <c r="H190" s="75">
        <f t="shared" si="1"/>
        <v>69.95</v>
      </c>
      <c r="I190" s="76" t="e">
        <f t="shared" si="2"/>
        <v>#DIV/0!</v>
      </c>
      <c r="J190" s="90">
        <v>0</v>
      </c>
      <c r="K190" s="199">
        <v>0</v>
      </c>
      <c r="L190" s="73">
        <v>0</v>
      </c>
      <c r="M190" s="91">
        <v>0</v>
      </c>
      <c r="N190" s="79" t="e">
        <f t="shared" si="3"/>
        <v>#DIV/0!</v>
      </c>
      <c r="O190" s="80" t="e">
        <f t="shared" si="4"/>
        <v>#DIV/0!</v>
      </c>
      <c r="P190" s="79">
        <f t="shared" si="5"/>
        <v>0</v>
      </c>
      <c r="Q190" s="81">
        <f t="shared" si="6"/>
        <v>0</v>
      </c>
      <c r="R190" s="92">
        <f t="shared" si="58"/>
        <v>-69.95</v>
      </c>
      <c r="S190" s="83" t="e">
        <f t="shared" si="8"/>
        <v>#DIV/0!</v>
      </c>
      <c r="T190" s="84"/>
      <c r="U190" s="84"/>
      <c r="V190" s="84"/>
      <c r="W190" s="84"/>
      <c r="X190" s="85"/>
      <c r="Y190" s="68"/>
      <c r="Z190" s="68"/>
    </row>
    <row r="191" spans="1:26" ht="12.75" hidden="1" outlineLevel="1" x14ac:dyDescent="0.2">
      <c r="A191" s="68"/>
      <c r="B191" s="86"/>
      <c r="C191" s="70" t="s">
        <v>35</v>
      </c>
      <c r="D191" s="90">
        <v>479.6</v>
      </c>
      <c r="E191" s="73">
        <v>8</v>
      </c>
      <c r="F191" s="73">
        <v>6</v>
      </c>
      <c r="G191" s="74">
        <f t="shared" si="0"/>
        <v>1.3333333333333333</v>
      </c>
      <c r="H191" s="75">
        <f t="shared" si="1"/>
        <v>59.95</v>
      </c>
      <c r="I191" s="76">
        <f t="shared" si="2"/>
        <v>44.962500000000006</v>
      </c>
      <c r="J191" s="90">
        <v>88.11</v>
      </c>
      <c r="K191" s="199">
        <v>7703</v>
      </c>
      <c r="L191" s="73">
        <v>4</v>
      </c>
      <c r="M191" s="91">
        <v>239.8</v>
      </c>
      <c r="N191" s="79">
        <f t="shared" si="3"/>
        <v>0.36743119266055047</v>
      </c>
      <c r="O191" s="80">
        <f t="shared" si="4"/>
        <v>2.7215980024968789</v>
      </c>
      <c r="P191" s="79">
        <f t="shared" si="5"/>
        <v>0.18371559633027523</v>
      </c>
      <c r="Q191" s="81">
        <f t="shared" si="6"/>
        <v>0.5</v>
      </c>
      <c r="R191" s="92">
        <f t="shared" si="58"/>
        <v>239.8</v>
      </c>
      <c r="S191" s="83">
        <f t="shared" si="8"/>
        <v>22.0275</v>
      </c>
      <c r="T191" s="84"/>
      <c r="U191" s="84"/>
      <c r="V191" s="84"/>
      <c r="W191" s="84"/>
      <c r="X191" s="85"/>
      <c r="Y191" s="68"/>
      <c r="Z191" s="68"/>
    </row>
    <row r="192" spans="1:26" ht="12.75" hidden="1" outlineLevel="1" x14ac:dyDescent="0.2">
      <c r="A192" s="68"/>
      <c r="B192" s="86"/>
      <c r="C192" s="70" t="s">
        <v>62</v>
      </c>
      <c r="D192" s="200">
        <v>0</v>
      </c>
      <c r="E192" s="73">
        <v>0</v>
      </c>
      <c r="F192" s="73">
        <v>0</v>
      </c>
      <c r="G192" s="74" t="e">
        <f t="shared" si="0"/>
        <v>#DIV/0!</v>
      </c>
      <c r="H192" s="75" t="e">
        <f t="shared" si="1"/>
        <v>#DIV/0!</v>
      </c>
      <c r="I192" s="76" t="e">
        <f t="shared" si="2"/>
        <v>#DIV/0!</v>
      </c>
      <c r="J192" s="200">
        <v>0</v>
      </c>
      <c r="K192" s="199">
        <v>0</v>
      </c>
      <c r="L192" s="73">
        <v>0</v>
      </c>
      <c r="M192" s="200">
        <v>0</v>
      </c>
      <c r="N192" s="79" t="e">
        <f t="shared" si="3"/>
        <v>#DIV/0!</v>
      </c>
      <c r="O192" s="80" t="e">
        <f t="shared" si="4"/>
        <v>#DIV/0!</v>
      </c>
      <c r="P192" s="79" t="e">
        <f t="shared" si="5"/>
        <v>#DIV/0!</v>
      </c>
      <c r="Q192" s="81" t="e">
        <f t="shared" si="6"/>
        <v>#DIV/0!</v>
      </c>
      <c r="R192" s="92">
        <f t="shared" si="58"/>
        <v>0</v>
      </c>
      <c r="S192" s="83" t="e">
        <f t="shared" si="8"/>
        <v>#DIV/0!</v>
      </c>
      <c r="T192" s="84"/>
      <c r="U192" s="84"/>
      <c r="V192" s="84"/>
      <c r="W192" s="84"/>
      <c r="X192" s="85"/>
      <c r="Y192" s="68"/>
      <c r="Z192" s="68"/>
    </row>
    <row r="193" spans="1:26" ht="12.75" hidden="1" outlineLevel="1" x14ac:dyDescent="0.2">
      <c r="A193" s="68"/>
      <c r="B193" s="86"/>
      <c r="C193" s="70" t="s">
        <v>66</v>
      </c>
      <c r="D193" s="201">
        <v>59.99</v>
      </c>
      <c r="E193" s="73">
        <v>1</v>
      </c>
      <c r="F193" s="73">
        <v>1</v>
      </c>
      <c r="G193" s="74">
        <f t="shared" si="0"/>
        <v>1</v>
      </c>
      <c r="H193" s="75">
        <f t="shared" si="1"/>
        <v>59.99</v>
      </c>
      <c r="I193" s="76">
        <f t="shared" si="2"/>
        <v>59.99</v>
      </c>
      <c r="J193" s="201">
        <v>36.18</v>
      </c>
      <c r="K193" s="199">
        <v>10669</v>
      </c>
      <c r="L193" s="73">
        <v>0</v>
      </c>
      <c r="M193" s="202">
        <v>0</v>
      </c>
      <c r="N193" s="79" t="e">
        <f t="shared" si="3"/>
        <v>#DIV/0!</v>
      </c>
      <c r="O193" s="80">
        <f t="shared" si="4"/>
        <v>0</v>
      </c>
      <c r="P193" s="79">
        <f t="shared" si="5"/>
        <v>0.60310051675279208</v>
      </c>
      <c r="Q193" s="81">
        <f t="shared" si="6"/>
        <v>0</v>
      </c>
      <c r="R193" s="203">
        <f t="shared" si="58"/>
        <v>59.99</v>
      </c>
      <c r="S193" s="83" t="e">
        <f t="shared" si="8"/>
        <v>#DIV/0!</v>
      </c>
      <c r="T193" s="84"/>
      <c r="U193" s="84"/>
      <c r="V193" s="84"/>
      <c r="W193" s="84"/>
      <c r="X193" s="85"/>
      <c r="Y193" s="68"/>
      <c r="Z193" s="68"/>
    </row>
    <row r="194" spans="1:26" ht="12.75" hidden="1" outlineLevel="1" x14ac:dyDescent="0.2">
      <c r="A194" s="68"/>
      <c r="B194" s="86"/>
      <c r="C194" s="70" t="s">
        <v>36</v>
      </c>
      <c r="D194" s="90">
        <v>474.88</v>
      </c>
      <c r="E194" s="73">
        <v>8</v>
      </c>
      <c r="F194" s="73">
        <v>8</v>
      </c>
      <c r="G194" s="74">
        <f t="shared" si="0"/>
        <v>1</v>
      </c>
      <c r="H194" s="75">
        <f t="shared" si="1"/>
        <v>59.36</v>
      </c>
      <c r="I194" s="76">
        <f t="shared" si="2"/>
        <v>59.36</v>
      </c>
      <c r="J194" s="90">
        <v>108.74</v>
      </c>
      <c r="K194" s="199">
        <v>3994</v>
      </c>
      <c r="L194" s="73">
        <v>0</v>
      </c>
      <c r="M194" s="91">
        <v>0</v>
      </c>
      <c r="N194" s="79" t="e">
        <f t="shared" si="3"/>
        <v>#DIV/0!</v>
      </c>
      <c r="O194" s="80">
        <f t="shared" si="4"/>
        <v>0</v>
      </c>
      <c r="P194" s="79">
        <f t="shared" si="5"/>
        <v>0.22898416442048516</v>
      </c>
      <c r="Q194" s="81">
        <f t="shared" si="6"/>
        <v>0</v>
      </c>
      <c r="R194" s="92">
        <f t="shared" si="58"/>
        <v>474.88</v>
      </c>
      <c r="S194" s="83" t="e">
        <f t="shared" si="8"/>
        <v>#DIV/0!</v>
      </c>
      <c r="T194" s="84"/>
      <c r="U194" s="84"/>
      <c r="V194" s="84"/>
      <c r="W194" s="84"/>
      <c r="X194" s="85"/>
      <c r="Y194" s="68"/>
      <c r="Z194" s="68"/>
    </row>
    <row r="195" spans="1:26" ht="12.75" hidden="1" outlineLevel="1" x14ac:dyDescent="0.2">
      <c r="A195" s="68"/>
      <c r="B195" s="69" t="s">
        <v>37</v>
      </c>
      <c r="C195" s="70" t="s">
        <v>38</v>
      </c>
      <c r="D195" s="93">
        <v>1623.45</v>
      </c>
      <c r="E195" s="73">
        <v>23</v>
      </c>
      <c r="F195" s="73">
        <v>29</v>
      </c>
      <c r="G195" s="74">
        <f t="shared" si="0"/>
        <v>0.7931034482758621</v>
      </c>
      <c r="H195" s="75">
        <f t="shared" si="1"/>
        <v>70.584782608695647</v>
      </c>
      <c r="I195" s="76">
        <f t="shared" si="2"/>
        <v>88.998204158790159</v>
      </c>
      <c r="J195" s="93">
        <v>254.35</v>
      </c>
      <c r="K195" s="199">
        <v>21511</v>
      </c>
      <c r="L195" s="73">
        <v>2</v>
      </c>
      <c r="M195" s="94">
        <v>43.12</v>
      </c>
      <c r="N195" s="79">
        <f t="shared" si="3"/>
        <v>5.8986549165120596</v>
      </c>
      <c r="O195" s="80">
        <f t="shared" si="4"/>
        <v>0.16953017495576961</v>
      </c>
      <c r="P195" s="79">
        <f t="shared" si="5"/>
        <v>0.15667251840216823</v>
      </c>
      <c r="Q195" s="81">
        <f t="shared" si="6"/>
        <v>2.6560719455480612E-2</v>
      </c>
      <c r="R195" s="95">
        <f t="shared" si="58"/>
        <v>1580.3300000000002</v>
      </c>
      <c r="S195" s="83">
        <f t="shared" si="8"/>
        <v>127.175</v>
      </c>
      <c r="T195" s="84"/>
      <c r="U195" s="84"/>
      <c r="V195" s="84"/>
      <c r="W195" s="84"/>
      <c r="X195" s="85"/>
      <c r="Y195" s="68"/>
      <c r="Z195" s="68"/>
    </row>
    <row r="196" spans="1:26" ht="12.75" hidden="1" outlineLevel="1" x14ac:dyDescent="0.2">
      <c r="A196" s="68"/>
      <c r="B196" s="86"/>
      <c r="C196" s="70" t="s">
        <v>39</v>
      </c>
      <c r="D196" s="96">
        <v>284.83</v>
      </c>
      <c r="E196" s="73">
        <v>5</v>
      </c>
      <c r="F196" s="73">
        <v>5</v>
      </c>
      <c r="G196" s="74">
        <f t="shared" si="0"/>
        <v>1</v>
      </c>
      <c r="H196" s="75">
        <f t="shared" si="1"/>
        <v>56.965999999999994</v>
      </c>
      <c r="I196" s="76">
        <f t="shared" si="2"/>
        <v>56.965999999999994</v>
      </c>
      <c r="J196" s="96">
        <v>102.1</v>
      </c>
      <c r="K196" s="199">
        <v>143493</v>
      </c>
      <c r="L196" s="73">
        <v>0</v>
      </c>
      <c r="M196" s="97">
        <v>0</v>
      </c>
      <c r="N196" s="79" t="e">
        <f t="shared" si="3"/>
        <v>#DIV/0!</v>
      </c>
      <c r="O196" s="80">
        <f t="shared" si="4"/>
        <v>0</v>
      </c>
      <c r="P196" s="79">
        <f t="shared" si="5"/>
        <v>0.35845943194186003</v>
      </c>
      <c r="Q196" s="81">
        <f t="shared" si="6"/>
        <v>0</v>
      </c>
      <c r="R196" s="98">
        <f t="shared" si="58"/>
        <v>284.83</v>
      </c>
      <c r="S196" s="83" t="e">
        <f t="shared" si="8"/>
        <v>#DIV/0!</v>
      </c>
      <c r="T196" s="84"/>
      <c r="U196" s="84"/>
      <c r="V196" s="84"/>
      <c r="W196" s="84"/>
      <c r="X196" s="85"/>
      <c r="Y196" s="68"/>
      <c r="Z196" s="68"/>
    </row>
    <row r="197" spans="1:26" ht="12.75" hidden="1" outlineLevel="1" x14ac:dyDescent="0.2">
      <c r="A197" s="68"/>
      <c r="B197" s="86"/>
      <c r="C197" s="70" t="s">
        <v>40</v>
      </c>
      <c r="D197" s="99">
        <v>0</v>
      </c>
      <c r="E197" s="73">
        <v>0</v>
      </c>
      <c r="F197" s="73">
        <v>0</v>
      </c>
      <c r="G197" s="74" t="e">
        <f t="shared" si="0"/>
        <v>#DIV/0!</v>
      </c>
      <c r="H197" s="75" t="e">
        <f t="shared" si="1"/>
        <v>#DIV/0!</v>
      </c>
      <c r="I197" s="76" t="e">
        <f t="shared" si="2"/>
        <v>#DIV/0!</v>
      </c>
      <c r="J197" s="99">
        <v>0</v>
      </c>
      <c r="K197" s="199">
        <v>0</v>
      </c>
      <c r="L197" s="73">
        <v>0</v>
      </c>
      <c r="M197" s="100">
        <v>0</v>
      </c>
      <c r="N197" s="79" t="e">
        <f t="shared" si="3"/>
        <v>#DIV/0!</v>
      </c>
      <c r="O197" s="80" t="e">
        <f t="shared" si="4"/>
        <v>#DIV/0!</v>
      </c>
      <c r="P197" s="79" t="e">
        <f t="shared" si="5"/>
        <v>#DIV/0!</v>
      </c>
      <c r="Q197" s="81" t="e">
        <f t="shared" si="6"/>
        <v>#DIV/0!</v>
      </c>
      <c r="R197" s="101">
        <f t="shared" si="58"/>
        <v>0</v>
      </c>
      <c r="S197" s="83" t="e">
        <f t="shared" si="8"/>
        <v>#DIV/0!</v>
      </c>
      <c r="T197" s="84"/>
      <c r="U197" s="84"/>
      <c r="V197" s="84"/>
      <c r="W197" s="84"/>
      <c r="X197" s="85"/>
      <c r="Y197" s="68"/>
      <c r="Z197" s="68"/>
    </row>
    <row r="198" spans="1:26" ht="12.75" hidden="1" outlineLevel="1" x14ac:dyDescent="0.2">
      <c r="A198" s="68"/>
      <c r="B198" s="86"/>
      <c r="C198" s="70" t="s">
        <v>41</v>
      </c>
      <c r="D198" s="102">
        <v>1560.55</v>
      </c>
      <c r="E198" s="73">
        <v>23</v>
      </c>
      <c r="F198" s="73">
        <v>19</v>
      </c>
      <c r="G198" s="74">
        <f t="shared" si="0"/>
        <v>1.2105263157894737</v>
      </c>
      <c r="H198" s="75">
        <f t="shared" si="1"/>
        <v>67.849999999999994</v>
      </c>
      <c r="I198" s="76">
        <f t="shared" si="2"/>
        <v>56.05</v>
      </c>
      <c r="J198" s="102">
        <v>59.72</v>
      </c>
      <c r="K198" s="199">
        <v>12017</v>
      </c>
      <c r="L198" s="73">
        <v>9</v>
      </c>
      <c r="M198" s="103">
        <v>1025.0999999999999</v>
      </c>
      <c r="N198" s="79">
        <f t="shared" si="3"/>
        <v>5.8257730953077749E-2</v>
      </c>
      <c r="O198" s="80">
        <f t="shared" si="4"/>
        <v>17.165103817816476</v>
      </c>
      <c r="P198" s="79">
        <f t="shared" si="5"/>
        <v>3.826855916183397E-2</v>
      </c>
      <c r="Q198" s="81">
        <f t="shared" si="6"/>
        <v>0.65688379097113192</v>
      </c>
      <c r="R198" s="104">
        <f t="shared" si="58"/>
        <v>535.45000000000005</v>
      </c>
      <c r="S198" s="83">
        <f t="shared" si="8"/>
        <v>6.6355555555555554</v>
      </c>
      <c r="T198" s="84"/>
      <c r="U198" s="84"/>
      <c r="V198" s="84"/>
      <c r="W198" s="84"/>
      <c r="X198" s="85"/>
      <c r="Y198" s="68"/>
      <c r="Z198" s="68"/>
    </row>
    <row r="199" spans="1:26" ht="12.75" hidden="1" outlineLevel="1" x14ac:dyDescent="0.2">
      <c r="A199" s="68"/>
      <c r="B199" s="86"/>
      <c r="C199" s="70" t="s">
        <v>42</v>
      </c>
      <c r="D199" s="90">
        <v>-0.01</v>
      </c>
      <c r="E199" s="73">
        <v>-1</v>
      </c>
      <c r="F199" s="73">
        <v>2</v>
      </c>
      <c r="G199" s="74">
        <f t="shared" si="0"/>
        <v>-0.5</v>
      </c>
      <c r="H199" s="75">
        <f t="shared" si="1"/>
        <v>0.01</v>
      </c>
      <c r="I199" s="76">
        <f t="shared" si="2"/>
        <v>-0.02</v>
      </c>
      <c r="J199" s="90">
        <v>13.12</v>
      </c>
      <c r="K199" s="199">
        <v>12415</v>
      </c>
      <c r="L199" s="73">
        <v>2</v>
      </c>
      <c r="M199" s="91">
        <v>119.93</v>
      </c>
      <c r="N199" s="79">
        <f t="shared" si="3"/>
        <v>0.10939714833652962</v>
      </c>
      <c r="O199" s="80">
        <f t="shared" si="4"/>
        <v>9.141006097560977</v>
      </c>
      <c r="P199" s="79">
        <f t="shared" si="5"/>
        <v>-1312</v>
      </c>
      <c r="Q199" s="81">
        <f t="shared" si="6"/>
        <v>-11993</v>
      </c>
      <c r="R199" s="92">
        <f t="shared" si="58"/>
        <v>-119.94000000000001</v>
      </c>
      <c r="S199" s="83">
        <f t="shared" si="8"/>
        <v>6.56</v>
      </c>
      <c r="T199" s="84"/>
      <c r="U199" s="84"/>
      <c r="V199" s="84"/>
      <c r="W199" s="84"/>
      <c r="X199" s="85"/>
      <c r="Y199" s="68"/>
      <c r="Z199" s="68"/>
    </row>
    <row r="200" spans="1:26" ht="12.75" hidden="1" outlineLevel="1" x14ac:dyDescent="0.2">
      <c r="A200" s="68"/>
      <c r="B200" s="86"/>
      <c r="C200" s="70" t="s">
        <v>43</v>
      </c>
      <c r="D200" s="105">
        <v>1823.99</v>
      </c>
      <c r="E200" s="73">
        <v>11</v>
      </c>
      <c r="F200" s="73">
        <v>12</v>
      </c>
      <c r="G200" s="74">
        <f t="shared" si="0"/>
        <v>0.91666666666666663</v>
      </c>
      <c r="H200" s="75">
        <f t="shared" si="1"/>
        <v>165.81727272727272</v>
      </c>
      <c r="I200" s="76">
        <f t="shared" si="2"/>
        <v>180.89157024793388</v>
      </c>
      <c r="J200" s="105">
        <v>30.37</v>
      </c>
      <c r="K200" s="199">
        <v>29346</v>
      </c>
      <c r="L200" s="73">
        <v>6</v>
      </c>
      <c r="M200" s="106">
        <v>975</v>
      </c>
      <c r="N200" s="79">
        <f t="shared" si="3"/>
        <v>3.1148717948717951E-2</v>
      </c>
      <c r="O200" s="80">
        <f t="shared" si="4"/>
        <v>32.104050049390843</v>
      </c>
      <c r="P200" s="79">
        <f t="shared" si="5"/>
        <v>1.6650310582843109E-2</v>
      </c>
      <c r="Q200" s="81">
        <f t="shared" si="6"/>
        <v>0.53454240428949718</v>
      </c>
      <c r="R200" s="107">
        <f t="shared" si="58"/>
        <v>848.99</v>
      </c>
      <c r="S200" s="83">
        <f t="shared" si="8"/>
        <v>5.0616666666666665</v>
      </c>
      <c r="T200" s="84"/>
      <c r="U200" s="84"/>
      <c r="V200" s="84"/>
      <c r="W200" s="84"/>
      <c r="X200" s="85"/>
      <c r="Y200" s="68"/>
      <c r="Z200" s="68"/>
    </row>
    <row r="201" spans="1:26" ht="12.75" hidden="1" outlineLevel="1" x14ac:dyDescent="0.2">
      <c r="A201" s="68"/>
      <c r="B201" s="86"/>
      <c r="C201" s="70" t="s">
        <v>44</v>
      </c>
      <c r="D201" s="108">
        <v>60.65</v>
      </c>
      <c r="E201" s="73">
        <v>1</v>
      </c>
      <c r="F201" s="73">
        <v>1</v>
      </c>
      <c r="G201" s="74">
        <f t="shared" si="0"/>
        <v>1</v>
      </c>
      <c r="H201" s="75">
        <f t="shared" si="1"/>
        <v>60.65</v>
      </c>
      <c r="I201" s="76">
        <f t="shared" si="2"/>
        <v>60.65</v>
      </c>
      <c r="J201" s="108">
        <v>4.58</v>
      </c>
      <c r="K201" s="199">
        <v>1112</v>
      </c>
      <c r="L201" s="73">
        <v>0</v>
      </c>
      <c r="M201" s="109">
        <v>0</v>
      </c>
      <c r="N201" s="79" t="e">
        <f t="shared" si="3"/>
        <v>#DIV/0!</v>
      </c>
      <c r="O201" s="80">
        <f t="shared" si="4"/>
        <v>0</v>
      </c>
      <c r="P201" s="79">
        <f t="shared" si="5"/>
        <v>7.5515251442704046E-2</v>
      </c>
      <c r="Q201" s="81">
        <f t="shared" si="6"/>
        <v>0</v>
      </c>
      <c r="R201" s="110">
        <f t="shared" si="58"/>
        <v>60.65</v>
      </c>
      <c r="S201" s="83" t="e">
        <f t="shared" si="8"/>
        <v>#DIV/0!</v>
      </c>
      <c r="T201" s="84"/>
      <c r="U201" s="84"/>
      <c r="V201" s="84"/>
      <c r="W201" s="84"/>
      <c r="X201" s="85"/>
      <c r="Y201" s="68"/>
      <c r="Z201" s="68"/>
    </row>
    <row r="202" spans="1:26" ht="12.75" hidden="1" outlineLevel="1" x14ac:dyDescent="0.2">
      <c r="A202" s="111"/>
      <c r="B202" s="86"/>
      <c r="C202" s="112" t="s">
        <v>45</v>
      </c>
      <c r="D202" s="71">
        <v>39.9</v>
      </c>
      <c r="E202" s="73">
        <v>2</v>
      </c>
      <c r="F202" s="73">
        <v>2</v>
      </c>
      <c r="G202" s="74">
        <f t="shared" si="0"/>
        <v>1</v>
      </c>
      <c r="H202" s="75">
        <f t="shared" si="1"/>
        <v>19.95</v>
      </c>
      <c r="I202" s="76">
        <f t="shared" si="2"/>
        <v>19.95</v>
      </c>
      <c r="J202" s="71">
        <v>0</v>
      </c>
      <c r="K202" s="199">
        <v>0</v>
      </c>
      <c r="L202" s="73">
        <v>0</v>
      </c>
      <c r="M202" s="78">
        <v>0</v>
      </c>
      <c r="N202" s="79" t="e">
        <f t="shared" si="3"/>
        <v>#DIV/0!</v>
      </c>
      <c r="O202" s="80" t="e">
        <f t="shared" si="4"/>
        <v>#DIV/0!</v>
      </c>
      <c r="P202" s="79">
        <f t="shared" si="5"/>
        <v>0</v>
      </c>
      <c r="Q202" s="81">
        <f t="shared" si="6"/>
        <v>0</v>
      </c>
      <c r="R202" s="82">
        <f t="shared" si="58"/>
        <v>39.9</v>
      </c>
      <c r="S202" s="83" t="e">
        <f t="shared" si="8"/>
        <v>#DIV/0!</v>
      </c>
      <c r="T202" s="113"/>
      <c r="U202" s="113"/>
      <c r="V202" s="113"/>
      <c r="W202" s="114"/>
      <c r="X202" s="115"/>
      <c r="Y202" s="68"/>
      <c r="Z202" s="68"/>
    </row>
    <row r="203" spans="1:26" ht="12.75" hidden="1" outlineLevel="1" x14ac:dyDescent="0.2">
      <c r="A203" s="118"/>
      <c r="B203" s="69"/>
      <c r="C203" s="70" t="s">
        <v>46</v>
      </c>
      <c r="D203" s="116">
        <v>970.92</v>
      </c>
      <c r="E203" s="73">
        <v>27</v>
      </c>
      <c r="F203" s="73">
        <v>24</v>
      </c>
      <c r="G203" s="74">
        <f t="shared" si="0"/>
        <v>1.125</v>
      </c>
      <c r="H203" s="75">
        <f t="shared" si="1"/>
        <v>35.96</v>
      </c>
      <c r="I203" s="76">
        <f t="shared" si="2"/>
        <v>31.964444444444446</v>
      </c>
      <c r="J203" s="116">
        <v>141.19</v>
      </c>
      <c r="K203" s="199">
        <v>36774</v>
      </c>
      <c r="L203" s="73">
        <v>14</v>
      </c>
      <c r="M203" s="117">
        <v>359.6</v>
      </c>
      <c r="N203" s="79">
        <f t="shared" si="3"/>
        <v>0.39263070077864293</v>
      </c>
      <c r="O203" s="80">
        <f t="shared" si="4"/>
        <v>2.5469225865854526</v>
      </c>
      <c r="P203" s="79">
        <f t="shared" si="5"/>
        <v>0.14541877806616405</v>
      </c>
      <c r="Q203" s="81">
        <f t="shared" si="6"/>
        <v>0.37037037037037041</v>
      </c>
      <c r="R203" s="82">
        <f t="shared" si="58"/>
        <v>611.31999999999994</v>
      </c>
      <c r="S203" s="83">
        <f t="shared" si="8"/>
        <v>10.084999999999999</v>
      </c>
      <c r="T203" s="84"/>
      <c r="U203" s="84"/>
      <c r="V203" s="84"/>
      <c r="W203" s="84"/>
      <c r="X203" s="85"/>
      <c r="Y203" s="68"/>
      <c r="Z203" s="68"/>
    </row>
    <row r="204" spans="1:26" ht="12.75" hidden="1" outlineLevel="1" x14ac:dyDescent="0.2">
      <c r="A204" s="118" t="str">
        <f t="shared" ref="A204:A205" si="59">IFERROR(IF(B204&gt;0,MONTH(B204)&amp;"-"&amp;YEAR(B204),B204),)</f>
        <v>12-2024</v>
      </c>
      <c r="B204" s="69">
        <v>45633</v>
      </c>
      <c r="C204" s="148" t="s">
        <v>49</v>
      </c>
      <c r="D204" s="116">
        <v>0</v>
      </c>
      <c r="E204" s="73">
        <v>0</v>
      </c>
      <c r="F204" s="73">
        <v>0</v>
      </c>
      <c r="G204" s="74" t="e">
        <f t="shared" si="0"/>
        <v>#DIV/0!</v>
      </c>
      <c r="H204" s="75" t="e">
        <f t="shared" si="1"/>
        <v>#DIV/0!</v>
      </c>
      <c r="I204" s="76" t="e">
        <f t="shared" si="2"/>
        <v>#DIV/0!</v>
      </c>
      <c r="J204" s="116">
        <v>0.8</v>
      </c>
      <c r="K204" s="199">
        <v>13918</v>
      </c>
      <c r="L204" s="73">
        <v>0</v>
      </c>
      <c r="M204" s="117">
        <v>0</v>
      </c>
      <c r="N204" s="79" t="e">
        <f t="shared" si="3"/>
        <v>#DIV/0!</v>
      </c>
      <c r="O204" s="80">
        <f t="shared" si="4"/>
        <v>0</v>
      </c>
      <c r="P204" s="79" t="e">
        <f t="shared" si="5"/>
        <v>#DIV/0!</v>
      </c>
      <c r="Q204" s="81" t="e">
        <f t="shared" si="6"/>
        <v>#DIV/0!</v>
      </c>
      <c r="R204" s="82">
        <f t="shared" si="58"/>
        <v>0</v>
      </c>
      <c r="S204" s="83" t="e">
        <f t="shared" si="8"/>
        <v>#DIV/0!</v>
      </c>
      <c r="T204" s="84"/>
      <c r="U204" s="84"/>
      <c r="V204" s="84"/>
      <c r="W204" s="84"/>
      <c r="X204" s="85"/>
      <c r="Y204" s="68"/>
      <c r="Z204" s="68"/>
    </row>
    <row r="205" spans="1:26" ht="12.75" collapsed="1" x14ac:dyDescent="0.2">
      <c r="A205" s="111">
        <f t="shared" si="59"/>
        <v>0</v>
      </c>
      <c r="B205" s="206" t="s">
        <v>107</v>
      </c>
      <c r="C205" s="299"/>
      <c r="D205" s="208">
        <f t="shared" ref="D205:F205" si="60">SUM(D188:D204)</f>
        <v>31841.460000000006</v>
      </c>
      <c r="E205" s="209">
        <f t="shared" si="60"/>
        <v>193</v>
      </c>
      <c r="F205" s="209">
        <f t="shared" si="60"/>
        <v>208</v>
      </c>
      <c r="G205" s="210">
        <f t="shared" si="0"/>
        <v>0.92788461538461542</v>
      </c>
      <c r="H205" s="211">
        <f t="shared" si="1"/>
        <v>164.9816580310881</v>
      </c>
      <c r="I205" s="212">
        <f t="shared" si="2"/>
        <v>177.80406668635402</v>
      </c>
      <c r="J205" s="213">
        <f t="shared" ref="J205:M205" si="61">SUM(J188:J204)</f>
        <v>1030.92</v>
      </c>
      <c r="K205" s="296">
        <f t="shared" si="61"/>
        <v>335369</v>
      </c>
      <c r="L205" s="209">
        <f t="shared" si="61"/>
        <v>55</v>
      </c>
      <c r="M205" s="208">
        <f t="shared" si="61"/>
        <v>6482.74</v>
      </c>
      <c r="N205" s="214">
        <f t="shared" si="3"/>
        <v>0.15902535039196392</v>
      </c>
      <c r="O205" s="215">
        <f t="shared" si="4"/>
        <v>6.2883055911224917</v>
      </c>
      <c r="P205" s="214">
        <f t="shared" si="5"/>
        <v>3.2376656095543355E-2</v>
      </c>
      <c r="Q205" s="216">
        <f t="shared" si="6"/>
        <v>0.20359430754745539</v>
      </c>
      <c r="R205" s="217">
        <f>SUM(R188:R204)</f>
        <v>25358.720000000012</v>
      </c>
      <c r="S205" s="218">
        <f t="shared" si="8"/>
        <v>18.744</v>
      </c>
      <c r="T205" s="300">
        <f t="shared" ref="T205:U205" si="62">IFERROR((D205-#REF!)/D205,)</f>
        <v>0</v>
      </c>
      <c r="U205" s="300">
        <f t="shared" si="62"/>
        <v>0</v>
      </c>
      <c r="V205" s="220" t="s">
        <v>139</v>
      </c>
      <c r="W205" s="221" t="s">
        <v>139</v>
      </c>
      <c r="X205" s="68"/>
      <c r="Y205" s="68"/>
      <c r="Z205" s="68"/>
    </row>
    <row r="206" spans="1:26" ht="12.75" hidden="1" outlineLevel="1" x14ac:dyDescent="0.2">
      <c r="A206" s="68"/>
      <c r="B206" s="69">
        <v>45634</v>
      </c>
      <c r="C206" s="70" t="s">
        <v>32</v>
      </c>
      <c r="D206" s="71">
        <v>2802.67</v>
      </c>
      <c r="E206" s="73">
        <v>8</v>
      </c>
      <c r="F206" s="73">
        <v>11</v>
      </c>
      <c r="G206" s="74">
        <f t="shared" si="0"/>
        <v>0.72727272727272729</v>
      </c>
      <c r="H206" s="75">
        <f t="shared" si="1"/>
        <v>350.33375000000001</v>
      </c>
      <c r="I206" s="76">
        <f t="shared" si="2"/>
        <v>481.70890624999998</v>
      </c>
      <c r="J206" s="71">
        <v>75.010000000000005</v>
      </c>
      <c r="K206" s="199">
        <v>17828</v>
      </c>
      <c r="L206" s="73">
        <v>3</v>
      </c>
      <c r="M206" s="78">
        <v>69.95</v>
      </c>
      <c r="N206" s="79">
        <f t="shared" si="3"/>
        <v>1.0723373838456041</v>
      </c>
      <c r="O206" s="80">
        <f t="shared" si="4"/>
        <v>0.9325423276896414</v>
      </c>
      <c r="P206" s="79">
        <f t="shared" si="5"/>
        <v>2.6763764553086877E-2</v>
      </c>
      <c r="Q206" s="81">
        <f t="shared" si="6"/>
        <v>2.4958343294073152E-2</v>
      </c>
      <c r="R206" s="82">
        <f t="shared" ref="R206:R222" si="63">D206-M206</f>
        <v>2732.7200000000003</v>
      </c>
      <c r="S206" s="83">
        <f t="shared" si="8"/>
        <v>25.003333333333334</v>
      </c>
      <c r="T206" s="84"/>
      <c r="U206" s="84"/>
      <c r="V206" s="84"/>
      <c r="W206" s="84"/>
      <c r="X206" s="85"/>
      <c r="Y206" s="68"/>
      <c r="Z206" s="68"/>
    </row>
    <row r="207" spans="1:26" ht="12.75" hidden="1" outlineLevel="1" x14ac:dyDescent="0.2">
      <c r="A207" s="68"/>
      <c r="B207" s="86"/>
      <c r="C207" s="70" t="s">
        <v>33</v>
      </c>
      <c r="D207" s="87">
        <v>1358.49</v>
      </c>
      <c r="E207" s="73">
        <v>8</v>
      </c>
      <c r="F207" s="73">
        <v>18</v>
      </c>
      <c r="G207" s="74">
        <f t="shared" si="0"/>
        <v>0.44444444444444442</v>
      </c>
      <c r="H207" s="75">
        <f t="shared" si="1"/>
        <v>169.81125</v>
      </c>
      <c r="I207" s="76">
        <f t="shared" si="2"/>
        <v>382.0753125</v>
      </c>
      <c r="J207" s="87">
        <v>103.35</v>
      </c>
      <c r="K207" s="199">
        <v>20502</v>
      </c>
      <c r="L207" s="73">
        <v>4</v>
      </c>
      <c r="M207" s="88">
        <v>284</v>
      </c>
      <c r="N207" s="79">
        <f t="shared" si="3"/>
        <v>0.36390845070422534</v>
      </c>
      <c r="O207" s="80">
        <f t="shared" si="4"/>
        <v>2.7479438800193519</v>
      </c>
      <c r="P207" s="79">
        <f t="shared" si="5"/>
        <v>7.6077115032131257E-2</v>
      </c>
      <c r="Q207" s="81">
        <f t="shared" si="6"/>
        <v>0.20905564266207333</v>
      </c>
      <c r="R207" s="89">
        <f t="shared" si="63"/>
        <v>1074.49</v>
      </c>
      <c r="S207" s="83">
        <f t="shared" si="8"/>
        <v>25.837499999999999</v>
      </c>
      <c r="T207" s="84"/>
      <c r="U207" s="84"/>
      <c r="V207" s="84"/>
      <c r="W207" s="84"/>
      <c r="X207" s="85"/>
      <c r="Y207" s="68"/>
      <c r="Z207" s="68"/>
    </row>
    <row r="208" spans="1:26" ht="12.75" hidden="1" outlineLevel="1" x14ac:dyDescent="0.2">
      <c r="A208" s="68"/>
      <c r="B208" s="86"/>
      <c r="C208" s="70" t="s">
        <v>34</v>
      </c>
      <c r="D208" s="90">
        <v>0</v>
      </c>
      <c r="E208" s="73">
        <v>0</v>
      </c>
      <c r="F208" s="73">
        <v>0</v>
      </c>
      <c r="G208" s="74" t="e">
        <f t="shared" si="0"/>
        <v>#DIV/0!</v>
      </c>
      <c r="H208" s="75" t="e">
        <f t="shared" si="1"/>
        <v>#DIV/0!</v>
      </c>
      <c r="I208" s="76" t="e">
        <f t="shared" si="2"/>
        <v>#DIV/0!</v>
      </c>
      <c r="J208" s="90">
        <v>0</v>
      </c>
      <c r="K208" s="199">
        <v>0</v>
      </c>
      <c r="L208" s="73">
        <v>0</v>
      </c>
      <c r="M208" s="91">
        <v>0</v>
      </c>
      <c r="N208" s="79" t="e">
        <f t="shared" si="3"/>
        <v>#DIV/0!</v>
      </c>
      <c r="O208" s="80" t="e">
        <f t="shared" si="4"/>
        <v>#DIV/0!</v>
      </c>
      <c r="P208" s="79" t="e">
        <f t="shared" si="5"/>
        <v>#DIV/0!</v>
      </c>
      <c r="Q208" s="81" t="e">
        <f t="shared" si="6"/>
        <v>#DIV/0!</v>
      </c>
      <c r="R208" s="92">
        <f t="shared" si="63"/>
        <v>0</v>
      </c>
      <c r="S208" s="83" t="e">
        <f t="shared" si="8"/>
        <v>#DIV/0!</v>
      </c>
      <c r="T208" s="84"/>
      <c r="U208" s="84"/>
      <c r="V208" s="84"/>
      <c r="W208" s="84"/>
      <c r="X208" s="85"/>
      <c r="Y208" s="68"/>
      <c r="Z208" s="68"/>
    </row>
    <row r="209" spans="1:26" ht="12.75" hidden="1" outlineLevel="1" x14ac:dyDescent="0.2">
      <c r="A209" s="68"/>
      <c r="B209" s="86"/>
      <c r="C209" s="70" t="s">
        <v>35</v>
      </c>
      <c r="D209" s="90">
        <v>659.45</v>
      </c>
      <c r="E209" s="73">
        <v>11</v>
      </c>
      <c r="F209" s="73">
        <v>9</v>
      </c>
      <c r="G209" s="74">
        <f t="shared" si="0"/>
        <v>1.2222222222222223</v>
      </c>
      <c r="H209" s="75">
        <f t="shared" si="1"/>
        <v>59.95</v>
      </c>
      <c r="I209" s="76">
        <f t="shared" si="2"/>
        <v>49.05</v>
      </c>
      <c r="J209" s="90">
        <v>78.760000000000005</v>
      </c>
      <c r="K209" s="199">
        <v>5626</v>
      </c>
      <c r="L209" s="73">
        <v>3</v>
      </c>
      <c r="M209" s="91">
        <v>179.85</v>
      </c>
      <c r="N209" s="79">
        <f t="shared" si="3"/>
        <v>0.43792048929663613</v>
      </c>
      <c r="O209" s="80">
        <f t="shared" si="4"/>
        <v>2.2835195530726256</v>
      </c>
      <c r="P209" s="79">
        <f t="shared" si="5"/>
        <v>0.11943286071726439</v>
      </c>
      <c r="Q209" s="81">
        <f t="shared" si="6"/>
        <v>0.27272727272727271</v>
      </c>
      <c r="R209" s="92">
        <f t="shared" si="63"/>
        <v>479.6</v>
      </c>
      <c r="S209" s="83">
        <f t="shared" si="8"/>
        <v>26.253333333333334</v>
      </c>
      <c r="T209" s="84"/>
      <c r="U209" s="84"/>
      <c r="V209" s="84"/>
      <c r="W209" s="84"/>
      <c r="X209" s="85"/>
      <c r="Y209" s="68"/>
      <c r="Z209" s="68"/>
    </row>
    <row r="210" spans="1:26" ht="12.75" hidden="1" outlineLevel="1" x14ac:dyDescent="0.2">
      <c r="A210" s="68"/>
      <c r="B210" s="86"/>
      <c r="C210" s="70" t="s">
        <v>62</v>
      </c>
      <c r="D210" s="200">
        <v>0</v>
      </c>
      <c r="E210" s="73">
        <v>0</v>
      </c>
      <c r="F210" s="73">
        <v>0</v>
      </c>
      <c r="G210" s="74" t="e">
        <f t="shared" si="0"/>
        <v>#DIV/0!</v>
      </c>
      <c r="H210" s="75" t="e">
        <f t="shared" si="1"/>
        <v>#DIV/0!</v>
      </c>
      <c r="I210" s="76" t="e">
        <f t="shared" si="2"/>
        <v>#DIV/0!</v>
      </c>
      <c r="J210" s="200">
        <v>0</v>
      </c>
      <c r="K210" s="199">
        <v>0</v>
      </c>
      <c r="L210" s="73">
        <v>0</v>
      </c>
      <c r="M210" s="200">
        <v>0</v>
      </c>
      <c r="N210" s="79" t="e">
        <f t="shared" si="3"/>
        <v>#DIV/0!</v>
      </c>
      <c r="O210" s="80" t="e">
        <f t="shared" si="4"/>
        <v>#DIV/0!</v>
      </c>
      <c r="P210" s="79" t="e">
        <f t="shared" si="5"/>
        <v>#DIV/0!</v>
      </c>
      <c r="Q210" s="81" t="e">
        <f t="shared" si="6"/>
        <v>#DIV/0!</v>
      </c>
      <c r="R210" s="92">
        <f t="shared" si="63"/>
        <v>0</v>
      </c>
      <c r="S210" s="83" t="e">
        <f t="shared" si="8"/>
        <v>#DIV/0!</v>
      </c>
      <c r="T210" s="84"/>
      <c r="U210" s="84"/>
      <c r="V210" s="84"/>
      <c r="W210" s="84"/>
      <c r="X210" s="85"/>
      <c r="Y210" s="68"/>
      <c r="Z210" s="68"/>
    </row>
    <row r="211" spans="1:26" ht="12.75" hidden="1" outlineLevel="1" x14ac:dyDescent="0.2">
      <c r="A211" s="68"/>
      <c r="B211" s="86"/>
      <c r="C211" s="70" t="s">
        <v>66</v>
      </c>
      <c r="D211" s="201">
        <v>244.92</v>
      </c>
      <c r="E211" s="73">
        <v>4</v>
      </c>
      <c r="F211" s="73">
        <v>3</v>
      </c>
      <c r="G211" s="74">
        <f t="shared" si="0"/>
        <v>1.3333333333333333</v>
      </c>
      <c r="H211" s="75">
        <f t="shared" si="1"/>
        <v>61.23</v>
      </c>
      <c r="I211" s="76">
        <f t="shared" si="2"/>
        <v>45.922499999999999</v>
      </c>
      <c r="J211" s="201">
        <v>41.86</v>
      </c>
      <c r="K211" s="199">
        <v>8581</v>
      </c>
      <c r="L211" s="73">
        <v>2</v>
      </c>
      <c r="M211" s="202">
        <v>124.94</v>
      </c>
      <c r="N211" s="79">
        <f t="shared" si="3"/>
        <v>0.33504081959340482</v>
      </c>
      <c r="O211" s="80">
        <f t="shared" si="4"/>
        <v>2.9847109412326804</v>
      </c>
      <c r="P211" s="79">
        <f t="shared" si="5"/>
        <v>0.17091295116772826</v>
      </c>
      <c r="Q211" s="81">
        <f t="shared" si="6"/>
        <v>0.51012575534868532</v>
      </c>
      <c r="R211" s="203">
        <f t="shared" si="63"/>
        <v>119.97999999999999</v>
      </c>
      <c r="S211" s="83">
        <f t="shared" si="8"/>
        <v>20.93</v>
      </c>
      <c r="T211" s="84"/>
      <c r="U211" s="84"/>
      <c r="V211" s="84"/>
      <c r="W211" s="84"/>
      <c r="X211" s="85"/>
      <c r="Y211" s="68"/>
      <c r="Z211" s="68"/>
    </row>
    <row r="212" spans="1:26" ht="12.75" hidden="1" outlineLevel="1" x14ac:dyDescent="0.2">
      <c r="A212" s="68"/>
      <c r="B212" s="86"/>
      <c r="C212" s="70" t="s">
        <v>36</v>
      </c>
      <c r="D212" s="90">
        <v>560.16</v>
      </c>
      <c r="E212" s="73">
        <v>8</v>
      </c>
      <c r="F212" s="73">
        <v>8</v>
      </c>
      <c r="G212" s="74">
        <f t="shared" si="0"/>
        <v>1</v>
      </c>
      <c r="H212" s="75">
        <f t="shared" si="1"/>
        <v>70.02</v>
      </c>
      <c r="I212" s="76">
        <f t="shared" si="2"/>
        <v>70.02</v>
      </c>
      <c r="J212" s="90">
        <v>116.16</v>
      </c>
      <c r="K212" s="199">
        <v>4288</v>
      </c>
      <c r="L212" s="73">
        <v>1</v>
      </c>
      <c r="M212" s="91">
        <v>69.95</v>
      </c>
      <c r="N212" s="79">
        <f t="shared" si="3"/>
        <v>1.6606147248034309</v>
      </c>
      <c r="O212" s="80">
        <f t="shared" si="4"/>
        <v>0.60218663911845738</v>
      </c>
      <c r="P212" s="79">
        <f t="shared" si="5"/>
        <v>0.207369323050557</v>
      </c>
      <c r="Q212" s="81">
        <f t="shared" si="6"/>
        <v>0.12487503570408456</v>
      </c>
      <c r="R212" s="92">
        <f t="shared" si="63"/>
        <v>490.21</v>
      </c>
      <c r="S212" s="83">
        <f t="shared" si="8"/>
        <v>116.16</v>
      </c>
      <c r="T212" s="84"/>
      <c r="U212" s="84"/>
      <c r="V212" s="84"/>
      <c r="W212" s="84"/>
      <c r="X212" s="85"/>
      <c r="Y212" s="68"/>
      <c r="Z212" s="68"/>
    </row>
    <row r="213" spans="1:26" ht="12.75" hidden="1" outlineLevel="1" x14ac:dyDescent="0.2">
      <c r="A213" s="68"/>
      <c r="B213" s="69" t="s">
        <v>37</v>
      </c>
      <c r="C213" s="70" t="s">
        <v>38</v>
      </c>
      <c r="D213" s="93">
        <v>408.34</v>
      </c>
      <c r="E213" s="73">
        <v>10</v>
      </c>
      <c r="F213" s="73">
        <v>13</v>
      </c>
      <c r="G213" s="74">
        <f t="shared" si="0"/>
        <v>0.76923076923076927</v>
      </c>
      <c r="H213" s="75">
        <f t="shared" si="1"/>
        <v>40.833999999999996</v>
      </c>
      <c r="I213" s="76">
        <f t="shared" si="2"/>
        <v>53.084199999999989</v>
      </c>
      <c r="J213" s="93">
        <v>67.180000000000007</v>
      </c>
      <c r="K213" s="199">
        <v>8262</v>
      </c>
      <c r="L213" s="73">
        <v>4</v>
      </c>
      <c r="M213" s="94">
        <v>86.24</v>
      </c>
      <c r="N213" s="79">
        <f t="shared" si="3"/>
        <v>0.77898886827458269</v>
      </c>
      <c r="O213" s="80">
        <f t="shared" si="4"/>
        <v>1.283715391485561</v>
      </c>
      <c r="P213" s="79">
        <f t="shared" si="5"/>
        <v>0.16451976294264586</v>
      </c>
      <c r="Q213" s="81">
        <f t="shared" si="6"/>
        <v>0.21119655189303033</v>
      </c>
      <c r="R213" s="95">
        <f t="shared" si="63"/>
        <v>322.09999999999997</v>
      </c>
      <c r="S213" s="83">
        <f t="shared" si="8"/>
        <v>16.795000000000002</v>
      </c>
      <c r="T213" s="84"/>
      <c r="U213" s="84"/>
      <c r="V213" s="84"/>
      <c r="W213" s="84"/>
      <c r="X213" s="85"/>
      <c r="Y213" s="68"/>
      <c r="Z213" s="68"/>
    </row>
    <row r="214" spans="1:26" ht="12.75" hidden="1" outlineLevel="1" x14ac:dyDescent="0.2">
      <c r="A214" s="68"/>
      <c r="B214" s="86"/>
      <c r="C214" s="70" t="s">
        <v>39</v>
      </c>
      <c r="D214" s="96">
        <v>-94.88</v>
      </c>
      <c r="E214" s="73">
        <v>-3</v>
      </c>
      <c r="F214" s="73">
        <v>2</v>
      </c>
      <c r="G214" s="74">
        <f t="shared" si="0"/>
        <v>-1.5</v>
      </c>
      <c r="H214" s="75">
        <f t="shared" si="1"/>
        <v>31.626666666666665</v>
      </c>
      <c r="I214" s="76">
        <f t="shared" si="2"/>
        <v>-21.084444444444443</v>
      </c>
      <c r="J214" s="96">
        <v>70.73</v>
      </c>
      <c r="K214" s="199">
        <v>175649</v>
      </c>
      <c r="L214" s="73">
        <v>1</v>
      </c>
      <c r="M214" s="97">
        <v>84.96</v>
      </c>
      <c r="N214" s="79">
        <f t="shared" si="3"/>
        <v>0.83250941619585694</v>
      </c>
      <c r="O214" s="80">
        <f t="shared" si="4"/>
        <v>1.2011876148734624</v>
      </c>
      <c r="P214" s="79">
        <f t="shared" si="5"/>
        <v>-0.74546795952782474</v>
      </c>
      <c r="Q214" s="81">
        <f t="shared" si="6"/>
        <v>-0.89544688026981445</v>
      </c>
      <c r="R214" s="98">
        <f t="shared" si="63"/>
        <v>-179.83999999999997</v>
      </c>
      <c r="S214" s="83">
        <f t="shared" si="8"/>
        <v>70.73</v>
      </c>
      <c r="T214" s="84"/>
      <c r="U214" s="84"/>
      <c r="V214" s="84"/>
      <c r="W214" s="84"/>
      <c r="X214" s="85"/>
      <c r="Y214" s="68"/>
      <c r="Z214" s="68"/>
    </row>
    <row r="215" spans="1:26" ht="12.75" hidden="1" outlineLevel="1" x14ac:dyDescent="0.2">
      <c r="A215" s="68"/>
      <c r="B215" s="86"/>
      <c r="C215" s="70" t="s">
        <v>40</v>
      </c>
      <c r="D215" s="99">
        <v>0</v>
      </c>
      <c r="E215" s="73">
        <v>0</v>
      </c>
      <c r="F215" s="73">
        <v>0</v>
      </c>
      <c r="G215" s="74" t="e">
        <f t="shared" si="0"/>
        <v>#DIV/0!</v>
      </c>
      <c r="H215" s="75" t="e">
        <f t="shared" si="1"/>
        <v>#DIV/0!</v>
      </c>
      <c r="I215" s="76" t="e">
        <f t="shared" si="2"/>
        <v>#DIV/0!</v>
      </c>
      <c r="J215" s="99">
        <v>0</v>
      </c>
      <c r="K215" s="199">
        <v>0</v>
      </c>
      <c r="L215" s="73">
        <v>0</v>
      </c>
      <c r="M215" s="100">
        <v>0</v>
      </c>
      <c r="N215" s="79" t="e">
        <f t="shared" si="3"/>
        <v>#DIV/0!</v>
      </c>
      <c r="O215" s="80" t="e">
        <f t="shared" si="4"/>
        <v>#DIV/0!</v>
      </c>
      <c r="P215" s="79" t="e">
        <f t="shared" si="5"/>
        <v>#DIV/0!</v>
      </c>
      <c r="Q215" s="81" t="e">
        <f t="shared" si="6"/>
        <v>#DIV/0!</v>
      </c>
      <c r="R215" s="101">
        <f t="shared" si="63"/>
        <v>0</v>
      </c>
      <c r="S215" s="83" t="e">
        <f t="shared" si="8"/>
        <v>#DIV/0!</v>
      </c>
      <c r="T215" s="84"/>
      <c r="U215" s="84"/>
      <c r="V215" s="84"/>
      <c r="W215" s="84"/>
      <c r="X215" s="85"/>
      <c r="Y215" s="68"/>
      <c r="Z215" s="68"/>
    </row>
    <row r="216" spans="1:26" ht="12.75" hidden="1" outlineLevel="1" x14ac:dyDescent="0.2">
      <c r="A216" s="68"/>
      <c r="B216" s="86"/>
      <c r="C216" s="70" t="s">
        <v>41</v>
      </c>
      <c r="D216" s="102">
        <v>1357</v>
      </c>
      <c r="E216" s="73">
        <v>24</v>
      </c>
      <c r="F216" s="73">
        <v>24</v>
      </c>
      <c r="G216" s="74">
        <f t="shared" si="0"/>
        <v>1</v>
      </c>
      <c r="H216" s="75">
        <f t="shared" si="1"/>
        <v>56.541666666666664</v>
      </c>
      <c r="I216" s="76">
        <f t="shared" si="2"/>
        <v>56.541666666666664</v>
      </c>
      <c r="J216" s="102">
        <v>55.81</v>
      </c>
      <c r="K216" s="199">
        <v>11972</v>
      </c>
      <c r="L216" s="73">
        <v>11</v>
      </c>
      <c r="M216" s="103">
        <v>723.85</v>
      </c>
      <c r="N216" s="79">
        <f t="shared" si="3"/>
        <v>7.7101609449471573E-2</v>
      </c>
      <c r="O216" s="80">
        <f t="shared" si="4"/>
        <v>12.969897867765633</v>
      </c>
      <c r="P216" s="79">
        <f t="shared" si="5"/>
        <v>4.1127487103905673E-2</v>
      </c>
      <c r="Q216" s="81">
        <f t="shared" si="6"/>
        <v>0.5334193072955048</v>
      </c>
      <c r="R216" s="104">
        <f t="shared" si="63"/>
        <v>633.15</v>
      </c>
      <c r="S216" s="83">
        <f t="shared" si="8"/>
        <v>5.0736363636363642</v>
      </c>
      <c r="T216" s="84"/>
      <c r="U216" s="84"/>
      <c r="V216" s="84"/>
      <c r="W216" s="84"/>
      <c r="X216" s="85"/>
      <c r="Y216" s="68"/>
      <c r="Z216" s="68"/>
    </row>
    <row r="217" spans="1:26" ht="12.75" hidden="1" outlineLevel="1" x14ac:dyDescent="0.2">
      <c r="A217" s="68"/>
      <c r="B217" s="86"/>
      <c r="C217" s="70" t="s">
        <v>42</v>
      </c>
      <c r="D217" s="90">
        <v>-49.97</v>
      </c>
      <c r="E217" s="73">
        <v>-2</v>
      </c>
      <c r="F217" s="73">
        <v>0</v>
      </c>
      <c r="G217" s="74" t="e">
        <f t="shared" si="0"/>
        <v>#DIV/0!</v>
      </c>
      <c r="H217" s="75">
        <f t="shared" si="1"/>
        <v>24.984999999999999</v>
      </c>
      <c r="I217" s="76" t="e">
        <f t="shared" si="2"/>
        <v>#DIV/0!</v>
      </c>
      <c r="J217" s="90">
        <v>6.31</v>
      </c>
      <c r="K217" s="199">
        <v>12569</v>
      </c>
      <c r="L217" s="73">
        <v>0</v>
      </c>
      <c r="M217" s="91">
        <v>0</v>
      </c>
      <c r="N217" s="79" t="e">
        <f t="shared" si="3"/>
        <v>#DIV/0!</v>
      </c>
      <c r="O217" s="80">
        <f t="shared" si="4"/>
        <v>0</v>
      </c>
      <c r="P217" s="79">
        <f t="shared" si="5"/>
        <v>-0.12627576545927557</v>
      </c>
      <c r="Q217" s="81">
        <f t="shared" si="6"/>
        <v>0</v>
      </c>
      <c r="R217" s="92">
        <f t="shared" si="63"/>
        <v>-49.97</v>
      </c>
      <c r="S217" s="83" t="e">
        <f t="shared" si="8"/>
        <v>#DIV/0!</v>
      </c>
      <c r="T217" s="84"/>
      <c r="U217" s="84"/>
      <c r="V217" s="84"/>
      <c r="W217" s="84"/>
      <c r="X217" s="85"/>
      <c r="Y217" s="68"/>
      <c r="Z217" s="68"/>
    </row>
    <row r="218" spans="1:26" ht="12.75" hidden="1" outlineLevel="1" x14ac:dyDescent="0.2">
      <c r="A218" s="68"/>
      <c r="B218" s="86"/>
      <c r="C218" s="70" t="s">
        <v>43</v>
      </c>
      <c r="D218" s="105">
        <v>1082.96</v>
      </c>
      <c r="E218" s="73">
        <v>6</v>
      </c>
      <c r="F218" s="73">
        <v>7</v>
      </c>
      <c r="G218" s="74">
        <f t="shared" si="0"/>
        <v>0.8571428571428571</v>
      </c>
      <c r="H218" s="75">
        <f t="shared" si="1"/>
        <v>180.49333333333334</v>
      </c>
      <c r="I218" s="76">
        <f t="shared" si="2"/>
        <v>210.57555555555558</v>
      </c>
      <c r="J218" s="105">
        <v>14.24</v>
      </c>
      <c r="K218" s="199">
        <v>19061</v>
      </c>
      <c r="L218" s="73">
        <v>2</v>
      </c>
      <c r="M218" s="106">
        <v>360.75</v>
      </c>
      <c r="N218" s="79">
        <f t="shared" si="3"/>
        <v>3.9473319473319474E-2</v>
      </c>
      <c r="O218" s="80">
        <f t="shared" si="4"/>
        <v>25.333567415730336</v>
      </c>
      <c r="P218" s="79">
        <f t="shared" si="5"/>
        <v>1.3149146782891334E-2</v>
      </c>
      <c r="Q218" s="81">
        <f t="shared" si="6"/>
        <v>0.33311479648371128</v>
      </c>
      <c r="R218" s="107">
        <f t="shared" si="63"/>
        <v>722.21</v>
      </c>
      <c r="S218" s="83">
        <f t="shared" si="8"/>
        <v>7.12</v>
      </c>
      <c r="T218" s="84"/>
      <c r="U218" s="84"/>
      <c r="V218" s="84"/>
      <c r="W218" s="84"/>
      <c r="X218" s="85"/>
      <c r="Y218" s="68"/>
      <c r="Z218" s="68"/>
    </row>
    <row r="219" spans="1:26" ht="12.75" hidden="1" outlineLevel="1" x14ac:dyDescent="0.2">
      <c r="A219" s="68"/>
      <c r="B219" s="86"/>
      <c r="C219" s="70" t="s">
        <v>44</v>
      </c>
      <c r="D219" s="108">
        <v>0</v>
      </c>
      <c r="E219" s="73">
        <v>0</v>
      </c>
      <c r="F219" s="73">
        <v>0</v>
      </c>
      <c r="G219" s="74" t="e">
        <f t="shared" si="0"/>
        <v>#DIV/0!</v>
      </c>
      <c r="H219" s="75" t="e">
        <f t="shared" si="1"/>
        <v>#DIV/0!</v>
      </c>
      <c r="I219" s="76" t="e">
        <f t="shared" si="2"/>
        <v>#DIV/0!</v>
      </c>
      <c r="J219" s="108">
        <v>1.1100000000000001</v>
      </c>
      <c r="K219" s="199">
        <v>11100</v>
      </c>
      <c r="L219" s="73">
        <v>0</v>
      </c>
      <c r="M219" s="109">
        <v>0</v>
      </c>
      <c r="N219" s="79" t="e">
        <f t="shared" si="3"/>
        <v>#DIV/0!</v>
      </c>
      <c r="O219" s="80">
        <f t="shared" si="4"/>
        <v>0</v>
      </c>
      <c r="P219" s="79" t="e">
        <f t="shared" si="5"/>
        <v>#DIV/0!</v>
      </c>
      <c r="Q219" s="81" t="e">
        <f t="shared" si="6"/>
        <v>#DIV/0!</v>
      </c>
      <c r="R219" s="110">
        <f t="shared" si="63"/>
        <v>0</v>
      </c>
      <c r="S219" s="83" t="e">
        <f t="shared" si="8"/>
        <v>#DIV/0!</v>
      </c>
      <c r="T219" s="84"/>
      <c r="U219" s="84"/>
      <c r="V219" s="84"/>
      <c r="W219" s="84"/>
      <c r="X219" s="85"/>
      <c r="Y219" s="68"/>
      <c r="Z219" s="68"/>
    </row>
    <row r="220" spans="1:26" ht="12.75" hidden="1" outlineLevel="1" x14ac:dyDescent="0.2">
      <c r="A220" s="111"/>
      <c r="B220" s="86"/>
      <c r="C220" s="112" t="s">
        <v>45</v>
      </c>
      <c r="D220" s="71">
        <v>199.8</v>
      </c>
      <c r="E220" s="73">
        <v>4</v>
      </c>
      <c r="F220" s="73">
        <v>4</v>
      </c>
      <c r="G220" s="74">
        <f t="shared" si="0"/>
        <v>1</v>
      </c>
      <c r="H220" s="75">
        <f t="shared" si="1"/>
        <v>49.95</v>
      </c>
      <c r="I220" s="76">
        <f t="shared" si="2"/>
        <v>49.95</v>
      </c>
      <c r="J220" s="71">
        <v>0</v>
      </c>
      <c r="K220" s="199">
        <v>0</v>
      </c>
      <c r="L220" s="73">
        <v>0</v>
      </c>
      <c r="M220" s="78">
        <v>0</v>
      </c>
      <c r="N220" s="79" t="e">
        <f t="shared" si="3"/>
        <v>#DIV/0!</v>
      </c>
      <c r="O220" s="80" t="e">
        <f t="shared" si="4"/>
        <v>#DIV/0!</v>
      </c>
      <c r="P220" s="79">
        <f t="shared" si="5"/>
        <v>0</v>
      </c>
      <c r="Q220" s="81">
        <f t="shared" si="6"/>
        <v>0</v>
      </c>
      <c r="R220" s="82">
        <f t="shared" si="63"/>
        <v>199.8</v>
      </c>
      <c r="S220" s="83" t="e">
        <f t="shared" si="8"/>
        <v>#DIV/0!</v>
      </c>
      <c r="T220" s="113"/>
      <c r="U220" s="113"/>
      <c r="V220" s="113"/>
      <c r="W220" s="114"/>
      <c r="X220" s="115"/>
      <c r="Y220" s="68"/>
      <c r="Z220" s="68"/>
    </row>
    <row r="221" spans="1:26" ht="12.75" hidden="1" outlineLevel="1" x14ac:dyDescent="0.2">
      <c r="A221" s="118"/>
      <c r="B221" s="69"/>
      <c r="C221" s="70" t="s">
        <v>46</v>
      </c>
      <c r="D221" s="116">
        <v>1153.97</v>
      </c>
      <c r="E221" s="73">
        <v>34</v>
      </c>
      <c r="F221" s="73">
        <v>32</v>
      </c>
      <c r="G221" s="74">
        <f t="shared" si="0"/>
        <v>1.0625</v>
      </c>
      <c r="H221" s="75">
        <f t="shared" si="1"/>
        <v>33.940294117647056</v>
      </c>
      <c r="I221" s="76">
        <f t="shared" si="2"/>
        <v>31.943806228373699</v>
      </c>
      <c r="J221" s="116">
        <v>148.87</v>
      </c>
      <c r="K221" s="199">
        <v>59787</v>
      </c>
      <c r="L221" s="73">
        <v>14</v>
      </c>
      <c r="M221" s="117">
        <v>399.18</v>
      </c>
      <c r="N221" s="79">
        <f t="shared" si="3"/>
        <v>0.37293952602835811</v>
      </c>
      <c r="O221" s="80">
        <f t="shared" si="4"/>
        <v>2.6813998790891382</v>
      </c>
      <c r="P221" s="79">
        <f t="shared" si="5"/>
        <v>0.12900681993466034</v>
      </c>
      <c r="Q221" s="81">
        <f t="shared" si="6"/>
        <v>0.34591887137447247</v>
      </c>
      <c r="R221" s="82">
        <f t="shared" si="63"/>
        <v>754.79</v>
      </c>
      <c r="S221" s="83">
        <f t="shared" si="8"/>
        <v>10.633571428571429</v>
      </c>
      <c r="T221" s="84"/>
      <c r="U221" s="84"/>
      <c r="V221" s="84"/>
      <c r="W221" s="84"/>
      <c r="X221" s="85"/>
      <c r="Y221" s="68"/>
      <c r="Z221" s="68"/>
    </row>
    <row r="222" spans="1:26" ht="12.75" hidden="1" outlineLevel="1" x14ac:dyDescent="0.2">
      <c r="A222" s="118" t="str">
        <f t="shared" ref="A222:A223" si="64">IFERROR(IF(B222&gt;0,MONTH(B222)&amp;"-"&amp;YEAR(B222),B222),)</f>
        <v>12-2024</v>
      </c>
      <c r="B222" s="69">
        <v>45640</v>
      </c>
      <c r="C222" s="148" t="s">
        <v>49</v>
      </c>
      <c r="D222" s="116">
        <v>0</v>
      </c>
      <c r="E222" s="73">
        <v>0</v>
      </c>
      <c r="F222" s="73">
        <v>0</v>
      </c>
      <c r="G222" s="74" t="e">
        <f t="shared" si="0"/>
        <v>#DIV/0!</v>
      </c>
      <c r="H222" s="75" t="e">
        <f t="shared" si="1"/>
        <v>#DIV/0!</v>
      </c>
      <c r="I222" s="76" t="e">
        <f t="shared" si="2"/>
        <v>#DIV/0!</v>
      </c>
      <c r="J222" s="116">
        <v>2.54</v>
      </c>
      <c r="K222" s="199">
        <v>12072</v>
      </c>
      <c r="L222" s="73">
        <v>0</v>
      </c>
      <c r="M222" s="117">
        <v>0</v>
      </c>
      <c r="N222" s="79" t="e">
        <f t="shared" si="3"/>
        <v>#DIV/0!</v>
      </c>
      <c r="O222" s="80">
        <f t="shared" si="4"/>
        <v>0</v>
      </c>
      <c r="P222" s="79" t="e">
        <f t="shared" si="5"/>
        <v>#DIV/0!</v>
      </c>
      <c r="Q222" s="81" t="e">
        <f t="shared" si="6"/>
        <v>#DIV/0!</v>
      </c>
      <c r="R222" s="82">
        <f t="shared" si="63"/>
        <v>0</v>
      </c>
      <c r="S222" s="83" t="e">
        <f t="shared" si="8"/>
        <v>#DIV/0!</v>
      </c>
      <c r="T222" s="84"/>
      <c r="U222" s="84"/>
      <c r="V222" s="84"/>
      <c r="W222" s="84"/>
      <c r="X222" s="85"/>
      <c r="Y222" s="68"/>
      <c r="Z222" s="68"/>
    </row>
    <row r="223" spans="1:26" ht="12.75" collapsed="1" x14ac:dyDescent="0.2">
      <c r="A223" s="111">
        <f t="shared" si="64"/>
        <v>0</v>
      </c>
      <c r="B223" s="206" t="s">
        <v>108</v>
      </c>
      <c r="C223" s="299"/>
      <c r="D223" s="208">
        <f t="shared" ref="D223:F223" si="65">SUM(D206:D222)</f>
        <v>9682.909999999998</v>
      </c>
      <c r="E223" s="209">
        <f t="shared" si="65"/>
        <v>112</v>
      </c>
      <c r="F223" s="209">
        <f t="shared" si="65"/>
        <v>131</v>
      </c>
      <c r="G223" s="210">
        <f t="shared" si="0"/>
        <v>0.85496183206106868</v>
      </c>
      <c r="H223" s="211">
        <f t="shared" si="1"/>
        <v>86.454553571428548</v>
      </c>
      <c r="I223" s="212">
        <f t="shared" si="2"/>
        <v>101.12095105229589</v>
      </c>
      <c r="J223" s="213">
        <f t="shared" ref="J223:M223" si="66">SUM(J206:J222)</f>
        <v>781.92999999999984</v>
      </c>
      <c r="K223" s="296">
        <f t="shared" si="66"/>
        <v>367297</v>
      </c>
      <c r="L223" s="209">
        <f t="shared" si="66"/>
        <v>45</v>
      </c>
      <c r="M223" s="208">
        <f t="shared" si="66"/>
        <v>2383.67</v>
      </c>
      <c r="N223" s="214">
        <f t="shared" si="3"/>
        <v>0.32803617950471325</v>
      </c>
      <c r="O223" s="215">
        <f t="shared" si="4"/>
        <v>3.0484442341386067</v>
      </c>
      <c r="P223" s="214">
        <f t="shared" si="5"/>
        <v>8.0753616423162047E-2</v>
      </c>
      <c r="Q223" s="216">
        <f t="shared" si="6"/>
        <v>0.24617289637102902</v>
      </c>
      <c r="R223" s="217">
        <f>SUM(R206:R222)</f>
        <v>7299.24</v>
      </c>
      <c r="S223" s="218">
        <f t="shared" si="8"/>
        <v>17.376222222222218</v>
      </c>
      <c r="T223" s="300">
        <f t="shared" ref="T223:U223" si="67">IFERROR((D223-#REF!)/D223,)</f>
        <v>0</v>
      </c>
      <c r="U223" s="300">
        <f t="shared" si="67"/>
        <v>0</v>
      </c>
      <c r="V223" s="220" t="s">
        <v>139</v>
      </c>
      <c r="W223" s="221" t="s">
        <v>139</v>
      </c>
      <c r="X223" s="68"/>
      <c r="Y223" s="68"/>
      <c r="Z223" s="68"/>
    </row>
    <row r="224" spans="1:26" ht="12.75" hidden="1" outlineLevel="1" x14ac:dyDescent="0.2">
      <c r="A224" s="34"/>
      <c r="B224" s="147">
        <v>45641</v>
      </c>
      <c r="C224" s="148" t="s">
        <v>32</v>
      </c>
      <c r="D224" s="149">
        <v>10331.1</v>
      </c>
      <c r="E224" s="151">
        <v>29</v>
      </c>
      <c r="F224" s="151">
        <v>30</v>
      </c>
      <c r="G224" s="152">
        <f t="shared" si="0"/>
        <v>0.96666666666666667</v>
      </c>
      <c r="H224" s="150">
        <f t="shared" si="1"/>
        <v>356.2448275862069</v>
      </c>
      <c r="I224" s="222">
        <f t="shared" si="2"/>
        <v>368.52913198573128</v>
      </c>
      <c r="J224" s="149">
        <v>93.48</v>
      </c>
      <c r="K224" s="295">
        <v>23980</v>
      </c>
      <c r="L224" s="151">
        <v>12</v>
      </c>
      <c r="M224" s="224">
        <v>2862.3</v>
      </c>
      <c r="N224" s="155">
        <f t="shared" si="3"/>
        <v>3.2659050414002723E-2</v>
      </c>
      <c r="O224" s="156">
        <f t="shared" si="4"/>
        <v>30.619383825417202</v>
      </c>
      <c r="P224" s="155">
        <f t="shared" si="5"/>
        <v>9.0484072364027061E-3</v>
      </c>
      <c r="Q224" s="225">
        <f t="shared" si="6"/>
        <v>0.27705665418009701</v>
      </c>
      <c r="R224" s="226">
        <f t="shared" ref="R224:R240" si="68">D224-M224</f>
        <v>7468.8</v>
      </c>
      <c r="S224" s="227">
        <f t="shared" si="8"/>
        <v>7.79</v>
      </c>
      <c r="T224" s="160"/>
      <c r="U224" s="160"/>
      <c r="V224" s="160"/>
      <c r="W224" s="160"/>
      <c r="X224" s="1"/>
    </row>
    <row r="225" spans="1:26" ht="12.75" hidden="1" outlineLevel="1" x14ac:dyDescent="0.2">
      <c r="A225" s="34"/>
      <c r="B225" s="147"/>
      <c r="C225" s="148" t="s">
        <v>33</v>
      </c>
      <c r="D225" s="162">
        <v>8314.0300000000007</v>
      </c>
      <c r="E225" s="151">
        <v>39</v>
      </c>
      <c r="F225" s="151">
        <v>46</v>
      </c>
      <c r="G225" s="152">
        <f t="shared" si="0"/>
        <v>0.84782608695652173</v>
      </c>
      <c r="H225" s="150">
        <f t="shared" si="1"/>
        <v>213.18025641025642</v>
      </c>
      <c r="I225" s="222">
        <f t="shared" si="2"/>
        <v>251.44337935568706</v>
      </c>
      <c r="J225" s="162">
        <v>174.95</v>
      </c>
      <c r="K225" s="295">
        <v>16451</v>
      </c>
      <c r="L225" s="151">
        <v>5</v>
      </c>
      <c r="M225" s="154">
        <v>654.9</v>
      </c>
      <c r="N225" s="155">
        <f t="shared" si="3"/>
        <v>0.26714002137730952</v>
      </c>
      <c r="O225" s="156">
        <f t="shared" si="4"/>
        <v>3.7433552443555302</v>
      </c>
      <c r="P225" s="155">
        <f t="shared" si="5"/>
        <v>2.104274341083686E-2</v>
      </c>
      <c r="Q225" s="225">
        <f t="shared" si="6"/>
        <v>7.8770463902583937E-2</v>
      </c>
      <c r="R225" s="228">
        <f t="shared" si="68"/>
        <v>7659.130000000001</v>
      </c>
      <c r="S225" s="227">
        <f t="shared" si="8"/>
        <v>34.989999999999995</v>
      </c>
      <c r="T225" s="160"/>
      <c r="U225" s="160"/>
      <c r="V225" s="160"/>
      <c r="W225" s="160"/>
      <c r="X225" s="1"/>
    </row>
    <row r="226" spans="1:26" ht="12.75" hidden="1" outlineLevel="1" x14ac:dyDescent="0.2">
      <c r="A226" s="34"/>
      <c r="B226" s="147"/>
      <c r="C226" s="148" t="s">
        <v>34</v>
      </c>
      <c r="D226" s="229">
        <v>0</v>
      </c>
      <c r="E226" s="151">
        <v>0</v>
      </c>
      <c r="F226" s="151">
        <v>0</v>
      </c>
      <c r="G226" s="152" t="e">
        <f t="shared" si="0"/>
        <v>#DIV/0!</v>
      </c>
      <c r="H226" s="150" t="e">
        <f t="shared" si="1"/>
        <v>#DIV/0!</v>
      </c>
      <c r="I226" s="222" t="e">
        <f t="shared" si="2"/>
        <v>#DIV/0!</v>
      </c>
      <c r="J226" s="229">
        <v>0</v>
      </c>
      <c r="K226" s="295">
        <v>0</v>
      </c>
      <c r="L226" s="151">
        <v>0</v>
      </c>
      <c r="M226" s="230">
        <v>0</v>
      </c>
      <c r="N226" s="155" t="e">
        <f t="shared" si="3"/>
        <v>#DIV/0!</v>
      </c>
      <c r="O226" s="156" t="e">
        <f t="shared" si="4"/>
        <v>#DIV/0!</v>
      </c>
      <c r="P226" s="155" t="e">
        <f t="shared" si="5"/>
        <v>#DIV/0!</v>
      </c>
      <c r="Q226" s="225" t="e">
        <f t="shared" si="6"/>
        <v>#DIV/0!</v>
      </c>
      <c r="R226" s="231">
        <f t="shared" si="68"/>
        <v>0</v>
      </c>
      <c r="S226" s="227" t="e">
        <f t="shared" si="8"/>
        <v>#DIV/0!</v>
      </c>
      <c r="T226" s="160"/>
      <c r="U226" s="160"/>
      <c r="V226" s="160"/>
      <c r="W226" s="160"/>
      <c r="X226" s="1"/>
    </row>
    <row r="227" spans="1:26" ht="12.75" hidden="1" outlineLevel="1" x14ac:dyDescent="0.2">
      <c r="A227" s="34"/>
      <c r="B227" s="147"/>
      <c r="C227" s="148" t="s">
        <v>35</v>
      </c>
      <c r="D227" s="229">
        <v>59.95</v>
      </c>
      <c r="E227" s="151">
        <v>1</v>
      </c>
      <c r="F227" s="151">
        <v>1</v>
      </c>
      <c r="G227" s="152">
        <f t="shared" si="0"/>
        <v>1</v>
      </c>
      <c r="H227" s="150">
        <f t="shared" si="1"/>
        <v>59.95</v>
      </c>
      <c r="I227" s="222">
        <f t="shared" si="2"/>
        <v>59.95</v>
      </c>
      <c r="J227" s="229">
        <v>58.66</v>
      </c>
      <c r="K227" s="295">
        <v>3967</v>
      </c>
      <c r="L227" s="151">
        <v>1</v>
      </c>
      <c r="M227" s="230">
        <v>59.95</v>
      </c>
      <c r="N227" s="155">
        <f t="shared" si="3"/>
        <v>0.97848206839032514</v>
      </c>
      <c r="O227" s="156">
        <f t="shared" si="4"/>
        <v>1.0219911353562905</v>
      </c>
      <c r="P227" s="155">
        <f t="shared" si="5"/>
        <v>0.97848206839032514</v>
      </c>
      <c r="Q227" s="225">
        <f t="shared" si="6"/>
        <v>1</v>
      </c>
      <c r="R227" s="231">
        <f t="shared" si="68"/>
        <v>0</v>
      </c>
      <c r="S227" s="227">
        <f t="shared" si="8"/>
        <v>58.66</v>
      </c>
      <c r="T227" s="160"/>
      <c r="U227" s="160"/>
      <c r="V227" s="160"/>
      <c r="W227" s="160"/>
      <c r="X227" s="1"/>
    </row>
    <row r="228" spans="1:26" ht="12.75" hidden="1" outlineLevel="1" x14ac:dyDescent="0.2">
      <c r="A228" s="34"/>
      <c r="B228" s="147"/>
      <c r="C228" s="148" t="s">
        <v>62</v>
      </c>
      <c r="D228" s="200">
        <v>0</v>
      </c>
      <c r="E228" s="151">
        <v>0</v>
      </c>
      <c r="F228" s="151">
        <v>0</v>
      </c>
      <c r="G228" s="152" t="e">
        <f t="shared" si="0"/>
        <v>#DIV/0!</v>
      </c>
      <c r="H228" s="150" t="e">
        <f t="shared" si="1"/>
        <v>#DIV/0!</v>
      </c>
      <c r="I228" s="222" t="e">
        <f t="shared" si="2"/>
        <v>#DIV/0!</v>
      </c>
      <c r="J228" s="200">
        <v>0</v>
      </c>
      <c r="K228" s="295">
        <v>0</v>
      </c>
      <c r="L228" s="151">
        <v>0</v>
      </c>
      <c r="M228" s="200">
        <v>0</v>
      </c>
      <c r="N228" s="155" t="e">
        <f t="shared" si="3"/>
        <v>#DIV/0!</v>
      </c>
      <c r="O228" s="156" t="e">
        <f t="shared" si="4"/>
        <v>#DIV/0!</v>
      </c>
      <c r="P228" s="155" t="e">
        <f t="shared" si="5"/>
        <v>#DIV/0!</v>
      </c>
      <c r="Q228" s="225" t="e">
        <f t="shared" si="6"/>
        <v>#DIV/0!</v>
      </c>
      <c r="R228" s="231">
        <f t="shared" si="68"/>
        <v>0</v>
      </c>
      <c r="S228" s="227" t="e">
        <f t="shared" si="8"/>
        <v>#DIV/0!</v>
      </c>
      <c r="T228" s="160"/>
      <c r="U228" s="160"/>
      <c r="V228" s="160"/>
      <c r="W228" s="160"/>
      <c r="X228" s="1"/>
    </row>
    <row r="229" spans="1:26" ht="12.75" hidden="1" outlineLevel="1" x14ac:dyDescent="0.2">
      <c r="A229" s="34"/>
      <c r="B229" s="147"/>
      <c r="C229" s="148" t="s">
        <v>66</v>
      </c>
      <c r="D229" s="232">
        <v>239.96</v>
      </c>
      <c r="E229" s="151">
        <v>4</v>
      </c>
      <c r="F229" s="151">
        <v>4</v>
      </c>
      <c r="G229" s="152">
        <f t="shared" si="0"/>
        <v>1</v>
      </c>
      <c r="H229" s="150">
        <f t="shared" si="1"/>
        <v>59.99</v>
      </c>
      <c r="I229" s="222">
        <f t="shared" si="2"/>
        <v>59.99</v>
      </c>
      <c r="J229" s="232">
        <v>41.79</v>
      </c>
      <c r="K229" s="295">
        <v>11511</v>
      </c>
      <c r="L229" s="151">
        <v>1</v>
      </c>
      <c r="M229" s="233">
        <v>59.99</v>
      </c>
      <c r="N229" s="155">
        <f t="shared" si="3"/>
        <v>0.6966161026837806</v>
      </c>
      <c r="O229" s="156">
        <f t="shared" si="4"/>
        <v>1.4355108877721945</v>
      </c>
      <c r="P229" s="155">
        <f t="shared" si="5"/>
        <v>0.17415402567094515</v>
      </c>
      <c r="Q229" s="225">
        <f t="shared" si="6"/>
        <v>0.25</v>
      </c>
      <c r="R229" s="234">
        <f t="shared" si="68"/>
        <v>179.97</v>
      </c>
      <c r="S229" s="227">
        <f t="shared" si="8"/>
        <v>41.79</v>
      </c>
      <c r="T229" s="160"/>
      <c r="U229" s="160"/>
      <c r="V229" s="160"/>
      <c r="W229" s="160"/>
      <c r="X229" s="1"/>
    </row>
    <row r="230" spans="1:26" ht="12.75" hidden="1" outlineLevel="1" x14ac:dyDescent="0.2">
      <c r="A230" s="34"/>
      <c r="B230" s="147"/>
      <c r="C230" s="148" t="s">
        <v>36</v>
      </c>
      <c r="D230" s="229">
        <v>689.73</v>
      </c>
      <c r="E230" s="151">
        <v>11</v>
      </c>
      <c r="F230" s="151">
        <v>10</v>
      </c>
      <c r="G230" s="152">
        <f t="shared" si="0"/>
        <v>1.1000000000000001</v>
      </c>
      <c r="H230" s="150">
        <f t="shared" si="1"/>
        <v>62.702727272727273</v>
      </c>
      <c r="I230" s="222">
        <f t="shared" si="2"/>
        <v>57.002479338842974</v>
      </c>
      <c r="J230" s="229">
        <v>160.43</v>
      </c>
      <c r="K230" s="295">
        <v>4358</v>
      </c>
      <c r="L230" s="151">
        <v>4</v>
      </c>
      <c r="M230" s="230">
        <v>279.8</v>
      </c>
      <c r="N230" s="155">
        <f t="shared" si="3"/>
        <v>0.57337383845604006</v>
      </c>
      <c r="O230" s="156">
        <f t="shared" si="4"/>
        <v>1.7440628311413078</v>
      </c>
      <c r="P230" s="155">
        <f t="shared" si="5"/>
        <v>0.23259826308845491</v>
      </c>
      <c r="Q230" s="225">
        <f t="shared" si="6"/>
        <v>0.40566598524060138</v>
      </c>
      <c r="R230" s="231">
        <f t="shared" si="68"/>
        <v>409.93</v>
      </c>
      <c r="S230" s="227">
        <f t="shared" si="8"/>
        <v>40.107500000000002</v>
      </c>
      <c r="T230" s="160"/>
      <c r="U230" s="160"/>
      <c r="V230" s="160"/>
      <c r="W230" s="160"/>
      <c r="X230" s="1"/>
    </row>
    <row r="231" spans="1:26" ht="12.75" hidden="1" outlineLevel="1" x14ac:dyDescent="0.2">
      <c r="A231" s="34"/>
      <c r="B231" s="235" t="s">
        <v>37</v>
      </c>
      <c r="C231" s="148" t="s">
        <v>38</v>
      </c>
      <c r="D231" s="236">
        <v>162.72999999999999</v>
      </c>
      <c r="E231" s="151">
        <v>4</v>
      </c>
      <c r="F231" s="151">
        <v>7</v>
      </c>
      <c r="G231" s="152">
        <f t="shared" si="0"/>
        <v>0.5714285714285714</v>
      </c>
      <c r="H231" s="150">
        <f t="shared" si="1"/>
        <v>40.682499999999997</v>
      </c>
      <c r="I231" s="222">
        <f t="shared" si="2"/>
        <v>71.194374999999994</v>
      </c>
      <c r="J231" s="236">
        <v>159.88999999999999</v>
      </c>
      <c r="K231" s="295">
        <v>17913</v>
      </c>
      <c r="L231" s="151">
        <v>0</v>
      </c>
      <c r="M231" s="237">
        <v>0</v>
      </c>
      <c r="N231" s="155" t="e">
        <f t="shared" si="3"/>
        <v>#DIV/0!</v>
      </c>
      <c r="O231" s="156">
        <f t="shared" si="4"/>
        <v>0</v>
      </c>
      <c r="P231" s="155">
        <f t="shared" si="5"/>
        <v>0.98254777852885145</v>
      </c>
      <c r="Q231" s="225">
        <f t="shared" si="6"/>
        <v>0</v>
      </c>
      <c r="R231" s="238">
        <f t="shared" si="68"/>
        <v>162.72999999999999</v>
      </c>
      <c r="S231" s="227" t="e">
        <f t="shared" si="8"/>
        <v>#DIV/0!</v>
      </c>
      <c r="T231" s="160"/>
      <c r="U231" s="160"/>
      <c r="V231" s="160"/>
      <c r="W231" s="160"/>
      <c r="X231" s="1"/>
    </row>
    <row r="232" spans="1:26" ht="12.75" hidden="1" outlineLevel="1" x14ac:dyDescent="0.2">
      <c r="A232" s="34"/>
      <c r="B232" s="147"/>
      <c r="C232" s="148" t="s">
        <v>39</v>
      </c>
      <c r="D232" s="239">
        <v>-4.96</v>
      </c>
      <c r="E232" s="151">
        <v>-1</v>
      </c>
      <c r="F232" s="151">
        <v>1</v>
      </c>
      <c r="G232" s="152">
        <f t="shared" si="0"/>
        <v>-1</v>
      </c>
      <c r="H232" s="150">
        <f t="shared" si="1"/>
        <v>4.96</v>
      </c>
      <c r="I232" s="222">
        <f t="shared" si="2"/>
        <v>-4.96</v>
      </c>
      <c r="J232" s="239">
        <v>79.62</v>
      </c>
      <c r="K232" s="295">
        <v>182108</v>
      </c>
      <c r="L232" s="151">
        <v>1</v>
      </c>
      <c r="M232" s="240">
        <v>84.96</v>
      </c>
      <c r="N232" s="155">
        <f t="shared" si="3"/>
        <v>0.93714689265536733</v>
      </c>
      <c r="O232" s="156">
        <f t="shared" si="4"/>
        <v>1.0670685757347398</v>
      </c>
      <c r="P232" s="155">
        <f t="shared" si="5"/>
        <v>-16.052419354838712</v>
      </c>
      <c r="Q232" s="225">
        <f t="shared" si="6"/>
        <v>-17.129032258064516</v>
      </c>
      <c r="R232" s="241">
        <f t="shared" si="68"/>
        <v>-89.919999999999987</v>
      </c>
      <c r="S232" s="227">
        <f t="shared" si="8"/>
        <v>79.62</v>
      </c>
      <c r="T232" s="160"/>
      <c r="U232" s="160"/>
      <c r="V232" s="160"/>
      <c r="W232" s="160"/>
      <c r="X232" s="1"/>
    </row>
    <row r="233" spans="1:26" ht="12.75" hidden="1" outlineLevel="1" x14ac:dyDescent="0.2">
      <c r="A233" s="34"/>
      <c r="B233" s="147"/>
      <c r="C233" s="148" t="s">
        <v>40</v>
      </c>
      <c r="D233" s="242">
        <v>274.75</v>
      </c>
      <c r="E233" s="151">
        <v>5</v>
      </c>
      <c r="F233" s="151">
        <v>4</v>
      </c>
      <c r="G233" s="152">
        <f t="shared" si="0"/>
        <v>1.25</v>
      </c>
      <c r="H233" s="150">
        <f t="shared" si="1"/>
        <v>54.95</v>
      </c>
      <c r="I233" s="222">
        <f t="shared" si="2"/>
        <v>43.96</v>
      </c>
      <c r="J233" s="242">
        <v>0</v>
      </c>
      <c r="K233" s="295">
        <v>0</v>
      </c>
      <c r="L233" s="151">
        <v>0</v>
      </c>
      <c r="M233" s="243">
        <v>0</v>
      </c>
      <c r="N233" s="155" t="e">
        <f t="shared" si="3"/>
        <v>#DIV/0!</v>
      </c>
      <c r="O233" s="156" t="e">
        <f t="shared" si="4"/>
        <v>#DIV/0!</v>
      </c>
      <c r="P233" s="155">
        <f t="shared" si="5"/>
        <v>0</v>
      </c>
      <c r="Q233" s="225">
        <f t="shared" si="6"/>
        <v>0</v>
      </c>
      <c r="R233" s="244">
        <f t="shared" si="68"/>
        <v>274.75</v>
      </c>
      <c r="S233" s="227" t="e">
        <f t="shared" si="8"/>
        <v>#DIV/0!</v>
      </c>
      <c r="T233" s="160"/>
      <c r="U233" s="160"/>
      <c r="V233" s="160"/>
      <c r="W233" s="160"/>
      <c r="X233" s="1"/>
    </row>
    <row r="234" spans="1:26" ht="12.75" hidden="1" outlineLevel="1" x14ac:dyDescent="0.2">
      <c r="A234" s="34"/>
      <c r="B234" s="147"/>
      <c r="C234" s="148" t="s">
        <v>41</v>
      </c>
      <c r="D234" s="163">
        <v>2437.8000000000002</v>
      </c>
      <c r="E234" s="151">
        <v>29</v>
      </c>
      <c r="F234" s="151">
        <v>24</v>
      </c>
      <c r="G234" s="152">
        <f t="shared" si="0"/>
        <v>1.2083333333333333</v>
      </c>
      <c r="H234" s="150">
        <f t="shared" si="1"/>
        <v>84.062068965517241</v>
      </c>
      <c r="I234" s="222">
        <f t="shared" si="2"/>
        <v>69.568608799048761</v>
      </c>
      <c r="J234" s="163">
        <v>63.47</v>
      </c>
      <c r="K234" s="295">
        <v>12313</v>
      </c>
      <c r="L234" s="151">
        <v>6</v>
      </c>
      <c r="M234" s="164">
        <v>579.70000000000005</v>
      </c>
      <c r="N234" s="155">
        <f t="shared" si="3"/>
        <v>0.10948766603415559</v>
      </c>
      <c r="O234" s="156">
        <f t="shared" si="4"/>
        <v>9.1334488734835357</v>
      </c>
      <c r="P234" s="155">
        <f t="shared" si="5"/>
        <v>2.603576995651817E-2</v>
      </c>
      <c r="Q234" s="225">
        <f t="shared" si="6"/>
        <v>0.23779637377963739</v>
      </c>
      <c r="R234" s="245">
        <f t="shared" si="68"/>
        <v>1858.1000000000001</v>
      </c>
      <c r="S234" s="227">
        <f t="shared" si="8"/>
        <v>10.578333333333333</v>
      </c>
      <c r="T234" s="160"/>
      <c r="U234" s="160"/>
      <c r="V234" s="160"/>
      <c r="W234" s="160"/>
      <c r="X234" s="1"/>
    </row>
    <row r="235" spans="1:26" ht="12.75" hidden="1" outlineLevel="1" x14ac:dyDescent="0.2">
      <c r="A235" s="34"/>
      <c r="B235" s="147"/>
      <c r="C235" s="148" t="s">
        <v>42</v>
      </c>
      <c r="D235" s="229">
        <v>67.959999999999994</v>
      </c>
      <c r="E235" s="151">
        <v>1</v>
      </c>
      <c r="F235" s="151">
        <v>1</v>
      </c>
      <c r="G235" s="152">
        <f t="shared" si="0"/>
        <v>1</v>
      </c>
      <c r="H235" s="150">
        <f t="shared" si="1"/>
        <v>67.959999999999994</v>
      </c>
      <c r="I235" s="222">
        <f t="shared" si="2"/>
        <v>67.959999999999994</v>
      </c>
      <c r="J235" s="229">
        <v>2.14</v>
      </c>
      <c r="K235" s="295">
        <v>10943</v>
      </c>
      <c r="L235" s="151">
        <v>0</v>
      </c>
      <c r="M235" s="230">
        <v>0</v>
      </c>
      <c r="N235" s="155" t="e">
        <f t="shared" si="3"/>
        <v>#DIV/0!</v>
      </c>
      <c r="O235" s="156">
        <f t="shared" si="4"/>
        <v>0</v>
      </c>
      <c r="P235" s="155">
        <f t="shared" si="5"/>
        <v>3.1489111241907008E-2</v>
      </c>
      <c r="Q235" s="225">
        <f t="shared" si="6"/>
        <v>0</v>
      </c>
      <c r="R235" s="231">
        <f t="shared" si="68"/>
        <v>67.959999999999994</v>
      </c>
      <c r="S235" s="227" t="e">
        <f t="shared" si="8"/>
        <v>#DIV/0!</v>
      </c>
      <c r="T235" s="160"/>
      <c r="U235" s="160"/>
      <c r="V235" s="160"/>
      <c r="W235" s="160"/>
      <c r="X235" s="1"/>
    </row>
    <row r="236" spans="1:26" ht="12.75" hidden="1" outlineLevel="1" x14ac:dyDescent="0.2">
      <c r="A236" s="34"/>
      <c r="B236" s="147"/>
      <c r="C236" s="148" t="s">
        <v>43</v>
      </c>
      <c r="D236" s="165">
        <v>-139.37</v>
      </c>
      <c r="E236" s="151">
        <v>0</v>
      </c>
      <c r="F236" s="151">
        <v>3</v>
      </c>
      <c r="G236" s="152">
        <f t="shared" si="0"/>
        <v>0</v>
      </c>
      <c r="H236" s="150" t="e">
        <f t="shared" si="1"/>
        <v>#DIV/0!</v>
      </c>
      <c r="I236" s="222" t="e">
        <f t="shared" si="2"/>
        <v>#DIV/0!</v>
      </c>
      <c r="J236" s="165">
        <v>21.79</v>
      </c>
      <c r="K236" s="295">
        <v>21569</v>
      </c>
      <c r="L236" s="151">
        <v>0</v>
      </c>
      <c r="M236" s="166">
        <v>0</v>
      </c>
      <c r="N236" s="155" t="e">
        <f t="shared" si="3"/>
        <v>#DIV/0!</v>
      </c>
      <c r="O236" s="156">
        <f t="shared" si="4"/>
        <v>0</v>
      </c>
      <c r="P236" s="155">
        <f t="shared" si="5"/>
        <v>-0.1563464160149243</v>
      </c>
      <c r="Q236" s="225">
        <f t="shared" si="6"/>
        <v>0</v>
      </c>
      <c r="R236" s="246">
        <f t="shared" si="68"/>
        <v>-139.37</v>
      </c>
      <c r="S236" s="227" t="e">
        <f t="shared" si="8"/>
        <v>#DIV/0!</v>
      </c>
      <c r="T236" s="160"/>
      <c r="U236" s="160"/>
      <c r="V236" s="160"/>
      <c r="W236" s="160"/>
      <c r="X236" s="1"/>
    </row>
    <row r="237" spans="1:26" ht="12.75" hidden="1" outlineLevel="1" x14ac:dyDescent="0.2">
      <c r="A237" s="34"/>
      <c r="B237" s="147"/>
      <c r="C237" s="148" t="s">
        <v>44</v>
      </c>
      <c r="D237" s="247">
        <v>0</v>
      </c>
      <c r="E237" s="151">
        <v>0</v>
      </c>
      <c r="F237" s="151">
        <v>0</v>
      </c>
      <c r="G237" s="152" t="e">
        <f t="shared" si="0"/>
        <v>#DIV/0!</v>
      </c>
      <c r="H237" s="150" t="e">
        <f t="shared" si="1"/>
        <v>#DIV/0!</v>
      </c>
      <c r="I237" s="222" t="e">
        <f t="shared" si="2"/>
        <v>#DIV/0!</v>
      </c>
      <c r="J237" s="247">
        <v>3.1</v>
      </c>
      <c r="K237" s="295">
        <v>1684</v>
      </c>
      <c r="L237" s="151">
        <v>0</v>
      </c>
      <c r="M237" s="248">
        <v>0</v>
      </c>
      <c r="N237" s="155" t="e">
        <f t="shared" si="3"/>
        <v>#DIV/0!</v>
      </c>
      <c r="O237" s="156">
        <f t="shared" si="4"/>
        <v>0</v>
      </c>
      <c r="P237" s="155" t="e">
        <f t="shared" si="5"/>
        <v>#DIV/0!</v>
      </c>
      <c r="Q237" s="225" t="e">
        <f t="shared" si="6"/>
        <v>#DIV/0!</v>
      </c>
      <c r="R237" s="249">
        <f t="shared" si="68"/>
        <v>0</v>
      </c>
      <c r="S237" s="227" t="e">
        <f t="shared" si="8"/>
        <v>#DIV/0!</v>
      </c>
      <c r="T237" s="160"/>
      <c r="U237" s="160"/>
      <c r="V237" s="160"/>
      <c r="W237" s="160"/>
      <c r="X237" s="1"/>
    </row>
    <row r="238" spans="1:26" ht="12.75" hidden="1" outlineLevel="1" x14ac:dyDescent="0.2">
      <c r="A238" s="250"/>
      <c r="B238" s="147"/>
      <c r="C238" s="112" t="s">
        <v>45</v>
      </c>
      <c r="D238" s="149">
        <v>0</v>
      </c>
      <c r="E238" s="151">
        <v>0</v>
      </c>
      <c r="F238" s="151">
        <v>0</v>
      </c>
      <c r="G238" s="74" t="e">
        <f t="shared" si="0"/>
        <v>#DIV/0!</v>
      </c>
      <c r="H238" s="75" t="e">
        <f t="shared" si="1"/>
        <v>#DIV/0!</v>
      </c>
      <c r="I238" s="76" t="e">
        <f t="shared" si="2"/>
        <v>#DIV/0!</v>
      </c>
      <c r="J238" s="149">
        <v>0</v>
      </c>
      <c r="K238" s="295">
        <v>0</v>
      </c>
      <c r="L238" s="151">
        <v>0</v>
      </c>
      <c r="M238" s="224">
        <v>0</v>
      </c>
      <c r="N238" s="79" t="e">
        <f t="shared" si="3"/>
        <v>#DIV/0!</v>
      </c>
      <c r="O238" s="80" t="e">
        <f t="shared" si="4"/>
        <v>#DIV/0!</v>
      </c>
      <c r="P238" s="79" t="e">
        <f t="shared" si="5"/>
        <v>#DIV/0!</v>
      </c>
      <c r="Q238" s="81" t="e">
        <f t="shared" si="6"/>
        <v>#DIV/0!</v>
      </c>
      <c r="R238" s="82">
        <f t="shared" si="68"/>
        <v>0</v>
      </c>
      <c r="S238" s="83" t="e">
        <f t="shared" si="8"/>
        <v>#DIV/0!</v>
      </c>
      <c r="T238" s="113"/>
      <c r="U238" s="113"/>
      <c r="V238" s="113"/>
      <c r="W238" s="114"/>
      <c r="X238" s="115"/>
    </row>
    <row r="239" spans="1:26" ht="12.75" hidden="1" outlineLevel="1" x14ac:dyDescent="0.2">
      <c r="A239" s="118"/>
      <c r="B239" s="69"/>
      <c r="C239" s="70" t="s">
        <v>46</v>
      </c>
      <c r="D239" s="116">
        <v>900.09</v>
      </c>
      <c r="E239" s="73">
        <v>28</v>
      </c>
      <c r="F239" s="73">
        <v>26</v>
      </c>
      <c r="G239" s="74">
        <f t="shared" si="0"/>
        <v>1.0769230769230769</v>
      </c>
      <c r="H239" s="75">
        <f t="shared" si="1"/>
        <v>32.146071428571432</v>
      </c>
      <c r="I239" s="76">
        <f t="shared" si="2"/>
        <v>29.849923469387761</v>
      </c>
      <c r="J239" s="116">
        <v>164.56</v>
      </c>
      <c r="K239" s="199">
        <v>45377</v>
      </c>
      <c r="L239" s="73">
        <v>18</v>
      </c>
      <c r="M239" s="117">
        <v>474.72</v>
      </c>
      <c r="N239" s="79">
        <f t="shared" si="3"/>
        <v>0.34664644421975055</v>
      </c>
      <c r="O239" s="80">
        <f t="shared" si="4"/>
        <v>2.8847836655323289</v>
      </c>
      <c r="P239" s="79">
        <f t="shared" si="5"/>
        <v>0.18282616182826161</v>
      </c>
      <c r="Q239" s="81">
        <f t="shared" si="6"/>
        <v>0.52741392527413922</v>
      </c>
      <c r="R239" s="82">
        <f t="shared" si="68"/>
        <v>425.37</v>
      </c>
      <c r="S239" s="83">
        <f t="shared" si="8"/>
        <v>9.1422222222222231</v>
      </c>
      <c r="T239" s="84"/>
      <c r="U239" s="84"/>
      <c r="V239" s="84"/>
      <c r="W239" s="84"/>
      <c r="X239" s="85"/>
      <c r="Y239" s="68"/>
      <c r="Z239" s="68"/>
    </row>
    <row r="240" spans="1:26" ht="12.75" hidden="1" outlineLevel="1" x14ac:dyDescent="0.2">
      <c r="A240" s="34" t="str">
        <f t="shared" ref="A240:A241" si="69">IFERROR(IF(B240&gt;0,MONTH(B240)&amp;"-"&amp;YEAR(B240),B240),)</f>
        <v>12-2024</v>
      </c>
      <c r="B240" s="147">
        <v>45647</v>
      </c>
      <c r="C240" s="148" t="s">
        <v>49</v>
      </c>
      <c r="D240" s="251">
        <v>9.8000000000000007</v>
      </c>
      <c r="E240" s="151">
        <v>0</v>
      </c>
      <c r="F240" s="151">
        <v>1</v>
      </c>
      <c r="G240" s="152">
        <f t="shared" si="0"/>
        <v>0</v>
      </c>
      <c r="H240" s="150" t="e">
        <f t="shared" si="1"/>
        <v>#DIV/0!</v>
      </c>
      <c r="I240" s="222" t="e">
        <f t="shared" si="2"/>
        <v>#DIV/0!</v>
      </c>
      <c r="J240" s="251">
        <v>0</v>
      </c>
      <c r="K240" s="295">
        <v>12458</v>
      </c>
      <c r="L240" s="151">
        <v>0</v>
      </c>
      <c r="M240" s="252">
        <v>0</v>
      </c>
      <c r="N240" s="155" t="e">
        <f t="shared" si="3"/>
        <v>#DIV/0!</v>
      </c>
      <c r="O240" s="156" t="e">
        <f t="shared" si="4"/>
        <v>#DIV/0!</v>
      </c>
      <c r="P240" s="155">
        <f t="shared" si="5"/>
        <v>0</v>
      </c>
      <c r="Q240" s="225">
        <f t="shared" si="6"/>
        <v>0</v>
      </c>
      <c r="R240" s="226">
        <f t="shared" si="68"/>
        <v>9.8000000000000007</v>
      </c>
      <c r="S240" s="227" t="e">
        <f t="shared" si="8"/>
        <v>#DIV/0!</v>
      </c>
      <c r="T240" s="160"/>
      <c r="U240" s="160"/>
      <c r="V240" s="160"/>
      <c r="W240" s="160"/>
      <c r="X240" s="1"/>
    </row>
    <row r="241" spans="1:26" ht="12.75" collapsed="1" x14ac:dyDescent="0.2">
      <c r="A241" s="255">
        <f t="shared" si="69"/>
        <v>0</v>
      </c>
      <c r="B241" s="256" t="s">
        <v>58</v>
      </c>
      <c r="C241" s="257"/>
      <c r="D241" s="258">
        <f t="shared" ref="D241:F241" si="70">SUM(D224:D240)</f>
        <v>23343.57</v>
      </c>
      <c r="E241" s="259">
        <f t="shared" si="70"/>
        <v>150</v>
      </c>
      <c r="F241" s="259">
        <f t="shared" si="70"/>
        <v>158</v>
      </c>
      <c r="G241" s="260">
        <f t="shared" si="0"/>
        <v>0.94936708860759489</v>
      </c>
      <c r="H241" s="261">
        <f t="shared" si="1"/>
        <v>155.62379999999999</v>
      </c>
      <c r="I241" s="262">
        <f t="shared" si="2"/>
        <v>163.92373599999999</v>
      </c>
      <c r="J241" s="263">
        <f t="shared" ref="J241:M241" si="71">SUM(J224:J240)</f>
        <v>1023.8800000000001</v>
      </c>
      <c r="K241" s="314">
        <f t="shared" si="71"/>
        <v>364632</v>
      </c>
      <c r="L241" s="259">
        <f t="shared" si="71"/>
        <v>48</v>
      </c>
      <c r="M241" s="258">
        <f t="shared" si="71"/>
        <v>5056.3200000000006</v>
      </c>
      <c r="N241" s="264">
        <f t="shared" si="3"/>
        <v>0.20249509524713624</v>
      </c>
      <c r="O241" s="265">
        <f t="shared" si="4"/>
        <v>4.9383912177208265</v>
      </c>
      <c r="P241" s="264">
        <f t="shared" si="5"/>
        <v>4.3861328837020222E-2</v>
      </c>
      <c r="Q241" s="266">
        <f t="shared" si="6"/>
        <v>0.21660440112630591</v>
      </c>
      <c r="R241" s="267">
        <f>SUM(R224:R240)</f>
        <v>18287.249999999996</v>
      </c>
      <c r="S241" s="268">
        <f t="shared" si="8"/>
        <v>21.330833333333334</v>
      </c>
      <c r="T241" s="269">
        <f t="shared" ref="T241:U241" si="72">IFERROR((D241-#REF!)/D241,)</f>
        <v>0</v>
      </c>
      <c r="U241" s="269">
        <f t="shared" si="72"/>
        <v>0</v>
      </c>
      <c r="V241" s="269" t="s">
        <v>139</v>
      </c>
      <c r="W241" s="270" t="s">
        <v>139</v>
      </c>
      <c r="X241" s="67"/>
    </row>
    <row r="242" spans="1:26" ht="12.75" hidden="1" outlineLevel="1" x14ac:dyDescent="0.2">
      <c r="A242" s="68"/>
      <c r="B242" s="69">
        <v>45648</v>
      </c>
      <c r="C242" s="70" t="s">
        <v>32</v>
      </c>
      <c r="D242" s="71">
        <v>12504.3</v>
      </c>
      <c r="E242" s="73">
        <v>32</v>
      </c>
      <c r="F242" s="73">
        <v>32</v>
      </c>
      <c r="G242" s="74">
        <f t="shared" si="0"/>
        <v>1</v>
      </c>
      <c r="H242" s="75">
        <f t="shared" si="1"/>
        <v>390.75937499999998</v>
      </c>
      <c r="I242" s="76">
        <f t="shared" si="2"/>
        <v>390.75937499999998</v>
      </c>
      <c r="J242" s="71">
        <v>106.38</v>
      </c>
      <c r="K242" s="73">
        <v>23406</v>
      </c>
      <c r="L242" s="73">
        <v>10</v>
      </c>
      <c r="M242" s="78">
        <v>4010.3</v>
      </c>
      <c r="N242" s="79">
        <f t="shared" si="3"/>
        <v>2.6526693763558835E-2</v>
      </c>
      <c r="O242" s="80">
        <f t="shared" si="4"/>
        <v>37.697875540515135</v>
      </c>
      <c r="P242" s="79">
        <f t="shared" si="5"/>
        <v>8.5074734291403758E-3</v>
      </c>
      <c r="Q242" s="81">
        <f t="shared" si="6"/>
        <v>0.32071367449597343</v>
      </c>
      <c r="R242" s="82">
        <f t="shared" ref="R242:R258" si="73">D242-M242</f>
        <v>8494</v>
      </c>
      <c r="S242" s="83">
        <f t="shared" si="8"/>
        <v>10.638</v>
      </c>
      <c r="T242" s="84"/>
      <c r="U242" s="84"/>
      <c r="V242" s="84"/>
      <c r="W242" s="84"/>
      <c r="X242" s="85"/>
      <c r="Y242" s="68"/>
      <c r="Z242" s="68"/>
    </row>
    <row r="243" spans="1:26" ht="12.75" hidden="1" outlineLevel="1" x14ac:dyDescent="0.2">
      <c r="A243" s="68"/>
      <c r="B243" s="86"/>
      <c r="C243" s="70" t="s">
        <v>33</v>
      </c>
      <c r="D243" s="87">
        <v>5241.8599999999997</v>
      </c>
      <c r="E243" s="73">
        <v>31</v>
      </c>
      <c r="F243" s="73">
        <v>37</v>
      </c>
      <c r="G243" s="74">
        <f t="shared" si="0"/>
        <v>0.83783783783783783</v>
      </c>
      <c r="H243" s="75">
        <f t="shared" si="1"/>
        <v>169.09225806451613</v>
      </c>
      <c r="I243" s="76">
        <f t="shared" si="2"/>
        <v>201.81979188345474</v>
      </c>
      <c r="J243" s="87">
        <v>104.84</v>
      </c>
      <c r="K243" s="73">
        <v>18706</v>
      </c>
      <c r="L243" s="73">
        <v>1</v>
      </c>
      <c r="M243" s="88">
        <v>79.95</v>
      </c>
      <c r="N243" s="79">
        <f t="shared" si="3"/>
        <v>1.3113195747342088</v>
      </c>
      <c r="O243" s="80">
        <f t="shared" si="4"/>
        <v>0.76259061426936281</v>
      </c>
      <c r="P243" s="79">
        <f t="shared" si="5"/>
        <v>2.0000534161538082E-2</v>
      </c>
      <c r="Q243" s="81">
        <f t="shared" si="6"/>
        <v>1.5252219631962702E-2</v>
      </c>
      <c r="R243" s="89">
        <f t="shared" si="73"/>
        <v>5161.91</v>
      </c>
      <c r="S243" s="83">
        <f t="shared" si="8"/>
        <v>104.84</v>
      </c>
      <c r="T243" s="84"/>
      <c r="U243" s="84"/>
      <c r="V243" s="84"/>
      <c r="W243" s="84"/>
      <c r="X243" s="85"/>
      <c r="Y243" s="68"/>
      <c r="Z243" s="68"/>
    </row>
    <row r="244" spans="1:26" ht="12.75" hidden="1" outlineLevel="1" x14ac:dyDescent="0.2">
      <c r="A244" s="68"/>
      <c r="B244" s="86"/>
      <c r="C244" s="70" t="s">
        <v>34</v>
      </c>
      <c r="D244" s="90">
        <v>139.9</v>
      </c>
      <c r="E244" s="73">
        <v>2</v>
      </c>
      <c r="F244" s="73">
        <v>1</v>
      </c>
      <c r="G244" s="74">
        <f t="shared" si="0"/>
        <v>2</v>
      </c>
      <c r="H244" s="75">
        <f t="shared" si="1"/>
        <v>69.95</v>
      </c>
      <c r="I244" s="76">
        <f t="shared" si="2"/>
        <v>34.975000000000001</v>
      </c>
      <c r="J244" s="90">
        <v>0</v>
      </c>
      <c r="K244" s="73">
        <v>0</v>
      </c>
      <c r="L244" s="73">
        <v>0</v>
      </c>
      <c r="M244" s="91">
        <v>0</v>
      </c>
      <c r="N244" s="79" t="e">
        <f t="shared" si="3"/>
        <v>#DIV/0!</v>
      </c>
      <c r="O244" s="80" t="e">
        <f t="shared" si="4"/>
        <v>#DIV/0!</v>
      </c>
      <c r="P244" s="79">
        <f t="shared" si="5"/>
        <v>0</v>
      </c>
      <c r="Q244" s="81">
        <f t="shared" si="6"/>
        <v>0</v>
      </c>
      <c r="R244" s="92">
        <f t="shared" si="73"/>
        <v>139.9</v>
      </c>
      <c r="S244" s="83" t="e">
        <f t="shared" si="8"/>
        <v>#DIV/0!</v>
      </c>
      <c r="T244" s="84"/>
      <c r="U244" s="84"/>
      <c r="V244" s="84"/>
      <c r="W244" s="84"/>
      <c r="X244" s="85"/>
      <c r="Y244" s="68"/>
      <c r="Z244" s="68"/>
    </row>
    <row r="245" spans="1:26" ht="12.75" hidden="1" outlineLevel="1" x14ac:dyDescent="0.2">
      <c r="A245" s="68"/>
      <c r="B245" s="86"/>
      <c r="C245" s="70" t="s">
        <v>35</v>
      </c>
      <c r="D245" s="90">
        <v>359.7</v>
      </c>
      <c r="E245" s="73">
        <v>6</v>
      </c>
      <c r="F245" s="73">
        <v>5</v>
      </c>
      <c r="G245" s="74">
        <f t="shared" si="0"/>
        <v>1.2</v>
      </c>
      <c r="H245" s="75">
        <f t="shared" si="1"/>
        <v>59.949999999999996</v>
      </c>
      <c r="I245" s="76">
        <f t="shared" si="2"/>
        <v>49.958333333333329</v>
      </c>
      <c r="J245" s="90">
        <v>15.23</v>
      </c>
      <c r="K245" s="73">
        <v>1618</v>
      </c>
      <c r="L245" s="73">
        <v>0</v>
      </c>
      <c r="M245" s="91">
        <v>0</v>
      </c>
      <c r="N245" s="79" t="e">
        <f t="shared" si="3"/>
        <v>#DIV/0!</v>
      </c>
      <c r="O245" s="80">
        <f t="shared" si="4"/>
        <v>0</v>
      </c>
      <c r="P245" s="79">
        <f t="shared" si="5"/>
        <v>4.2340839588546016E-2</v>
      </c>
      <c r="Q245" s="81">
        <f t="shared" si="6"/>
        <v>0</v>
      </c>
      <c r="R245" s="92">
        <f t="shared" si="73"/>
        <v>359.7</v>
      </c>
      <c r="S245" s="83" t="e">
        <f t="shared" si="8"/>
        <v>#DIV/0!</v>
      </c>
      <c r="T245" s="84"/>
      <c r="U245" s="84"/>
      <c r="V245" s="84"/>
      <c r="W245" s="84"/>
      <c r="X245" s="85"/>
      <c r="Y245" s="68"/>
      <c r="Z245" s="68"/>
    </row>
    <row r="246" spans="1:26" ht="12.75" hidden="1" outlineLevel="1" x14ac:dyDescent="0.2">
      <c r="A246" s="68"/>
      <c r="B246" s="86"/>
      <c r="C246" s="70" t="s">
        <v>62</v>
      </c>
      <c r="D246" s="200">
        <v>0</v>
      </c>
      <c r="E246" s="73">
        <v>0</v>
      </c>
      <c r="F246" s="73">
        <v>0</v>
      </c>
      <c r="G246" s="74" t="e">
        <f t="shared" si="0"/>
        <v>#DIV/0!</v>
      </c>
      <c r="H246" s="75" t="e">
        <f t="shared" si="1"/>
        <v>#DIV/0!</v>
      </c>
      <c r="I246" s="76" t="e">
        <f t="shared" si="2"/>
        <v>#DIV/0!</v>
      </c>
      <c r="J246" s="200">
        <v>0</v>
      </c>
      <c r="K246" s="73">
        <v>0</v>
      </c>
      <c r="L246" s="73">
        <v>0</v>
      </c>
      <c r="M246" s="200">
        <v>0</v>
      </c>
      <c r="N246" s="79" t="e">
        <f t="shared" si="3"/>
        <v>#DIV/0!</v>
      </c>
      <c r="O246" s="80" t="e">
        <f t="shared" si="4"/>
        <v>#DIV/0!</v>
      </c>
      <c r="P246" s="79" t="e">
        <f t="shared" si="5"/>
        <v>#DIV/0!</v>
      </c>
      <c r="Q246" s="81" t="e">
        <f t="shared" si="6"/>
        <v>#DIV/0!</v>
      </c>
      <c r="R246" s="92">
        <f t="shared" si="73"/>
        <v>0</v>
      </c>
      <c r="S246" s="83" t="e">
        <f t="shared" si="8"/>
        <v>#DIV/0!</v>
      </c>
      <c r="T246" s="84"/>
      <c r="U246" s="84"/>
      <c r="V246" s="84"/>
      <c r="W246" s="84"/>
      <c r="X246" s="85"/>
      <c r="Y246" s="68"/>
      <c r="Z246" s="68"/>
    </row>
    <row r="247" spans="1:26" ht="12.75" hidden="1" outlineLevel="1" x14ac:dyDescent="0.2">
      <c r="A247" s="68"/>
      <c r="B247" s="86"/>
      <c r="C247" s="70" t="s">
        <v>66</v>
      </c>
      <c r="D247" s="201">
        <v>119.98</v>
      </c>
      <c r="E247" s="73">
        <v>2</v>
      </c>
      <c r="F247" s="73">
        <v>1</v>
      </c>
      <c r="G247" s="74">
        <f t="shared" si="0"/>
        <v>2</v>
      </c>
      <c r="H247" s="75">
        <f t="shared" si="1"/>
        <v>59.99</v>
      </c>
      <c r="I247" s="76">
        <f t="shared" si="2"/>
        <v>29.995000000000001</v>
      </c>
      <c r="J247" s="201">
        <v>41.55</v>
      </c>
      <c r="K247" s="73">
        <v>9951</v>
      </c>
      <c r="L247" s="73">
        <v>0</v>
      </c>
      <c r="M247" s="202">
        <v>0</v>
      </c>
      <c r="N247" s="79" t="e">
        <f t="shared" si="3"/>
        <v>#DIV/0!</v>
      </c>
      <c r="O247" s="80">
        <f t="shared" si="4"/>
        <v>0</v>
      </c>
      <c r="P247" s="79">
        <f t="shared" si="5"/>
        <v>0.34630771795299214</v>
      </c>
      <c r="Q247" s="81">
        <f t="shared" si="6"/>
        <v>0</v>
      </c>
      <c r="R247" s="203">
        <f t="shared" si="73"/>
        <v>119.98</v>
      </c>
      <c r="S247" s="83" t="e">
        <f t="shared" si="8"/>
        <v>#DIV/0!</v>
      </c>
      <c r="T247" s="84"/>
      <c r="U247" s="84"/>
      <c r="V247" s="84"/>
      <c r="W247" s="84"/>
      <c r="X247" s="85"/>
      <c r="Y247" s="68"/>
      <c r="Z247" s="68"/>
    </row>
    <row r="248" spans="1:26" ht="12.75" hidden="1" outlineLevel="1" x14ac:dyDescent="0.2">
      <c r="A248" s="68"/>
      <c r="B248" s="86"/>
      <c r="C248" s="70" t="s">
        <v>36</v>
      </c>
      <c r="D248" s="90">
        <v>849.35</v>
      </c>
      <c r="E248" s="73">
        <v>13</v>
      </c>
      <c r="F248" s="73">
        <v>8</v>
      </c>
      <c r="G248" s="74">
        <f t="shared" si="0"/>
        <v>1.625</v>
      </c>
      <c r="H248" s="75">
        <f t="shared" si="1"/>
        <v>65.33461538461539</v>
      </c>
      <c r="I248" s="76">
        <f t="shared" si="2"/>
        <v>40.205917159763317</v>
      </c>
      <c r="J248" s="90">
        <v>151.87</v>
      </c>
      <c r="K248" s="73">
        <v>3720</v>
      </c>
      <c r="L248" s="73">
        <v>1</v>
      </c>
      <c r="M248" s="91">
        <v>69.95</v>
      </c>
      <c r="N248" s="79">
        <f t="shared" si="3"/>
        <v>2.1711222301644031</v>
      </c>
      <c r="O248" s="80">
        <f t="shared" si="4"/>
        <v>0.4605912951866728</v>
      </c>
      <c r="P248" s="79">
        <f t="shared" si="5"/>
        <v>0.17880732324718904</v>
      </c>
      <c r="Q248" s="81">
        <f t="shared" si="6"/>
        <v>8.2357096603284871E-2</v>
      </c>
      <c r="R248" s="92">
        <f t="shared" si="73"/>
        <v>779.4</v>
      </c>
      <c r="S248" s="83">
        <f t="shared" si="8"/>
        <v>151.87</v>
      </c>
      <c r="T248" s="84"/>
      <c r="U248" s="84"/>
      <c r="V248" s="84"/>
      <c r="W248" s="84"/>
      <c r="X248" s="85"/>
      <c r="Y248" s="68"/>
      <c r="Z248" s="68"/>
    </row>
    <row r="249" spans="1:26" ht="12.75" hidden="1" outlineLevel="1" x14ac:dyDescent="0.2">
      <c r="A249" s="68"/>
      <c r="B249" s="69" t="s">
        <v>37</v>
      </c>
      <c r="C249" s="70" t="s">
        <v>38</v>
      </c>
      <c r="D249" s="93">
        <v>765.75</v>
      </c>
      <c r="E249" s="73">
        <v>11</v>
      </c>
      <c r="F249" s="73">
        <v>14</v>
      </c>
      <c r="G249" s="74">
        <f t="shared" si="0"/>
        <v>0.7857142857142857</v>
      </c>
      <c r="H249" s="75">
        <f t="shared" si="1"/>
        <v>69.61363636363636</v>
      </c>
      <c r="I249" s="76">
        <f t="shared" si="2"/>
        <v>88.599173553718998</v>
      </c>
      <c r="J249" s="93">
        <v>243.42</v>
      </c>
      <c r="K249" s="73">
        <v>28115</v>
      </c>
      <c r="L249" s="73">
        <v>4</v>
      </c>
      <c r="M249" s="94">
        <v>150.88999999999999</v>
      </c>
      <c r="N249" s="79">
        <f t="shared" si="3"/>
        <v>1.6132281794684871</v>
      </c>
      <c r="O249" s="80">
        <f t="shared" si="4"/>
        <v>0.61987511297346143</v>
      </c>
      <c r="P249" s="79">
        <f t="shared" si="5"/>
        <v>0.31788442703232123</v>
      </c>
      <c r="Q249" s="81">
        <f t="shared" si="6"/>
        <v>0.1970486451191642</v>
      </c>
      <c r="R249" s="95">
        <f t="shared" si="73"/>
        <v>614.86</v>
      </c>
      <c r="S249" s="83">
        <f t="shared" si="8"/>
        <v>60.854999999999997</v>
      </c>
      <c r="T249" s="84"/>
      <c r="U249" s="84"/>
      <c r="V249" s="84"/>
      <c r="W249" s="84"/>
      <c r="X249" s="85"/>
      <c r="Y249" s="68"/>
      <c r="Z249" s="68"/>
    </row>
    <row r="250" spans="1:26" ht="12.75" hidden="1" outlineLevel="1" x14ac:dyDescent="0.2">
      <c r="A250" s="68"/>
      <c r="B250" s="86"/>
      <c r="C250" s="70" t="s">
        <v>39</v>
      </c>
      <c r="D250" s="96">
        <v>0</v>
      </c>
      <c r="E250" s="73">
        <v>0</v>
      </c>
      <c r="F250" s="73">
        <v>0</v>
      </c>
      <c r="G250" s="74" t="e">
        <f t="shared" si="0"/>
        <v>#DIV/0!</v>
      </c>
      <c r="H250" s="75" t="e">
        <f t="shared" si="1"/>
        <v>#DIV/0!</v>
      </c>
      <c r="I250" s="76" t="e">
        <f t="shared" si="2"/>
        <v>#DIV/0!</v>
      </c>
      <c r="J250" s="96">
        <v>53.92</v>
      </c>
      <c r="K250" s="73">
        <v>167085</v>
      </c>
      <c r="L250" s="73">
        <v>0</v>
      </c>
      <c r="M250" s="97">
        <v>0</v>
      </c>
      <c r="N250" s="79" t="e">
        <f t="shared" si="3"/>
        <v>#DIV/0!</v>
      </c>
      <c r="O250" s="80">
        <f t="shared" si="4"/>
        <v>0</v>
      </c>
      <c r="P250" s="79" t="e">
        <f t="shared" si="5"/>
        <v>#DIV/0!</v>
      </c>
      <c r="Q250" s="81" t="e">
        <f t="shared" si="6"/>
        <v>#DIV/0!</v>
      </c>
      <c r="R250" s="98">
        <f t="shared" si="73"/>
        <v>0</v>
      </c>
      <c r="S250" s="83" t="e">
        <f t="shared" si="8"/>
        <v>#DIV/0!</v>
      </c>
      <c r="T250" s="84"/>
      <c r="U250" s="84"/>
      <c r="V250" s="84"/>
      <c r="W250" s="84"/>
      <c r="X250" s="85"/>
      <c r="Y250" s="68"/>
      <c r="Z250" s="68"/>
    </row>
    <row r="251" spans="1:26" ht="12.75" hidden="1" outlineLevel="1" x14ac:dyDescent="0.2">
      <c r="A251" s="68"/>
      <c r="B251" s="86"/>
      <c r="C251" s="70" t="s">
        <v>40</v>
      </c>
      <c r="D251" s="99">
        <v>0</v>
      </c>
      <c r="E251" s="73">
        <v>0</v>
      </c>
      <c r="F251" s="73">
        <v>1</v>
      </c>
      <c r="G251" s="74">
        <f t="shared" si="0"/>
        <v>0</v>
      </c>
      <c r="H251" s="75" t="e">
        <f t="shared" si="1"/>
        <v>#DIV/0!</v>
      </c>
      <c r="I251" s="76" t="e">
        <f t="shared" si="2"/>
        <v>#DIV/0!</v>
      </c>
      <c r="J251" s="99">
        <v>0</v>
      </c>
      <c r="K251" s="73">
        <v>0</v>
      </c>
      <c r="L251" s="73">
        <v>0</v>
      </c>
      <c r="M251" s="100">
        <v>0</v>
      </c>
      <c r="N251" s="79" t="e">
        <f t="shared" si="3"/>
        <v>#DIV/0!</v>
      </c>
      <c r="O251" s="80" t="e">
        <f t="shared" si="4"/>
        <v>#DIV/0!</v>
      </c>
      <c r="P251" s="79" t="e">
        <f t="shared" si="5"/>
        <v>#DIV/0!</v>
      </c>
      <c r="Q251" s="81" t="e">
        <f t="shared" si="6"/>
        <v>#DIV/0!</v>
      </c>
      <c r="R251" s="101">
        <f t="shared" si="73"/>
        <v>0</v>
      </c>
      <c r="S251" s="83" t="e">
        <f t="shared" si="8"/>
        <v>#DIV/0!</v>
      </c>
      <c r="T251" s="84"/>
      <c r="U251" s="84"/>
      <c r="V251" s="84"/>
      <c r="W251" s="84"/>
      <c r="X251" s="85"/>
      <c r="Y251" s="68"/>
      <c r="Z251" s="68"/>
    </row>
    <row r="252" spans="1:26" ht="12.75" hidden="1" outlineLevel="1" x14ac:dyDescent="0.2">
      <c r="A252" s="68"/>
      <c r="B252" s="86"/>
      <c r="C252" s="70" t="s">
        <v>41</v>
      </c>
      <c r="D252" s="102">
        <v>766.15</v>
      </c>
      <c r="E252" s="73">
        <v>15</v>
      </c>
      <c r="F252" s="73">
        <v>14</v>
      </c>
      <c r="G252" s="74">
        <f t="shared" si="0"/>
        <v>1.0714285714285714</v>
      </c>
      <c r="H252" s="75">
        <f t="shared" si="1"/>
        <v>51.076666666666668</v>
      </c>
      <c r="I252" s="76">
        <f t="shared" si="2"/>
        <v>47.671555555555557</v>
      </c>
      <c r="J252" s="102">
        <v>56.99</v>
      </c>
      <c r="K252" s="73">
        <v>12059</v>
      </c>
      <c r="L252" s="73">
        <v>1</v>
      </c>
      <c r="M252" s="103">
        <v>67</v>
      </c>
      <c r="N252" s="79">
        <f t="shared" si="3"/>
        <v>0.85059701492537321</v>
      </c>
      <c r="O252" s="80">
        <f t="shared" si="4"/>
        <v>1.1756448499736796</v>
      </c>
      <c r="P252" s="79">
        <f t="shared" si="5"/>
        <v>7.438491157084122E-2</v>
      </c>
      <c r="Q252" s="81">
        <f t="shared" si="6"/>
        <v>8.7450238204007047E-2</v>
      </c>
      <c r="R252" s="104">
        <f t="shared" si="73"/>
        <v>699.15</v>
      </c>
      <c r="S252" s="83">
        <f t="shared" si="8"/>
        <v>56.99</v>
      </c>
      <c r="T252" s="84"/>
      <c r="U252" s="84"/>
      <c r="V252" s="84"/>
      <c r="W252" s="84"/>
      <c r="X252" s="85"/>
      <c r="Y252" s="68"/>
      <c r="Z252" s="68"/>
    </row>
    <row r="253" spans="1:26" ht="12.75" hidden="1" outlineLevel="1" x14ac:dyDescent="0.2">
      <c r="A253" s="68"/>
      <c r="B253" s="86"/>
      <c r="C253" s="70" t="s">
        <v>42</v>
      </c>
      <c r="D253" s="90">
        <v>-10.91</v>
      </c>
      <c r="E253" s="73">
        <v>1</v>
      </c>
      <c r="F253" s="73">
        <v>1</v>
      </c>
      <c r="G253" s="74">
        <f t="shared" si="0"/>
        <v>1</v>
      </c>
      <c r="H253" s="75">
        <f t="shared" si="1"/>
        <v>-10.91</v>
      </c>
      <c r="I253" s="76">
        <f t="shared" si="2"/>
        <v>-10.91</v>
      </c>
      <c r="J253" s="90">
        <v>8.58</v>
      </c>
      <c r="K253" s="73">
        <v>10088</v>
      </c>
      <c r="L253" s="73">
        <v>1</v>
      </c>
      <c r="M253" s="91">
        <v>19.989999999999998</v>
      </c>
      <c r="N253" s="79">
        <f t="shared" si="3"/>
        <v>0.42921460730365185</v>
      </c>
      <c r="O253" s="80">
        <f t="shared" si="4"/>
        <v>2.3298368298368297</v>
      </c>
      <c r="P253" s="79">
        <f t="shared" si="5"/>
        <v>-0.78643446379468374</v>
      </c>
      <c r="Q253" s="81">
        <f t="shared" si="6"/>
        <v>-1.832263978001833</v>
      </c>
      <c r="R253" s="92">
        <f t="shared" si="73"/>
        <v>-30.9</v>
      </c>
      <c r="S253" s="83">
        <f t="shared" si="8"/>
        <v>8.58</v>
      </c>
      <c r="T253" s="84"/>
      <c r="U253" s="84"/>
      <c r="V253" s="84"/>
      <c r="W253" s="84"/>
      <c r="X253" s="85"/>
      <c r="Y253" s="68"/>
      <c r="Z253" s="68"/>
    </row>
    <row r="254" spans="1:26" ht="12.75" hidden="1" outlineLevel="1" x14ac:dyDescent="0.2">
      <c r="A254" s="68"/>
      <c r="B254" s="86"/>
      <c r="C254" s="70" t="s">
        <v>43</v>
      </c>
      <c r="D254" s="105">
        <v>299.89999999999998</v>
      </c>
      <c r="E254" s="73">
        <v>2</v>
      </c>
      <c r="F254" s="73">
        <v>3</v>
      </c>
      <c r="G254" s="74">
        <f t="shared" si="0"/>
        <v>0.66666666666666663</v>
      </c>
      <c r="H254" s="75">
        <f t="shared" si="1"/>
        <v>149.94999999999999</v>
      </c>
      <c r="I254" s="76">
        <f t="shared" si="2"/>
        <v>224.92499999999998</v>
      </c>
      <c r="J254" s="105">
        <v>19.96</v>
      </c>
      <c r="K254" s="73">
        <v>26977</v>
      </c>
      <c r="L254" s="73">
        <v>0</v>
      </c>
      <c r="M254" s="106">
        <v>0</v>
      </c>
      <c r="N254" s="79" t="e">
        <f t="shared" si="3"/>
        <v>#DIV/0!</v>
      </c>
      <c r="O254" s="80">
        <f t="shared" si="4"/>
        <v>0</v>
      </c>
      <c r="P254" s="79">
        <f t="shared" si="5"/>
        <v>6.6555518506168726E-2</v>
      </c>
      <c r="Q254" s="81">
        <f t="shared" si="6"/>
        <v>0</v>
      </c>
      <c r="R254" s="107">
        <f t="shared" si="73"/>
        <v>299.89999999999998</v>
      </c>
      <c r="S254" s="83" t="e">
        <f t="shared" si="8"/>
        <v>#DIV/0!</v>
      </c>
      <c r="T254" s="84"/>
      <c r="U254" s="84"/>
      <c r="V254" s="84"/>
      <c r="W254" s="84"/>
      <c r="X254" s="85"/>
      <c r="Y254" s="68"/>
      <c r="Z254" s="68"/>
    </row>
    <row r="255" spans="1:26" ht="12.75" hidden="1" outlineLevel="1" x14ac:dyDescent="0.2">
      <c r="A255" s="68"/>
      <c r="B255" s="86"/>
      <c r="C255" s="70" t="s">
        <v>44</v>
      </c>
      <c r="D255" s="108">
        <v>0</v>
      </c>
      <c r="E255" s="73">
        <v>0</v>
      </c>
      <c r="F255" s="73">
        <v>0</v>
      </c>
      <c r="G255" s="74" t="e">
        <f t="shared" si="0"/>
        <v>#DIV/0!</v>
      </c>
      <c r="H255" s="75" t="e">
        <f t="shared" si="1"/>
        <v>#DIV/0!</v>
      </c>
      <c r="I255" s="76" t="e">
        <f t="shared" si="2"/>
        <v>#DIV/0!</v>
      </c>
      <c r="J255" s="108">
        <v>1.02</v>
      </c>
      <c r="K255" s="73">
        <v>12691</v>
      </c>
      <c r="L255" s="73">
        <v>0</v>
      </c>
      <c r="M255" s="109">
        <v>0</v>
      </c>
      <c r="N255" s="79" t="e">
        <f t="shared" si="3"/>
        <v>#DIV/0!</v>
      </c>
      <c r="O255" s="80">
        <f t="shared" si="4"/>
        <v>0</v>
      </c>
      <c r="P255" s="79" t="e">
        <f t="shared" si="5"/>
        <v>#DIV/0!</v>
      </c>
      <c r="Q255" s="81" t="e">
        <f t="shared" si="6"/>
        <v>#DIV/0!</v>
      </c>
      <c r="R255" s="110">
        <f t="shared" si="73"/>
        <v>0</v>
      </c>
      <c r="S255" s="83" t="e">
        <f t="shared" si="8"/>
        <v>#DIV/0!</v>
      </c>
      <c r="T255" s="84"/>
      <c r="U255" s="84"/>
      <c r="V255" s="84"/>
      <c r="W255" s="84"/>
      <c r="X255" s="85"/>
      <c r="Y255" s="68"/>
      <c r="Z255" s="68"/>
    </row>
    <row r="256" spans="1:26" ht="12.75" hidden="1" outlineLevel="1" x14ac:dyDescent="0.2">
      <c r="A256" s="111"/>
      <c r="B256" s="86"/>
      <c r="C256" s="112" t="s">
        <v>45</v>
      </c>
      <c r="D256" s="71">
        <v>79.8</v>
      </c>
      <c r="E256" s="73">
        <v>4</v>
      </c>
      <c r="F256" s="73">
        <v>2</v>
      </c>
      <c r="G256" s="74">
        <f t="shared" si="0"/>
        <v>2</v>
      </c>
      <c r="H256" s="75">
        <f t="shared" si="1"/>
        <v>19.95</v>
      </c>
      <c r="I256" s="76">
        <f t="shared" si="2"/>
        <v>9.9749999999999996</v>
      </c>
      <c r="J256" s="71">
        <v>0</v>
      </c>
      <c r="K256" s="73">
        <v>0</v>
      </c>
      <c r="L256" s="73">
        <v>0</v>
      </c>
      <c r="M256" s="78">
        <v>0</v>
      </c>
      <c r="N256" s="79" t="e">
        <f t="shared" si="3"/>
        <v>#DIV/0!</v>
      </c>
      <c r="O256" s="80" t="e">
        <f t="shared" si="4"/>
        <v>#DIV/0!</v>
      </c>
      <c r="P256" s="79">
        <f t="shared" si="5"/>
        <v>0</v>
      </c>
      <c r="Q256" s="81">
        <f t="shared" si="6"/>
        <v>0</v>
      </c>
      <c r="R256" s="82">
        <f t="shared" si="73"/>
        <v>79.8</v>
      </c>
      <c r="S256" s="83" t="e">
        <f t="shared" si="8"/>
        <v>#DIV/0!</v>
      </c>
      <c r="T256" s="113"/>
      <c r="U256" s="113"/>
      <c r="V256" s="113"/>
      <c r="W256" s="114"/>
      <c r="X256" s="115"/>
      <c r="Y256" s="68"/>
      <c r="Z256" s="68"/>
    </row>
    <row r="257" spans="1:26" ht="12.75" hidden="1" outlineLevel="1" x14ac:dyDescent="0.2">
      <c r="A257" s="118"/>
      <c r="B257" s="69"/>
      <c r="C257" s="70" t="s">
        <v>46</v>
      </c>
      <c r="D257" s="116">
        <v>359.6</v>
      </c>
      <c r="E257" s="73">
        <v>10</v>
      </c>
      <c r="F257" s="73">
        <v>12</v>
      </c>
      <c r="G257" s="74">
        <f t="shared" si="0"/>
        <v>0.83333333333333337</v>
      </c>
      <c r="H257" s="75">
        <f t="shared" si="1"/>
        <v>35.96</v>
      </c>
      <c r="I257" s="76">
        <f t="shared" si="2"/>
        <v>43.152000000000001</v>
      </c>
      <c r="J257" s="116">
        <v>98.1</v>
      </c>
      <c r="K257" s="73">
        <v>44788</v>
      </c>
      <c r="L257" s="73">
        <v>4</v>
      </c>
      <c r="M257" s="117">
        <v>143.84</v>
      </c>
      <c r="N257" s="79">
        <f t="shared" si="3"/>
        <v>0.68200778642936588</v>
      </c>
      <c r="O257" s="80">
        <f t="shared" si="4"/>
        <v>1.4662589194699287</v>
      </c>
      <c r="P257" s="79">
        <f t="shared" si="5"/>
        <v>0.27280311457174633</v>
      </c>
      <c r="Q257" s="81">
        <f t="shared" si="6"/>
        <v>0.39999999999999997</v>
      </c>
      <c r="R257" s="82">
        <f t="shared" si="73"/>
        <v>215.76000000000002</v>
      </c>
      <c r="S257" s="83">
        <f t="shared" si="8"/>
        <v>24.524999999999999</v>
      </c>
      <c r="T257" s="84"/>
      <c r="U257" s="84"/>
      <c r="V257" s="84"/>
      <c r="W257" s="84"/>
      <c r="X257" s="85"/>
      <c r="Y257" s="68"/>
      <c r="Z257" s="68"/>
    </row>
    <row r="258" spans="1:26" ht="12.75" hidden="1" outlineLevel="1" x14ac:dyDescent="0.2">
      <c r="A258" s="118" t="str">
        <f t="shared" ref="A258:A259" si="74">IFERROR(IF(B258&gt;0,MONTH(B258)&amp;"-"&amp;YEAR(B258),B258),)</f>
        <v>12-2024</v>
      </c>
      <c r="B258" s="69">
        <v>45654</v>
      </c>
      <c r="C258" s="148" t="s">
        <v>49</v>
      </c>
      <c r="D258" s="116">
        <v>0</v>
      </c>
      <c r="E258" s="73">
        <v>0</v>
      </c>
      <c r="F258" s="73">
        <v>0</v>
      </c>
      <c r="G258" s="74" t="e">
        <f t="shared" si="0"/>
        <v>#DIV/0!</v>
      </c>
      <c r="H258" s="75" t="e">
        <f t="shared" si="1"/>
        <v>#DIV/0!</v>
      </c>
      <c r="I258" s="76" t="e">
        <f t="shared" si="2"/>
        <v>#DIV/0!</v>
      </c>
      <c r="J258" s="116">
        <v>0.62</v>
      </c>
      <c r="K258" s="73">
        <v>8458</v>
      </c>
      <c r="L258" s="73">
        <v>0</v>
      </c>
      <c r="M258" s="117">
        <v>0</v>
      </c>
      <c r="N258" s="79" t="e">
        <f t="shared" si="3"/>
        <v>#DIV/0!</v>
      </c>
      <c r="O258" s="80">
        <f t="shared" si="4"/>
        <v>0</v>
      </c>
      <c r="P258" s="79" t="e">
        <f t="shared" si="5"/>
        <v>#DIV/0!</v>
      </c>
      <c r="Q258" s="81" t="e">
        <f t="shared" si="6"/>
        <v>#DIV/0!</v>
      </c>
      <c r="R258" s="82">
        <f t="shared" si="73"/>
        <v>0</v>
      </c>
      <c r="S258" s="83" t="e">
        <f t="shared" si="8"/>
        <v>#DIV/0!</v>
      </c>
      <c r="T258" s="84"/>
      <c r="U258" s="84"/>
      <c r="V258" s="84"/>
      <c r="W258" s="84"/>
      <c r="X258" s="85"/>
      <c r="Y258" s="68"/>
      <c r="Z258" s="68"/>
    </row>
    <row r="259" spans="1:26" ht="12.75" collapsed="1" x14ac:dyDescent="0.2">
      <c r="A259" s="34">
        <f t="shared" si="74"/>
        <v>0</v>
      </c>
      <c r="B259" s="52" t="s">
        <v>59</v>
      </c>
      <c r="C259" s="53"/>
      <c r="D259" s="258">
        <f t="shared" ref="D259:F259" si="75">SUM(D242:D258)</f>
        <v>21475.38</v>
      </c>
      <c r="E259" s="259">
        <f t="shared" si="75"/>
        <v>129</v>
      </c>
      <c r="F259" s="259">
        <f t="shared" si="75"/>
        <v>131</v>
      </c>
      <c r="G259" s="57">
        <f t="shared" si="0"/>
        <v>0.98473282442748089</v>
      </c>
      <c r="H259" s="55">
        <f t="shared" si="1"/>
        <v>166.47581395348837</v>
      </c>
      <c r="I259" s="58">
        <f t="shared" si="2"/>
        <v>169.05683432486029</v>
      </c>
      <c r="J259" s="54">
        <f t="shared" ref="J259:M259" si="76">SUM(J242:J258)</f>
        <v>902.48</v>
      </c>
      <c r="K259" s="56">
        <f t="shared" si="76"/>
        <v>367662</v>
      </c>
      <c r="L259" s="56">
        <f t="shared" si="76"/>
        <v>22</v>
      </c>
      <c r="M259" s="59">
        <f t="shared" si="76"/>
        <v>4541.92</v>
      </c>
      <c r="N259" s="60">
        <f t="shared" si="3"/>
        <v>0.19870010920491774</v>
      </c>
      <c r="O259" s="61">
        <f t="shared" si="4"/>
        <v>5.0327098661466181</v>
      </c>
      <c r="P259" s="60">
        <f t="shared" si="5"/>
        <v>4.2023936246995394E-2</v>
      </c>
      <c r="Q259" s="62">
        <f t="shared" si="6"/>
        <v>0.2114942785645702</v>
      </c>
      <c r="R259" s="171">
        <f>SUM(R242:R258)</f>
        <v>16933.46</v>
      </c>
      <c r="S259" s="64">
        <f t="shared" si="8"/>
        <v>41.021818181818183</v>
      </c>
      <c r="T259" s="65">
        <f t="shared" ref="T259:U259" si="77">IFERROR((D259-D241)/D259,)</f>
        <v>-8.6992174294471092E-2</v>
      </c>
      <c r="U259" s="65">
        <f t="shared" si="77"/>
        <v>-0.16279069767441862</v>
      </c>
      <c r="V259" s="66" t="s">
        <v>139</v>
      </c>
      <c r="W259" s="66" t="s">
        <v>139</v>
      </c>
      <c r="X259" s="67"/>
    </row>
    <row r="260" spans="1:26" ht="12.75" hidden="1" outlineLevel="1" x14ac:dyDescent="0.2">
      <c r="A260" s="34"/>
      <c r="B260" s="147"/>
      <c r="C260" s="148" t="s">
        <v>60</v>
      </c>
      <c r="D260" s="149"/>
      <c r="E260" s="151"/>
      <c r="F260" s="151"/>
      <c r="G260" s="152" t="e">
        <f t="shared" si="0"/>
        <v>#DIV/0!</v>
      </c>
      <c r="H260" s="150" t="e">
        <f t="shared" si="1"/>
        <v>#DIV/0!</v>
      </c>
      <c r="I260" s="150" t="e">
        <f t="shared" si="2"/>
        <v>#DIV/0!</v>
      </c>
      <c r="J260" s="153"/>
      <c r="K260" s="151"/>
      <c r="L260" s="151"/>
      <c r="M260" s="154"/>
      <c r="N260" s="155" t="e">
        <f t="shared" si="3"/>
        <v>#DIV/0!</v>
      </c>
      <c r="O260" s="156" t="e">
        <f t="shared" si="4"/>
        <v>#DIV/0!</v>
      </c>
      <c r="P260" s="155" t="e">
        <f t="shared" si="5"/>
        <v>#DIV/0!</v>
      </c>
      <c r="Q260" s="157" t="e">
        <f t="shared" si="6"/>
        <v>#DIV/0!</v>
      </c>
      <c r="R260" s="158"/>
      <c r="S260" s="159" t="e">
        <f t="shared" si="8"/>
        <v>#DIV/0!</v>
      </c>
      <c r="T260" s="160"/>
      <c r="U260" s="160"/>
      <c r="V260" s="160"/>
      <c r="W260" s="160"/>
      <c r="X260" s="1"/>
    </row>
    <row r="261" spans="1:26" ht="12.75" hidden="1" outlineLevel="1" x14ac:dyDescent="0.2">
      <c r="A261" s="161"/>
      <c r="B261" s="147"/>
      <c r="C261" s="148" t="s">
        <v>35</v>
      </c>
      <c r="D261" s="162"/>
      <c r="E261" s="151"/>
      <c r="F261" s="151"/>
      <c r="G261" s="152" t="e">
        <f t="shared" si="0"/>
        <v>#DIV/0!</v>
      </c>
      <c r="H261" s="150" t="e">
        <f t="shared" si="1"/>
        <v>#DIV/0!</v>
      </c>
      <c r="I261" s="150" t="e">
        <f t="shared" si="2"/>
        <v>#DIV/0!</v>
      </c>
      <c r="J261" s="153"/>
      <c r="K261" s="151"/>
      <c r="L261" s="151"/>
      <c r="M261" s="154"/>
      <c r="N261" s="155" t="e">
        <f t="shared" si="3"/>
        <v>#DIV/0!</v>
      </c>
      <c r="O261" s="156" t="e">
        <f t="shared" si="4"/>
        <v>#DIV/0!</v>
      </c>
      <c r="P261" s="155" t="e">
        <f t="shared" si="5"/>
        <v>#DIV/0!</v>
      </c>
      <c r="Q261" s="157" t="e">
        <f t="shared" si="6"/>
        <v>#DIV/0!</v>
      </c>
      <c r="R261" s="158"/>
      <c r="S261" s="159" t="e">
        <f t="shared" si="8"/>
        <v>#DIV/0!</v>
      </c>
      <c r="T261" s="160"/>
      <c r="U261" s="160"/>
      <c r="V261" s="160"/>
      <c r="W261" s="160"/>
      <c r="X261" s="1"/>
    </row>
    <row r="262" spans="1:26" ht="12.75" hidden="1" outlineLevel="1" x14ac:dyDescent="0.2">
      <c r="A262" s="161"/>
      <c r="B262" s="147"/>
      <c r="C262" s="148" t="s">
        <v>61</v>
      </c>
      <c r="D262" s="163"/>
      <c r="E262" s="151"/>
      <c r="F262" s="151"/>
      <c r="G262" s="152" t="e">
        <f t="shared" si="0"/>
        <v>#DIV/0!</v>
      </c>
      <c r="H262" s="150" t="e">
        <f t="shared" si="1"/>
        <v>#DIV/0!</v>
      </c>
      <c r="I262" s="150" t="e">
        <f t="shared" si="2"/>
        <v>#DIV/0!</v>
      </c>
      <c r="J262" s="153"/>
      <c r="K262" s="151"/>
      <c r="L262" s="151"/>
      <c r="M262" s="164"/>
      <c r="N262" s="155" t="e">
        <f t="shared" si="3"/>
        <v>#DIV/0!</v>
      </c>
      <c r="O262" s="156" t="e">
        <f t="shared" si="4"/>
        <v>#DIV/0!</v>
      </c>
      <c r="P262" s="155" t="e">
        <f t="shared" si="5"/>
        <v>#DIV/0!</v>
      </c>
      <c r="Q262" s="157" t="e">
        <f t="shared" si="6"/>
        <v>#DIV/0!</v>
      </c>
      <c r="R262" s="158"/>
      <c r="S262" s="159" t="e">
        <f t="shared" si="8"/>
        <v>#DIV/0!</v>
      </c>
      <c r="T262" s="160"/>
      <c r="U262" s="160"/>
      <c r="V262" s="160"/>
      <c r="W262" s="160"/>
      <c r="X262" s="1"/>
    </row>
    <row r="263" spans="1:26" ht="12.75" hidden="1" outlineLevel="1" x14ac:dyDescent="0.2">
      <c r="A263" s="161"/>
      <c r="B263" s="147"/>
      <c r="C263" s="148" t="s">
        <v>36</v>
      </c>
      <c r="D263" s="165"/>
      <c r="E263" s="151"/>
      <c r="F263" s="151"/>
      <c r="G263" s="152" t="e">
        <f t="shared" si="0"/>
        <v>#DIV/0!</v>
      </c>
      <c r="H263" s="150" t="e">
        <f t="shared" si="1"/>
        <v>#DIV/0!</v>
      </c>
      <c r="I263" s="150" t="e">
        <f t="shared" si="2"/>
        <v>#DIV/0!</v>
      </c>
      <c r="J263" s="153"/>
      <c r="K263" s="151"/>
      <c r="L263" s="151"/>
      <c r="M263" s="166"/>
      <c r="N263" s="155" t="e">
        <f t="shared" si="3"/>
        <v>#DIV/0!</v>
      </c>
      <c r="O263" s="156" t="e">
        <f t="shared" si="4"/>
        <v>#DIV/0!</v>
      </c>
      <c r="P263" s="155" t="e">
        <f t="shared" si="5"/>
        <v>#DIV/0!</v>
      </c>
      <c r="Q263" s="157" t="e">
        <f t="shared" si="6"/>
        <v>#DIV/0!</v>
      </c>
      <c r="R263" s="158"/>
      <c r="S263" s="159" t="e">
        <f t="shared" si="8"/>
        <v>#DIV/0!</v>
      </c>
      <c r="T263" s="160"/>
      <c r="U263" s="160"/>
      <c r="V263" s="160"/>
      <c r="W263" s="160"/>
      <c r="X263" s="1"/>
    </row>
    <row r="264" spans="1:26" ht="12.75" hidden="1" outlineLevel="1" x14ac:dyDescent="0.2">
      <c r="A264" s="161"/>
      <c r="B264" s="147"/>
      <c r="C264" s="148" t="s">
        <v>41</v>
      </c>
      <c r="D264" s="165"/>
      <c r="E264" s="151"/>
      <c r="F264" s="151"/>
      <c r="G264" s="152" t="e">
        <f t="shared" si="0"/>
        <v>#DIV/0!</v>
      </c>
      <c r="H264" s="150" t="e">
        <f t="shared" si="1"/>
        <v>#DIV/0!</v>
      </c>
      <c r="I264" s="150" t="e">
        <f t="shared" si="2"/>
        <v>#DIV/0!</v>
      </c>
      <c r="J264" s="153"/>
      <c r="K264" s="151"/>
      <c r="L264" s="151"/>
      <c r="M264" s="166"/>
      <c r="N264" s="155" t="e">
        <f t="shared" si="3"/>
        <v>#DIV/0!</v>
      </c>
      <c r="O264" s="156" t="e">
        <f t="shared" si="4"/>
        <v>#DIV/0!</v>
      </c>
      <c r="P264" s="155" t="e">
        <f t="shared" si="5"/>
        <v>#DIV/0!</v>
      </c>
      <c r="Q264" s="157" t="e">
        <f t="shared" si="6"/>
        <v>#DIV/0!</v>
      </c>
      <c r="R264" s="158"/>
      <c r="S264" s="159" t="e">
        <f t="shared" si="8"/>
        <v>#DIV/0!</v>
      </c>
      <c r="T264" s="160"/>
      <c r="U264" s="160"/>
      <c r="V264" s="160"/>
      <c r="W264" s="160"/>
      <c r="X264" s="1"/>
    </row>
    <row r="265" spans="1:26" ht="12.75" hidden="1" outlineLevel="1" x14ac:dyDescent="0.2">
      <c r="A265" s="161"/>
      <c r="B265" s="147"/>
      <c r="C265" s="148" t="s">
        <v>62</v>
      </c>
      <c r="D265" s="167"/>
      <c r="E265" s="151"/>
      <c r="F265" s="151"/>
      <c r="G265" s="152" t="e">
        <f t="shared" si="0"/>
        <v>#DIV/0!</v>
      </c>
      <c r="H265" s="150" t="e">
        <f t="shared" si="1"/>
        <v>#DIV/0!</v>
      </c>
      <c r="I265" s="150" t="e">
        <f t="shared" si="2"/>
        <v>#DIV/0!</v>
      </c>
      <c r="J265" s="153"/>
      <c r="K265" s="151"/>
      <c r="L265" s="151"/>
      <c r="M265" s="168"/>
      <c r="N265" s="155" t="e">
        <f t="shared" si="3"/>
        <v>#DIV/0!</v>
      </c>
      <c r="O265" s="156" t="e">
        <f t="shared" si="4"/>
        <v>#DIV/0!</v>
      </c>
      <c r="P265" s="155" t="e">
        <f t="shared" si="5"/>
        <v>#DIV/0!</v>
      </c>
      <c r="Q265" s="157" t="e">
        <f t="shared" si="6"/>
        <v>#DIV/0!</v>
      </c>
      <c r="R265" s="158"/>
      <c r="S265" s="159" t="e">
        <f t="shared" si="8"/>
        <v>#DIV/0!</v>
      </c>
      <c r="T265" s="160"/>
      <c r="U265" s="160"/>
      <c r="V265" s="160"/>
      <c r="W265" s="160"/>
      <c r="X265" s="1"/>
    </row>
    <row r="266" spans="1:26" ht="12.75" hidden="1" outlineLevel="1" x14ac:dyDescent="0.2">
      <c r="A266" s="34">
        <f>IFERROR(IF(B266&gt;0,MONTH(B266)&amp;"-"&amp;YEAR(B266),B266),)</f>
        <v>0</v>
      </c>
      <c r="B266" s="52"/>
      <c r="C266" s="53"/>
      <c r="D266" s="54">
        <f t="shared" ref="D266:M266" si="78">SUM(D260:D265)</f>
        <v>0</v>
      </c>
      <c r="E266" s="54">
        <f t="shared" si="78"/>
        <v>0</v>
      </c>
      <c r="F266" s="54">
        <f t="shared" si="78"/>
        <v>0</v>
      </c>
      <c r="G266" s="54" t="e">
        <f t="shared" si="78"/>
        <v>#DIV/0!</v>
      </c>
      <c r="H266" s="54" t="e">
        <f t="shared" si="78"/>
        <v>#DIV/0!</v>
      </c>
      <c r="I266" s="54" t="e">
        <f t="shared" si="78"/>
        <v>#DIV/0!</v>
      </c>
      <c r="J266" s="54">
        <f t="shared" si="78"/>
        <v>0</v>
      </c>
      <c r="K266" s="53">
        <f t="shared" si="78"/>
        <v>0</v>
      </c>
      <c r="L266" s="54">
        <f t="shared" si="78"/>
        <v>0</v>
      </c>
      <c r="M266" s="54">
        <f t="shared" si="78"/>
        <v>0</v>
      </c>
      <c r="N266" s="60" t="e">
        <f t="shared" si="3"/>
        <v>#DIV/0!</v>
      </c>
      <c r="O266" s="61" t="e">
        <f t="shared" si="4"/>
        <v>#DIV/0!</v>
      </c>
      <c r="P266" s="60" t="e">
        <f t="shared" si="5"/>
        <v>#DIV/0!</v>
      </c>
      <c r="Q266" s="170" t="e">
        <f t="shared" si="6"/>
        <v>#DIV/0!</v>
      </c>
      <c r="R266" s="171">
        <f>SUM(R260:R265)</f>
        <v>0</v>
      </c>
      <c r="S266" s="172" t="e">
        <f t="shared" si="8"/>
        <v>#DIV/0!</v>
      </c>
      <c r="T266" s="65">
        <f t="shared" ref="T266:U266" si="79">IFERROR((D266-D258)/D266,)</f>
        <v>0</v>
      </c>
      <c r="U266" s="65">
        <f t="shared" si="79"/>
        <v>0</v>
      </c>
      <c r="V266" s="66" t="s">
        <v>139</v>
      </c>
      <c r="W266" s="66" t="s">
        <v>139</v>
      </c>
      <c r="X266" s="67"/>
    </row>
    <row r="267" spans="1:26" ht="12.75" collapsed="1" x14ac:dyDescent="0.2">
      <c r="A267" s="34"/>
      <c r="B267" s="173"/>
      <c r="C267" s="173"/>
      <c r="D267" s="174"/>
      <c r="E267" s="173"/>
      <c r="F267" s="173"/>
      <c r="G267" s="176"/>
      <c r="H267" s="174"/>
      <c r="I267" s="174"/>
      <c r="J267" s="174"/>
      <c r="K267" s="173"/>
      <c r="L267" s="173"/>
      <c r="M267" s="174"/>
      <c r="N267" s="177"/>
      <c r="O267" s="176"/>
      <c r="P267" s="177"/>
      <c r="Q267" s="178"/>
      <c r="R267" s="179"/>
      <c r="S267" s="177"/>
      <c r="T267" s="180"/>
      <c r="U267" s="180"/>
      <c r="V267" s="177"/>
      <c r="W267" s="177"/>
      <c r="X267" s="67"/>
    </row>
    <row r="268" spans="1:26" ht="12.75" x14ac:dyDescent="0.2">
      <c r="A268" s="34"/>
      <c r="B268" s="173"/>
      <c r="C268" s="173"/>
      <c r="D268" s="174"/>
      <c r="E268" s="173"/>
      <c r="F268" s="173"/>
      <c r="G268" s="176"/>
      <c r="H268" s="174"/>
      <c r="I268" s="174"/>
      <c r="J268" s="174"/>
      <c r="K268" s="173"/>
      <c r="L268" s="173"/>
      <c r="M268" s="174"/>
      <c r="N268" s="177"/>
      <c r="O268" s="176"/>
      <c r="P268" s="177"/>
      <c r="Q268" s="178"/>
      <c r="R268" s="179"/>
      <c r="S268" s="177"/>
      <c r="T268" s="180"/>
      <c r="U268" s="180"/>
      <c r="V268" s="177"/>
      <c r="W268" s="177"/>
      <c r="X268" s="67"/>
    </row>
    <row r="269" spans="1:26" ht="12.75" x14ac:dyDescent="0.2">
      <c r="A269" s="34"/>
      <c r="B269" s="173"/>
      <c r="C269" s="173"/>
      <c r="D269" s="174"/>
      <c r="E269" s="173"/>
      <c r="F269" s="173"/>
      <c r="G269" s="176"/>
      <c r="H269" s="174"/>
      <c r="I269" s="174"/>
      <c r="J269" s="174"/>
      <c r="K269" s="173"/>
      <c r="L269" s="173"/>
      <c r="M269" s="174"/>
      <c r="N269" s="177"/>
      <c r="O269" s="176"/>
      <c r="P269" s="177"/>
      <c r="Q269" s="178"/>
      <c r="R269" s="179"/>
      <c r="S269" s="177"/>
      <c r="T269" s="180"/>
      <c r="U269" s="180"/>
      <c r="V269" s="177"/>
      <c r="W269" s="177"/>
      <c r="X269" s="67"/>
    </row>
    <row r="270" spans="1:26" ht="12.75" x14ac:dyDescent="0.2">
      <c r="A270" s="34"/>
      <c r="B270" s="173"/>
      <c r="C270" s="173"/>
      <c r="D270" s="174"/>
      <c r="E270" s="173"/>
      <c r="F270" s="173"/>
      <c r="G270" s="176"/>
      <c r="H270" s="174"/>
      <c r="J270" s="174"/>
      <c r="K270" s="173"/>
      <c r="L270" s="173"/>
      <c r="M270" s="174"/>
      <c r="N270" s="177"/>
      <c r="O270" s="176"/>
      <c r="P270" s="177"/>
      <c r="Q270" s="178"/>
      <c r="R270" s="179"/>
      <c r="S270" s="177"/>
      <c r="T270" s="180"/>
      <c r="U270" s="180"/>
      <c r="V270" s="177"/>
      <c r="W270" s="177"/>
      <c r="X270" s="67"/>
    </row>
    <row r="271" spans="1:26" ht="12.75" x14ac:dyDescent="0.2">
      <c r="A271" s="34"/>
      <c r="B271" s="173"/>
      <c r="C271" s="173"/>
      <c r="D271" s="174"/>
      <c r="E271" s="173"/>
      <c r="F271" s="173"/>
      <c r="G271" s="176"/>
      <c r="H271" s="174"/>
      <c r="J271" s="174"/>
      <c r="K271" s="173"/>
      <c r="L271" s="173"/>
      <c r="M271" s="174"/>
      <c r="N271" s="177"/>
      <c r="O271" s="176"/>
      <c r="P271" s="177"/>
      <c r="Q271" s="178"/>
      <c r="R271" s="179"/>
      <c r="S271" s="177"/>
      <c r="T271" s="180"/>
      <c r="U271" s="180"/>
      <c r="V271" s="177"/>
      <c r="W271" s="177"/>
      <c r="X271" s="67"/>
    </row>
    <row r="272" spans="1:26" ht="12.75" x14ac:dyDescent="0.2">
      <c r="A272" s="34"/>
      <c r="B272" s="173"/>
      <c r="C272" s="173"/>
      <c r="D272" s="174"/>
      <c r="E272" s="173"/>
      <c r="F272" s="173"/>
      <c r="G272" s="176"/>
      <c r="H272" s="174"/>
      <c r="J272" s="174"/>
      <c r="K272" s="173"/>
      <c r="L272" s="173"/>
      <c r="M272" s="174"/>
      <c r="N272" s="177"/>
      <c r="O272" s="176"/>
      <c r="P272" s="177"/>
      <c r="Q272" s="178"/>
      <c r="R272" s="179"/>
      <c r="S272" s="177"/>
      <c r="T272" s="180"/>
      <c r="U272" s="180"/>
      <c r="V272" s="177"/>
      <c r="W272" s="177"/>
      <c r="X272" s="67"/>
    </row>
    <row r="273" spans="1:24" ht="12.75" x14ac:dyDescent="0.2">
      <c r="A273" s="34"/>
      <c r="B273" s="173"/>
      <c r="C273" s="173"/>
      <c r="D273" s="174"/>
      <c r="E273" s="173"/>
      <c r="F273" s="173"/>
      <c r="G273" s="176"/>
      <c r="H273" s="174"/>
      <c r="J273" s="174"/>
      <c r="K273" s="173"/>
      <c r="L273" s="173"/>
      <c r="M273" s="174"/>
      <c r="N273" s="177"/>
      <c r="O273" s="176"/>
      <c r="P273" s="177"/>
      <c r="Q273" s="178"/>
      <c r="R273" s="179"/>
      <c r="S273" s="177"/>
      <c r="T273" s="180"/>
      <c r="U273" s="180"/>
      <c r="V273" s="177"/>
      <c r="W273" s="177"/>
      <c r="X273" s="67"/>
    </row>
    <row r="274" spans="1:24" ht="12.75" x14ac:dyDescent="0.2">
      <c r="A274" s="34"/>
      <c r="B274" s="173"/>
      <c r="C274" s="173"/>
      <c r="D274" s="174"/>
      <c r="E274" s="173"/>
      <c r="F274" s="173"/>
      <c r="G274" s="176"/>
      <c r="H274" s="174"/>
      <c r="J274" s="174"/>
      <c r="K274" s="173"/>
      <c r="L274" s="173"/>
      <c r="M274" s="174"/>
      <c r="N274" s="177"/>
      <c r="O274" s="176"/>
      <c r="P274" s="177"/>
      <c r="Q274" s="178"/>
      <c r="R274" s="179"/>
      <c r="S274" s="177"/>
      <c r="T274" s="180"/>
      <c r="U274" s="180"/>
      <c r="V274" s="177"/>
      <c r="W274" s="177"/>
      <c r="X274" s="67"/>
    </row>
    <row r="275" spans="1:24" ht="12.75" x14ac:dyDescent="0.2">
      <c r="A275" s="34"/>
      <c r="B275" s="173"/>
      <c r="C275" s="173"/>
      <c r="D275" s="174"/>
      <c r="E275" s="173"/>
      <c r="F275" s="173"/>
      <c r="G275" s="176"/>
      <c r="H275" s="174"/>
      <c r="J275" s="174"/>
      <c r="K275" s="173"/>
      <c r="L275" s="173"/>
      <c r="M275" s="174"/>
      <c r="N275" s="177"/>
      <c r="O275" s="176"/>
      <c r="P275" s="177"/>
      <c r="Q275" s="178"/>
      <c r="R275" s="179"/>
      <c r="S275" s="177"/>
      <c r="T275" s="180"/>
      <c r="U275" s="180"/>
      <c r="V275" s="177"/>
      <c r="W275" s="177"/>
      <c r="X275" s="67"/>
    </row>
    <row r="276" spans="1:24" ht="12.75" x14ac:dyDescent="0.2">
      <c r="A276" s="34"/>
      <c r="B276" s="173"/>
      <c r="C276" s="173"/>
      <c r="D276" s="174"/>
      <c r="E276" s="173"/>
      <c r="F276" s="173"/>
      <c r="G276" s="176"/>
      <c r="H276" s="174"/>
      <c r="J276" s="174"/>
      <c r="K276" s="173"/>
      <c r="L276" s="173"/>
      <c r="M276" s="174"/>
      <c r="N276" s="177"/>
      <c r="O276" s="176"/>
      <c r="P276" s="177"/>
      <c r="Q276" s="178"/>
      <c r="R276" s="179"/>
      <c r="S276" s="177"/>
      <c r="T276" s="180"/>
      <c r="U276" s="180"/>
      <c r="V276" s="177"/>
      <c r="W276" s="177"/>
      <c r="X276" s="67"/>
    </row>
    <row r="277" spans="1:24" ht="12.75" x14ac:dyDescent="0.2">
      <c r="A277" s="34"/>
      <c r="B277" s="173"/>
      <c r="C277" s="173"/>
      <c r="D277" s="174"/>
      <c r="E277" s="173"/>
      <c r="F277" s="173"/>
      <c r="G277" s="176"/>
      <c r="H277" s="174"/>
      <c r="J277" s="174"/>
      <c r="K277" s="173"/>
      <c r="L277" s="173"/>
      <c r="M277" s="174"/>
      <c r="N277" s="177"/>
      <c r="O277" s="176"/>
      <c r="P277" s="177"/>
      <c r="Q277" s="178"/>
      <c r="R277" s="179"/>
      <c r="S277" s="177"/>
      <c r="T277" s="180"/>
      <c r="U277" s="180"/>
      <c r="V277" s="177"/>
      <c r="W277" s="177"/>
      <c r="X277" s="67"/>
    </row>
    <row r="278" spans="1:24" ht="12.75" x14ac:dyDescent="0.2">
      <c r="A278" s="34"/>
      <c r="B278" s="173"/>
      <c r="C278" s="173"/>
      <c r="D278" s="174"/>
      <c r="E278" s="173"/>
      <c r="F278" s="173"/>
      <c r="G278" s="176"/>
      <c r="H278" s="174"/>
      <c r="J278" s="174"/>
      <c r="K278" s="173"/>
      <c r="L278" s="173"/>
      <c r="M278" s="174"/>
      <c r="N278" s="177"/>
      <c r="O278" s="176"/>
      <c r="P278" s="177"/>
      <c r="Q278" s="178"/>
      <c r="R278" s="179"/>
      <c r="S278" s="177"/>
      <c r="T278" s="180"/>
      <c r="U278" s="180"/>
      <c r="V278" s="177"/>
      <c r="W278" s="177"/>
      <c r="X278" s="67"/>
    </row>
    <row r="279" spans="1:24" ht="12.75" x14ac:dyDescent="0.2">
      <c r="A279" s="34"/>
      <c r="B279" s="173"/>
      <c r="C279" s="173"/>
      <c r="D279" s="174"/>
      <c r="E279" s="173"/>
      <c r="F279" s="173"/>
      <c r="G279" s="176"/>
      <c r="H279" s="174"/>
      <c r="J279" s="174"/>
      <c r="K279" s="173"/>
      <c r="L279" s="173"/>
      <c r="M279" s="174"/>
      <c r="N279" s="177"/>
      <c r="O279" s="176"/>
      <c r="P279" s="177"/>
      <c r="Q279" s="178"/>
      <c r="R279" s="179"/>
      <c r="S279" s="177"/>
      <c r="T279" s="180"/>
      <c r="U279" s="180"/>
      <c r="V279" s="177"/>
      <c r="W279" s="177"/>
      <c r="X279" s="67"/>
    </row>
    <row r="280" spans="1:24" ht="12.75" x14ac:dyDescent="0.2">
      <c r="A280" s="34"/>
      <c r="B280" s="173"/>
      <c r="C280" s="173"/>
      <c r="D280" s="174"/>
      <c r="E280" s="173"/>
      <c r="F280" s="173"/>
      <c r="G280" s="176"/>
      <c r="H280" s="174"/>
      <c r="J280" s="174"/>
      <c r="K280" s="173"/>
      <c r="L280" s="173"/>
      <c r="M280" s="174"/>
      <c r="N280" s="177"/>
      <c r="O280" s="176"/>
      <c r="P280" s="177"/>
      <c r="Q280" s="178"/>
      <c r="R280" s="179"/>
      <c r="S280" s="177"/>
      <c r="T280" s="180"/>
      <c r="U280" s="180"/>
      <c r="V280" s="177"/>
      <c r="W280" s="177"/>
      <c r="X280" s="67"/>
    </row>
    <row r="281" spans="1:24" ht="12.75" x14ac:dyDescent="0.2">
      <c r="A281" s="34"/>
      <c r="B281" s="173"/>
      <c r="C281" s="173"/>
      <c r="D281" s="174"/>
      <c r="E281" s="173"/>
      <c r="F281" s="173"/>
      <c r="G281" s="176"/>
      <c r="H281" s="174"/>
      <c r="J281" s="174"/>
      <c r="K281" s="173"/>
      <c r="L281" s="173"/>
      <c r="M281" s="174"/>
      <c r="N281" s="177"/>
      <c r="O281" s="176"/>
      <c r="P281" s="177"/>
      <c r="Q281" s="178"/>
      <c r="R281" s="179"/>
      <c r="S281" s="177"/>
      <c r="T281" s="180"/>
      <c r="U281" s="180"/>
      <c r="V281" s="177"/>
      <c r="W281" s="177"/>
      <c r="X281" s="67"/>
    </row>
    <row r="282" spans="1:24" ht="12.75" x14ac:dyDescent="0.2">
      <c r="A282" s="34"/>
      <c r="B282" s="173"/>
      <c r="C282" s="173"/>
      <c r="D282" s="174"/>
      <c r="E282" s="173"/>
      <c r="F282" s="173"/>
      <c r="G282" s="176"/>
      <c r="H282" s="174"/>
      <c r="J282" s="174"/>
      <c r="K282" s="173"/>
      <c r="L282" s="173"/>
      <c r="M282" s="174"/>
      <c r="N282" s="177"/>
      <c r="O282" s="176"/>
      <c r="P282" s="177"/>
      <c r="Q282" s="178"/>
      <c r="R282" s="179"/>
      <c r="S282" s="177"/>
      <c r="T282" s="180"/>
      <c r="U282" s="180"/>
      <c r="V282" s="177"/>
      <c r="W282" s="177"/>
      <c r="X282" s="67"/>
    </row>
    <row r="283" spans="1:24" ht="12.75" x14ac:dyDescent="0.2">
      <c r="A283" s="34"/>
      <c r="B283" s="173"/>
      <c r="C283" s="173"/>
      <c r="D283" s="174"/>
      <c r="E283" s="173"/>
      <c r="F283" s="173"/>
      <c r="G283" s="176"/>
      <c r="H283" s="174"/>
      <c r="J283" s="174"/>
      <c r="K283" s="173"/>
      <c r="L283" s="173"/>
      <c r="M283" s="174"/>
      <c r="N283" s="177"/>
      <c r="O283" s="176"/>
      <c r="P283" s="177"/>
      <c r="Q283" s="178"/>
      <c r="R283" s="179"/>
      <c r="S283" s="177"/>
      <c r="T283" s="180"/>
      <c r="U283" s="180"/>
      <c r="V283" s="177"/>
      <c r="W283" s="177"/>
      <c r="X283" s="67"/>
    </row>
    <row r="284" spans="1:24" ht="12.75" x14ac:dyDescent="0.2">
      <c r="A284" s="34"/>
      <c r="B284" s="173"/>
      <c r="C284" s="173"/>
      <c r="D284" s="174"/>
      <c r="E284" s="173"/>
      <c r="F284" s="173"/>
      <c r="G284" s="176"/>
      <c r="H284" s="174"/>
      <c r="J284" s="174"/>
      <c r="K284" s="173"/>
      <c r="L284" s="173"/>
      <c r="M284" s="174"/>
      <c r="N284" s="177"/>
      <c r="O284" s="176"/>
      <c r="P284" s="177"/>
      <c r="Q284" s="178"/>
      <c r="R284" s="179"/>
      <c r="S284" s="177"/>
      <c r="T284" s="180"/>
      <c r="U284" s="180"/>
      <c r="V284" s="177"/>
      <c r="W284" s="177"/>
      <c r="X284" s="67"/>
    </row>
    <row r="285" spans="1:24" ht="12.75" x14ac:dyDescent="0.2">
      <c r="A285" s="34"/>
      <c r="B285" s="173"/>
      <c r="C285" s="173"/>
      <c r="D285" s="174"/>
      <c r="E285" s="173"/>
      <c r="F285" s="173"/>
      <c r="G285" s="176"/>
      <c r="H285" s="174"/>
      <c r="J285" s="174"/>
      <c r="K285" s="173"/>
      <c r="L285" s="173"/>
      <c r="M285" s="174"/>
      <c r="N285" s="177"/>
      <c r="O285" s="176"/>
      <c r="P285" s="177"/>
      <c r="Q285" s="178"/>
      <c r="R285" s="179"/>
      <c r="S285" s="177"/>
      <c r="T285" s="180"/>
      <c r="U285" s="180"/>
      <c r="V285" s="177"/>
      <c r="W285" s="177"/>
      <c r="X285" s="67"/>
    </row>
    <row r="286" spans="1:24" ht="12.75" x14ac:dyDescent="0.2">
      <c r="A286" s="34"/>
      <c r="B286" s="173"/>
      <c r="C286" s="173"/>
      <c r="D286" s="174"/>
      <c r="E286" s="173"/>
      <c r="F286" s="173"/>
      <c r="G286" s="176"/>
      <c r="H286" s="174"/>
      <c r="J286" s="174"/>
      <c r="K286" s="173"/>
      <c r="L286" s="173"/>
      <c r="M286" s="174"/>
      <c r="N286" s="177"/>
      <c r="O286" s="176"/>
      <c r="P286" s="177"/>
      <c r="Q286" s="178"/>
      <c r="R286" s="179"/>
      <c r="S286" s="177"/>
      <c r="T286" s="180"/>
      <c r="U286" s="180"/>
      <c r="V286" s="177"/>
      <c r="W286" s="177"/>
      <c r="X286" s="67"/>
    </row>
    <row r="287" spans="1:24" ht="12.75" x14ac:dyDescent="0.2">
      <c r="A287" s="34"/>
      <c r="B287" s="173"/>
      <c r="C287" s="173"/>
      <c r="D287" s="174"/>
      <c r="E287" s="173"/>
      <c r="F287" s="173"/>
      <c r="G287" s="176"/>
      <c r="H287" s="174"/>
      <c r="J287" s="174"/>
      <c r="K287" s="173"/>
      <c r="L287" s="173"/>
      <c r="M287" s="174"/>
      <c r="N287" s="177"/>
      <c r="O287" s="176"/>
      <c r="P287" s="177"/>
      <c r="Q287" s="178"/>
      <c r="R287" s="179"/>
      <c r="S287" s="177"/>
      <c r="T287" s="180"/>
      <c r="U287" s="180"/>
      <c r="V287" s="177"/>
      <c r="W287" s="177"/>
      <c r="X287" s="67"/>
    </row>
    <row r="288" spans="1:24" ht="12.75" x14ac:dyDescent="0.2">
      <c r="A288" s="34"/>
      <c r="B288" s="173"/>
      <c r="C288" s="173"/>
      <c r="D288" s="174"/>
      <c r="E288" s="173"/>
      <c r="F288" s="173"/>
      <c r="G288" s="176"/>
      <c r="H288" s="174"/>
      <c r="J288" s="174"/>
      <c r="K288" s="173"/>
      <c r="L288" s="173"/>
      <c r="M288" s="174"/>
      <c r="N288" s="177"/>
      <c r="O288" s="176"/>
      <c r="P288" s="177"/>
      <c r="Q288" s="178"/>
      <c r="R288" s="179"/>
      <c r="S288" s="177"/>
      <c r="T288" s="180"/>
      <c r="U288" s="180"/>
      <c r="V288" s="177"/>
      <c r="W288" s="177"/>
      <c r="X288" s="67"/>
    </row>
    <row r="289" spans="1:24" ht="12.75" x14ac:dyDescent="0.2">
      <c r="A289" s="34"/>
      <c r="B289" s="173"/>
      <c r="C289" s="173"/>
      <c r="D289" s="174"/>
      <c r="E289" s="173"/>
      <c r="F289" s="173"/>
      <c r="G289" s="176"/>
      <c r="H289" s="174"/>
      <c r="J289" s="174"/>
      <c r="K289" s="173"/>
      <c r="L289" s="173"/>
      <c r="M289" s="174"/>
      <c r="N289" s="177"/>
      <c r="O289" s="176"/>
      <c r="P289" s="177"/>
      <c r="Q289" s="178"/>
      <c r="R289" s="179"/>
      <c r="S289" s="177"/>
      <c r="T289" s="180"/>
      <c r="U289" s="180"/>
      <c r="V289" s="177"/>
      <c r="W289" s="177"/>
      <c r="X289" s="67"/>
    </row>
    <row r="290" spans="1:24" ht="12.75" x14ac:dyDescent="0.2">
      <c r="A290" s="34"/>
      <c r="B290" s="173"/>
      <c r="C290" s="173"/>
      <c r="D290" s="174"/>
      <c r="E290" s="173"/>
      <c r="F290" s="173"/>
      <c r="G290" s="176"/>
      <c r="H290" s="174"/>
      <c r="J290" s="174"/>
      <c r="K290" s="173"/>
      <c r="L290" s="173"/>
      <c r="M290" s="174"/>
      <c r="N290" s="177"/>
      <c r="O290" s="176"/>
      <c r="P290" s="177"/>
      <c r="Q290" s="178"/>
      <c r="R290" s="179"/>
      <c r="S290" s="177"/>
      <c r="T290" s="180"/>
      <c r="U290" s="180"/>
      <c r="V290" s="177"/>
      <c r="W290" s="177"/>
      <c r="X290" s="67"/>
    </row>
    <row r="291" spans="1:24" ht="12.75" x14ac:dyDescent="0.2">
      <c r="A291" s="34"/>
      <c r="B291" s="173"/>
      <c r="C291" s="173"/>
      <c r="D291" s="174"/>
      <c r="E291" s="173"/>
      <c r="F291" s="173"/>
      <c r="G291" s="176"/>
      <c r="H291" s="174"/>
      <c r="J291" s="174"/>
      <c r="K291" s="173"/>
      <c r="L291" s="173"/>
      <c r="M291" s="174"/>
      <c r="N291" s="177"/>
      <c r="O291" s="176"/>
      <c r="P291" s="177"/>
      <c r="Q291" s="178"/>
      <c r="R291" s="179"/>
      <c r="S291" s="177"/>
      <c r="T291" s="180"/>
      <c r="U291" s="180"/>
      <c r="V291" s="177"/>
      <c r="W291" s="177"/>
      <c r="X291" s="67"/>
    </row>
    <row r="292" spans="1:24" ht="12.75" x14ac:dyDescent="0.2">
      <c r="A292" s="34"/>
      <c r="B292" s="173"/>
      <c r="C292" s="173"/>
      <c r="D292" s="174"/>
      <c r="E292" s="173"/>
      <c r="F292" s="173"/>
      <c r="G292" s="176"/>
      <c r="H292" s="174"/>
      <c r="J292" s="174"/>
      <c r="K292" s="173"/>
      <c r="L292" s="173"/>
      <c r="M292" s="174"/>
      <c r="N292" s="177"/>
      <c r="O292" s="176"/>
      <c r="P292" s="177"/>
      <c r="Q292" s="178"/>
      <c r="R292" s="179"/>
      <c r="S292" s="177"/>
      <c r="T292" s="180"/>
      <c r="U292" s="180"/>
      <c r="V292" s="177"/>
      <c r="W292" s="177"/>
      <c r="X292" s="67"/>
    </row>
    <row r="293" spans="1:24" ht="12.75" x14ac:dyDescent="0.2">
      <c r="A293" s="34"/>
      <c r="B293" s="173"/>
      <c r="C293" s="173"/>
      <c r="D293" s="174"/>
      <c r="E293" s="173"/>
      <c r="F293" s="173"/>
      <c r="G293" s="176"/>
      <c r="H293" s="174"/>
      <c r="J293" s="174"/>
      <c r="K293" s="173"/>
      <c r="L293" s="173"/>
      <c r="M293" s="174"/>
      <c r="N293" s="177"/>
      <c r="O293" s="176"/>
      <c r="P293" s="177"/>
      <c r="Q293" s="178"/>
      <c r="R293" s="179"/>
      <c r="S293" s="177"/>
      <c r="T293" s="180"/>
      <c r="U293" s="180"/>
      <c r="V293" s="177"/>
      <c r="W293" s="177"/>
      <c r="X293" s="67"/>
    </row>
    <row r="294" spans="1:24" ht="12.75" x14ac:dyDescent="0.2">
      <c r="A294" s="34"/>
      <c r="B294" s="173"/>
      <c r="C294" s="173"/>
      <c r="D294" s="174"/>
      <c r="E294" s="173"/>
      <c r="F294" s="173"/>
      <c r="G294" s="176"/>
      <c r="H294" s="174"/>
      <c r="J294" s="174"/>
      <c r="K294" s="173"/>
      <c r="L294" s="173"/>
      <c r="M294" s="174"/>
      <c r="N294" s="177"/>
      <c r="O294" s="176"/>
      <c r="P294" s="177"/>
      <c r="Q294" s="178"/>
      <c r="R294" s="179"/>
      <c r="S294" s="177"/>
      <c r="T294" s="180"/>
      <c r="U294" s="180"/>
      <c r="V294" s="177"/>
      <c r="W294" s="177"/>
      <c r="X294" s="67"/>
    </row>
    <row r="295" spans="1:24" ht="12.75" x14ac:dyDescent="0.2">
      <c r="A295" s="34"/>
      <c r="B295" s="173"/>
      <c r="C295" s="173"/>
      <c r="D295" s="174"/>
      <c r="E295" s="173"/>
      <c r="F295" s="173"/>
      <c r="G295" s="176"/>
      <c r="H295" s="174"/>
      <c r="J295" s="174"/>
      <c r="K295" s="173"/>
      <c r="L295" s="173"/>
      <c r="M295" s="174"/>
      <c r="N295" s="177"/>
      <c r="O295" s="176"/>
      <c r="P295" s="177"/>
      <c r="Q295" s="178"/>
      <c r="R295" s="179"/>
      <c r="S295" s="177"/>
      <c r="T295" s="180"/>
      <c r="U295" s="180"/>
      <c r="V295" s="177"/>
      <c r="W295" s="177"/>
      <c r="X295" s="67"/>
    </row>
    <row r="296" spans="1:24" ht="12.75" x14ac:dyDescent="0.2">
      <c r="A296" s="34"/>
      <c r="B296" s="173"/>
      <c r="C296" s="173"/>
      <c r="D296" s="174"/>
      <c r="E296" s="173"/>
      <c r="F296" s="173"/>
      <c r="G296" s="176"/>
      <c r="H296" s="174"/>
      <c r="J296" s="174"/>
      <c r="K296" s="173"/>
      <c r="L296" s="173"/>
      <c r="M296" s="174"/>
      <c r="N296" s="177"/>
      <c r="O296" s="176"/>
      <c r="P296" s="177"/>
      <c r="Q296" s="178"/>
      <c r="R296" s="179"/>
      <c r="S296" s="177"/>
      <c r="T296" s="180"/>
      <c r="U296" s="180"/>
      <c r="V296" s="177"/>
      <c r="W296" s="177"/>
      <c r="X296" s="67"/>
    </row>
    <row r="297" spans="1:24" ht="12.75" x14ac:dyDescent="0.2">
      <c r="A297" s="34"/>
      <c r="B297" s="173"/>
      <c r="C297" s="173"/>
      <c r="D297" s="174"/>
      <c r="E297" s="173"/>
      <c r="F297" s="173"/>
      <c r="G297" s="176"/>
      <c r="H297" s="174"/>
      <c r="J297" s="174"/>
      <c r="K297" s="173"/>
      <c r="L297" s="173"/>
      <c r="M297" s="174"/>
      <c r="N297" s="177"/>
      <c r="O297" s="176"/>
      <c r="P297" s="177"/>
      <c r="Q297" s="178"/>
      <c r="R297" s="179"/>
      <c r="S297" s="177"/>
      <c r="T297" s="180"/>
      <c r="U297" s="180"/>
      <c r="V297" s="177"/>
      <c r="W297" s="177"/>
      <c r="X297" s="67"/>
    </row>
    <row r="298" spans="1:24" ht="12.75" x14ac:dyDescent="0.2">
      <c r="A298" s="34"/>
      <c r="B298" s="173"/>
      <c r="C298" s="173"/>
      <c r="D298" s="174"/>
      <c r="E298" s="173"/>
      <c r="F298" s="173"/>
      <c r="G298" s="176"/>
      <c r="H298" s="174"/>
      <c r="J298" s="174"/>
      <c r="K298" s="173"/>
      <c r="L298" s="173"/>
      <c r="M298" s="174"/>
      <c r="N298" s="177"/>
      <c r="O298" s="176"/>
      <c r="P298" s="177"/>
      <c r="Q298" s="178"/>
      <c r="R298" s="179"/>
      <c r="S298" s="177"/>
      <c r="T298" s="180"/>
      <c r="U298" s="180"/>
      <c r="V298" s="177"/>
      <c r="W298" s="177"/>
      <c r="X298" s="67"/>
    </row>
    <row r="299" spans="1:24" ht="12.75" x14ac:dyDescent="0.2">
      <c r="A299" s="34"/>
      <c r="B299" s="173"/>
      <c r="C299" s="173"/>
      <c r="D299" s="174"/>
      <c r="E299" s="173"/>
      <c r="F299" s="173"/>
      <c r="G299" s="176"/>
      <c r="H299" s="174"/>
      <c r="J299" s="174"/>
      <c r="K299" s="173"/>
      <c r="L299" s="173"/>
      <c r="M299" s="174"/>
      <c r="N299" s="177"/>
      <c r="O299" s="176"/>
      <c r="P299" s="177"/>
      <c r="Q299" s="178"/>
      <c r="R299" s="179"/>
      <c r="S299" s="177"/>
      <c r="T299" s="180"/>
      <c r="U299" s="180"/>
      <c r="V299" s="177"/>
      <c r="W299" s="177"/>
      <c r="X299" s="67"/>
    </row>
    <row r="300" spans="1:24" ht="12.75" x14ac:dyDescent="0.2">
      <c r="A300" s="34"/>
      <c r="B300" s="173"/>
      <c r="C300" s="173"/>
      <c r="D300" s="174"/>
      <c r="E300" s="173"/>
      <c r="F300" s="173"/>
      <c r="G300" s="176"/>
      <c r="H300" s="174"/>
      <c r="J300" s="174"/>
      <c r="K300" s="173"/>
      <c r="L300" s="173"/>
      <c r="M300" s="174"/>
      <c r="N300" s="177"/>
      <c r="O300" s="176"/>
      <c r="P300" s="177"/>
      <c r="Q300" s="178"/>
      <c r="R300" s="179"/>
      <c r="S300" s="177"/>
      <c r="T300" s="180"/>
      <c r="U300" s="180"/>
      <c r="V300" s="177"/>
      <c r="W300" s="177"/>
      <c r="X300" s="67"/>
    </row>
    <row r="301" spans="1:24" ht="12.75" x14ac:dyDescent="0.2">
      <c r="A301" s="34"/>
      <c r="B301" s="173"/>
      <c r="C301" s="173"/>
      <c r="D301" s="174"/>
      <c r="E301" s="173"/>
      <c r="F301" s="173"/>
      <c r="G301" s="176"/>
      <c r="H301" s="174"/>
      <c r="J301" s="174"/>
      <c r="K301" s="173"/>
      <c r="L301" s="173"/>
      <c r="M301" s="174"/>
      <c r="N301" s="177"/>
      <c r="O301" s="176"/>
      <c r="P301" s="177"/>
      <c r="Q301" s="178"/>
      <c r="R301" s="179"/>
      <c r="S301" s="177"/>
      <c r="T301" s="180"/>
      <c r="U301" s="180"/>
      <c r="V301" s="177"/>
      <c r="W301" s="177"/>
      <c r="X301" s="67"/>
    </row>
    <row r="302" spans="1:24" ht="12.75" x14ac:dyDescent="0.2">
      <c r="A302" s="34"/>
      <c r="B302" s="173"/>
      <c r="C302" s="173"/>
      <c r="D302" s="174"/>
      <c r="E302" s="173"/>
      <c r="F302" s="173"/>
      <c r="G302" s="176"/>
      <c r="H302" s="174"/>
      <c r="J302" s="174"/>
      <c r="K302" s="173"/>
      <c r="L302" s="173"/>
      <c r="M302" s="174"/>
      <c r="N302" s="177"/>
      <c r="O302" s="176"/>
      <c r="P302" s="177"/>
      <c r="Q302" s="178"/>
      <c r="R302" s="179"/>
      <c r="S302" s="177"/>
      <c r="T302" s="180"/>
      <c r="U302" s="180"/>
      <c r="V302" s="177"/>
      <c r="W302" s="177"/>
      <c r="X302" s="67"/>
    </row>
    <row r="303" spans="1:24" ht="12.75" x14ac:dyDescent="0.2">
      <c r="A303" s="34"/>
      <c r="B303" s="173"/>
      <c r="C303" s="173"/>
      <c r="D303" s="174"/>
      <c r="E303" s="173"/>
      <c r="F303" s="173"/>
      <c r="G303" s="176"/>
      <c r="H303" s="174"/>
      <c r="J303" s="174"/>
      <c r="K303" s="173"/>
      <c r="L303" s="173"/>
      <c r="M303" s="174"/>
      <c r="N303" s="177"/>
      <c r="O303" s="176"/>
      <c r="P303" s="177"/>
      <c r="Q303" s="178"/>
      <c r="R303" s="179"/>
      <c r="S303" s="177"/>
      <c r="T303" s="180"/>
      <c r="U303" s="180"/>
      <c r="V303" s="177"/>
      <c r="W303" s="177"/>
      <c r="X303" s="67"/>
    </row>
    <row r="304" spans="1:24" ht="12.75" x14ac:dyDescent="0.2">
      <c r="A304" s="34"/>
      <c r="B304" s="173"/>
      <c r="C304" s="173"/>
      <c r="D304" s="174"/>
      <c r="E304" s="173"/>
      <c r="F304" s="173"/>
      <c r="G304" s="176"/>
      <c r="H304" s="174"/>
      <c r="J304" s="174"/>
      <c r="K304" s="173"/>
      <c r="L304" s="173"/>
      <c r="M304" s="174"/>
      <c r="N304" s="177"/>
      <c r="O304" s="176"/>
      <c r="P304" s="177"/>
      <c r="Q304" s="178"/>
      <c r="R304" s="179"/>
      <c r="S304" s="177"/>
      <c r="T304" s="180"/>
      <c r="U304" s="180"/>
      <c r="V304" s="177"/>
      <c r="W304" s="177"/>
      <c r="X304" s="67"/>
    </row>
    <row r="305" spans="1:24" ht="12.75" x14ac:dyDescent="0.2">
      <c r="A305" s="34"/>
      <c r="B305" s="173"/>
      <c r="C305" s="173"/>
      <c r="D305" s="174"/>
      <c r="E305" s="173"/>
      <c r="F305" s="173"/>
      <c r="G305" s="176"/>
      <c r="H305" s="174"/>
      <c r="J305" s="174"/>
      <c r="K305" s="173"/>
      <c r="L305" s="173"/>
      <c r="M305" s="174"/>
      <c r="N305" s="177"/>
      <c r="O305" s="176"/>
      <c r="P305" s="177"/>
      <c r="Q305" s="178"/>
      <c r="R305" s="179"/>
      <c r="S305" s="177"/>
      <c r="T305" s="180"/>
      <c r="U305" s="180"/>
      <c r="V305" s="177"/>
      <c r="W305" s="177"/>
      <c r="X305" s="67"/>
    </row>
    <row r="306" spans="1:24" ht="12.75" x14ac:dyDescent="0.2">
      <c r="A306" s="34"/>
      <c r="B306" s="173"/>
      <c r="C306" s="173"/>
      <c r="D306" s="174"/>
      <c r="E306" s="173"/>
      <c r="F306" s="173"/>
      <c r="G306" s="176"/>
      <c r="H306" s="174"/>
      <c r="J306" s="174"/>
      <c r="K306" s="173"/>
      <c r="L306" s="173"/>
      <c r="M306" s="174"/>
      <c r="N306" s="177"/>
      <c r="O306" s="176"/>
      <c r="P306" s="177"/>
      <c r="Q306" s="178"/>
      <c r="R306" s="179"/>
      <c r="S306" s="177"/>
      <c r="T306" s="180"/>
      <c r="U306" s="180"/>
      <c r="V306" s="177"/>
      <c r="W306" s="177"/>
      <c r="X306" s="67"/>
    </row>
    <row r="307" spans="1:24" ht="12.75" x14ac:dyDescent="0.2">
      <c r="A307" s="34"/>
      <c r="B307" s="173"/>
      <c r="C307" s="173"/>
      <c r="D307" s="174"/>
      <c r="E307" s="173"/>
      <c r="F307" s="173"/>
      <c r="G307" s="176"/>
      <c r="H307" s="174"/>
      <c r="J307" s="174"/>
      <c r="K307" s="173"/>
      <c r="L307" s="173"/>
      <c r="M307" s="174"/>
      <c r="N307" s="177"/>
      <c r="O307" s="176"/>
      <c r="P307" s="177"/>
      <c r="Q307" s="178"/>
      <c r="R307" s="179"/>
      <c r="S307" s="177"/>
      <c r="T307" s="180"/>
      <c r="U307" s="180"/>
      <c r="V307" s="177"/>
      <c r="W307" s="177"/>
      <c r="X307" s="67"/>
    </row>
    <row r="308" spans="1:24" ht="12.75" x14ac:dyDescent="0.2">
      <c r="A308" s="34"/>
      <c r="B308" s="173"/>
      <c r="C308" s="173"/>
      <c r="D308" s="174"/>
      <c r="E308" s="173"/>
      <c r="F308" s="173"/>
      <c r="G308" s="176"/>
      <c r="H308" s="174"/>
      <c r="J308" s="174"/>
      <c r="K308" s="173"/>
      <c r="L308" s="173"/>
      <c r="M308" s="174"/>
      <c r="N308" s="177"/>
      <c r="O308" s="176"/>
      <c r="P308" s="177"/>
      <c r="Q308" s="178"/>
      <c r="R308" s="179"/>
      <c r="S308" s="177"/>
      <c r="T308" s="180"/>
      <c r="U308" s="180"/>
      <c r="V308" s="177"/>
      <c r="W308" s="177"/>
      <c r="X308" s="67"/>
    </row>
    <row r="309" spans="1:24" ht="12.75" x14ac:dyDescent="0.2">
      <c r="A309" s="34"/>
      <c r="B309" s="173"/>
      <c r="C309" s="173"/>
      <c r="D309" s="174"/>
      <c r="E309" s="173"/>
      <c r="F309" s="173"/>
      <c r="G309" s="176"/>
      <c r="H309" s="174"/>
      <c r="J309" s="174"/>
      <c r="K309" s="173"/>
      <c r="L309" s="173"/>
      <c r="M309" s="174"/>
      <c r="N309" s="177"/>
      <c r="O309" s="176"/>
      <c r="P309" s="177"/>
      <c r="Q309" s="178"/>
      <c r="R309" s="179"/>
      <c r="S309" s="177"/>
      <c r="T309" s="180"/>
      <c r="U309" s="180"/>
      <c r="V309" s="177"/>
      <c r="W309" s="177"/>
      <c r="X309" s="67"/>
    </row>
    <row r="310" spans="1:24" ht="12.75" x14ac:dyDescent="0.2">
      <c r="A310" s="34"/>
      <c r="B310" s="173"/>
      <c r="C310" s="173"/>
      <c r="D310" s="174"/>
      <c r="E310" s="173"/>
      <c r="F310" s="173"/>
      <c r="G310" s="176"/>
      <c r="H310" s="174"/>
      <c r="J310" s="174"/>
      <c r="K310" s="173"/>
      <c r="L310" s="173"/>
      <c r="M310" s="174"/>
      <c r="N310" s="177"/>
      <c r="O310" s="176"/>
      <c r="P310" s="177"/>
      <c r="Q310" s="178"/>
      <c r="R310" s="179"/>
      <c r="S310" s="177"/>
      <c r="T310" s="180"/>
      <c r="U310" s="180"/>
      <c r="V310" s="177"/>
      <c r="W310" s="177"/>
      <c r="X310" s="67"/>
    </row>
    <row r="311" spans="1:24" ht="12.75" x14ac:dyDescent="0.2">
      <c r="A311" s="34"/>
      <c r="B311" s="173"/>
      <c r="C311" s="173"/>
      <c r="D311" s="174"/>
      <c r="E311" s="173"/>
      <c r="F311" s="173"/>
      <c r="G311" s="176"/>
      <c r="H311" s="174"/>
      <c r="J311" s="174"/>
      <c r="K311" s="173"/>
      <c r="L311" s="173"/>
      <c r="M311" s="174"/>
      <c r="N311" s="177"/>
      <c r="O311" s="176"/>
      <c r="P311" s="177"/>
      <c r="Q311" s="178"/>
      <c r="R311" s="179"/>
      <c r="S311" s="177"/>
      <c r="T311" s="180"/>
      <c r="U311" s="180"/>
      <c r="V311" s="177"/>
      <c r="W311" s="177"/>
      <c r="X311" s="67"/>
    </row>
    <row r="312" spans="1:24" ht="12.75" x14ac:dyDescent="0.2">
      <c r="A312" s="34"/>
      <c r="B312" s="173"/>
      <c r="C312" s="173"/>
      <c r="D312" s="174"/>
      <c r="E312" s="173"/>
      <c r="F312" s="173"/>
      <c r="G312" s="176"/>
      <c r="H312" s="174"/>
      <c r="J312" s="174"/>
      <c r="K312" s="173"/>
      <c r="L312" s="173"/>
      <c r="M312" s="174"/>
      <c r="N312" s="177"/>
      <c r="O312" s="176"/>
      <c r="P312" s="177"/>
      <c r="Q312" s="178"/>
      <c r="R312" s="179"/>
      <c r="S312" s="177"/>
      <c r="T312" s="180"/>
      <c r="U312" s="180"/>
      <c r="V312" s="177"/>
      <c r="W312" s="177"/>
      <c r="X312" s="67"/>
    </row>
    <row r="313" spans="1:24" ht="12.75" x14ac:dyDescent="0.2">
      <c r="A313" s="34"/>
      <c r="B313" s="173"/>
      <c r="C313" s="173"/>
      <c r="D313" s="174"/>
      <c r="E313" s="173"/>
      <c r="F313" s="173"/>
      <c r="G313" s="176"/>
      <c r="H313" s="174"/>
      <c r="J313" s="174"/>
      <c r="K313" s="173"/>
      <c r="L313" s="173"/>
      <c r="M313" s="174"/>
      <c r="N313" s="177"/>
      <c r="O313" s="176"/>
      <c r="P313" s="177"/>
      <c r="Q313" s="178"/>
      <c r="R313" s="179"/>
      <c r="S313" s="177"/>
      <c r="T313" s="180"/>
      <c r="U313" s="180"/>
      <c r="V313" s="177"/>
      <c r="W313" s="177"/>
      <c r="X313" s="67"/>
    </row>
    <row r="314" spans="1:24" ht="12.75" x14ac:dyDescent="0.2">
      <c r="A314" s="34"/>
      <c r="B314" s="173"/>
      <c r="C314" s="173"/>
      <c r="D314" s="174"/>
      <c r="E314" s="173"/>
      <c r="F314" s="173"/>
      <c r="G314" s="176"/>
      <c r="H314" s="174"/>
      <c r="J314" s="174"/>
      <c r="K314" s="173"/>
      <c r="L314" s="173"/>
      <c r="M314" s="174"/>
      <c r="N314" s="177"/>
      <c r="O314" s="176"/>
      <c r="P314" s="177"/>
      <c r="Q314" s="178"/>
      <c r="R314" s="179"/>
      <c r="S314" s="177"/>
      <c r="T314" s="180"/>
      <c r="U314" s="180"/>
      <c r="V314" s="177"/>
      <c r="W314" s="177"/>
      <c r="X314" s="67"/>
    </row>
    <row r="315" spans="1:24" ht="12.75" x14ac:dyDescent="0.2">
      <c r="A315" s="34"/>
      <c r="B315" s="173"/>
      <c r="C315" s="173"/>
      <c r="D315" s="174"/>
      <c r="E315" s="173"/>
      <c r="F315" s="173"/>
      <c r="G315" s="176"/>
      <c r="H315" s="174"/>
      <c r="J315" s="174"/>
      <c r="K315" s="173"/>
      <c r="L315" s="173"/>
      <c r="M315" s="174"/>
      <c r="N315" s="177"/>
      <c r="O315" s="176"/>
      <c r="P315" s="177"/>
      <c r="Q315" s="178"/>
      <c r="R315" s="179"/>
      <c r="S315" s="177"/>
      <c r="T315" s="180"/>
      <c r="U315" s="180"/>
      <c r="V315" s="177"/>
      <c r="W315" s="177"/>
      <c r="X315" s="67"/>
    </row>
    <row r="316" spans="1:24" ht="12.75" x14ac:dyDescent="0.2">
      <c r="A316" s="34"/>
      <c r="B316" s="173"/>
      <c r="C316" s="173"/>
      <c r="D316" s="174"/>
      <c r="E316" s="173"/>
      <c r="F316" s="173"/>
      <c r="G316" s="176"/>
      <c r="H316" s="174"/>
      <c r="J316" s="174"/>
      <c r="K316" s="173"/>
      <c r="L316" s="173"/>
      <c r="M316" s="174"/>
      <c r="N316" s="177"/>
      <c r="O316" s="176"/>
      <c r="P316" s="177"/>
      <c r="Q316" s="178"/>
      <c r="R316" s="179"/>
      <c r="S316" s="177"/>
      <c r="T316" s="180"/>
      <c r="U316" s="180"/>
      <c r="V316" s="177"/>
      <c r="W316" s="177"/>
      <c r="X316" s="67"/>
    </row>
    <row r="317" spans="1:24" ht="12.75" x14ac:dyDescent="0.2">
      <c r="A317" s="34"/>
      <c r="B317" s="173"/>
      <c r="C317" s="173"/>
      <c r="D317" s="174"/>
      <c r="E317" s="173"/>
      <c r="F317" s="173"/>
      <c r="G317" s="176"/>
      <c r="H317" s="174"/>
      <c r="J317" s="174"/>
      <c r="K317" s="173"/>
      <c r="L317" s="173"/>
      <c r="M317" s="174"/>
      <c r="N317" s="177"/>
      <c r="O317" s="176"/>
      <c r="P317" s="177"/>
      <c r="Q317" s="178"/>
      <c r="R317" s="179"/>
      <c r="S317" s="177"/>
      <c r="T317" s="180"/>
      <c r="U317" s="180"/>
      <c r="V317" s="177"/>
      <c r="W317" s="177"/>
      <c r="X317" s="67"/>
    </row>
    <row r="318" spans="1:24" ht="12.75" x14ac:dyDescent="0.2">
      <c r="A318" s="34"/>
      <c r="B318" s="173"/>
      <c r="C318" s="173"/>
      <c r="D318" s="174"/>
      <c r="E318" s="173"/>
      <c r="F318" s="173"/>
      <c r="G318" s="176"/>
      <c r="H318" s="174"/>
      <c r="J318" s="174"/>
      <c r="K318" s="173"/>
      <c r="L318" s="173"/>
      <c r="M318" s="174"/>
      <c r="N318" s="177"/>
      <c r="O318" s="176"/>
      <c r="P318" s="177"/>
      <c r="Q318" s="178"/>
      <c r="R318" s="179"/>
      <c r="S318" s="177"/>
      <c r="T318" s="180"/>
      <c r="U318" s="180"/>
      <c r="V318" s="177"/>
      <c r="W318" s="177"/>
      <c r="X318" s="67"/>
    </row>
    <row r="319" spans="1:24" ht="12.75" x14ac:dyDescent="0.2">
      <c r="A319" s="34"/>
      <c r="B319" s="173"/>
      <c r="C319" s="173"/>
      <c r="D319" s="174"/>
      <c r="E319" s="173"/>
      <c r="F319" s="173"/>
      <c r="G319" s="176"/>
      <c r="H319" s="174"/>
      <c r="J319" s="174"/>
      <c r="K319" s="173"/>
      <c r="L319" s="173"/>
      <c r="M319" s="174"/>
      <c r="N319" s="177"/>
      <c r="O319" s="176"/>
      <c r="P319" s="177"/>
      <c r="Q319" s="178"/>
      <c r="R319" s="179"/>
      <c r="S319" s="177"/>
      <c r="T319" s="180"/>
      <c r="U319" s="180"/>
      <c r="V319" s="177"/>
      <c r="W319" s="177"/>
      <c r="X319" s="67"/>
    </row>
    <row r="320" spans="1:24" ht="12.75" x14ac:dyDescent="0.2">
      <c r="A320" s="34"/>
      <c r="B320" s="173"/>
      <c r="C320" s="173"/>
      <c r="D320" s="174"/>
      <c r="E320" s="173"/>
      <c r="F320" s="173"/>
      <c r="G320" s="176"/>
      <c r="H320" s="174"/>
      <c r="J320" s="174"/>
      <c r="K320" s="173"/>
      <c r="L320" s="173"/>
      <c r="M320" s="174"/>
      <c r="N320" s="177"/>
      <c r="O320" s="176"/>
      <c r="P320" s="177"/>
      <c r="Q320" s="178"/>
      <c r="R320" s="179"/>
      <c r="S320" s="177"/>
      <c r="T320" s="180"/>
      <c r="U320" s="180"/>
      <c r="V320" s="177"/>
      <c r="W320" s="177"/>
      <c r="X320" s="67"/>
    </row>
    <row r="321" spans="1:24" ht="12.75" x14ac:dyDescent="0.2">
      <c r="A321" s="34"/>
      <c r="B321" s="173"/>
      <c r="C321" s="173"/>
      <c r="D321" s="174"/>
      <c r="E321" s="173"/>
      <c r="F321" s="173"/>
      <c r="G321" s="176"/>
      <c r="H321" s="174"/>
      <c r="J321" s="174"/>
      <c r="K321" s="173"/>
      <c r="L321" s="173"/>
      <c r="M321" s="174"/>
      <c r="N321" s="177"/>
      <c r="O321" s="176"/>
      <c r="P321" s="177"/>
      <c r="Q321" s="178"/>
      <c r="R321" s="179"/>
      <c r="S321" s="177"/>
      <c r="T321" s="180"/>
      <c r="U321" s="180"/>
      <c r="V321" s="177"/>
      <c r="W321" s="177"/>
      <c r="X321" s="67"/>
    </row>
    <row r="322" spans="1:24" ht="12.75" x14ac:dyDescent="0.2">
      <c r="A322" s="34"/>
      <c r="B322" s="173"/>
      <c r="C322" s="173"/>
      <c r="D322" s="174"/>
      <c r="E322" s="173"/>
      <c r="F322" s="173"/>
      <c r="G322" s="176"/>
      <c r="H322" s="174"/>
      <c r="J322" s="174"/>
      <c r="K322" s="173"/>
      <c r="L322" s="173"/>
      <c r="M322" s="174"/>
      <c r="N322" s="177"/>
      <c r="O322" s="176"/>
      <c r="P322" s="177"/>
      <c r="Q322" s="178"/>
      <c r="R322" s="179"/>
      <c r="S322" s="177"/>
      <c r="T322" s="180"/>
      <c r="U322" s="180"/>
      <c r="V322" s="177"/>
      <c r="W322" s="177"/>
      <c r="X322" s="67"/>
    </row>
    <row r="323" spans="1:24" ht="12.75" x14ac:dyDescent="0.2">
      <c r="A323" s="34"/>
      <c r="B323" s="173"/>
      <c r="C323" s="173"/>
      <c r="D323" s="174"/>
      <c r="E323" s="173"/>
      <c r="F323" s="173"/>
      <c r="G323" s="176"/>
      <c r="H323" s="174"/>
      <c r="J323" s="174"/>
      <c r="K323" s="173"/>
      <c r="L323" s="173"/>
      <c r="M323" s="174"/>
      <c r="N323" s="177"/>
      <c r="O323" s="176"/>
      <c r="P323" s="177"/>
      <c r="Q323" s="178"/>
      <c r="R323" s="179"/>
      <c r="S323" s="177"/>
      <c r="T323" s="180"/>
      <c r="U323" s="180"/>
      <c r="V323" s="177"/>
      <c r="W323" s="177"/>
      <c r="X323" s="67"/>
    </row>
    <row r="324" spans="1:24" ht="12.75" x14ac:dyDescent="0.2">
      <c r="A324" s="34"/>
      <c r="B324" s="173"/>
      <c r="C324" s="173"/>
      <c r="D324" s="174"/>
      <c r="E324" s="173"/>
      <c r="F324" s="173"/>
      <c r="G324" s="176"/>
      <c r="H324" s="174"/>
      <c r="J324" s="174"/>
      <c r="K324" s="173"/>
      <c r="L324" s="173"/>
      <c r="M324" s="174"/>
      <c r="N324" s="177"/>
      <c r="O324" s="176"/>
      <c r="P324" s="177"/>
      <c r="Q324" s="178"/>
      <c r="R324" s="179"/>
      <c r="S324" s="177"/>
      <c r="T324" s="180"/>
      <c r="U324" s="180"/>
      <c r="V324" s="177"/>
      <c r="W324" s="177"/>
      <c r="X324" s="67"/>
    </row>
    <row r="325" spans="1:24" ht="12.75" x14ac:dyDescent="0.2">
      <c r="A325" s="34"/>
      <c r="B325" s="173"/>
      <c r="C325" s="173"/>
      <c r="D325" s="174"/>
      <c r="E325" s="173"/>
      <c r="F325" s="173"/>
      <c r="G325" s="176"/>
      <c r="H325" s="174"/>
      <c r="J325" s="174"/>
      <c r="K325" s="173"/>
      <c r="L325" s="173"/>
      <c r="M325" s="174"/>
      <c r="N325" s="177"/>
      <c r="O325" s="176"/>
      <c r="P325" s="177"/>
      <c r="Q325" s="178"/>
      <c r="R325" s="179"/>
      <c r="S325" s="177"/>
      <c r="T325" s="180"/>
      <c r="U325" s="180"/>
      <c r="V325" s="177"/>
      <c r="W325" s="177"/>
      <c r="X325" s="67"/>
    </row>
    <row r="326" spans="1:24" ht="12.75" x14ac:dyDescent="0.2">
      <c r="A326" s="34"/>
      <c r="B326" s="173"/>
      <c r="C326" s="173"/>
      <c r="D326" s="174"/>
      <c r="E326" s="173"/>
      <c r="F326" s="173"/>
      <c r="G326" s="176"/>
      <c r="H326" s="174"/>
      <c r="J326" s="174"/>
      <c r="K326" s="173"/>
      <c r="L326" s="173"/>
      <c r="M326" s="174"/>
      <c r="N326" s="177"/>
      <c r="O326" s="176"/>
      <c r="P326" s="177"/>
      <c r="Q326" s="178"/>
      <c r="R326" s="179"/>
      <c r="S326" s="177"/>
      <c r="T326" s="180"/>
      <c r="U326" s="180"/>
      <c r="V326" s="177"/>
      <c r="W326" s="177"/>
      <c r="X326" s="67"/>
    </row>
    <row r="327" spans="1:24" ht="12.75" x14ac:dyDescent="0.2">
      <c r="A327" s="34"/>
      <c r="B327" s="173"/>
      <c r="C327" s="173"/>
      <c r="D327" s="174"/>
      <c r="E327" s="173"/>
      <c r="F327" s="173"/>
      <c r="G327" s="176"/>
      <c r="H327" s="174"/>
      <c r="J327" s="174"/>
      <c r="K327" s="173"/>
      <c r="L327" s="173"/>
      <c r="M327" s="174"/>
      <c r="N327" s="177"/>
      <c r="O327" s="176"/>
      <c r="P327" s="177"/>
      <c r="Q327" s="178"/>
      <c r="R327" s="179"/>
      <c r="S327" s="177"/>
      <c r="T327" s="180"/>
      <c r="U327" s="180"/>
      <c r="V327" s="177"/>
      <c r="W327" s="177"/>
      <c r="X327" s="67"/>
    </row>
    <row r="328" spans="1:24" ht="12.75" x14ac:dyDescent="0.2">
      <c r="A328" s="34"/>
      <c r="B328" s="173"/>
      <c r="C328" s="173"/>
      <c r="D328" s="174"/>
      <c r="E328" s="173"/>
      <c r="F328" s="173"/>
      <c r="G328" s="176"/>
      <c r="H328" s="174"/>
      <c r="J328" s="174"/>
      <c r="K328" s="173"/>
      <c r="L328" s="173"/>
      <c r="M328" s="174"/>
      <c r="N328" s="177"/>
      <c r="O328" s="176"/>
      <c r="P328" s="177"/>
      <c r="Q328" s="178"/>
      <c r="R328" s="179"/>
      <c r="S328" s="177"/>
      <c r="T328" s="180"/>
      <c r="U328" s="180"/>
      <c r="V328" s="177"/>
      <c r="W328" s="177"/>
      <c r="X328" s="67"/>
    </row>
    <row r="329" spans="1:24" ht="12.75" x14ac:dyDescent="0.2">
      <c r="A329" s="34"/>
      <c r="B329" s="173"/>
      <c r="C329" s="173"/>
      <c r="D329" s="174"/>
      <c r="E329" s="173"/>
      <c r="F329" s="173"/>
      <c r="G329" s="176"/>
      <c r="H329" s="174"/>
      <c r="J329" s="174"/>
      <c r="K329" s="173"/>
      <c r="L329" s="173"/>
      <c r="M329" s="174"/>
      <c r="N329" s="177"/>
      <c r="O329" s="176"/>
      <c r="P329" s="177"/>
      <c r="Q329" s="178"/>
      <c r="R329" s="179"/>
      <c r="S329" s="177"/>
      <c r="T329" s="180"/>
      <c r="U329" s="180"/>
      <c r="V329" s="177"/>
      <c r="W329" s="177"/>
      <c r="X329" s="67"/>
    </row>
    <row r="330" spans="1:24" ht="12.75" x14ac:dyDescent="0.2">
      <c r="A330" s="34"/>
      <c r="B330" s="173"/>
      <c r="C330" s="173"/>
      <c r="D330" s="174"/>
      <c r="E330" s="173"/>
      <c r="F330" s="173"/>
      <c r="G330" s="176"/>
      <c r="H330" s="174"/>
      <c r="J330" s="174"/>
      <c r="K330" s="173"/>
      <c r="L330" s="173"/>
      <c r="M330" s="174"/>
      <c r="N330" s="177"/>
      <c r="O330" s="176"/>
      <c r="P330" s="177"/>
      <c r="Q330" s="178"/>
      <c r="R330" s="179"/>
      <c r="S330" s="177"/>
      <c r="T330" s="180"/>
      <c r="U330" s="180"/>
      <c r="V330" s="177"/>
      <c r="W330" s="177"/>
      <c r="X330" s="67"/>
    </row>
    <row r="331" spans="1:24" ht="12.75" x14ac:dyDescent="0.2">
      <c r="A331" s="34"/>
      <c r="B331" s="173"/>
      <c r="C331" s="173"/>
      <c r="D331" s="174"/>
      <c r="E331" s="173"/>
      <c r="F331" s="173"/>
      <c r="G331" s="176"/>
      <c r="H331" s="174"/>
      <c r="J331" s="174"/>
      <c r="K331" s="173"/>
      <c r="L331" s="173"/>
      <c r="M331" s="174"/>
      <c r="N331" s="177"/>
      <c r="O331" s="176"/>
      <c r="P331" s="177"/>
      <c r="Q331" s="178"/>
      <c r="R331" s="179"/>
      <c r="S331" s="177"/>
      <c r="T331" s="180"/>
      <c r="U331" s="180"/>
      <c r="V331" s="177"/>
      <c r="W331" s="177"/>
      <c r="X331" s="67"/>
    </row>
    <row r="332" spans="1:24" ht="12.75" x14ac:dyDescent="0.2">
      <c r="A332" s="34"/>
      <c r="B332" s="173"/>
      <c r="C332" s="173"/>
      <c r="D332" s="174"/>
      <c r="E332" s="173"/>
      <c r="F332" s="173"/>
      <c r="G332" s="176"/>
      <c r="H332" s="174"/>
      <c r="J332" s="174"/>
      <c r="K332" s="173"/>
      <c r="L332" s="173"/>
      <c r="M332" s="174"/>
      <c r="N332" s="177"/>
      <c r="O332" s="176"/>
      <c r="P332" s="177"/>
      <c r="Q332" s="178"/>
      <c r="R332" s="179"/>
      <c r="S332" s="177"/>
      <c r="T332" s="180"/>
      <c r="U332" s="180"/>
      <c r="V332" s="177"/>
      <c r="W332" s="177"/>
      <c r="X332" s="67"/>
    </row>
    <row r="333" spans="1:24" ht="12.75" x14ac:dyDescent="0.2">
      <c r="A333" s="34"/>
      <c r="B333" s="173"/>
      <c r="C333" s="173"/>
      <c r="D333" s="174"/>
      <c r="E333" s="173"/>
      <c r="F333" s="173"/>
      <c r="G333" s="176"/>
      <c r="H333" s="174"/>
      <c r="J333" s="174"/>
      <c r="K333" s="173"/>
      <c r="L333" s="173"/>
      <c r="M333" s="174"/>
      <c r="N333" s="177"/>
      <c r="O333" s="176"/>
      <c r="P333" s="177"/>
      <c r="Q333" s="178"/>
      <c r="R333" s="179"/>
      <c r="S333" s="177"/>
      <c r="T333" s="180"/>
      <c r="U333" s="180"/>
      <c r="V333" s="177"/>
      <c r="W333" s="177"/>
      <c r="X333" s="67"/>
    </row>
    <row r="334" spans="1:24" ht="12.75" x14ac:dyDescent="0.2">
      <c r="A334" s="34"/>
      <c r="B334" s="173"/>
      <c r="C334" s="173"/>
      <c r="D334" s="174"/>
      <c r="E334" s="173"/>
      <c r="F334" s="173"/>
      <c r="G334" s="176"/>
      <c r="H334" s="174"/>
      <c r="J334" s="174"/>
      <c r="K334" s="173"/>
      <c r="L334" s="173"/>
      <c r="M334" s="174"/>
      <c r="N334" s="177"/>
      <c r="O334" s="176"/>
      <c r="P334" s="177"/>
      <c r="Q334" s="178"/>
      <c r="R334" s="179"/>
      <c r="S334" s="177"/>
      <c r="T334" s="180"/>
      <c r="U334" s="180"/>
      <c r="V334" s="177"/>
      <c r="W334" s="177"/>
      <c r="X334" s="67"/>
    </row>
    <row r="335" spans="1:24" ht="12.75" x14ac:dyDescent="0.2">
      <c r="A335" s="34"/>
      <c r="B335" s="173"/>
      <c r="C335" s="173"/>
      <c r="D335" s="174"/>
      <c r="E335" s="173"/>
      <c r="F335" s="173"/>
      <c r="G335" s="176"/>
      <c r="H335" s="174"/>
      <c r="J335" s="174"/>
      <c r="K335" s="173"/>
      <c r="L335" s="173"/>
      <c r="M335" s="174"/>
      <c r="N335" s="177"/>
      <c r="O335" s="176"/>
      <c r="P335" s="177"/>
      <c r="Q335" s="178"/>
      <c r="R335" s="179"/>
      <c r="S335" s="177"/>
      <c r="T335" s="180"/>
      <c r="U335" s="180"/>
      <c r="V335" s="177"/>
      <c r="W335" s="177"/>
      <c r="X335" s="67"/>
    </row>
    <row r="336" spans="1:24" ht="12.75" x14ac:dyDescent="0.2">
      <c r="A336" s="34"/>
      <c r="B336" s="173"/>
      <c r="C336" s="173"/>
      <c r="D336" s="174"/>
      <c r="E336" s="173"/>
      <c r="F336" s="173"/>
      <c r="G336" s="176"/>
      <c r="H336" s="174"/>
      <c r="J336" s="174"/>
      <c r="K336" s="173"/>
      <c r="L336" s="173"/>
      <c r="M336" s="174"/>
      <c r="N336" s="177"/>
      <c r="O336" s="176"/>
      <c r="P336" s="177"/>
      <c r="Q336" s="178"/>
      <c r="R336" s="179"/>
      <c r="S336" s="177"/>
      <c r="T336" s="180"/>
      <c r="U336" s="180"/>
      <c r="V336" s="177"/>
      <c r="W336" s="177"/>
      <c r="X336" s="67"/>
    </row>
    <row r="337" spans="1:24" ht="12.75" x14ac:dyDescent="0.2">
      <c r="A337" s="34"/>
      <c r="B337" s="173"/>
      <c r="C337" s="173"/>
      <c r="D337" s="174"/>
      <c r="E337" s="173"/>
      <c r="F337" s="173"/>
      <c r="G337" s="176"/>
      <c r="H337" s="174"/>
      <c r="J337" s="174"/>
      <c r="K337" s="173"/>
      <c r="L337" s="173"/>
      <c r="M337" s="174"/>
      <c r="N337" s="177"/>
      <c r="O337" s="176"/>
      <c r="P337" s="177"/>
      <c r="Q337" s="178"/>
      <c r="R337" s="179"/>
      <c r="S337" s="177"/>
      <c r="T337" s="180"/>
      <c r="U337" s="180"/>
      <c r="V337" s="177"/>
      <c r="W337" s="177"/>
      <c r="X337" s="67"/>
    </row>
    <row r="338" spans="1:24" ht="12.75" x14ac:dyDescent="0.2">
      <c r="A338" s="34"/>
      <c r="B338" s="173"/>
      <c r="C338" s="173"/>
      <c r="D338" s="174"/>
      <c r="E338" s="173"/>
      <c r="F338" s="173"/>
      <c r="G338" s="176"/>
      <c r="H338" s="174"/>
      <c r="J338" s="174"/>
      <c r="K338" s="173"/>
      <c r="L338" s="173"/>
      <c r="M338" s="174"/>
      <c r="N338" s="177"/>
      <c r="O338" s="176"/>
      <c r="P338" s="177"/>
      <c r="Q338" s="178"/>
      <c r="R338" s="179"/>
      <c r="S338" s="177"/>
      <c r="T338" s="180"/>
      <c r="U338" s="180"/>
      <c r="V338" s="177"/>
      <c r="W338" s="177"/>
      <c r="X338" s="67"/>
    </row>
    <row r="339" spans="1:24" ht="12.75" x14ac:dyDescent="0.2">
      <c r="A339" s="34"/>
      <c r="B339" s="173"/>
      <c r="C339" s="173"/>
      <c r="D339" s="174"/>
      <c r="E339" s="173"/>
      <c r="F339" s="173"/>
      <c r="G339" s="176"/>
      <c r="H339" s="174"/>
      <c r="J339" s="174"/>
      <c r="K339" s="173"/>
      <c r="L339" s="173"/>
      <c r="M339" s="174"/>
      <c r="N339" s="177"/>
      <c r="O339" s="176"/>
      <c r="P339" s="177"/>
      <c r="Q339" s="178"/>
      <c r="R339" s="179"/>
      <c r="S339" s="177"/>
      <c r="T339" s="180"/>
      <c r="U339" s="180"/>
      <c r="V339" s="177"/>
      <c r="W339" s="177"/>
      <c r="X339" s="67"/>
    </row>
    <row r="340" spans="1:24" ht="12.75" x14ac:dyDescent="0.2">
      <c r="A340" s="34"/>
      <c r="B340" s="173"/>
      <c r="C340" s="173"/>
      <c r="D340" s="174"/>
      <c r="E340" s="173"/>
      <c r="F340" s="173"/>
      <c r="G340" s="176"/>
      <c r="H340" s="174"/>
      <c r="J340" s="174"/>
      <c r="K340" s="173"/>
      <c r="L340" s="173"/>
      <c r="M340" s="174"/>
      <c r="N340" s="177"/>
      <c r="O340" s="176"/>
      <c r="P340" s="177"/>
      <c r="Q340" s="178"/>
      <c r="R340" s="179"/>
      <c r="S340" s="177"/>
      <c r="T340" s="180"/>
      <c r="U340" s="180"/>
      <c r="V340" s="177"/>
      <c r="W340" s="177"/>
      <c r="X340" s="67"/>
    </row>
    <row r="341" spans="1:24" ht="12.75" x14ac:dyDescent="0.2">
      <c r="A341" s="34"/>
      <c r="B341" s="173"/>
      <c r="C341" s="173"/>
      <c r="D341" s="174"/>
      <c r="E341" s="173"/>
      <c r="F341" s="173"/>
      <c r="G341" s="176"/>
      <c r="H341" s="174"/>
      <c r="J341" s="174"/>
      <c r="K341" s="173"/>
      <c r="L341" s="173"/>
      <c r="M341" s="174"/>
      <c r="N341" s="177"/>
      <c r="O341" s="176"/>
      <c r="P341" s="177"/>
      <c r="Q341" s="178"/>
      <c r="R341" s="179"/>
      <c r="S341" s="177"/>
      <c r="T341" s="180"/>
      <c r="U341" s="180"/>
      <c r="V341" s="177"/>
      <c r="W341" s="177"/>
      <c r="X341" s="67"/>
    </row>
    <row r="342" spans="1:24" ht="12.75" x14ac:dyDescent="0.2">
      <c r="A342" s="34"/>
      <c r="B342" s="173"/>
      <c r="C342" s="173"/>
      <c r="D342" s="174"/>
      <c r="E342" s="173"/>
      <c r="F342" s="173"/>
      <c r="G342" s="176"/>
      <c r="H342" s="174"/>
      <c r="J342" s="174"/>
      <c r="K342" s="173"/>
      <c r="L342" s="173"/>
      <c r="M342" s="174"/>
      <c r="N342" s="177"/>
      <c r="O342" s="176"/>
      <c r="P342" s="177"/>
      <c r="Q342" s="178"/>
      <c r="R342" s="179"/>
      <c r="S342" s="177"/>
      <c r="T342" s="180"/>
      <c r="U342" s="180"/>
      <c r="V342" s="177"/>
      <c r="W342" s="177"/>
      <c r="X342" s="67"/>
    </row>
    <row r="343" spans="1:24" ht="12.75" x14ac:dyDescent="0.2">
      <c r="A343" s="34"/>
      <c r="B343" s="173"/>
      <c r="C343" s="173"/>
      <c r="D343" s="174"/>
      <c r="E343" s="173"/>
      <c r="F343" s="173"/>
      <c r="G343" s="176"/>
      <c r="H343" s="174"/>
      <c r="J343" s="174"/>
      <c r="K343" s="173"/>
      <c r="L343" s="173"/>
      <c r="M343" s="174"/>
      <c r="N343" s="177"/>
      <c r="O343" s="176"/>
      <c r="P343" s="177"/>
      <c r="Q343" s="178"/>
      <c r="R343" s="179"/>
      <c r="S343" s="177"/>
      <c r="T343" s="180"/>
      <c r="U343" s="180"/>
      <c r="V343" s="177"/>
      <c r="W343" s="177"/>
      <c r="X343" s="67"/>
    </row>
    <row r="344" spans="1:24" ht="12.75" x14ac:dyDescent="0.2">
      <c r="A344" s="34"/>
      <c r="B344" s="173"/>
      <c r="C344" s="173"/>
      <c r="D344" s="174"/>
      <c r="E344" s="173"/>
      <c r="F344" s="173"/>
      <c r="G344" s="176"/>
      <c r="H344" s="174"/>
      <c r="J344" s="174"/>
      <c r="K344" s="173"/>
      <c r="L344" s="173"/>
      <c r="M344" s="174"/>
      <c r="N344" s="177"/>
      <c r="O344" s="176"/>
      <c r="P344" s="177"/>
      <c r="Q344" s="178"/>
      <c r="R344" s="179"/>
      <c r="S344" s="177"/>
      <c r="T344" s="180"/>
      <c r="U344" s="180"/>
      <c r="V344" s="177"/>
      <c r="W344" s="177"/>
      <c r="X344" s="67"/>
    </row>
    <row r="345" spans="1:24" ht="12.75" x14ac:dyDescent="0.2">
      <c r="A345" s="34"/>
      <c r="B345" s="173"/>
      <c r="C345" s="173"/>
      <c r="D345" s="174"/>
      <c r="E345" s="173"/>
      <c r="F345" s="173"/>
      <c r="G345" s="176"/>
      <c r="H345" s="174"/>
      <c r="J345" s="174"/>
      <c r="K345" s="173"/>
      <c r="L345" s="173"/>
      <c r="M345" s="174"/>
      <c r="N345" s="177"/>
      <c r="O345" s="176"/>
      <c r="P345" s="177"/>
      <c r="Q345" s="178"/>
      <c r="R345" s="179"/>
      <c r="S345" s="177"/>
      <c r="T345" s="180"/>
      <c r="U345" s="180"/>
      <c r="V345" s="177"/>
      <c r="W345" s="177"/>
      <c r="X345" s="67"/>
    </row>
    <row r="346" spans="1:24" ht="12.75" x14ac:dyDescent="0.2">
      <c r="A346" s="34"/>
      <c r="B346" s="173"/>
      <c r="C346" s="173"/>
      <c r="D346" s="174"/>
      <c r="E346" s="173"/>
      <c r="F346" s="173"/>
      <c r="G346" s="176"/>
      <c r="H346" s="174"/>
      <c r="J346" s="174"/>
      <c r="K346" s="173"/>
      <c r="L346" s="173"/>
      <c r="M346" s="174"/>
      <c r="N346" s="177"/>
      <c r="O346" s="176"/>
      <c r="P346" s="177"/>
      <c r="Q346" s="178"/>
      <c r="R346" s="179"/>
      <c r="S346" s="177"/>
      <c r="T346" s="180"/>
      <c r="U346" s="180"/>
      <c r="V346" s="177"/>
      <c r="W346" s="177"/>
      <c r="X346" s="67"/>
    </row>
    <row r="347" spans="1:24" ht="12.75" x14ac:dyDescent="0.2">
      <c r="A347" s="34"/>
      <c r="B347" s="173"/>
      <c r="C347" s="173"/>
      <c r="D347" s="174"/>
      <c r="E347" s="173"/>
      <c r="F347" s="173"/>
      <c r="G347" s="176"/>
      <c r="H347" s="174"/>
      <c r="J347" s="174"/>
      <c r="K347" s="173"/>
      <c r="L347" s="173"/>
      <c r="M347" s="174"/>
      <c r="N347" s="177"/>
      <c r="O347" s="176"/>
      <c r="P347" s="177"/>
      <c r="Q347" s="178"/>
      <c r="R347" s="179"/>
      <c r="S347" s="177"/>
      <c r="T347" s="180"/>
      <c r="U347" s="180"/>
      <c r="V347" s="177"/>
      <c r="W347" s="177"/>
      <c r="X347" s="67"/>
    </row>
    <row r="348" spans="1:24" ht="12.75" x14ac:dyDescent="0.2">
      <c r="A348" s="34"/>
      <c r="B348" s="173"/>
      <c r="C348" s="173"/>
      <c r="D348" s="174"/>
      <c r="E348" s="173"/>
      <c r="F348" s="173"/>
      <c r="G348" s="176"/>
      <c r="H348" s="174"/>
      <c r="J348" s="174"/>
      <c r="K348" s="173"/>
      <c r="L348" s="173"/>
      <c r="M348" s="174"/>
      <c r="N348" s="177"/>
      <c r="O348" s="176"/>
      <c r="P348" s="177"/>
      <c r="Q348" s="178"/>
      <c r="R348" s="179"/>
      <c r="S348" s="177"/>
      <c r="T348" s="180"/>
      <c r="U348" s="180"/>
      <c r="V348" s="177"/>
      <c r="W348" s="177"/>
      <c r="X348" s="67"/>
    </row>
    <row r="349" spans="1:24" ht="12.75" x14ac:dyDescent="0.2">
      <c r="A349" s="34"/>
      <c r="B349" s="173"/>
      <c r="C349" s="173"/>
      <c r="D349" s="174"/>
      <c r="E349" s="173"/>
      <c r="F349" s="173"/>
      <c r="G349" s="176"/>
      <c r="H349" s="174"/>
      <c r="J349" s="174"/>
      <c r="K349" s="173"/>
      <c r="L349" s="173"/>
      <c r="M349" s="174"/>
      <c r="N349" s="177"/>
      <c r="O349" s="176"/>
      <c r="P349" s="177"/>
      <c r="Q349" s="178"/>
      <c r="R349" s="179"/>
      <c r="S349" s="177"/>
      <c r="T349" s="180"/>
      <c r="U349" s="180"/>
      <c r="V349" s="177"/>
      <c r="W349" s="177"/>
      <c r="X349" s="67"/>
    </row>
    <row r="350" spans="1:24" ht="12.75" x14ac:dyDescent="0.2">
      <c r="A350" s="34"/>
      <c r="B350" s="173"/>
      <c r="C350" s="173"/>
      <c r="D350" s="174"/>
      <c r="E350" s="173"/>
      <c r="F350" s="173"/>
      <c r="G350" s="176"/>
      <c r="H350" s="174"/>
      <c r="J350" s="174"/>
      <c r="K350" s="173"/>
      <c r="L350" s="173"/>
      <c r="M350" s="174"/>
      <c r="N350" s="177"/>
      <c r="O350" s="176"/>
      <c r="P350" s="177"/>
      <c r="Q350" s="178"/>
      <c r="R350" s="179"/>
      <c r="S350" s="177"/>
      <c r="T350" s="180"/>
      <c r="U350" s="180"/>
      <c r="V350" s="177"/>
      <c r="W350" s="177"/>
      <c r="X350" s="67"/>
    </row>
    <row r="351" spans="1:24" ht="12.75" x14ac:dyDescent="0.2">
      <c r="A351" s="34"/>
      <c r="B351" s="173"/>
      <c r="C351" s="173"/>
      <c r="D351" s="174"/>
      <c r="E351" s="173"/>
      <c r="F351" s="173"/>
      <c r="G351" s="176"/>
      <c r="H351" s="174"/>
      <c r="J351" s="174"/>
      <c r="K351" s="173"/>
      <c r="L351" s="173"/>
      <c r="M351" s="174"/>
      <c r="N351" s="177"/>
      <c r="O351" s="176"/>
      <c r="P351" s="177"/>
      <c r="Q351" s="178"/>
      <c r="R351" s="179"/>
      <c r="S351" s="177"/>
      <c r="T351" s="180"/>
      <c r="U351" s="180"/>
      <c r="V351" s="177"/>
      <c r="W351" s="177"/>
      <c r="X351" s="67"/>
    </row>
    <row r="352" spans="1:24" ht="12.75" x14ac:dyDescent="0.2">
      <c r="A352" s="34"/>
      <c r="B352" s="173"/>
      <c r="C352" s="173"/>
      <c r="D352" s="174"/>
      <c r="E352" s="173"/>
      <c r="F352" s="173"/>
      <c r="G352" s="176"/>
      <c r="H352" s="174"/>
      <c r="J352" s="174"/>
      <c r="K352" s="173"/>
      <c r="L352" s="173"/>
      <c r="M352" s="174"/>
      <c r="N352" s="177"/>
      <c r="O352" s="176"/>
      <c r="P352" s="177"/>
      <c r="Q352" s="178"/>
      <c r="R352" s="179"/>
      <c r="S352" s="177"/>
      <c r="T352" s="180"/>
      <c r="U352" s="180"/>
      <c r="V352" s="177"/>
      <c r="W352" s="177"/>
      <c r="X352" s="67"/>
    </row>
    <row r="353" spans="1:24" ht="12.75" x14ac:dyDescent="0.2">
      <c r="A353" s="34"/>
      <c r="B353" s="173"/>
      <c r="C353" s="173"/>
      <c r="D353" s="174"/>
      <c r="E353" s="173"/>
      <c r="F353" s="173"/>
      <c r="G353" s="176"/>
      <c r="H353" s="174"/>
      <c r="J353" s="174"/>
      <c r="K353" s="173"/>
      <c r="L353" s="173"/>
      <c r="M353" s="174"/>
      <c r="N353" s="177"/>
      <c r="O353" s="176"/>
      <c r="P353" s="177"/>
      <c r="Q353" s="178"/>
      <c r="R353" s="179"/>
      <c r="S353" s="177"/>
      <c r="T353" s="180"/>
      <c r="U353" s="180"/>
      <c r="V353" s="177"/>
      <c r="W353" s="177"/>
      <c r="X353" s="67"/>
    </row>
    <row r="354" spans="1:24" ht="12.75" x14ac:dyDescent="0.2">
      <c r="A354" s="34"/>
      <c r="B354" s="173"/>
      <c r="C354" s="173"/>
      <c r="D354" s="174"/>
      <c r="E354" s="173"/>
      <c r="F354" s="173"/>
      <c r="G354" s="176"/>
      <c r="H354" s="174"/>
      <c r="J354" s="174"/>
      <c r="K354" s="173"/>
      <c r="L354" s="173"/>
      <c r="M354" s="174"/>
      <c r="N354" s="177"/>
      <c r="O354" s="176"/>
      <c r="P354" s="177"/>
      <c r="Q354" s="178"/>
      <c r="R354" s="179"/>
      <c r="S354" s="177"/>
      <c r="T354" s="180"/>
      <c r="U354" s="180"/>
      <c r="V354" s="177"/>
      <c r="W354" s="177"/>
      <c r="X354" s="67"/>
    </row>
    <row r="355" spans="1:24" ht="12.75" x14ac:dyDescent="0.2">
      <c r="A355" s="34"/>
      <c r="B355" s="173"/>
      <c r="C355" s="173"/>
      <c r="D355" s="174"/>
      <c r="E355" s="173"/>
      <c r="F355" s="173"/>
      <c r="G355" s="176"/>
      <c r="H355" s="174"/>
      <c r="J355" s="174"/>
      <c r="K355" s="173"/>
      <c r="L355" s="173"/>
      <c r="M355" s="174"/>
      <c r="N355" s="177"/>
      <c r="O355" s="176"/>
      <c r="P355" s="177"/>
      <c r="Q355" s="178"/>
      <c r="R355" s="179"/>
      <c r="S355" s="177"/>
      <c r="T355" s="180"/>
      <c r="U355" s="180"/>
      <c r="V355" s="177"/>
      <c r="W355" s="177"/>
      <c r="X355" s="67"/>
    </row>
    <row r="356" spans="1:24" ht="12.75" x14ac:dyDescent="0.2">
      <c r="A356" s="34"/>
      <c r="B356" s="173"/>
      <c r="C356" s="173"/>
      <c r="D356" s="174"/>
      <c r="E356" s="173"/>
      <c r="F356" s="173"/>
      <c r="G356" s="176"/>
      <c r="H356" s="174"/>
      <c r="J356" s="174"/>
      <c r="K356" s="173"/>
      <c r="L356" s="173"/>
      <c r="M356" s="174"/>
      <c r="N356" s="177"/>
      <c r="O356" s="176"/>
      <c r="P356" s="177"/>
      <c r="Q356" s="178"/>
      <c r="R356" s="179"/>
      <c r="S356" s="177"/>
      <c r="T356" s="180"/>
      <c r="U356" s="180"/>
      <c r="V356" s="177"/>
      <c r="W356" s="177"/>
      <c r="X356" s="67"/>
    </row>
    <row r="357" spans="1:24" ht="12.75" x14ac:dyDescent="0.2">
      <c r="A357" s="34"/>
      <c r="B357" s="173"/>
      <c r="C357" s="173"/>
      <c r="D357" s="174"/>
      <c r="E357" s="173"/>
      <c r="F357" s="173"/>
      <c r="G357" s="176"/>
      <c r="H357" s="174"/>
      <c r="J357" s="174"/>
      <c r="K357" s="173"/>
      <c r="L357" s="173"/>
      <c r="M357" s="174"/>
      <c r="N357" s="177"/>
      <c r="O357" s="176"/>
      <c r="P357" s="177"/>
      <c r="Q357" s="178"/>
      <c r="R357" s="179"/>
      <c r="S357" s="177"/>
      <c r="T357" s="180"/>
      <c r="U357" s="180"/>
      <c r="V357" s="177"/>
      <c r="W357" s="177"/>
      <c r="X357" s="67"/>
    </row>
    <row r="358" spans="1:24" ht="12.75" x14ac:dyDescent="0.2">
      <c r="A358" s="34"/>
      <c r="B358" s="173"/>
      <c r="C358" s="173"/>
      <c r="D358" s="174"/>
      <c r="E358" s="173"/>
      <c r="F358" s="173"/>
      <c r="G358" s="176"/>
      <c r="H358" s="174"/>
      <c r="J358" s="174"/>
      <c r="K358" s="173"/>
      <c r="L358" s="173"/>
      <c r="M358" s="174"/>
      <c r="N358" s="177"/>
      <c r="O358" s="176"/>
      <c r="P358" s="177"/>
      <c r="Q358" s="178"/>
      <c r="R358" s="179"/>
      <c r="S358" s="177"/>
      <c r="T358" s="180"/>
      <c r="U358" s="180"/>
      <c r="V358" s="177"/>
      <c r="W358" s="177"/>
      <c r="X358" s="67"/>
    </row>
    <row r="359" spans="1:24" ht="12.75" x14ac:dyDescent="0.2">
      <c r="A359" s="34"/>
      <c r="B359" s="173"/>
      <c r="C359" s="173"/>
      <c r="D359" s="174"/>
      <c r="E359" s="173"/>
      <c r="F359" s="173"/>
      <c r="G359" s="176"/>
      <c r="H359" s="174"/>
      <c r="J359" s="174"/>
      <c r="K359" s="173"/>
      <c r="L359" s="173"/>
      <c r="M359" s="174"/>
      <c r="N359" s="177"/>
      <c r="O359" s="176"/>
      <c r="P359" s="177"/>
      <c r="Q359" s="178"/>
      <c r="R359" s="179"/>
      <c r="S359" s="177"/>
      <c r="T359" s="180"/>
      <c r="U359" s="180"/>
      <c r="V359" s="177"/>
      <c r="W359" s="177"/>
      <c r="X359" s="67"/>
    </row>
    <row r="360" spans="1:24" ht="12.75" x14ac:dyDescent="0.2">
      <c r="A360" s="34"/>
      <c r="B360" s="173"/>
      <c r="C360" s="173"/>
      <c r="D360" s="174"/>
      <c r="E360" s="173"/>
      <c r="F360" s="173"/>
      <c r="G360" s="176"/>
      <c r="H360" s="174"/>
      <c r="J360" s="174"/>
      <c r="K360" s="173"/>
      <c r="L360" s="173"/>
      <c r="M360" s="174"/>
      <c r="N360" s="177"/>
      <c r="O360" s="176"/>
      <c r="P360" s="177"/>
      <c r="Q360" s="178"/>
      <c r="R360" s="179"/>
      <c r="S360" s="177"/>
      <c r="T360" s="180"/>
      <c r="U360" s="180"/>
      <c r="V360" s="177"/>
      <c r="W360" s="177"/>
      <c r="X360" s="67"/>
    </row>
    <row r="361" spans="1:24" ht="12.75" x14ac:dyDescent="0.2">
      <c r="A361" s="34"/>
      <c r="B361" s="173"/>
      <c r="C361" s="173"/>
      <c r="D361" s="174"/>
      <c r="E361" s="173"/>
      <c r="F361" s="173"/>
      <c r="G361" s="176"/>
      <c r="H361" s="174"/>
      <c r="J361" s="174"/>
      <c r="K361" s="173"/>
      <c r="L361" s="173"/>
      <c r="M361" s="174"/>
      <c r="N361" s="177"/>
      <c r="O361" s="176"/>
      <c r="P361" s="177"/>
      <c r="Q361" s="178"/>
      <c r="R361" s="179"/>
      <c r="S361" s="177"/>
      <c r="T361" s="180"/>
      <c r="U361" s="180"/>
      <c r="V361" s="177"/>
      <c r="W361" s="177"/>
      <c r="X361" s="67"/>
    </row>
    <row r="362" spans="1:24" ht="12.75" x14ac:dyDescent="0.2">
      <c r="A362" s="34"/>
      <c r="B362" s="173"/>
      <c r="C362" s="173"/>
      <c r="D362" s="174"/>
      <c r="E362" s="173"/>
      <c r="F362" s="173"/>
      <c r="G362" s="176"/>
      <c r="H362" s="174"/>
      <c r="J362" s="174"/>
      <c r="K362" s="173"/>
      <c r="L362" s="173"/>
      <c r="M362" s="174"/>
      <c r="N362" s="177"/>
      <c r="O362" s="176"/>
      <c r="P362" s="177"/>
      <c r="Q362" s="178"/>
      <c r="R362" s="179"/>
      <c r="S362" s="177"/>
      <c r="T362" s="180"/>
      <c r="U362" s="180"/>
      <c r="V362" s="177"/>
      <c r="W362" s="177"/>
      <c r="X362" s="67"/>
    </row>
    <row r="363" spans="1:24" ht="12.75" x14ac:dyDescent="0.2">
      <c r="A363" s="34"/>
      <c r="B363" s="173"/>
      <c r="C363" s="173"/>
      <c r="D363" s="174"/>
      <c r="E363" s="173"/>
      <c r="F363" s="173"/>
      <c r="G363" s="176"/>
      <c r="H363" s="174"/>
      <c r="J363" s="174"/>
      <c r="K363" s="173"/>
      <c r="L363" s="173"/>
      <c r="M363" s="174"/>
      <c r="N363" s="177"/>
      <c r="O363" s="176"/>
      <c r="P363" s="177"/>
      <c r="Q363" s="178"/>
      <c r="R363" s="179"/>
      <c r="S363" s="177"/>
      <c r="T363" s="180"/>
      <c r="U363" s="180"/>
      <c r="V363" s="177"/>
      <c r="W363" s="177"/>
      <c r="X363" s="67"/>
    </row>
    <row r="364" spans="1:24" ht="12.75" x14ac:dyDescent="0.2">
      <c r="A364" s="34"/>
      <c r="B364" s="173"/>
      <c r="C364" s="173"/>
      <c r="D364" s="174"/>
      <c r="E364" s="173"/>
      <c r="F364" s="173"/>
      <c r="G364" s="176"/>
      <c r="H364" s="174"/>
      <c r="J364" s="174"/>
      <c r="K364" s="173"/>
      <c r="L364" s="173"/>
      <c r="M364" s="174"/>
      <c r="N364" s="177"/>
      <c r="O364" s="176"/>
      <c r="P364" s="177"/>
      <c r="Q364" s="178"/>
      <c r="R364" s="179"/>
      <c r="S364" s="177"/>
      <c r="T364" s="180"/>
      <c r="U364" s="180"/>
      <c r="V364" s="177"/>
      <c r="W364" s="177"/>
      <c r="X364" s="67"/>
    </row>
    <row r="365" spans="1:24" ht="12.75" x14ac:dyDescent="0.2">
      <c r="A365" s="34"/>
      <c r="B365" s="173"/>
      <c r="C365" s="173"/>
      <c r="D365" s="174"/>
      <c r="E365" s="173"/>
      <c r="F365" s="173"/>
      <c r="G365" s="176"/>
      <c r="H365" s="174"/>
      <c r="J365" s="174"/>
      <c r="K365" s="173"/>
      <c r="L365" s="173"/>
      <c r="M365" s="174"/>
      <c r="N365" s="177"/>
      <c r="O365" s="176"/>
      <c r="P365" s="177"/>
      <c r="Q365" s="178"/>
      <c r="R365" s="179"/>
      <c r="S365" s="177"/>
      <c r="T365" s="180"/>
      <c r="U365" s="180"/>
      <c r="V365" s="177"/>
      <c r="W365" s="177"/>
      <c r="X365" s="67"/>
    </row>
    <row r="366" spans="1:24" ht="12.75" x14ac:dyDescent="0.2">
      <c r="A366" s="34"/>
      <c r="B366" s="173"/>
      <c r="C366" s="173"/>
      <c r="D366" s="174"/>
      <c r="E366" s="173"/>
      <c r="F366" s="173"/>
      <c r="G366" s="176"/>
      <c r="H366" s="174"/>
      <c r="J366" s="174"/>
      <c r="K366" s="173"/>
      <c r="L366" s="173"/>
      <c r="M366" s="174"/>
      <c r="N366" s="177"/>
      <c r="O366" s="176"/>
      <c r="P366" s="177"/>
      <c r="Q366" s="178"/>
      <c r="R366" s="179"/>
      <c r="S366" s="177"/>
      <c r="T366" s="180"/>
      <c r="U366" s="180"/>
      <c r="V366" s="177"/>
      <c r="W366" s="177"/>
      <c r="X366" s="67"/>
    </row>
    <row r="367" spans="1:24" ht="12.75" x14ac:dyDescent="0.2">
      <c r="A367" s="34"/>
      <c r="B367" s="173"/>
      <c r="C367" s="173"/>
      <c r="D367" s="174"/>
      <c r="E367" s="173"/>
      <c r="F367" s="173"/>
      <c r="G367" s="176"/>
      <c r="H367" s="174"/>
      <c r="J367" s="174"/>
      <c r="K367" s="173"/>
      <c r="L367" s="173"/>
      <c r="M367" s="174"/>
      <c r="N367" s="177"/>
      <c r="O367" s="176"/>
      <c r="P367" s="177"/>
      <c r="Q367" s="178"/>
      <c r="R367" s="179"/>
      <c r="S367" s="177"/>
      <c r="T367" s="180"/>
      <c r="U367" s="180"/>
      <c r="V367" s="177"/>
      <c r="W367" s="177"/>
      <c r="X367" s="67"/>
    </row>
    <row r="368" spans="1:24" ht="12.75" x14ac:dyDescent="0.2">
      <c r="A368" s="34"/>
      <c r="B368" s="173"/>
      <c r="C368" s="173"/>
      <c r="D368" s="174"/>
      <c r="E368" s="173"/>
      <c r="F368" s="173"/>
      <c r="G368" s="176"/>
      <c r="H368" s="174"/>
      <c r="J368" s="174"/>
      <c r="K368" s="173"/>
      <c r="L368" s="173"/>
      <c r="M368" s="174"/>
      <c r="N368" s="177"/>
      <c r="O368" s="176"/>
      <c r="P368" s="177"/>
      <c r="Q368" s="178"/>
      <c r="R368" s="179"/>
      <c r="S368" s="177"/>
      <c r="T368" s="180"/>
      <c r="U368" s="180"/>
      <c r="V368" s="177"/>
      <c r="W368" s="177"/>
      <c r="X368" s="67"/>
    </row>
    <row r="369" spans="1:24" ht="12.75" x14ac:dyDescent="0.2">
      <c r="A369" s="34"/>
      <c r="B369" s="173"/>
      <c r="C369" s="173"/>
      <c r="D369" s="174"/>
      <c r="E369" s="173"/>
      <c r="F369" s="173"/>
      <c r="G369" s="176"/>
      <c r="H369" s="174"/>
      <c r="J369" s="174"/>
      <c r="K369" s="173"/>
      <c r="L369" s="173"/>
      <c r="M369" s="174"/>
      <c r="N369" s="177"/>
      <c r="O369" s="176"/>
      <c r="P369" s="177"/>
      <c r="Q369" s="178"/>
      <c r="R369" s="179"/>
      <c r="S369" s="177"/>
      <c r="T369" s="180"/>
      <c r="U369" s="180"/>
      <c r="V369" s="177"/>
      <c r="W369" s="177"/>
      <c r="X369" s="67"/>
    </row>
    <row r="370" spans="1:24" ht="12.75" x14ac:dyDescent="0.2">
      <c r="A370" s="34"/>
      <c r="B370" s="173"/>
      <c r="C370" s="173"/>
      <c r="D370" s="174"/>
      <c r="E370" s="173"/>
      <c r="F370" s="173"/>
      <c r="G370" s="176"/>
      <c r="H370" s="174"/>
      <c r="J370" s="174"/>
      <c r="K370" s="173"/>
      <c r="L370" s="173"/>
      <c r="M370" s="174"/>
      <c r="N370" s="177"/>
      <c r="O370" s="176"/>
      <c r="P370" s="177"/>
      <c r="Q370" s="178"/>
      <c r="R370" s="179"/>
      <c r="S370" s="177"/>
      <c r="T370" s="180"/>
      <c r="U370" s="180"/>
      <c r="V370" s="177"/>
      <c r="W370" s="177"/>
      <c r="X370" s="67"/>
    </row>
    <row r="371" spans="1:24" ht="12.75" x14ac:dyDescent="0.2">
      <c r="A371" s="34"/>
      <c r="B371" s="173"/>
      <c r="C371" s="173"/>
      <c r="D371" s="174"/>
      <c r="E371" s="173"/>
      <c r="F371" s="173"/>
      <c r="G371" s="176"/>
      <c r="H371" s="174"/>
      <c r="J371" s="174"/>
      <c r="K371" s="173"/>
      <c r="L371" s="173"/>
      <c r="M371" s="174"/>
      <c r="N371" s="177"/>
      <c r="O371" s="176"/>
      <c r="P371" s="177"/>
      <c r="Q371" s="178"/>
      <c r="R371" s="179"/>
      <c r="S371" s="177"/>
      <c r="T371" s="180"/>
      <c r="U371" s="180"/>
      <c r="V371" s="177"/>
      <c r="W371" s="177"/>
      <c r="X371" s="67"/>
    </row>
    <row r="372" spans="1:24" ht="12.75" x14ac:dyDescent="0.2">
      <c r="A372" s="34"/>
      <c r="B372" s="173"/>
      <c r="C372" s="173"/>
      <c r="D372" s="174"/>
      <c r="E372" s="173"/>
      <c r="F372" s="173"/>
      <c r="G372" s="176"/>
      <c r="H372" s="174"/>
      <c r="J372" s="174"/>
      <c r="K372" s="173"/>
      <c r="L372" s="173"/>
      <c r="M372" s="174"/>
      <c r="N372" s="177"/>
      <c r="O372" s="176"/>
      <c r="P372" s="177"/>
      <c r="Q372" s="178"/>
      <c r="R372" s="179"/>
      <c r="S372" s="177"/>
      <c r="T372" s="180"/>
      <c r="U372" s="180"/>
      <c r="V372" s="177"/>
      <c r="W372" s="177"/>
      <c r="X372" s="67"/>
    </row>
    <row r="373" spans="1:24" ht="12.75" x14ac:dyDescent="0.2">
      <c r="A373" s="34"/>
      <c r="B373" s="173"/>
      <c r="C373" s="173"/>
      <c r="D373" s="174"/>
      <c r="E373" s="173"/>
      <c r="F373" s="173"/>
      <c r="G373" s="176"/>
      <c r="H373" s="174"/>
      <c r="J373" s="174"/>
      <c r="K373" s="173"/>
      <c r="L373" s="173"/>
      <c r="M373" s="174"/>
      <c r="N373" s="177"/>
      <c r="O373" s="176"/>
      <c r="P373" s="177"/>
      <c r="Q373" s="178"/>
      <c r="R373" s="179"/>
      <c r="S373" s="177"/>
      <c r="T373" s="180"/>
      <c r="U373" s="180"/>
      <c r="V373" s="177"/>
      <c r="W373" s="177"/>
      <c r="X373" s="67"/>
    </row>
    <row r="374" spans="1:24" ht="12.75" x14ac:dyDescent="0.2">
      <c r="A374" s="34"/>
      <c r="B374" s="173"/>
      <c r="C374" s="173"/>
      <c r="D374" s="174"/>
      <c r="E374" s="173"/>
      <c r="F374" s="173"/>
      <c r="G374" s="176"/>
      <c r="H374" s="174"/>
      <c r="J374" s="174"/>
      <c r="K374" s="173"/>
      <c r="L374" s="173"/>
      <c r="M374" s="174"/>
      <c r="N374" s="177"/>
      <c r="O374" s="176"/>
      <c r="P374" s="177"/>
      <c r="Q374" s="178"/>
      <c r="R374" s="179"/>
      <c r="S374" s="177"/>
      <c r="T374" s="180"/>
      <c r="U374" s="180"/>
      <c r="V374" s="177"/>
      <c r="W374" s="177"/>
      <c r="X374" s="67"/>
    </row>
    <row r="375" spans="1:24" ht="12.75" x14ac:dyDescent="0.2">
      <c r="A375" s="34"/>
      <c r="B375" s="173"/>
      <c r="C375" s="173"/>
      <c r="D375" s="174"/>
      <c r="E375" s="173"/>
      <c r="F375" s="173"/>
      <c r="G375" s="176"/>
      <c r="H375" s="174"/>
      <c r="J375" s="174"/>
      <c r="K375" s="173"/>
      <c r="L375" s="173"/>
      <c r="M375" s="174"/>
      <c r="N375" s="177"/>
      <c r="O375" s="176"/>
      <c r="P375" s="177"/>
      <c r="Q375" s="178"/>
      <c r="R375" s="179"/>
      <c r="S375" s="177"/>
      <c r="T375" s="180"/>
      <c r="U375" s="180"/>
      <c r="V375" s="177"/>
      <c r="W375" s="177"/>
      <c r="X375" s="67"/>
    </row>
    <row r="376" spans="1:24" ht="12.75" x14ac:dyDescent="0.2">
      <c r="A376" s="34"/>
      <c r="B376" s="173"/>
      <c r="C376" s="173"/>
      <c r="D376" s="174"/>
      <c r="E376" s="173"/>
      <c r="F376" s="173"/>
      <c r="G376" s="176"/>
      <c r="H376" s="174"/>
      <c r="J376" s="174"/>
      <c r="K376" s="173"/>
      <c r="L376" s="173"/>
      <c r="M376" s="174"/>
      <c r="N376" s="177"/>
      <c r="O376" s="176"/>
      <c r="P376" s="177"/>
      <c r="Q376" s="178"/>
      <c r="R376" s="179"/>
      <c r="S376" s="177"/>
      <c r="T376" s="180"/>
      <c r="U376" s="180"/>
      <c r="V376" s="177"/>
      <c r="W376" s="177"/>
      <c r="X376" s="67"/>
    </row>
    <row r="377" spans="1:24" ht="12.75" x14ac:dyDescent="0.2">
      <c r="A377" s="34"/>
      <c r="B377" s="173"/>
      <c r="C377" s="173"/>
      <c r="D377" s="174"/>
      <c r="E377" s="173"/>
      <c r="F377" s="173"/>
      <c r="G377" s="176"/>
      <c r="H377" s="174"/>
      <c r="J377" s="174"/>
      <c r="K377" s="173"/>
      <c r="L377" s="173"/>
      <c r="M377" s="174"/>
      <c r="N377" s="177"/>
      <c r="O377" s="176"/>
      <c r="P377" s="177"/>
      <c r="Q377" s="178"/>
      <c r="R377" s="179"/>
      <c r="S377" s="177"/>
      <c r="T377" s="180"/>
      <c r="U377" s="180"/>
      <c r="V377" s="177"/>
      <c r="W377" s="177"/>
      <c r="X377" s="67"/>
    </row>
    <row r="378" spans="1:24" ht="12.75" x14ac:dyDescent="0.2">
      <c r="A378" s="34"/>
      <c r="B378" s="173"/>
      <c r="C378" s="173"/>
      <c r="D378" s="174"/>
      <c r="E378" s="173"/>
      <c r="F378" s="173"/>
      <c r="G378" s="176"/>
      <c r="H378" s="174"/>
      <c r="J378" s="174"/>
      <c r="K378" s="173"/>
      <c r="L378" s="173"/>
      <c r="M378" s="174"/>
      <c r="N378" s="177"/>
      <c r="O378" s="176"/>
      <c r="P378" s="177"/>
      <c r="Q378" s="178"/>
      <c r="R378" s="179"/>
      <c r="S378" s="177"/>
      <c r="T378" s="180"/>
      <c r="U378" s="180"/>
      <c r="V378" s="177"/>
      <c r="W378" s="177"/>
      <c r="X378" s="67"/>
    </row>
    <row r="379" spans="1:24" ht="12.75" x14ac:dyDescent="0.2">
      <c r="A379" s="34"/>
      <c r="B379" s="173"/>
      <c r="C379" s="173"/>
      <c r="D379" s="174"/>
      <c r="E379" s="173"/>
      <c r="F379" s="173"/>
      <c r="G379" s="176"/>
      <c r="H379" s="174"/>
      <c r="J379" s="174"/>
      <c r="K379" s="173"/>
      <c r="L379" s="173"/>
      <c r="M379" s="174"/>
      <c r="N379" s="177"/>
      <c r="O379" s="176"/>
      <c r="P379" s="177"/>
      <c r="Q379" s="178"/>
      <c r="R379" s="179"/>
      <c r="S379" s="177"/>
      <c r="T379" s="180"/>
      <c r="U379" s="180"/>
      <c r="V379" s="177"/>
      <c r="W379" s="177"/>
      <c r="X379" s="67"/>
    </row>
    <row r="380" spans="1:24" ht="12.75" x14ac:dyDescent="0.2">
      <c r="A380" s="34"/>
      <c r="B380" s="173"/>
      <c r="C380" s="173"/>
      <c r="D380" s="174"/>
      <c r="E380" s="173"/>
      <c r="F380" s="173"/>
      <c r="G380" s="176"/>
      <c r="H380" s="174"/>
      <c r="J380" s="174"/>
      <c r="K380" s="173"/>
      <c r="L380" s="173"/>
      <c r="M380" s="174"/>
      <c r="N380" s="177"/>
      <c r="O380" s="176"/>
      <c r="P380" s="177"/>
      <c r="Q380" s="178"/>
      <c r="R380" s="179"/>
      <c r="S380" s="177"/>
      <c r="T380" s="180"/>
      <c r="U380" s="180"/>
      <c r="V380" s="177"/>
      <c r="W380" s="177"/>
      <c r="X380" s="67"/>
    </row>
    <row r="381" spans="1:24" ht="12.75" x14ac:dyDescent="0.2">
      <c r="A381" s="34"/>
      <c r="B381" s="173"/>
      <c r="C381" s="173"/>
      <c r="D381" s="174"/>
      <c r="E381" s="173"/>
      <c r="F381" s="173"/>
      <c r="G381" s="176"/>
      <c r="H381" s="174"/>
      <c r="J381" s="174"/>
      <c r="K381" s="173"/>
      <c r="L381" s="173"/>
      <c r="M381" s="174"/>
      <c r="N381" s="177"/>
      <c r="O381" s="176"/>
      <c r="P381" s="177"/>
      <c r="Q381" s="178"/>
      <c r="R381" s="179"/>
      <c r="S381" s="177"/>
      <c r="T381" s="180"/>
      <c r="U381" s="180"/>
      <c r="V381" s="177"/>
      <c r="W381" s="177"/>
      <c r="X381" s="67"/>
    </row>
    <row r="382" spans="1:24" ht="12.75" x14ac:dyDescent="0.2">
      <c r="A382" s="34"/>
      <c r="B382" s="173"/>
      <c r="C382" s="173"/>
      <c r="D382" s="174"/>
      <c r="E382" s="173"/>
      <c r="F382" s="173"/>
      <c r="G382" s="176"/>
      <c r="H382" s="174"/>
      <c r="J382" s="174"/>
      <c r="K382" s="173"/>
      <c r="L382" s="173"/>
      <c r="M382" s="174"/>
      <c r="N382" s="177"/>
      <c r="O382" s="176"/>
      <c r="P382" s="177"/>
      <c r="Q382" s="178"/>
      <c r="R382" s="179"/>
      <c r="S382" s="177"/>
      <c r="T382" s="180"/>
      <c r="U382" s="180"/>
      <c r="V382" s="177"/>
      <c r="W382" s="177"/>
      <c r="X382" s="67"/>
    </row>
    <row r="383" spans="1:24" ht="12.75" x14ac:dyDescent="0.2">
      <c r="A383" s="34"/>
      <c r="B383" s="173"/>
      <c r="C383" s="173"/>
      <c r="D383" s="174"/>
      <c r="E383" s="173"/>
      <c r="F383" s="173"/>
      <c r="G383" s="176"/>
      <c r="H383" s="174"/>
      <c r="J383" s="174"/>
      <c r="K383" s="173"/>
      <c r="L383" s="173"/>
      <c r="M383" s="174"/>
      <c r="N383" s="177"/>
      <c r="O383" s="176"/>
      <c r="P383" s="177"/>
      <c r="Q383" s="178"/>
      <c r="R383" s="179"/>
      <c r="S383" s="177"/>
      <c r="T383" s="180"/>
      <c r="U383" s="180"/>
      <c r="V383" s="177"/>
      <c r="W383" s="177"/>
      <c r="X383" s="67"/>
    </row>
    <row r="384" spans="1:24" ht="12.75" x14ac:dyDescent="0.2">
      <c r="A384" s="34"/>
      <c r="B384" s="173"/>
      <c r="C384" s="173"/>
      <c r="D384" s="174"/>
      <c r="E384" s="173"/>
      <c r="F384" s="173"/>
      <c r="G384" s="176"/>
      <c r="H384" s="174"/>
      <c r="J384" s="174"/>
      <c r="K384" s="173"/>
      <c r="L384" s="173"/>
      <c r="M384" s="174"/>
      <c r="N384" s="177"/>
      <c r="O384" s="176"/>
      <c r="P384" s="177"/>
      <c r="Q384" s="178"/>
      <c r="R384" s="179"/>
      <c r="S384" s="177"/>
      <c r="T384" s="180"/>
      <c r="U384" s="180"/>
      <c r="V384" s="177"/>
      <c r="W384" s="177"/>
      <c r="X384" s="67"/>
    </row>
    <row r="385" spans="1:24" ht="12.75" x14ac:dyDescent="0.2">
      <c r="A385" s="34"/>
      <c r="B385" s="173"/>
      <c r="C385" s="173"/>
      <c r="D385" s="174"/>
      <c r="E385" s="173"/>
      <c r="F385" s="173"/>
      <c r="G385" s="176"/>
      <c r="H385" s="174"/>
      <c r="J385" s="174"/>
      <c r="K385" s="173"/>
      <c r="L385" s="173"/>
      <c r="M385" s="174"/>
      <c r="N385" s="177"/>
      <c r="O385" s="176"/>
      <c r="P385" s="177"/>
      <c r="Q385" s="178"/>
      <c r="R385" s="179"/>
      <c r="S385" s="177"/>
      <c r="T385" s="180"/>
      <c r="U385" s="180"/>
      <c r="V385" s="177"/>
      <c r="W385" s="177"/>
      <c r="X385" s="67"/>
    </row>
    <row r="386" spans="1:24" ht="12.75" x14ac:dyDescent="0.2">
      <c r="A386" s="34"/>
      <c r="B386" s="173"/>
      <c r="C386" s="173"/>
      <c r="D386" s="174"/>
      <c r="E386" s="173"/>
      <c r="F386" s="173"/>
      <c r="G386" s="176"/>
      <c r="H386" s="174"/>
      <c r="J386" s="174"/>
      <c r="K386" s="173"/>
      <c r="L386" s="173"/>
      <c r="M386" s="174"/>
      <c r="N386" s="177"/>
      <c r="O386" s="176"/>
      <c r="P386" s="177"/>
      <c r="Q386" s="178"/>
      <c r="R386" s="179"/>
      <c r="S386" s="177"/>
      <c r="T386" s="180"/>
      <c r="U386" s="180"/>
      <c r="V386" s="177"/>
      <c r="W386" s="177"/>
      <c r="X386" s="67"/>
    </row>
    <row r="387" spans="1:24" ht="12.75" x14ac:dyDescent="0.2">
      <c r="A387" s="34"/>
      <c r="B387" s="173"/>
      <c r="C387" s="173"/>
      <c r="D387" s="174"/>
      <c r="E387" s="173"/>
      <c r="F387" s="173"/>
      <c r="G387" s="176"/>
      <c r="H387" s="174"/>
      <c r="J387" s="174"/>
      <c r="K387" s="173"/>
      <c r="L387" s="173"/>
      <c r="M387" s="174"/>
      <c r="N387" s="177"/>
      <c r="O387" s="176"/>
      <c r="P387" s="177"/>
      <c r="Q387" s="178"/>
      <c r="R387" s="179"/>
      <c r="S387" s="177"/>
      <c r="T387" s="180"/>
      <c r="U387" s="180"/>
      <c r="V387" s="177"/>
      <c r="W387" s="177"/>
      <c r="X387" s="67"/>
    </row>
    <row r="388" spans="1:24" ht="12.75" x14ac:dyDescent="0.2">
      <c r="A388" s="34"/>
      <c r="B388" s="173"/>
      <c r="C388" s="173"/>
      <c r="D388" s="174"/>
      <c r="E388" s="173"/>
      <c r="F388" s="173"/>
      <c r="G388" s="176"/>
      <c r="H388" s="174"/>
      <c r="J388" s="174"/>
      <c r="K388" s="173"/>
      <c r="L388" s="173"/>
      <c r="M388" s="174"/>
      <c r="N388" s="177"/>
      <c r="O388" s="176"/>
      <c r="P388" s="177"/>
      <c r="Q388" s="178"/>
      <c r="R388" s="179"/>
      <c r="S388" s="177"/>
      <c r="T388" s="180"/>
      <c r="U388" s="180"/>
      <c r="V388" s="177"/>
      <c r="W388" s="177"/>
      <c r="X388" s="67"/>
    </row>
    <row r="389" spans="1:24" ht="12.75" x14ac:dyDescent="0.2">
      <c r="A389" s="34"/>
      <c r="B389" s="173"/>
      <c r="C389" s="173"/>
      <c r="D389" s="174"/>
      <c r="E389" s="173"/>
      <c r="F389" s="173"/>
      <c r="G389" s="176"/>
      <c r="H389" s="174"/>
      <c r="J389" s="174"/>
      <c r="K389" s="173"/>
      <c r="L389" s="173"/>
      <c r="M389" s="174"/>
      <c r="N389" s="177"/>
      <c r="O389" s="176"/>
      <c r="P389" s="177"/>
      <c r="Q389" s="178"/>
      <c r="R389" s="179"/>
      <c r="S389" s="177"/>
      <c r="T389" s="180"/>
      <c r="U389" s="180"/>
      <c r="V389" s="177"/>
      <c r="W389" s="177"/>
      <c r="X389" s="67"/>
    </row>
    <row r="390" spans="1:24" ht="12.75" x14ac:dyDescent="0.2">
      <c r="A390" s="34"/>
      <c r="B390" s="173"/>
      <c r="C390" s="173"/>
      <c r="D390" s="174"/>
      <c r="E390" s="173"/>
      <c r="F390" s="173"/>
      <c r="G390" s="176"/>
      <c r="H390" s="174"/>
      <c r="J390" s="174"/>
      <c r="K390" s="173"/>
      <c r="L390" s="173"/>
      <c r="M390" s="174"/>
      <c r="N390" s="177"/>
      <c r="O390" s="176"/>
      <c r="P390" s="177"/>
      <c r="Q390" s="178"/>
      <c r="R390" s="179"/>
      <c r="S390" s="177"/>
      <c r="T390" s="180"/>
      <c r="U390" s="180"/>
      <c r="V390" s="177"/>
      <c r="W390" s="177"/>
      <c r="X390" s="67"/>
    </row>
    <row r="391" spans="1:24" ht="12.75" x14ac:dyDescent="0.2">
      <c r="A391" s="34"/>
      <c r="B391" s="173"/>
      <c r="C391" s="173"/>
      <c r="D391" s="174"/>
      <c r="E391" s="173"/>
      <c r="F391" s="173"/>
      <c r="G391" s="176"/>
      <c r="H391" s="174"/>
      <c r="J391" s="174"/>
      <c r="K391" s="173"/>
      <c r="L391" s="173"/>
      <c r="M391" s="174"/>
      <c r="N391" s="177"/>
      <c r="O391" s="176"/>
      <c r="P391" s="177"/>
      <c r="Q391" s="178"/>
      <c r="R391" s="179"/>
      <c r="S391" s="177"/>
      <c r="T391" s="180"/>
      <c r="U391" s="180"/>
      <c r="V391" s="177"/>
      <c r="W391" s="177"/>
      <c r="X391" s="67"/>
    </row>
    <row r="392" spans="1:24" ht="12.75" x14ac:dyDescent="0.2">
      <c r="A392" s="34"/>
      <c r="B392" s="173"/>
      <c r="C392" s="173"/>
      <c r="D392" s="174"/>
      <c r="E392" s="173"/>
      <c r="F392" s="173"/>
      <c r="G392" s="176"/>
      <c r="H392" s="174"/>
      <c r="J392" s="174"/>
      <c r="K392" s="173"/>
      <c r="L392" s="173"/>
      <c r="M392" s="174"/>
      <c r="N392" s="177"/>
      <c r="O392" s="176"/>
      <c r="P392" s="177"/>
      <c r="Q392" s="178"/>
      <c r="R392" s="179"/>
      <c r="S392" s="177"/>
      <c r="T392" s="180"/>
      <c r="U392" s="180"/>
      <c r="V392" s="177"/>
      <c r="W392" s="177"/>
      <c r="X392" s="67"/>
    </row>
    <row r="393" spans="1:24" ht="12.75" x14ac:dyDescent="0.2">
      <c r="A393" s="34"/>
      <c r="B393" s="173"/>
      <c r="C393" s="173"/>
      <c r="D393" s="174"/>
      <c r="E393" s="173"/>
      <c r="F393" s="173"/>
      <c r="G393" s="176"/>
      <c r="H393" s="174"/>
      <c r="J393" s="174"/>
      <c r="K393" s="173"/>
      <c r="L393" s="173"/>
      <c r="M393" s="174"/>
      <c r="N393" s="177"/>
      <c r="O393" s="176"/>
      <c r="P393" s="177"/>
      <c r="Q393" s="178"/>
      <c r="R393" s="179"/>
      <c r="S393" s="177"/>
      <c r="T393" s="180"/>
      <c r="U393" s="180"/>
      <c r="V393" s="177"/>
      <c r="W393" s="177"/>
      <c r="X393" s="67"/>
    </row>
    <row r="394" spans="1:24" ht="12.75" x14ac:dyDescent="0.2">
      <c r="A394" s="34"/>
      <c r="B394" s="173"/>
      <c r="C394" s="173"/>
      <c r="D394" s="174"/>
      <c r="E394" s="173"/>
      <c r="F394" s="173"/>
      <c r="G394" s="176"/>
      <c r="H394" s="174"/>
      <c r="J394" s="174"/>
      <c r="K394" s="173"/>
      <c r="L394" s="173"/>
      <c r="M394" s="174"/>
      <c r="N394" s="177"/>
      <c r="O394" s="176"/>
      <c r="P394" s="177"/>
      <c r="Q394" s="178"/>
      <c r="R394" s="179"/>
      <c r="S394" s="177"/>
      <c r="T394" s="180"/>
      <c r="U394" s="180"/>
      <c r="V394" s="177"/>
      <c r="W394" s="177"/>
      <c r="X394" s="67"/>
    </row>
    <row r="395" spans="1:24" ht="12.75" x14ac:dyDescent="0.2">
      <c r="A395" s="34"/>
      <c r="B395" s="173"/>
      <c r="C395" s="173"/>
      <c r="D395" s="174"/>
      <c r="E395" s="173"/>
      <c r="F395" s="173"/>
      <c r="G395" s="176"/>
      <c r="H395" s="174"/>
      <c r="J395" s="174"/>
      <c r="K395" s="173"/>
      <c r="L395" s="173"/>
      <c r="M395" s="174"/>
      <c r="N395" s="177"/>
      <c r="O395" s="176"/>
      <c r="P395" s="177"/>
      <c r="Q395" s="178"/>
      <c r="R395" s="179"/>
      <c r="S395" s="177"/>
      <c r="T395" s="180"/>
      <c r="U395" s="180"/>
      <c r="V395" s="177"/>
      <c r="W395" s="177"/>
      <c r="X395" s="67"/>
    </row>
    <row r="396" spans="1:24" ht="12.75" x14ac:dyDescent="0.2">
      <c r="A396" s="34"/>
      <c r="B396" s="173"/>
      <c r="C396" s="173"/>
      <c r="D396" s="174"/>
      <c r="E396" s="173"/>
      <c r="F396" s="173"/>
      <c r="G396" s="176"/>
      <c r="H396" s="174"/>
      <c r="J396" s="174"/>
      <c r="K396" s="173"/>
      <c r="L396" s="173"/>
      <c r="M396" s="174"/>
      <c r="N396" s="177"/>
      <c r="O396" s="176"/>
      <c r="P396" s="177"/>
      <c r="Q396" s="178"/>
      <c r="R396" s="179"/>
      <c r="S396" s="177"/>
      <c r="T396" s="180"/>
      <c r="U396" s="180"/>
      <c r="V396" s="177"/>
      <c r="W396" s="177"/>
      <c r="X396" s="67"/>
    </row>
    <row r="397" spans="1:24" ht="12.75" x14ac:dyDescent="0.2">
      <c r="A397" s="34"/>
      <c r="B397" s="173"/>
      <c r="C397" s="173"/>
      <c r="D397" s="174"/>
      <c r="E397" s="173"/>
      <c r="F397" s="173"/>
      <c r="G397" s="176"/>
      <c r="H397" s="174"/>
      <c r="J397" s="174"/>
      <c r="K397" s="173"/>
      <c r="L397" s="173"/>
      <c r="M397" s="174"/>
      <c r="N397" s="177"/>
      <c r="O397" s="176"/>
      <c r="P397" s="177"/>
      <c r="Q397" s="178"/>
      <c r="R397" s="179"/>
      <c r="S397" s="177"/>
      <c r="T397" s="180"/>
      <c r="U397" s="180"/>
      <c r="V397" s="177"/>
      <c r="W397" s="177"/>
      <c r="X397" s="67"/>
    </row>
    <row r="398" spans="1:24" ht="12.75" x14ac:dyDescent="0.2">
      <c r="A398" s="34"/>
      <c r="B398" s="173"/>
      <c r="C398" s="173"/>
      <c r="D398" s="174"/>
      <c r="E398" s="173"/>
      <c r="F398" s="173"/>
      <c r="G398" s="176"/>
      <c r="H398" s="174"/>
      <c r="J398" s="174"/>
      <c r="K398" s="173"/>
      <c r="L398" s="173"/>
      <c r="M398" s="174"/>
      <c r="N398" s="177"/>
      <c r="O398" s="176"/>
      <c r="P398" s="177"/>
      <c r="Q398" s="178"/>
      <c r="R398" s="179"/>
      <c r="S398" s="177"/>
      <c r="T398" s="180"/>
      <c r="U398" s="180"/>
      <c r="V398" s="177"/>
      <c r="W398" s="177"/>
      <c r="X398" s="67"/>
    </row>
    <row r="399" spans="1:24" ht="12.75" x14ac:dyDescent="0.2">
      <c r="A399" s="34"/>
      <c r="B399" s="173"/>
      <c r="C399" s="173"/>
      <c r="D399" s="174"/>
      <c r="E399" s="173"/>
      <c r="F399" s="173"/>
      <c r="G399" s="176"/>
      <c r="H399" s="174"/>
      <c r="J399" s="174"/>
      <c r="K399" s="173"/>
      <c r="L399" s="173"/>
      <c r="M399" s="174"/>
      <c r="N399" s="177"/>
      <c r="O399" s="176"/>
      <c r="P399" s="177"/>
      <c r="Q399" s="178"/>
      <c r="R399" s="179"/>
      <c r="S399" s="177"/>
      <c r="T399" s="180"/>
      <c r="U399" s="180"/>
      <c r="V399" s="177"/>
      <c r="W399" s="177"/>
      <c r="X399" s="67"/>
    </row>
    <row r="400" spans="1:24" ht="12.75" x14ac:dyDescent="0.2">
      <c r="A400" s="34"/>
      <c r="B400" s="173"/>
      <c r="C400" s="173"/>
      <c r="D400" s="174"/>
      <c r="E400" s="173"/>
      <c r="F400" s="173"/>
      <c r="G400" s="176"/>
      <c r="H400" s="174"/>
      <c r="J400" s="174"/>
      <c r="K400" s="173"/>
      <c r="L400" s="173"/>
      <c r="M400" s="174"/>
      <c r="N400" s="177"/>
      <c r="O400" s="176"/>
      <c r="P400" s="177"/>
      <c r="Q400" s="178"/>
      <c r="R400" s="179"/>
      <c r="S400" s="177"/>
      <c r="T400" s="180"/>
      <c r="U400" s="180"/>
      <c r="V400" s="177"/>
      <c r="W400" s="177"/>
      <c r="X400" s="67"/>
    </row>
    <row r="401" spans="1:24" ht="12.75" x14ac:dyDescent="0.2">
      <c r="A401" s="34"/>
      <c r="B401" s="173"/>
      <c r="C401" s="173"/>
      <c r="D401" s="174"/>
      <c r="E401" s="173"/>
      <c r="F401" s="173"/>
      <c r="G401" s="176"/>
      <c r="H401" s="174"/>
      <c r="J401" s="174"/>
      <c r="K401" s="173"/>
      <c r="L401" s="173"/>
      <c r="M401" s="174"/>
      <c r="N401" s="177"/>
      <c r="O401" s="176"/>
      <c r="P401" s="177"/>
      <c r="Q401" s="178"/>
      <c r="R401" s="179"/>
      <c r="S401" s="177"/>
      <c r="T401" s="180"/>
      <c r="U401" s="180"/>
      <c r="V401" s="177"/>
      <c r="W401" s="177"/>
      <c r="X401" s="67"/>
    </row>
    <row r="402" spans="1:24" ht="12.75" x14ac:dyDescent="0.2">
      <c r="A402" s="34"/>
      <c r="B402" s="173"/>
      <c r="C402" s="173"/>
      <c r="D402" s="174"/>
      <c r="E402" s="173"/>
      <c r="F402" s="173"/>
      <c r="G402" s="176"/>
      <c r="H402" s="174"/>
      <c r="J402" s="174"/>
      <c r="K402" s="173"/>
      <c r="L402" s="173"/>
      <c r="M402" s="174"/>
      <c r="N402" s="177"/>
      <c r="O402" s="176"/>
      <c r="P402" s="177"/>
      <c r="Q402" s="178"/>
      <c r="R402" s="179"/>
      <c r="S402" s="177"/>
      <c r="T402" s="180"/>
      <c r="U402" s="180"/>
      <c r="V402" s="177"/>
      <c r="W402" s="177"/>
      <c r="X402" s="67"/>
    </row>
    <row r="403" spans="1:24" ht="12.75" x14ac:dyDescent="0.2">
      <c r="A403" s="34"/>
      <c r="B403" s="173"/>
      <c r="C403" s="173"/>
      <c r="D403" s="174"/>
      <c r="E403" s="173"/>
      <c r="F403" s="173"/>
      <c r="G403" s="176"/>
      <c r="H403" s="174"/>
      <c r="J403" s="174"/>
      <c r="K403" s="173"/>
      <c r="L403" s="173"/>
      <c r="M403" s="174"/>
      <c r="N403" s="177"/>
      <c r="O403" s="176"/>
      <c r="P403" s="177"/>
      <c r="Q403" s="178"/>
      <c r="R403" s="179"/>
      <c r="S403" s="177"/>
      <c r="T403" s="180"/>
      <c r="U403" s="180"/>
      <c r="V403" s="177"/>
      <c r="W403" s="177"/>
      <c r="X403" s="67"/>
    </row>
    <row r="404" spans="1:24" ht="12.75" x14ac:dyDescent="0.2">
      <c r="A404" s="34"/>
      <c r="B404" s="173"/>
      <c r="C404" s="173"/>
      <c r="D404" s="174"/>
      <c r="E404" s="173"/>
      <c r="F404" s="173"/>
      <c r="G404" s="176"/>
      <c r="H404" s="174"/>
      <c r="J404" s="174"/>
      <c r="K404" s="173"/>
      <c r="L404" s="173"/>
      <c r="M404" s="174"/>
      <c r="N404" s="177"/>
      <c r="O404" s="176"/>
      <c r="P404" s="177"/>
      <c r="Q404" s="178"/>
      <c r="R404" s="179"/>
      <c r="S404" s="177"/>
      <c r="T404" s="180"/>
      <c r="U404" s="180"/>
      <c r="V404" s="177"/>
      <c r="W404" s="177"/>
      <c r="X404" s="67"/>
    </row>
    <row r="405" spans="1:24" ht="12.75" x14ac:dyDescent="0.2">
      <c r="A405" s="34"/>
      <c r="B405" s="173"/>
      <c r="C405" s="173"/>
      <c r="D405" s="174"/>
      <c r="E405" s="173"/>
      <c r="F405" s="173"/>
      <c r="G405" s="176"/>
      <c r="H405" s="174"/>
      <c r="J405" s="174"/>
      <c r="K405" s="173"/>
      <c r="L405" s="173"/>
      <c r="M405" s="174"/>
      <c r="N405" s="177"/>
      <c r="O405" s="176"/>
      <c r="P405" s="177"/>
      <c r="Q405" s="178"/>
      <c r="R405" s="179"/>
      <c r="S405" s="177"/>
      <c r="T405" s="180"/>
      <c r="U405" s="180"/>
      <c r="V405" s="177"/>
      <c r="W405" s="177"/>
      <c r="X405" s="67"/>
    </row>
    <row r="406" spans="1:24" ht="12.75" x14ac:dyDescent="0.2">
      <c r="A406" s="34"/>
      <c r="B406" s="173"/>
      <c r="C406" s="173"/>
      <c r="D406" s="174"/>
      <c r="E406" s="173"/>
      <c r="F406" s="173"/>
      <c r="G406" s="176"/>
      <c r="H406" s="174"/>
      <c r="J406" s="174"/>
      <c r="K406" s="173"/>
      <c r="L406" s="173"/>
      <c r="M406" s="174"/>
      <c r="N406" s="177"/>
      <c r="O406" s="176"/>
      <c r="P406" s="177"/>
      <c r="Q406" s="178"/>
      <c r="R406" s="179"/>
      <c r="S406" s="177"/>
      <c r="T406" s="180"/>
      <c r="U406" s="180"/>
      <c r="V406" s="177"/>
      <c r="W406" s="177"/>
      <c r="X406" s="67"/>
    </row>
    <row r="407" spans="1:24" ht="12.75" x14ac:dyDescent="0.2">
      <c r="A407" s="34"/>
      <c r="B407" s="173"/>
      <c r="C407" s="173"/>
      <c r="D407" s="174"/>
      <c r="E407" s="173"/>
      <c r="F407" s="173"/>
      <c r="G407" s="176"/>
      <c r="H407" s="174"/>
      <c r="J407" s="174"/>
      <c r="K407" s="173"/>
      <c r="L407" s="173"/>
      <c r="M407" s="174"/>
      <c r="N407" s="177"/>
      <c r="O407" s="176"/>
      <c r="P407" s="177"/>
      <c r="Q407" s="178"/>
      <c r="R407" s="179"/>
      <c r="S407" s="177"/>
      <c r="T407" s="180"/>
      <c r="U407" s="180"/>
      <c r="V407" s="177"/>
      <c r="W407" s="177"/>
      <c r="X407" s="67"/>
    </row>
    <row r="408" spans="1:24" ht="12.75" x14ac:dyDescent="0.2">
      <c r="A408" s="34"/>
      <c r="B408" s="173"/>
      <c r="C408" s="173"/>
      <c r="D408" s="174"/>
      <c r="E408" s="173"/>
      <c r="F408" s="173"/>
      <c r="G408" s="176"/>
      <c r="H408" s="174"/>
      <c r="J408" s="174"/>
      <c r="K408" s="173"/>
      <c r="L408" s="173"/>
      <c r="M408" s="174"/>
      <c r="N408" s="177"/>
      <c r="O408" s="176"/>
      <c r="P408" s="177"/>
      <c r="Q408" s="178"/>
      <c r="R408" s="179"/>
      <c r="S408" s="177"/>
      <c r="T408" s="180"/>
      <c r="U408" s="180"/>
      <c r="V408" s="177"/>
      <c r="W408" s="177"/>
      <c r="X408" s="67"/>
    </row>
    <row r="409" spans="1:24" ht="12.75" x14ac:dyDescent="0.2">
      <c r="A409" s="34"/>
      <c r="B409" s="173"/>
      <c r="C409" s="173"/>
      <c r="D409" s="174"/>
      <c r="E409" s="173"/>
      <c r="F409" s="173"/>
      <c r="G409" s="176"/>
      <c r="H409" s="174"/>
      <c r="J409" s="174"/>
      <c r="K409" s="173"/>
      <c r="L409" s="173"/>
      <c r="M409" s="174"/>
      <c r="N409" s="177"/>
      <c r="O409" s="176"/>
      <c r="P409" s="177"/>
      <c r="Q409" s="178"/>
      <c r="R409" s="179"/>
      <c r="S409" s="177"/>
      <c r="T409" s="180"/>
      <c r="U409" s="180"/>
      <c r="V409" s="177"/>
      <c r="W409" s="177"/>
      <c r="X409" s="67"/>
    </row>
    <row r="410" spans="1:24" ht="12.75" x14ac:dyDescent="0.2">
      <c r="A410" s="34"/>
      <c r="B410" s="173"/>
      <c r="C410" s="173"/>
      <c r="D410" s="174"/>
      <c r="E410" s="173"/>
      <c r="F410" s="173"/>
      <c r="G410" s="176"/>
      <c r="H410" s="174"/>
      <c r="J410" s="174"/>
      <c r="K410" s="173"/>
      <c r="L410" s="173"/>
      <c r="M410" s="174"/>
      <c r="N410" s="177"/>
      <c r="O410" s="176"/>
      <c r="P410" s="177"/>
      <c r="Q410" s="178"/>
      <c r="R410" s="179"/>
      <c r="S410" s="177"/>
      <c r="T410" s="180"/>
      <c r="U410" s="180"/>
      <c r="V410" s="177"/>
      <c r="W410" s="177"/>
      <c r="X410" s="67"/>
    </row>
    <row r="411" spans="1:24" ht="12.75" x14ac:dyDescent="0.2">
      <c r="A411" s="34"/>
      <c r="B411" s="173"/>
      <c r="C411" s="173"/>
      <c r="D411" s="174"/>
      <c r="E411" s="173"/>
      <c r="F411" s="173"/>
      <c r="G411" s="176"/>
      <c r="H411" s="174"/>
      <c r="J411" s="174"/>
      <c r="K411" s="173"/>
      <c r="L411" s="173"/>
      <c r="M411" s="174"/>
      <c r="N411" s="177"/>
      <c r="O411" s="176"/>
      <c r="P411" s="177"/>
      <c r="Q411" s="178"/>
      <c r="R411" s="179"/>
      <c r="S411" s="177"/>
      <c r="T411" s="180"/>
      <c r="U411" s="180"/>
      <c r="V411" s="177"/>
      <c r="W411" s="177"/>
      <c r="X411" s="67"/>
    </row>
    <row r="412" spans="1:24" ht="12.75" x14ac:dyDescent="0.2">
      <c r="A412" s="34"/>
      <c r="B412" s="173"/>
      <c r="C412" s="173"/>
      <c r="D412" s="174"/>
      <c r="E412" s="173"/>
      <c r="F412" s="173"/>
      <c r="G412" s="176"/>
      <c r="H412" s="174"/>
      <c r="J412" s="174"/>
      <c r="K412" s="173"/>
      <c r="L412" s="173"/>
      <c r="M412" s="174"/>
      <c r="N412" s="177"/>
      <c r="O412" s="176"/>
      <c r="P412" s="177"/>
      <c r="Q412" s="178"/>
      <c r="R412" s="179"/>
      <c r="S412" s="177"/>
      <c r="T412" s="180"/>
      <c r="U412" s="180"/>
      <c r="V412" s="177"/>
      <c r="W412" s="177"/>
      <c r="X412" s="67"/>
    </row>
    <row r="413" spans="1:24" ht="12.75" x14ac:dyDescent="0.2">
      <c r="A413" s="34"/>
      <c r="B413" s="173"/>
      <c r="C413" s="173"/>
      <c r="D413" s="174"/>
      <c r="E413" s="173"/>
      <c r="F413" s="173"/>
      <c r="G413" s="176"/>
      <c r="H413" s="174"/>
      <c r="J413" s="174"/>
      <c r="K413" s="173"/>
      <c r="L413" s="173"/>
      <c r="M413" s="174"/>
      <c r="N413" s="177"/>
      <c r="O413" s="176"/>
      <c r="P413" s="177"/>
      <c r="Q413" s="178"/>
      <c r="R413" s="179"/>
      <c r="S413" s="177"/>
      <c r="T413" s="180"/>
      <c r="U413" s="180"/>
      <c r="V413" s="177"/>
      <c r="W413" s="177"/>
      <c r="X413" s="67"/>
    </row>
    <row r="414" spans="1:24" ht="12.75" x14ac:dyDescent="0.2">
      <c r="A414" s="34"/>
      <c r="B414" s="173"/>
      <c r="C414" s="173"/>
      <c r="D414" s="174"/>
      <c r="E414" s="173"/>
      <c r="F414" s="173"/>
      <c r="G414" s="176"/>
      <c r="H414" s="174"/>
      <c r="J414" s="174"/>
      <c r="K414" s="173"/>
      <c r="L414" s="173"/>
      <c r="M414" s="174"/>
      <c r="N414" s="177"/>
      <c r="O414" s="176"/>
      <c r="P414" s="177"/>
      <c r="Q414" s="178"/>
      <c r="R414" s="179"/>
      <c r="S414" s="177"/>
      <c r="T414" s="180"/>
      <c r="U414" s="180"/>
      <c r="V414" s="177"/>
      <c r="W414" s="177"/>
      <c r="X414" s="67"/>
    </row>
    <row r="415" spans="1:24" ht="12.75" x14ac:dyDescent="0.2">
      <c r="A415" s="34"/>
      <c r="B415" s="173"/>
      <c r="C415" s="173"/>
      <c r="D415" s="174"/>
      <c r="E415" s="173"/>
      <c r="F415" s="173"/>
      <c r="G415" s="176"/>
      <c r="H415" s="174"/>
      <c r="J415" s="174"/>
      <c r="K415" s="173"/>
      <c r="L415" s="173"/>
      <c r="M415" s="174"/>
      <c r="N415" s="177"/>
      <c r="O415" s="176"/>
      <c r="P415" s="177"/>
      <c r="Q415" s="178"/>
      <c r="R415" s="179"/>
      <c r="S415" s="177"/>
      <c r="T415" s="180"/>
      <c r="U415" s="180"/>
      <c r="V415" s="177"/>
      <c r="W415" s="177"/>
      <c r="X415" s="67"/>
    </row>
    <row r="416" spans="1:24" ht="12.75" x14ac:dyDescent="0.2">
      <c r="A416" s="34"/>
      <c r="B416" s="173"/>
      <c r="C416" s="173"/>
      <c r="D416" s="174"/>
      <c r="E416" s="173"/>
      <c r="F416" s="173"/>
      <c r="G416" s="176"/>
      <c r="H416" s="174"/>
      <c r="J416" s="174"/>
      <c r="K416" s="173"/>
      <c r="L416" s="173"/>
      <c r="M416" s="174"/>
      <c r="N416" s="177"/>
      <c r="O416" s="176"/>
      <c r="P416" s="177"/>
      <c r="Q416" s="178"/>
      <c r="R416" s="179"/>
      <c r="S416" s="177"/>
      <c r="T416" s="180"/>
      <c r="U416" s="180"/>
      <c r="V416" s="177"/>
      <c r="W416" s="177"/>
      <c r="X416" s="67"/>
    </row>
    <row r="417" spans="1:24" ht="12.75" x14ac:dyDescent="0.2">
      <c r="A417" s="34"/>
      <c r="B417" s="173"/>
      <c r="C417" s="173"/>
      <c r="D417" s="174"/>
      <c r="E417" s="173"/>
      <c r="F417" s="173"/>
      <c r="G417" s="176"/>
      <c r="H417" s="174"/>
      <c r="J417" s="174"/>
      <c r="K417" s="173"/>
      <c r="L417" s="173"/>
      <c r="M417" s="174"/>
      <c r="N417" s="177"/>
      <c r="O417" s="176"/>
      <c r="P417" s="177"/>
      <c r="Q417" s="178"/>
      <c r="R417" s="179"/>
      <c r="S417" s="177"/>
      <c r="T417" s="180"/>
      <c r="U417" s="180"/>
      <c r="V417" s="177"/>
      <c r="W417" s="177"/>
      <c r="X417" s="67"/>
    </row>
    <row r="418" spans="1:24" ht="12.75" x14ac:dyDescent="0.2">
      <c r="A418" s="34"/>
      <c r="B418" s="173"/>
      <c r="C418" s="173"/>
      <c r="D418" s="174"/>
      <c r="E418" s="173"/>
      <c r="F418" s="173"/>
      <c r="G418" s="176"/>
      <c r="H418" s="174"/>
      <c r="J418" s="174"/>
      <c r="K418" s="173"/>
      <c r="L418" s="173"/>
      <c r="M418" s="174"/>
      <c r="N418" s="177"/>
      <c r="O418" s="176"/>
      <c r="P418" s="177"/>
      <c r="Q418" s="178"/>
      <c r="R418" s="179"/>
      <c r="S418" s="177"/>
      <c r="T418" s="180"/>
      <c r="U418" s="180"/>
      <c r="V418" s="177"/>
      <c r="W418" s="177"/>
      <c r="X418" s="67"/>
    </row>
    <row r="419" spans="1:24" ht="12.75" x14ac:dyDescent="0.2">
      <c r="A419" s="34"/>
      <c r="B419" s="173"/>
      <c r="C419" s="173"/>
      <c r="D419" s="174"/>
      <c r="E419" s="173"/>
      <c r="F419" s="173"/>
      <c r="G419" s="176"/>
      <c r="H419" s="174"/>
      <c r="J419" s="174"/>
      <c r="K419" s="173"/>
      <c r="L419" s="173"/>
      <c r="M419" s="174"/>
      <c r="N419" s="177"/>
      <c r="O419" s="176"/>
      <c r="P419" s="177"/>
      <c r="Q419" s="178"/>
      <c r="R419" s="179"/>
      <c r="S419" s="177"/>
      <c r="T419" s="180"/>
      <c r="U419" s="180"/>
      <c r="V419" s="177"/>
      <c r="W419" s="177"/>
      <c r="X419" s="67"/>
    </row>
    <row r="420" spans="1:24" ht="12.75" x14ac:dyDescent="0.2">
      <c r="A420" s="34"/>
      <c r="B420" s="173"/>
      <c r="C420" s="173"/>
      <c r="D420" s="174"/>
      <c r="E420" s="173"/>
      <c r="F420" s="173"/>
      <c r="G420" s="176"/>
      <c r="H420" s="174"/>
      <c r="J420" s="174"/>
      <c r="K420" s="173"/>
      <c r="L420" s="173"/>
      <c r="M420" s="174"/>
      <c r="N420" s="177"/>
      <c r="O420" s="176"/>
      <c r="P420" s="177"/>
      <c r="Q420" s="178"/>
      <c r="R420" s="179"/>
      <c r="S420" s="177"/>
      <c r="T420" s="180"/>
      <c r="U420" s="180"/>
      <c r="V420" s="177"/>
      <c r="W420" s="177"/>
      <c r="X420" s="67"/>
    </row>
    <row r="421" spans="1:24" ht="12.75" x14ac:dyDescent="0.2">
      <c r="A421" s="34"/>
      <c r="B421" s="173"/>
      <c r="C421" s="173"/>
      <c r="D421" s="174"/>
      <c r="E421" s="173"/>
      <c r="F421" s="173"/>
      <c r="G421" s="176"/>
      <c r="H421" s="174"/>
      <c r="J421" s="174"/>
      <c r="K421" s="173"/>
      <c r="L421" s="173"/>
      <c r="M421" s="174"/>
      <c r="N421" s="177"/>
      <c r="O421" s="176"/>
      <c r="P421" s="177"/>
      <c r="Q421" s="178"/>
      <c r="R421" s="179"/>
      <c r="S421" s="177"/>
      <c r="T421" s="180"/>
      <c r="U421" s="180"/>
      <c r="V421" s="177"/>
      <c r="W421" s="177"/>
      <c r="X421" s="67"/>
    </row>
    <row r="422" spans="1:24" ht="12.75" x14ac:dyDescent="0.2">
      <c r="A422" s="34"/>
      <c r="B422" s="173"/>
      <c r="C422" s="173"/>
      <c r="D422" s="174"/>
      <c r="E422" s="173"/>
      <c r="F422" s="173"/>
      <c r="G422" s="176"/>
      <c r="H422" s="174"/>
      <c r="J422" s="174"/>
      <c r="K422" s="173"/>
      <c r="L422" s="173"/>
      <c r="M422" s="174"/>
      <c r="N422" s="177"/>
      <c r="O422" s="176"/>
      <c r="P422" s="177"/>
      <c r="Q422" s="178"/>
      <c r="R422" s="179"/>
      <c r="S422" s="177"/>
      <c r="T422" s="180"/>
      <c r="U422" s="180"/>
      <c r="V422" s="177"/>
      <c r="W422" s="177"/>
      <c r="X422" s="67"/>
    </row>
    <row r="423" spans="1:24" ht="12.75" x14ac:dyDescent="0.2">
      <c r="A423" s="34"/>
      <c r="B423" s="173"/>
      <c r="C423" s="173"/>
      <c r="D423" s="174"/>
      <c r="E423" s="173"/>
      <c r="F423" s="173"/>
      <c r="G423" s="176"/>
      <c r="H423" s="174"/>
      <c r="J423" s="174"/>
      <c r="K423" s="173"/>
      <c r="L423" s="173"/>
      <c r="M423" s="174"/>
      <c r="N423" s="177"/>
      <c r="O423" s="176"/>
      <c r="P423" s="177"/>
      <c r="Q423" s="178"/>
      <c r="R423" s="179"/>
      <c r="S423" s="177"/>
      <c r="T423" s="180"/>
      <c r="U423" s="180"/>
      <c r="V423" s="177"/>
      <c r="W423" s="177"/>
      <c r="X423" s="67"/>
    </row>
    <row r="424" spans="1:24" ht="12.75" x14ac:dyDescent="0.2">
      <c r="A424" s="34"/>
      <c r="B424" s="173"/>
      <c r="C424" s="173"/>
      <c r="D424" s="174"/>
      <c r="E424" s="173"/>
      <c r="F424" s="173"/>
      <c r="G424" s="176"/>
      <c r="H424" s="174"/>
      <c r="J424" s="174"/>
      <c r="K424" s="173"/>
      <c r="L424" s="173"/>
      <c r="M424" s="174"/>
      <c r="N424" s="177"/>
      <c r="O424" s="176"/>
      <c r="P424" s="177"/>
      <c r="Q424" s="178"/>
      <c r="R424" s="179"/>
      <c r="S424" s="177"/>
      <c r="T424" s="180"/>
      <c r="U424" s="180"/>
      <c r="V424" s="177"/>
      <c r="W424" s="177"/>
      <c r="X424" s="67"/>
    </row>
    <row r="425" spans="1:24" ht="12.75" x14ac:dyDescent="0.2">
      <c r="A425" s="34"/>
      <c r="B425" s="173"/>
      <c r="C425" s="173"/>
      <c r="D425" s="174"/>
      <c r="E425" s="173"/>
      <c r="F425" s="173"/>
      <c r="G425" s="176"/>
      <c r="H425" s="174"/>
      <c r="J425" s="174"/>
      <c r="K425" s="173"/>
      <c r="L425" s="173"/>
      <c r="M425" s="174"/>
      <c r="N425" s="177"/>
      <c r="O425" s="176"/>
      <c r="P425" s="177"/>
      <c r="Q425" s="178"/>
      <c r="R425" s="179"/>
      <c r="S425" s="177"/>
      <c r="T425" s="180"/>
      <c r="U425" s="180"/>
      <c r="V425" s="177"/>
      <c r="W425" s="177"/>
      <c r="X425" s="67"/>
    </row>
    <row r="426" spans="1:24" ht="12.75" x14ac:dyDescent="0.2">
      <c r="A426" s="34"/>
      <c r="B426" s="173"/>
      <c r="C426" s="173"/>
      <c r="D426" s="174"/>
      <c r="E426" s="173"/>
      <c r="F426" s="173"/>
      <c r="G426" s="176"/>
      <c r="H426" s="174"/>
      <c r="J426" s="174"/>
      <c r="K426" s="173"/>
      <c r="L426" s="173"/>
      <c r="M426" s="174"/>
      <c r="N426" s="177"/>
      <c r="O426" s="176"/>
      <c r="P426" s="177"/>
      <c r="Q426" s="178"/>
      <c r="R426" s="179"/>
      <c r="S426" s="177"/>
      <c r="T426" s="180"/>
      <c r="U426" s="180"/>
      <c r="V426" s="177"/>
      <c r="W426" s="177"/>
      <c r="X426" s="67"/>
    </row>
    <row r="427" spans="1:24" ht="12.75" x14ac:dyDescent="0.2">
      <c r="A427" s="34"/>
      <c r="B427" s="173"/>
      <c r="C427" s="173"/>
      <c r="D427" s="174"/>
      <c r="E427" s="173"/>
      <c r="F427" s="173"/>
      <c r="G427" s="176"/>
      <c r="H427" s="174"/>
      <c r="J427" s="174"/>
      <c r="K427" s="173"/>
      <c r="L427" s="173"/>
      <c r="M427" s="174"/>
      <c r="N427" s="177"/>
      <c r="O427" s="176"/>
      <c r="P427" s="177"/>
      <c r="Q427" s="178"/>
      <c r="R427" s="179"/>
      <c r="S427" s="177"/>
      <c r="T427" s="180"/>
      <c r="U427" s="180"/>
      <c r="V427" s="177"/>
      <c r="W427" s="177"/>
      <c r="X427" s="67"/>
    </row>
    <row r="428" spans="1:24" ht="12.75" x14ac:dyDescent="0.2">
      <c r="A428" s="34"/>
      <c r="B428" s="173"/>
      <c r="C428" s="173"/>
      <c r="D428" s="174"/>
      <c r="E428" s="173"/>
      <c r="F428" s="173"/>
      <c r="G428" s="176"/>
      <c r="H428" s="174"/>
      <c r="J428" s="174"/>
      <c r="K428" s="173"/>
      <c r="L428" s="173"/>
      <c r="M428" s="174"/>
      <c r="N428" s="177"/>
      <c r="O428" s="176"/>
      <c r="P428" s="177"/>
      <c r="Q428" s="178"/>
      <c r="R428" s="179"/>
      <c r="S428" s="177"/>
      <c r="T428" s="180"/>
      <c r="U428" s="180"/>
      <c r="V428" s="177"/>
      <c r="W428" s="177"/>
      <c r="X428" s="67"/>
    </row>
    <row r="429" spans="1:24" ht="12.75" x14ac:dyDescent="0.2">
      <c r="A429" s="34"/>
      <c r="B429" s="173"/>
      <c r="C429" s="173"/>
      <c r="D429" s="174"/>
      <c r="E429" s="173"/>
      <c r="F429" s="173"/>
      <c r="G429" s="176"/>
      <c r="H429" s="174"/>
      <c r="J429" s="174"/>
      <c r="K429" s="173"/>
      <c r="L429" s="173"/>
      <c r="M429" s="174"/>
      <c r="N429" s="177"/>
      <c r="O429" s="176"/>
      <c r="P429" s="177"/>
      <c r="Q429" s="178"/>
      <c r="R429" s="179"/>
      <c r="S429" s="177"/>
      <c r="T429" s="180"/>
      <c r="U429" s="180"/>
      <c r="V429" s="177"/>
      <c r="W429" s="177"/>
      <c r="X429" s="67"/>
    </row>
    <row r="430" spans="1:24" ht="12.75" x14ac:dyDescent="0.2">
      <c r="A430" s="34"/>
      <c r="B430" s="173"/>
      <c r="C430" s="173"/>
      <c r="D430" s="174"/>
      <c r="E430" s="173"/>
      <c r="F430" s="173"/>
      <c r="G430" s="176"/>
      <c r="H430" s="174"/>
      <c r="J430" s="174"/>
      <c r="K430" s="173"/>
      <c r="L430" s="173"/>
      <c r="M430" s="174"/>
      <c r="N430" s="177"/>
      <c r="O430" s="176"/>
      <c r="P430" s="177"/>
      <c r="Q430" s="178"/>
      <c r="R430" s="179"/>
      <c r="S430" s="177"/>
      <c r="T430" s="180"/>
      <c r="U430" s="180"/>
      <c r="V430" s="177"/>
      <c r="W430" s="177"/>
      <c r="X430" s="67"/>
    </row>
    <row r="431" spans="1:24" ht="12.75" x14ac:dyDescent="0.2">
      <c r="A431" s="34"/>
      <c r="B431" s="173"/>
      <c r="C431" s="173"/>
      <c r="D431" s="174"/>
      <c r="E431" s="173"/>
      <c r="F431" s="173"/>
      <c r="G431" s="176"/>
      <c r="H431" s="174"/>
      <c r="J431" s="174"/>
      <c r="K431" s="173"/>
      <c r="L431" s="173"/>
      <c r="M431" s="174"/>
      <c r="N431" s="177"/>
      <c r="O431" s="176"/>
      <c r="P431" s="177"/>
      <c r="Q431" s="178"/>
      <c r="R431" s="179"/>
      <c r="S431" s="177"/>
      <c r="T431" s="180"/>
      <c r="U431" s="180"/>
      <c r="V431" s="177"/>
      <c r="W431" s="177"/>
      <c r="X431" s="67"/>
    </row>
    <row r="432" spans="1:24" ht="12.75" x14ac:dyDescent="0.2">
      <c r="A432" s="34"/>
      <c r="B432" s="173"/>
      <c r="C432" s="173"/>
      <c r="D432" s="174"/>
      <c r="E432" s="173"/>
      <c r="F432" s="173"/>
      <c r="G432" s="176"/>
      <c r="H432" s="174"/>
      <c r="J432" s="174"/>
      <c r="K432" s="173"/>
      <c r="L432" s="173"/>
      <c r="M432" s="174"/>
      <c r="N432" s="177"/>
      <c r="O432" s="176"/>
      <c r="P432" s="177"/>
      <c r="Q432" s="178"/>
      <c r="R432" s="179"/>
      <c r="S432" s="177"/>
      <c r="T432" s="180"/>
      <c r="U432" s="180"/>
      <c r="V432" s="177"/>
      <c r="W432" s="177"/>
      <c r="X432" s="67"/>
    </row>
    <row r="433" spans="1:24" ht="12.75" x14ac:dyDescent="0.2">
      <c r="A433" s="34"/>
      <c r="B433" s="173"/>
      <c r="C433" s="173"/>
      <c r="D433" s="174"/>
      <c r="E433" s="173"/>
      <c r="F433" s="173"/>
      <c r="G433" s="176"/>
      <c r="H433" s="174"/>
      <c r="J433" s="174"/>
      <c r="K433" s="173"/>
      <c r="L433" s="173"/>
      <c r="M433" s="174"/>
      <c r="N433" s="177"/>
      <c r="O433" s="176"/>
      <c r="P433" s="177"/>
      <c r="Q433" s="178"/>
      <c r="R433" s="179"/>
      <c r="S433" s="177"/>
      <c r="T433" s="180"/>
      <c r="U433" s="180"/>
      <c r="V433" s="177"/>
      <c r="W433" s="177"/>
      <c r="X433" s="67"/>
    </row>
    <row r="434" spans="1:24" ht="12.75" x14ac:dyDescent="0.2">
      <c r="A434" s="34"/>
      <c r="B434" s="173"/>
      <c r="C434" s="173"/>
      <c r="D434" s="174"/>
      <c r="E434" s="173"/>
      <c r="F434" s="173"/>
      <c r="G434" s="176"/>
      <c r="H434" s="174"/>
      <c r="J434" s="174"/>
      <c r="K434" s="173"/>
      <c r="L434" s="173"/>
      <c r="M434" s="174"/>
      <c r="N434" s="177"/>
      <c r="O434" s="176"/>
      <c r="P434" s="177"/>
      <c r="Q434" s="178"/>
      <c r="R434" s="179"/>
      <c r="S434" s="177"/>
      <c r="T434" s="180"/>
      <c r="U434" s="180"/>
      <c r="V434" s="177"/>
      <c r="W434" s="177"/>
      <c r="X434" s="67"/>
    </row>
    <row r="435" spans="1:24" ht="12.75" x14ac:dyDescent="0.2">
      <c r="A435" s="34"/>
      <c r="B435" s="173"/>
      <c r="C435" s="173"/>
      <c r="D435" s="174"/>
      <c r="E435" s="173"/>
      <c r="F435" s="173"/>
      <c r="G435" s="176"/>
      <c r="H435" s="174"/>
      <c r="J435" s="174"/>
      <c r="K435" s="173"/>
      <c r="L435" s="173"/>
      <c r="M435" s="174"/>
      <c r="N435" s="177"/>
      <c r="O435" s="176"/>
      <c r="P435" s="177"/>
      <c r="Q435" s="178"/>
      <c r="R435" s="179"/>
      <c r="S435" s="177"/>
      <c r="T435" s="180"/>
      <c r="U435" s="180"/>
      <c r="V435" s="177"/>
      <c r="W435" s="177"/>
      <c r="X435" s="67"/>
    </row>
    <row r="436" spans="1:24" ht="12.75" x14ac:dyDescent="0.2">
      <c r="A436" s="34"/>
      <c r="B436" s="173"/>
      <c r="C436" s="173"/>
      <c r="D436" s="174"/>
      <c r="E436" s="173"/>
      <c r="F436" s="173"/>
      <c r="G436" s="176"/>
      <c r="H436" s="174"/>
      <c r="J436" s="174"/>
      <c r="K436" s="173"/>
      <c r="L436" s="173"/>
      <c r="M436" s="174"/>
      <c r="N436" s="177"/>
      <c r="O436" s="176"/>
      <c r="P436" s="177"/>
      <c r="Q436" s="178"/>
      <c r="R436" s="179"/>
      <c r="S436" s="177"/>
      <c r="T436" s="180"/>
      <c r="U436" s="180"/>
      <c r="V436" s="177"/>
      <c r="W436" s="177"/>
      <c r="X436" s="67"/>
    </row>
    <row r="437" spans="1:24" ht="12.75" x14ac:dyDescent="0.2">
      <c r="A437" s="34"/>
      <c r="B437" s="173"/>
      <c r="C437" s="173"/>
      <c r="D437" s="174"/>
      <c r="E437" s="173"/>
      <c r="F437" s="173"/>
      <c r="G437" s="176"/>
      <c r="H437" s="174"/>
      <c r="J437" s="174"/>
      <c r="K437" s="173"/>
      <c r="L437" s="173"/>
      <c r="M437" s="174"/>
      <c r="N437" s="177"/>
      <c r="O437" s="176"/>
      <c r="P437" s="177"/>
      <c r="Q437" s="178"/>
      <c r="R437" s="179"/>
      <c r="S437" s="177"/>
      <c r="T437" s="180"/>
      <c r="U437" s="180"/>
      <c r="V437" s="177"/>
      <c r="W437" s="177"/>
      <c r="X437" s="67"/>
    </row>
    <row r="438" spans="1:24" ht="12.75" x14ac:dyDescent="0.2">
      <c r="A438" s="34"/>
      <c r="B438" s="173"/>
      <c r="C438" s="173"/>
      <c r="D438" s="174"/>
      <c r="E438" s="173"/>
      <c r="F438" s="173"/>
      <c r="G438" s="176"/>
      <c r="H438" s="174"/>
      <c r="J438" s="174"/>
      <c r="K438" s="173"/>
      <c r="L438" s="173"/>
      <c r="M438" s="174"/>
      <c r="N438" s="177"/>
      <c r="O438" s="176"/>
      <c r="P438" s="177"/>
      <c r="Q438" s="178"/>
      <c r="R438" s="179"/>
      <c r="S438" s="177"/>
      <c r="T438" s="180"/>
      <c r="U438" s="180"/>
      <c r="V438" s="177"/>
      <c r="W438" s="177"/>
      <c r="X438" s="67"/>
    </row>
    <row r="439" spans="1:24" ht="12.75" x14ac:dyDescent="0.2">
      <c r="A439" s="34"/>
      <c r="B439" s="173"/>
      <c r="C439" s="173"/>
      <c r="D439" s="174"/>
      <c r="E439" s="173"/>
      <c r="F439" s="173"/>
      <c r="G439" s="176"/>
      <c r="H439" s="174"/>
      <c r="J439" s="174"/>
      <c r="K439" s="173"/>
      <c r="L439" s="173"/>
      <c r="M439" s="174"/>
      <c r="N439" s="177"/>
      <c r="O439" s="176"/>
      <c r="P439" s="177"/>
      <c r="Q439" s="178"/>
      <c r="R439" s="179"/>
      <c r="S439" s="177"/>
      <c r="T439" s="180"/>
      <c r="U439" s="180"/>
      <c r="V439" s="177"/>
      <c r="W439" s="177"/>
      <c r="X439" s="67"/>
    </row>
    <row r="440" spans="1:24" ht="12.75" x14ac:dyDescent="0.2">
      <c r="A440" s="34"/>
      <c r="B440" s="173"/>
      <c r="C440" s="173"/>
      <c r="D440" s="174"/>
      <c r="E440" s="173"/>
      <c r="F440" s="173"/>
      <c r="G440" s="176"/>
      <c r="H440" s="174"/>
      <c r="J440" s="174"/>
      <c r="K440" s="173"/>
      <c r="L440" s="173"/>
      <c r="M440" s="174"/>
      <c r="N440" s="177"/>
      <c r="O440" s="176"/>
      <c r="P440" s="177"/>
      <c r="Q440" s="178"/>
      <c r="R440" s="179"/>
      <c r="S440" s="177"/>
      <c r="T440" s="180"/>
      <c r="U440" s="180"/>
      <c r="V440" s="177"/>
      <c r="W440" s="177"/>
      <c r="X440" s="67"/>
    </row>
    <row r="441" spans="1:24" ht="12.75" x14ac:dyDescent="0.2">
      <c r="A441" s="34"/>
      <c r="B441" s="173"/>
      <c r="C441" s="173"/>
      <c r="D441" s="174"/>
      <c r="E441" s="173"/>
      <c r="F441" s="173"/>
      <c r="G441" s="176"/>
      <c r="H441" s="174"/>
      <c r="J441" s="174"/>
      <c r="K441" s="173"/>
      <c r="L441" s="173"/>
      <c r="M441" s="174"/>
      <c r="N441" s="177"/>
      <c r="O441" s="176"/>
      <c r="P441" s="177"/>
      <c r="Q441" s="178"/>
      <c r="R441" s="179"/>
      <c r="S441" s="177"/>
      <c r="T441" s="180"/>
      <c r="U441" s="180"/>
      <c r="V441" s="177"/>
      <c r="W441" s="177"/>
      <c r="X441" s="67"/>
    </row>
    <row r="442" spans="1:24" ht="12.75" x14ac:dyDescent="0.2">
      <c r="A442" s="34"/>
      <c r="B442" s="173"/>
      <c r="C442" s="173"/>
      <c r="D442" s="174"/>
      <c r="E442" s="173"/>
      <c r="F442" s="173"/>
      <c r="G442" s="176"/>
      <c r="H442" s="174"/>
      <c r="J442" s="174"/>
      <c r="K442" s="173"/>
      <c r="L442" s="173"/>
      <c r="M442" s="174"/>
      <c r="N442" s="177"/>
      <c r="O442" s="176"/>
      <c r="P442" s="177"/>
      <c r="Q442" s="178"/>
      <c r="R442" s="179"/>
      <c r="S442" s="177"/>
      <c r="T442" s="180"/>
      <c r="U442" s="180"/>
      <c r="V442" s="177"/>
      <c r="W442" s="177"/>
      <c r="X442" s="67"/>
    </row>
    <row r="443" spans="1:24" ht="12.75" x14ac:dyDescent="0.2">
      <c r="A443" s="34"/>
      <c r="B443" s="173"/>
      <c r="C443" s="173"/>
      <c r="D443" s="174"/>
      <c r="E443" s="173"/>
      <c r="F443" s="173"/>
      <c r="G443" s="176"/>
      <c r="H443" s="174"/>
      <c r="J443" s="174"/>
      <c r="K443" s="173"/>
      <c r="L443" s="173"/>
      <c r="M443" s="174"/>
      <c r="N443" s="177"/>
      <c r="O443" s="176"/>
      <c r="P443" s="177"/>
      <c r="Q443" s="178"/>
      <c r="R443" s="179"/>
      <c r="S443" s="177"/>
      <c r="T443" s="180"/>
      <c r="U443" s="180"/>
      <c r="V443" s="177"/>
      <c r="W443" s="177"/>
      <c r="X443" s="67"/>
    </row>
    <row r="444" spans="1:24" ht="12.75" x14ac:dyDescent="0.2">
      <c r="A444" s="34"/>
      <c r="B444" s="173"/>
      <c r="C444" s="173"/>
      <c r="D444" s="174"/>
      <c r="E444" s="173"/>
      <c r="F444" s="173"/>
      <c r="G444" s="176"/>
      <c r="H444" s="174"/>
      <c r="J444" s="174"/>
      <c r="K444" s="173"/>
      <c r="L444" s="173"/>
      <c r="M444" s="174"/>
      <c r="N444" s="177"/>
      <c r="O444" s="176"/>
      <c r="P444" s="177"/>
      <c r="Q444" s="178"/>
      <c r="R444" s="179"/>
      <c r="S444" s="177"/>
      <c r="T444" s="180"/>
      <c r="U444" s="180"/>
      <c r="V444" s="177"/>
      <c r="W444" s="177"/>
      <c r="X444" s="67"/>
    </row>
    <row r="445" spans="1:24" ht="12.75" x14ac:dyDescent="0.2">
      <c r="A445" s="34"/>
      <c r="B445" s="173"/>
      <c r="C445" s="173"/>
      <c r="D445" s="174"/>
      <c r="E445" s="173"/>
      <c r="F445" s="173"/>
      <c r="G445" s="176"/>
      <c r="H445" s="174"/>
      <c r="J445" s="174"/>
      <c r="K445" s="173"/>
      <c r="L445" s="173"/>
      <c r="M445" s="174"/>
      <c r="N445" s="177"/>
      <c r="O445" s="176"/>
      <c r="P445" s="177"/>
      <c r="Q445" s="178"/>
      <c r="R445" s="179"/>
      <c r="S445" s="177"/>
      <c r="T445" s="180"/>
      <c r="U445" s="180"/>
      <c r="V445" s="177"/>
      <c r="W445" s="177"/>
      <c r="X445" s="67"/>
    </row>
    <row r="446" spans="1:24" ht="12.75" x14ac:dyDescent="0.2">
      <c r="A446" s="34"/>
      <c r="B446" s="173"/>
      <c r="C446" s="173"/>
      <c r="D446" s="174"/>
      <c r="E446" s="173"/>
      <c r="F446" s="173"/>
      <c r="G446" s="176"/>
      <c r="H446" s="174"/>
      <c r="J446" s="174"/>
      <c r="K446" s="173"/>
      <c r="L446" s="173"/>
      <c r="M446" s="174"/>
      <c r="N446" s="177"/>
      <c r="O446" s="176"/>
      <c r="P446" s="177"/>
      <c r="Q446" s="178"/>
      <c r="R446" s="179"/>
      <c r="S446" s="177"/>
      <c r="T446" s="180"/>
      <c r="U446" s="180"/>
      <c r="V446" s="177"/>
      <c r="W446" s="177"/>
      <c r="X446" s="67"/>
    </row>
    <row r="447" spans="1:24" ht="12.75" x14ac:dyDescent="0.2">
      <c r="A447" s="34"/>
      <c r="B447" s="173"/>
      <c r="C447" s="173"/>
      <c r="D447" s="174"/>
      <c r="E447" s="173"/>
      <c r="F447" s="173"/>
      <c r="G447" s="176"/>
      <c r="H447" s="174"/>
      <c r="J447" s="174"/>
      <c r="K447" s="173"/>
      <c r="L447" s="173"/>
      <c r="M447" s="174"/>
      <c r="N447" s="177"/>
      <c r="O447" s="176"/>
      <c r="P447" s="177"/>
      <c r="Q447" s="178"/>
      <c r="R447" s="179"/>
      <c r="S447" s="177"/>
      <c r="T447" s="180"/>
      <c r="U447" s="180"/>
      <c r="V447" s="177"/>
      <c r="W447" s="177"/>
      <c r="X447" s="67"/>
    </row>
    <row r="448" spans="1:24" ht="12.75" x14ac:dyDescent="0.2">
      <c r="A448" s="34"/>
      <c r="B448" s="173"/>
      <c r="C448" s="173"/>
      <c r="D448" s="174"/>
      <c r="E448" s="173"/>
      <c r="F448" s="173"/>
      <c r="G448" s="176"/>
      <c r="H448" s="174"/>
      <c r="J448" s="174"/>
      <c r="K448" s="173"/>
      <c r="L448" s="173"/>
      <c r="M448" s="174"/>
      <c r="N448" s="177"/>
      <c r="O448" s="176"/>
      <c r="P448" s="177"/>
      <c r="Q448" s="178"/>
      <c r="R448" s="179"/>
      <c r="S448" s="177"/>
      <c r="T448" s="180"/>
      <c r="U448" s="180"/>
      <c r="V448" s="177"/>
      <c r="W448" s="177"/>
      <c r="X448" s="67"/>
    </row>
    <row r="449" spans="1:24" ht="12.75" x14ac:dyDescent="0.2">
      <c r="A449" s="34"/>
      <c r="B449" s="173"/>
      <c r="C449" s="173"/>
      <c r="D449" s="174"/>
      <c r="E449" s="173"/>
      <c r="F449" s="173"/>
      <c r="G449" s="176"/>
      <c r="H449" s="174"/>
      <c r="J449" s="174"/>
      <c r="K449" s="173"/>
      <c r="L449" s="173"/>
      <c r="M449" s="174"/>
      <c r="N449" s="177"/>
      <c r="O449" s="176"/>
      <c r="P449" s="177"/>
      <c r="Q449" s="178"/>
      <c r="R449" s="179"/>
      <c r="S449" s="177"/>
      <c r="T449" s="180"/>
      <c r="U449" s="180"/>
      <c r="V449" s="177"/>
      <c r="W449" s="177"/>
      <c r="X449" s="67"/>
    </row>
    <row r="450" spans="1:24" ht="12.75" x14ac:dyDescent="0.2">
      <c r="A450" s="34"/>
      <c r="B450" s="173"/>
      <c r="C450" s="173"/>
      <c r="D450" s="174"/>
      <c r="E450" s="173"/>
      <c r="F450" s="173"/>
      <c r="G450" s="176"/>
      <c r="H450" s="174"/>
      <c r="J450" s="174"/>
      <c r="K450" s="173"/>
      <c r="L450" s="173"/>
      <c r="M450" s="174"/>
      <c r="N450" s="177"/>
      <c r="O450" s="176"/>
      <c r="P450" s="177"/>
      <c r="Q450" s="178"/>
      <c r="R450" s="179"/>
      <c r="S450" s="177"/>
      <c r="T450" s="180"/>
      <c r="U450" s="180"/>
      <c r="V450" s="177"/>
      <c r="W450" s="177"/>
      <c r="X450" s="67"/>
    </row>
    <row r="451" spans="1:24" ht="12.75" x14ac:dyDescent="0.2">
      <c r="A451" s="34"/>
      <c r="B451" s="173"/>
      <c r="C451" s="173"/>
      <c r="D451" s="174"/>
      <c r="E451" s="173"/>
      <c r="F451" s="173"/>
      <c r="G451" s="176"/>
      <c r="H451" s="174"/>
      <c r="J451" s="174"/>
      <c r="K451" s="173"/>
      <c r="L451" s="173"/>
      <c r="M451" s="174"/>
      <c r="N451" s="177"/>
      <c r="O451" s="176"/>
      <c r="P451" s="177"/>
      <c r="Q451" s="178"/>
      <c r="R451" s="179"/>
      <c r="S451" s="177"/>
      <c r="T451" s="180"/>
      <c r="U451" s="180"/>
      <c r="V451" s="177"/>
      <c r="W451" s="177"/>
      <c r="X451" s="67"/>
    </row>
    <row r="452" spans="1:24" ht="12.75" x14ac:dyDescent="0.2">
      <c r="A452" s="34"/>
      <c r="B452" s="173"/>
      <c r="C452" s="173"/>
      <c r="D452" s="174"/>
      <c r="E452" s="173"/>
      <c r="F452" s="173"/>
      <c r="G452" s="176"/>
      <c r="H452" s="174"/>
      <c r="J452" s="174"/>
      <c r="K452" s="173"/>
      <c r="L452" s="173"/>
      <c r="M452" s="174"/>
      <c r="N452" s="177"/>
      <c r="O452" s="176"/>
      <c r="P452" s="177"/>
      <c r="Q452" s="178"/>
      <c r="R452" s="179"/>
      <c r="S452" s="177"/>
      <c r="T452" s="180"/>
      <c r="U452" s="180"/>
      <c r="V452" s="177"/>
      <c r="W452" s="177"/>
      <c r="X452" s="67"/>
    </row>
    <row r="453" spans="1:24" ht="12.75" x14ac:dyDescent="0.2">
      <c r="A453" s="34"/>
      <c r="B453" s="173"/>
      <c r="C453" s="173"/>
      <c r="D453" s="174"/>
      <c r="E453" s="173"/>
      <c r="F453" s="173"/>
      <c r="G453" s="176"/>
      <c r="H453" s="174"/>
      <c r="J453" s="174"/>
      <c r="K453" s="173"/>
      <c r="L453" s="173"/>
      <c r="M453" s="174"/>
      <c r="N453" s="177"/>
      <c r="O453" s="176"/>
      <c r="P453" s="177"/>
      <c r="Q453" s="178"/>
      <c r="R453" s="179"/>
      <c r="S453" s="177"/>
      <c r="T453" s="180"/>
      <c r="U453" s="180"/>
      <c r="V453" s="177"/>
      <c r="W453" s="177"/>
      <c r="X453" s="67"/>
    </row>
    <row r="454" spans="1:24" ht="12.75" x14ac:dyDescent="0.2">
      <c r="A454" s="34"/>
      <c r="B454" s="173"/>
      <c r="C454" s="173"/>
      <c r="D454" s="174"/>
      <c r="E454" s="173"/>
      <c r="F454" s="173"/>
      <c r="G454" s="176"/>
      <c r="H454" s="174"/>
      <c r="J454" s="174"/>
      <c r="K454" s="173"/>
      <c r="L454" s="173"/>
      <c r="M454" s="174"/>
      <c r="N454" s="177"/>
      <c r="O454" s="176"/>
      <c r="P454" s="177"/>
      <c r="Q454" s="178"/>
      <c r="R454" s="179"/>
      <c r="S454" s="177"/>
      <c r="T454" s="180"/>
      <c r="U454" s="180"/>
      <c r="V454" s="177"/>
      <c r="W454" s="177"/>
      <c r="X454" s="67"/>
    </row>
    <row r="455" spans="1:24" ht="12.75" x14ac:dyDescent="0.2">
      <c r="A455" s="34"/>
      <c r="B455" s="173"/>
      <c r="C455" s="173"/>
      <c r="D455" s="174"/>
      <c r="E455" s="173"/>
      <c r="F455" s="173"/>
      <c r="G455" s="176"/>
      <c r="H455" s="174"/>
      <c r="J455" s="174"/>
      <c r="K455" s="173"/>
      <c r="L455" s="173"/>
      <c r="M455" s="174"/>
      <c r="N455" s="177"/>
      <c r="O455" s="176"/>
      <c r="P455" s="177"/>
      <c r="Q455" s="178"/>
      <c r="R455" s="179"/>
      <c r="S455" s="177"/>
      <c r="T455" s="180"/>
      <c r="U455" s="180"/>
      <c r="V455" s="177"/>
      <c r="W455" s="177"/>
      <c r="X455" s="67"/>
    </row>
    <row r="456" spans="1:24" ht="12.75" x14ac:dyDescent="0.2">
      <c r="A456" s="34"/>
      <c r="B456" s="173"/>
      <c r="C456" s="173"/>
      <c r="D456" s="174"/>
      <c r="E456" s="173"/>
      <c r="F456" s="173"/>
      <c r="G456" s="176"/>
      <c r="H456" s="174"/>
      <c r="J456" s="174"/>
      <c r="K456" s="173"/>
      <c r="L456" s="173"/>
      <c r="M456" s="174"/>
      <c r="N456" s="177"/>
      <c r="O456" s="176"/>
      <c r="P456" s="177"/>
      <c r="Q456" s="178"/>
      <c r="R456" s="179"/>
      <c r="S456" s="177"/>
      <c r="T456" s="180"/>
      <c r="U456" s="180"/>
      <c r="V456" s="177"/>
      <c r="W456" s="177"/>
      <c r="X456" s="67"/>
    </row>
    <row r="457" spans="1:24" ht="12.75" x14ac:dyDescent="0.2">
      <c r="A457" s="34"/>
      <c r="B457" s="173"/>
      <c r="C457" s="173"/>
      <c r="D457" s="174"/>
      <c r="E457" s="173"/>
      <c r="F457" s="173"/>
      <c r="G457" s="176"/>
      <c r="H457" s="174"/>
      <c r="J457" s="174"/>
      <c r="K457" s="173"/>
      <c r="L457" s="173"/>
      <c r="M457" s="174"/>
      <c r="N457" s="177"/>
      <c r="O457" s="176"/>
      <c r="P457" s="177"/>
      <c r="Q457" s="178"/>
      <c r="R457" s="179"/>
      <c r="S457" s="177"/>
      <c r="T457" s="180"/>
      <c r="U457" s="180"/>
      <c r="V457" s="177"/>
      <c r="W457" s="177"/>
      <c r="X457" s="67"/>
    </row>
    <row r="458" spans="1:24" ht="12.75" x14ac:dyDescent="0.2">
      <c r="A458" s="34"/>
      <c r="B458" s="173"/>
      <c r="C458" s="173"/>
      <c r="D458" s="174"/>
      <c r="E458" s="173"/>
      <c r="F458" s="173"/>
      <c r="G458" s="176"/>
      <c r="H458" s="174"/>
      <c r="J458" s="174"/>
      <c r="K458" s="173"/>
      <c r="L458" s="173"/>
      <c r="M458" s="174"/>
      <c r="N458" s="177"/>
      <c r="O458" s="176"/>
      <c r="P458" s="177"/>
      <c r="Q458" s="178"/>
      <c r="R458" s="179"/>
      <c r="S458" s="177"/>
      <c r="T458" s="180"/>
      <c r="U458" s="180"/>
      <c r="V458" s="177"/>
      <c r="W458" s="177"/>
      <c r="X458" s="67"/>
    </row>
    <row r="459" spans="1:24" ht="12.75" x14ac:dyDescent="0.2">
      <c r="A459" s="34"/>
      <c r="B459" s="173"/>
      <c r="C459" s="173"/>
      <c r="D459" s="174"/>
      <c r="E459" s="173"/>
      <c r="F459" s="173"/>
      <c r="G459" s="176"/>
      <c r="H459" s="174"/>
      <c r="J459" s="174"/>
      <c r="K459" s="173"/>
      <c r="L459" s="173"/>
      <c r="M459" s="174"/>
      <c r="N459" s="177"/>
      <c r="O459" s="176"/>
      <c r="P459" s="177"/>
      <c r="Q459" s="178"/>
      <c r="R459" s="179"/>
      <c r="S459" s="177"/>
      <c r="T459" s="180"/>
      <c r="U459" s="180"/>
      <c r="V459" s="177"/>
      <c r="W459" s="177"/>
      <c r="X459" s="67"/>
    </row>
    <row r="460" spans="1:24" ht="12.75" x14ac:dyDescent="0.2">
      <c r="A460" s="34"/>
      <c r="B460" s="173"/>
      <c r="C460" s="173"/>
      <c r="D460" s="174"/>
      <c r="E460" s="173"/>
      <c r="F460" s="173"/>
      <c r="G460" s="176"/>
      <c r="H460" s="174"/>
      <c r="J460" s="174"/>
      <c r="K460" s="173"/>
      <c r="L460" s="173"/>
      <c r="M460" s="174"/>
      <c r="N460" s="177"/>
      <c r="O460" s="176"/>
      <c r="P460" s="177"/>
      <c r="Q460" s="178"/>
      <c r="R460" s="179"/>
      <c r="S460" s="177"/>
      <c r="T460" s="180"/>
      <c r="U460" s="180"/>
      <c r="V460" s="177"/>
      <c r="W460" s="177"/>
      <c r="X460" s="67"/>
    </row>
    <row r="461" spans="1:24" ht="12.75" x14ac:dyDescent="0.2">
      <c r="A461" s="34"/>
      <c r="B461" s="173"/>
      <c r="C461" s="173"/>
      <c r="D461" s="174"/>
      <c r="E461" s="173"/>
      <c r="F461" s="173"/>
      <c r="G461" s="176"/>
      <c r="H461" s="174"/>
      <c r="J461" s="174"/>
      <c r="K461" s="173"/>
      <c r="L461" s="173"/>
      <c r="M461" s="174"/>
      <c r="N461" s="177"/>
      <c r="O461" s="176"/>
      <c r="P461" s="177"/>
      <c r="Q461" s="178"/>
      <c r="R461" s="179"/>
      <c r="S461" s="177"/>
      <c r="T461" s="180"/>
      <c r="U461" s="180"/>
      <c r="V461" s="177"/>
      <c r="W461" s="177"/>
      <c r="X461" s="67"/>
    </row>
    <row r="462" spans="1:24" ht="12.75" x14ac:dyDescent="0.2">
      <c r="A462" s="34"/>
      <c r="B462" s="173"/>
      <c r="C462" s="173"/>
      <c r="D462" s="174"/>
      <c r="E462" s="173"/>
      <c r="F462" s="173"/>
      <c r="G462" s="176"/>
      <c r="H462" s="174"/>
      <c r="J462" s="174"/>
      <c r="K462" s="173"/>
      <c r="L462" s="173"/>
      <c r="M462" s="174"/>
      <c r="N462" s="177"/>
      <c r="O462" s="176"/>
      <c r="P462" s="177"/>
      <c r="Q462" s="178"/>
      <c r="R462" s="179"/>
      <c r="S462" s="177"/>
      <c r="T462" s="180"/>
      <c r="U462" s="180"/>
      <c r="V462" s="177"/>
      <c r="W462" s="177"/>
      <c r="X462" s="67"/>
    </row>
    <row r="463" spans="1:24" ht="12.75" x14ac:dyDescent="0.2">
      <c r="A463" s="34"/>
      <c r="B463" s="173"/>
      <c r="C463" s="173"/>
      <c r="D463" s="174"/>
      <c r="E463" s="173"/>
      <c r="F463" s="173"/>
      <c r="G463" s="176"/>
      <c r="H463" s="174"/>
      <c r="J463" s="174"/>
      <c r="K463" s="173"/>
      <c r="L463" s="173"/>
      <c r="M463" s="174"/>
      <c r="N463" s="177"/>
      <c r="O463" s="176"/>
      <c r="P463" s="177"/>
      <c r="Q463" s="178"/>
      <c r="R463" s="179"/>
      <c r="S463" s="177"/>
      <c r="T463" s="180"/>
      <c r="U463" s="180"/>
      <c r="V463" s="177"/>
      <c r="W463" s="177"/>
      <c r="X463" s="67"/>
    </row>
    <row r="464" spans="1:24" ht="12.75" x14ac:dyDescent="0.2">
      <c r="A464" s="34"/>
      <c r="B464" s="173"/>
      <c r="C464" s="173"/>
      <c r="D464" s="174"/>
      <c r="E464" s="173"/>
      <c r="F464" s="173"/>
      <c r="G464" s="176"/>
      <c r="H464" s="174"/>
      <c r="J464" s="174"/>
      <c r="K464" s="173"/>
      <c r="L464" s="173"/>
      <c r="M464" s="174"/>
      <c r="N464" s="177"/>
      <c r="O464" s="176"/>
      <c r="P464" s="177"/>
      <c r="Q464" s="178"/>
      <c r="R464" s="179"/>
      <c r="S464" s="177"/>
      <c r="T464" s="180"/>
      <c r="U464" s="180"/>
      <c r="V464" s="177"/>
      <c r="W464" s="177"/>
      <c r="X464" s="67"/>
    </row>
    <row r="465" spans="1:24" ht="12.75" x14ac:dyDescent="0.2">
      <c r="A465" s="34"/>
      <c r="B465" s="173"/>
      <c r="C465" s="173"/>
      <c r="D465" s="174"/>
      <c r="E465" s="173"/>
      <c r="F465" s="173"/>
      <c r="G465" s="176"/>
      <c r="H465" s="174"/>
      <c r="J465" s="174"/>
      <c r="K465" s="173"/>
      <c r="L465" s="173"/>
      <c r="M465" s="174"/>
      <c r="N465" s="177"/>
      <c r="O465" s="176"/>
      <c r="P465" s="177"/>
      <c r="Q465" s="178"/>
      <c r="R465" s="179"/>
      <c r="S465" s="177"/>
      <c r="T465" s="180"/>
      <c r="U465" s="180"/>
      <c r="V465" s="177"/>
      <c r="W465" s="177"/>
      <c r="X465" s="67"/>
    </row>
    <row r="466" spans="1:24" ht="12.75" x14ac:dyDescent="0.2">
      <c r="A466" s="34"/>
      <c r="B466" s="173"/>
      <c r="C466" s="173"/>
      <c r="D466" s="174"/>
      <c r="E466" s="173"/>
      <c r="F466" s="173"/>
      <c r="G466" s="176"/>
      <c r="H466" s="174"/>
      <c r="J466" s="174"/>
      <c r="K466" s="173"/>
      <c r="L466" s="173"/>
      <c r="M466" s="174"/>
      <c r="N466" s="177"/>
      <c r="O466" s="176"/>
      <c r="P466" s="177"/>
      <c r="Q466" s="178"/>
      <c r="R466" s="179"/>
      <c r="S466" s="177"/>
      <c r="T466" s="180"/>
      <c r="U466" s="180"/>
      <c r="V466" s="177"/>
      <c r="W466" s="177"/>
      <c r="X466" s="67"/>
    </row>
    <row r="467" spans="1:24" ht="12.75" x14ac:dyDescent="0.2">
      <c r="A467" s="34"/>
      <c r="B467" s="173"/>
      <c r="C467" s="173"/>
      <c r="D467" s="174"/>
      <c r="E467" s="173"/>
      <c r="F467" s="173"/>
      <c r="G467" s="176"/>
      <c r="H467" s="174"/>
      <c r="J467" s="174"/>
      <c r="K467" s="173"/>
      <c r="L467" s="173"/>
      <c r="M467" s="174"/>
      <c r="N467" s="177"/>
      <c r="O467" s="176"/>
      <c r="P467" s="177"/>
      <c r="Q467" s="178"/>
      <c r="R467" s="179"/>
      <c r="S467" s="177"/>
      <c r="T467" s="180"/>
      <c r="U467" s="180"/>
      <c r="V467" s="177"/>
      <c r="W467" s="177"/>
      <c r="X467" s="67"/>
    </row>
    <row r="468" spans="1:24" ht="12.75" x14ac:dyDescent="0.2">
      <c r="A468" s="34"/>
      <c r="B468" s="173"/>
      <c r="C468" s="173"/>
      <c r="D468" s="174"/>
      <c r="E468" s="173"/>
      <c r="F468" s="173"/>
      <c r="G468" s="176"/>
      <c r="H468" s="174"/>
      <c r="J468" s="174"/>
      <c r="K468" s="173"/>
      <c r="L468" s="173"/>
      <c r="M468" s="174"/>
      <c r="N468" s="177"/>
      <c r="O468" s="176"/>
      <c r="P468" s="177"/>
      <c r="Q468" s="178"/>
      <c r="R468" s="179"/>
      <c r="S468" s="177"/>
      <c r="T468" s="180"/>
      <c r="U468" s="180"/>
      <c r="V468" s="177"/>
      <c r="W468" s="177"/>
      <c r="X468" s="67"/>
    </row>
    <row r="469" spans="1:24" ht="12.75" x14ac:dyDescent="0.2">
      <c r="A469" s="34"/>
      <c r="B469" s="173"/>
      <c r="C469" s="173"/>
      <c r="D469" s="174"/>
      <c r="E469" s="173"/>
      <c r="F469" s="173"/>
      <c r="G469" s="176"/>
      <c r="H469" s="174"/>
      <c r="J469" s="174"/>
      <c r="K469" s="173"/>
      <c r="L469" s="173"/>
      <c r="M469" s="174"/>
      <c r="N469" s="177"/>
      <c r="O469" s="176"/>
      <c r="P469" s="177"/>
      <c r="Q469" s="178"/>
      <c r="R469" s="179"/>
      <c r="S469" s="177"/>
      <c r="T469" s="180"/>
      <c r="U469" s="180"/>
      <c r="V469" s="177"/>
      <c r="W469" s="177"/>
      <c r="X469" s="67"/>
    </row>
    <row r="470" spans="1:24" ht="12.75" x14ac:dyDescent="0.2">
      <c r="A470" s="34"/>
      <c r="B470" s="173"/>
      <c r="C470" s="173"/>
      <c r="D470" s="174"/>
      <c r="E470" s="173"/>
      <c r="F470" s="173"/>
      <c r="G470" s="176"/>
      <c r="H470" s="174"/>
      <c r="J470" s="174"/>
      <c r="K470" s="173"/>
      <c r="L470" s="173"/>
      <c r="M470" s="174"/>
      <c r="N470" s="177"/>
      <c r="O470" s="176"/>
      <c r="P470" s="177"/>
      <c r="Q470" s="178"/>
      <c r="R470" s="179"/>
      <c r="S470" s="177"/>
      <c r="T470" s="180"/>
      <c r="U470" s="180"/>
      <c r="V470" s="177"/>
      <c r="W470" s="177"/>
      <c r="X470" s="67"/>
    </row>
    <row r="471" spans="1:24" ht="12.75" x14ac:dyDescent="0.2">
      <c r="A471" s="34"/>
      <c r="B471" s="173"/>
      <c r="C471" s="173"/>
      <c r="D471" s="174"/>
      <c r="E471" s="173"/>
      <c r="F471" s="173"/>
      <c r="G471" s="176"/>
      <c r="H471" s="174"/>
      <c r="J471" s="174"/>
      <c r="K471" s="173"/>
      <c r="L471" s="173"/>
      <c r="M471" s="174"/>
      <c r="N471" s="177"/>
      <c r="O471" s="176"/>
      <c r="P471" s="177"/>
      <c r="Q471" s="178"/>
      <c r="R471" s="179"/>
      <c r="S471" s="177"/>
      <c r="T471" s="180"/>
      <c r="U471" s="180"/>
      <c r="V471" s="177"/>
      <c r="W471" s="177"/>
      <c r="X471" s="67"/>
    </row>
    <row r="472" spans="1:24" ht="12.75" x14ac:dyDescent="0.2">
      <c r="A472" s="34"/>
      <c r="B472" s="173"/>
      <c r="C472" s="173"/>
      <c r="D472" s="174"/>
      <c r="E472" s="173"/>
      <c r="F472" s="173"/>
      <c r="G472" s="176"/>
      <c r="H472" s="174"/>
      <c r="J472" s="174"/>
      <c r="K472" s="173"/>
      <c r="L472" s="173"/>
      <c r="M472" s="174"/>
      <c r="N472" s="177"/>
      <c r="O472" s="176"/>
      <c r="P472" s="177"/>
      <c r="Q472" s="178"/>
      <c r="R472" s="179"/>
      <c r="S472" s="177"/>
      <c r="T472" s="180"/>
      <c r="U472" s="180"/>
      <c r="V472" s="177"/>
      <c r="W472" s="177"/>
      <c r="X472" s="67"/>
    </row>
    <row r="473" spans="1:24" ht="12.75" x14ac:dyDescent="0.2">
      <c r="A473" s="34"/>
      <c r="B473" s="173"/>
      <c r="C473" s="173"/>
      <c r="D473" s="174"/>
      <c r="E473" s="173"/>
      <c r="F473" s="173"/>
      <c r="G473" s="176"/>
      <c r="H473" s="174"/>
      <c r="J473" s="174"/>
      <c r="K473" s="173"/>
      <c r="L473" s="173"/>
      <c r="M473" s="174"/>
      <c r="N473" s="177"/>
      <c r="O473" s="176"/>
      <c r="P473" s="177"/>
      <c r="Q473" s="178"/>
      <c r="R473" s="179"/>
      <c r="S473" s="177"/>
      <c r="T473" s="180"/>
      <c r="U473" s="180"/>
      <c r="V473" s="177"/>
      <c r="W473" s="177"/>
      <c r="X473" s="67"/>
    </row>
    <row r="474" spans="1:24" ht="12.75" x14ac:dyDescent="0.2">
      <c r="A474" s="34"/>
      <c r="B474" s="173"/>
      <c r="C474" s="173"/>
      <c r="D474" s="174"/>
      <c r="E474" s="173"/>
      <c r="F474" s="173"/>
      <c r="G474" s="176"/>
      <c r="H474" s="174"/>
      <c r="J474" s="174"/>
      <c r="K474" s="173"/>
      <c r="L474" s="173"/>
      <c r="M474" s="174"/>
      <c r="N474" s="177"/>
      <c r="O474" s="176"/>
      <c r="P474" s="177"/>
      <c r="Q474" s="178"/>
      <c r="R474" s="179"/>
      <c r="S474" s="177"/>
      <c r="T474" s="180"/>
      <c r="U474" s="180"/>
      <c r="V474" s="177"/>
      <c r="W474" s="177"/>
      <c r="X474" s="67"/>
    </row>
    <row r="475" spans="1:24" ht="12.75" x14ac:dyDescent="0.2">
      <c r="A475" s="34"/>
      <c r="B475" s="173"/>
      <c r="C475" s="173"/>
      <c r="D475" s="174"/>
      <c r="E475" s="173"/>
      <c r="F475" s="173"/>
      <c r="G475" s="176"/>
      <c r="H475" s="174"/>
      <c r="J475" s="174"/>
      <c r="K475" s="173"/>
      <c r="L475" s="173"/>
      <c r="M475" s="174"/>
      <c r="N475" s="177"/>
      <c r="O475" s="176"/>
      <c r="P475" s="177"/>
      <c r="Q475" s="178"/>
      <c r="R475" s="179"/>
      <c r="S475" s="177"/>
      <c r="T475" s="180"/>
      <c r="U475" s="180"/>
      <c r="V475" s="177"/>
      <c r="W475" s="177"/>
      <c r="X475" s="67"/>
    </row>
    <row r="476" spans="1:24" ht="12.75" x14ac:dyDescent="0.2">
      <c r="A476" s="34"/>
      <c r="B476" s="173"/>
      <c r="C476" s="173"/>
      <c r="D476" s="174"/>
      <c r="E476" s="173"/>
      <c r="F476" s="173"/>
      <c r="G476" s="176"/>
      <c r="H476" s="174"/>
      <c r="J476" s="174"/>
      <c r="K476" s="173"/>
      <c r="L476" s="173"/>
      <c r="M476" s="174"/>
      <c r="N476" s="177"/>
      <c r="O476" s="176"/>
      <c r="P476" s="177"/>
      <c r="Q476" s="178"/>
      <c r="R476" s="179"/>
      <c r="S476" s="177"/>
      <c r="T476" s="180"/>
      <c r="U476" s="180"/>
      <c r="V476" s="177"/>
      <c r="W476" s="177"/>
      <c r="X476" s="67"/>
    </row>
    <row r="477" spans="1:24" ht="12.75" x14ac:dyDescent="0.2">
      <c r="A477" s="34"/>
      <c r="B477" s="173"/>
      <c r="C477" s="173"/>
      <c r="D477" s="174"/>
      <c r="E477" s="173"/>
      <c r="F477" s="173"/>
      <c r="G477" s="176"/>
      <c r="H477" s="174"/>
      <c r="J477" s="174"/>
      <c r="K477" s="173"/>
      <c r="L477" s="173"/>
      <c r="M477" s="174"/>
      <c r="N477" s="177"/>
      <c r="O477" s="176"/>
      <c r="P477" s="177"/>
      <c r="Q477" s="178"/>
      <c r="R477" s="179"/>
      <c r="S477" s="177"/>
      <c r="T477" s="180"/>
      <c r="U477" s="180"/>
      <c r="V477" s="177"/>
      <c r="W477" s="177"/>
      <c r="X477" s="67"/>
    </row>
    <row r="478" spans="1:24" ht="12.75" x14ac:dyDescent="0.2">
      <c r="A478" s="34"/>
      <c r="B478" s="173"/>
      <c r="C478" s="173"/>
      <c r="D478" s="174"/>
      <c r="E478" s="173"/>
      <c r="F478" s="173"/>
      <c r="G478" s="176"/>
      <c r="H478" s="174"/>
      <c r="J478" s="174"/>
      <c r="K478" s="173"/>
      <c r="L478" s="173"/>
      <c r="M478" s="174"/>
      <c r="N478" s="177"/>
      <c r="O478" s="176"/>
      <c r="P478" s="177"/>
      <c r="Q478" s="178"/>
      <c r="R478" s="179"/>
      <c r="S478" s="177"/>
      <c r="T478" s="180"/>
      <c r="U478" s="180"/>
      <c r="V478" s="177"/>
      <c r="W478" s="177"/>
      <c r="X478" s="67"/>
    </row>
    <row r="479" spans="1:24" ht="12.75" x14ac:dyDescent="0.2">
      <c r="A479" s="34"/>
      <c r="B479" s="173"/>
      <c r="C479" s="173"/>
      <c r="D479" s="174"/>
      <c r="E479" s="173"/>
      <c r="F479" s="173"/>
      <c r="G479" s="176"/>
      <c r="H479" s="174"/>
      <c r="J479" s="174"/>
      <c r="K479" s="173"/>
      <c r="L479" s="173"/>
      <c r="M479" s="174"/>
      <c r="N479" s="177"/>
      <c r="O479" s="176"/>
      <c r="P479" s="177"/>
      <c r="Q479" s="178"/>
      <c r="R479" s="179"/>
      <c r="S479" s="177"/>
      <c r="T479" s="180"/>
      <c r="U479" s="180"/>
      <c r="V479" s="177"/>
      <c r="W479" s="177"/>
      <c r="X479" s="67"/>
    </row>
    <row r="480" spans="1:24" ht="12.75" x14ac:dyDescent="0.2">
      <c r="A480" s="34"/>
      <c r="B480" s="173"/>
      <c r="C480" s="173"/>
      <c r="D480" s="174"/>
      <c r="E480" s="173"/>
      <c r="F480" s="173"/>
      <c r="G480" s="176"/>
      <c r="H480" s="174"/>
      <c r="J480" s="174"/>
      <c r="K480" s="173"/>
      <c r="L480" s="173"/>
      <c r="M480" s="174"/>
      <c r="N480" s="177"/>
      <c r="O480" s="176"/>
      <c r="P480" s="177"/>
      <c r="Q480" s="178"/>
      <c r="R480" s="179"/>
      <c r="S480" s="177"/>
      <c r="T480" s="180"/>
      <c r="U480" s="180"/>
      <c r="V480" s="177"/>
      <c r="W480" s="177"/>
      <c r="X480" s="67"/>
    </row>
    <row r="481" spans="1:24" ht="12.75" x14ac:dyDescent="0.2">
      <c r="A481" s="34"/>
      <c r="B481" s="173"/>
      <c r="C481" s="173"/>
      <c r="D481" s="174"/>
      <c r="E481" s="173"/>
      <c r="F481" s="173"/>
      <c r="G481" s="176"/>
      <c r="H481" s="174"/>
      <c r="J481" s="174"/>
      <c r="K481" s="173"/>
      <c r="L481" s="173"/>
      <c r="M481" s="174"/>
      <c r="N481" s="177"/>
      <c r="O481" s="176"/>
      <c r="P481" s="177"/>
      <c r="Q481" s="178"/>
      <c r="R481" s="179"/>
      <c r="S481" s="177"/>
      <c r="T481" s="180"/>
      <c r="U481" s="180"/>
      <c r="V481" s="177"/>
      <c r="W481" s="177"/>
      <c r="X481" s="67"/>
    </row>
    <row r="482" spans="1:24" ht="12.75" x14ac:dyDescent="0.2">
      <c r="A482" s="34"/>
      <c r="B482" s="173"/>
      <c r="C482" s="173"/>
      <c r="D482" s="174"/>
      <c r="E482" s="173"/>
      <c r="F482" s="173"/>
      <c r="G482" s="176"/>
      <c r="H482" s="174"/>
      <c r="J482" s="174"/>
      <c r="K482" s="173"/>
      <c r="L482" s="173"/>
      <c r="M482" s="174"/>
      <c r="N482" s="177"/>
      <c r="O482" s="176"/>
      <c r="P482" s="177"/>
      <c r="Q482" s="178"/>
      <c r="R482" s="179"/>
      <c r="S482" s="177"/>
      <c r="T482" s="180"/>
      <c r="U482" s="180"/>
      <c r="V482" s="177"/>
      <c r="W482" s="177"/>
      <c r="X482" s="67"/>
    </row>
    <row r="483" spans="1:24" ht="12.75" x14ac:dyDescent="0.2">
      <c r="A483" s="34"/>
      <c r="B483" s="173"/>
      <c r="C483" s="173"/>
      <c r="D483" s="174"/>
      <c r="E483" s="173"/>
      <c r="F483" s="173"/>
      <c r="G483" s="176"/>
      <c r="H483" s="174"/>
      <c r="J483" s="174"/>
      <c r="K483" s="173"/>
      <c r="L483" s="173"/>
      <c r="M483" s="174"/>
      <c r="N483" s="177"/>
      <c r="O483" s="176"/>
      <c r="P483" s="177"/>
      <c r="Q483" s="178"/>
      <c r="R483" s="179"/>
      <c r="S483" s="177"/>
      <c r="T483" s="180"/>
      <c r="U483" s="180"/>
      <c r="V483" s="177"/>
      <c r="W483" s="177"/>
      <c r="X483" s="67"/>
    </row>
    <row r="484" spans="1:24" ht="12.75" x14ac:dyDescent="0.2">
      <c r="A484" s="34"/>
      <c r="B484" s="173"/>
      <c r="C484" s="173"/>
      <c r="D484" s="174"/>
      <c r="E484" s="173"/>
      <c r="F484" s="173"/>
      <c r="G484" s="176"/>
      <c r="H484" s="174"/>
      <c r="J484" s="174"/>
      <c r="K484" s="173"/>
      <c r="L484" s="173"/>
      <c r="M484" s="174"/>
      <c r="N484" s="177"/>
      <c r="O484" s="176"/>
      <c r="P484" s="177"/>
      <c r="Q484" s="178"/>
      <c r="R484" s="179"/>
      <c r="S484" s="177"/>
      <c r="T484" s="180"/>
      <c r="U484" s="180"/>
      <c r="V484" s="177"/>
      <c r="W484" s="177"/>
      <c r="X484" s="67"/>
    </row>
    <row r="485" spans="1:24" ht="12.75" x14ac:dyDescent="0.2">
      <c r="A485" s="34"/>
      <c r="B485" s="173"/>
      <c r="C485" s="173"/>
      <c r="D485" s="174"/>
      <c r="E485" s="173"/>
      <c r="F485" s="173"/>
      <c r="G485" s="176"/>
      <c r="H485" s="174"/>
      <c r="J485" s="174"/>
      <c r="K485" s="173"/>
      <c r="L485" s="173"/>
      <c r="M485" s="174"/>
      <c r="N485" s="177"/>
      <c r="O485" s="176"/>
      <c r="P485" s="177"/>
      <c r="Q485" s="178"/>
      <c r="R485" s="179"/>
      <c r="S485" s="177"/>
      <c r="T485" s="180"/>
      <c r="U485" s="180"/>
      <c r="V485" s="177"/>
      <c r="W485" s="177"/>
      <c r="X485" s="67"/>
    </row>
    <row r="486" spans="1:24" ht="12.75" x14ac:dyDescent="0.2">
      <c r="A486" s="34"/>
      <c r="B486" s="173"/>
      <c r="C486" s="173"/>
      <c r="D486" s="174"/>
      <c r="E486" s="173"/>
      <c r="F486" s="173"/>
      <c r="G486" s="176"/>
      <c r="H486" s="174"/>
      <c r="J486" s="174"/>
      <c r="K486" s="173"/>
      <c r="L486" s="173"/>
      <c r="M486" s="174"/>
      <c r="N486" s="177"/>
      <c r="O486" s="176"/>
      <c r="P486" s="177"/>
      <c r="Q486" s="178"/>
      <c r="R486" s="179"/>
      <c r="S486" s="177"/>
      <c r="T486" s="180"/>
      <c r="U486" s="180"/>
      <c r="V486" s="177"/>
      <c r="W486" s="177"/>
      <c r="X486" s="67"/>
    </row>
    <row r="487" spans="1:24" ht="12.75" x14ac:dyDescent="0.2">
      <c r="A487" s="34"/>
      <c r="B487" s="173"/>
      <c r="C487" s="173"/>
      <c r="D487" s="174"/>
      <c r="E487" s="173"/>
      <c r="F487" s="173"/>
      <c r="G487" s="176"/>
      <c r="H487" s="174"/>
      <c r="J487" s="174"/>
      <c r="K487" s="173"/>
      <c r="L487" s="173"/>
      <c r="M487" s="174"/>
      <c r="N487" s="177"/>
      <c r="O487" s="176"/>
      <c r="P487" s="177"/>
      <c r="Q487" s="178"/>
      <c r="R487" s="179"/>
      <c r="S487" s="177"/>
      <c r="T487" s="180"/>
      <c r="U487" s="180"/>
      <c r="V487" s="177"/>
      <c r="W487" s="177"/>
      <c r="X487" s="67"/>
    </row>
    <row r="488" spans="1:24" ht="12.75" x14ac:dyDescent="0.2">
      <c r="A488" s="34"/>
      <c r="B488" s="173"/>
      <c r="C488" s="173"/>
      <c r="D488" s="174"/>
      <c r="E488" s="173"/>
      <c r="F488" s="173"/>
      <c r="G488" s="176"/>
      <c r="H488" s="174"/>
      <c r="J488" s="174"/>
      <c r="K488" s="173"/>
      <c r="L488" s="173"/>
      <c r="M488" s="174"/>
      <c r="N488" s="177"/>
      <c r="O488" s="176"/>
      <c r="P488" s="177"/>
      <c r="Q488" s="178"/>
      <c r="R488" s="179"/>
      <c r="S488" s="177"/>
      <c r="T488" s="180"/>
      <c r="U488" s="180"/>
      <c r="V488" s="177"/>
      <c r="W488" s="177"/>
      <c r="X488" s="67"/>
    </row>
    <row r="489" spans="1:24" ht="12.75" x14ac:dyDescent="0.2">
      <c r="A489" s="34"/>
      <c r="B489" s="173"/>
      <c r="C489" s="173"/>
      <c r="D489" s="174"/>
      <c r="E489" s="173"/>
      <c r="F489" s="173"/>
      <c r="G489" s="176"/>
      <c r="H489" s="174"/>
      <c r="J489" s="174"/>
      <c r="K489" s="173"/>
      <c r="L489" s="173"/>
      <c r="M489" s="174"/>
      <c r="N489" s="177"/>
      <c r="O489" s="176"/>
      <c r="P489" s="177"/>
      <c r="Q489" s="178"/>
      <c r="R489" s="179"/>
      <c r="S489" s="177"/>
      <c r="T489" s="180"/>
      <c r="U489" s="180"/>
      <c r="V489" s="177"/>
      <c r="W489" s="177"/>
      <c r="X489" s="67"/>
    </row>
    <row r="490" spans="1:24" ht="12.75" x14ac:dyDescent="0.2">
      <c r="A490" s="34"/>
      <c r="B490" s="173"/>
      <c r="C490" s="173"/>
      <c r="D490" s="174"/>
      <c r="E490" s="173"/>
      <c r="F490" s="173"/>
      <c r="G490" s="176"/>
      <c r="H490" s="174"/>
      <c r="J490" s="174"/>
      <c r="K490" s="173"/>
      <c r="L490" s="173"/>
      <c r="M490" s="174"/>
      <c r="N490" s="177"/>
      <c r="O490" s="176"/>
      <c r="P490" s="177"/>
      <c r="Q490" s="178"/>
      <c r="R490" s="179"/>
      <c r="S490" s="177"/>
      <c r="T490" s="180"/>
      <c r="U490" s="180"/>
      <c r="V490" s="177"/>
      <c r="W490" s="177"/>
      <c r="X490" s="67"/>
    </row>
    <row r="491" spans="1:24" ht="12.75" x14ac:dyDescent="0.2">
      <c r="A491" s="34"/>
      <c r="B491" s="173"/>
      <c r="C491" s="173"/>
      <c r="D491" s="174"/>
      <c r="E491" s="173"/>
      <c r="F491" s="173"/>
      <c r="G491" s="176"/>
      <c r="H491" s="174"/>
      <c r="J491" s="174"/>
      <c r="K491" s="173"/>
      <c r="L491" s="173"/>
      <c r="M491" s="174"/>
      <c r="N491" s="177"/>
      <c r="O491" s="176"/>
      <c r="P491" s="177"/>
      <c r="Q491" s="178"/>
      <c r="R491" s="179"/>
      <c r="S491" s="177"/>
      <c r="T491" s="180"/>
      <c r="U491" s="180"/>
      <c r="V491" s="177"/>
      <c r="W491" s="177"/>
      <c r="X491" s="67"/>
    </row>
    <row r="492" spans="1:24" ht="12.75" x14ac:dyDescent="0.2">
      <c r="A492" s="34"/>
      <c r="B492" s="173"/>
      <c r="C492" s="173"/>
      <c r="D492" s="174"/>
      <c r="E492" s="173"/>
      <c r="F492" s="173"/>
      <c r="G492" s="176"/>
      <c r="H492" s="174"/>
      <c r="J492" s="174"/>
      <c r="K492" s="173"/>
      <c r="L492" s="173"/>
      <c r="M492" s="174"/>
      <c r="N492" s="177"/>
      <c r="O492" s="176"/>
      <c r="P492" s="177"/>
      <c r="Q492" s="178"/>
      <c r="R492" s="179"/>
      <c r="S492" s="177"/>
      <c r="T492" s="180"/>
      <c r="U492" s="180"/>
      <c r="V492" s="177"/>
      <c r="W492" s="177"/>
      <c r="X492" s="67"/>
    </row>
    <row r="493" spans="1:24" ht="12.75" x14ac:dyDescent="0.2">
      <c r="A493" s="34"/>
      <c r="B493" s="173"/>
      <c r="C493" s="173"/>
      <c r="D493" s="174"/>
      <c r="E493" s="173"/>
      <c r="F493" s="173"/>
      <c r="G493" s="176"/>
      <c r="H493" s="174"/>
      <c r="J493" s="174"/>
      <c r="K493" s="173"/>
      <c r="L493" s="173"/>
      <c r="M493" s="174"/>
      <c r="N493" s="177"/>
      <c r="O493" s="176"/>
      <c r="P493" s="177"/>
      <c r="Q493" s="178"/>
      <c r="R493" s="179"/>
      <c r="S493" s="177"/>
      <c r="T493" s="180"/>
      <c r="U493" s="180"/>
      <c r="V493" s="177"/>
      <c r="W493" s="177"/>
      <c r="X493" s="67"/>
    </row>
    <row r="494" spans="1:24" ht="12.75" x14ac:dyDescent="0.2">
      <c r="A494" s="34"/>
      <c r="B494" s="173"/>
      <c r="C494" s="173"/>
      <c r="D494" s="174"/>
      <c r="E494" s="173"/>
      <c r="F494" s="173"/>
      <c r="G494" s="176"/>
      <c r="H494" s="174"/>
      <c r="J494" s="174"/>
      <c r="K494" s="173"/>
      <c r="L494" s="173"/>
      <c r="M494" s="174"/>
      <c r="N494" s="177"/>
      <c r="O494" s="176"/>
      <c r="P494" s="177"/>
      <c r="Q494" s="178"/>
      <c r="R494" s="179"/>
      <c r="S494" s="177"/>
      <c r="T494" s="180"/>
      <c r="U494" s="180"/>
      <c r="V494" s="177"/>
      <c r="W494" s="177"/>
      <c r="X494" s="67"/>
    </row>
    <row r="495" spans="1:24" ht="12.75" x14ac:dyDescent="0.2">
      <c r="A495" s="34"/>
      <c r="B495" s="173"/>
      <c r="C495" s="173"/>
      <c r="D495" s="174"/>
      <c r="E495" s="173"/>
      <c r="F495" s="173"/>
      <c r="G495" s="176"/>
      <c r="H495" s="174"/>
      <c r="J495" s="174"/>
      <c r="K495" s="173"/>
      <c r="L495" s="173"/>
      <c r="M495" s="174"/>
      <c r="N495" s="177"/>
      <c r="O495" s="176"/>
      <c r="P495" s="177"/>
      <c r="Q495" s="178"/>
      <c r="R495" s="179"/>
      <c r="S495" s="177"/>
      <c r="T495" s="180"/>
      <c r="U495" s="180"/>
      <c r="V495" s="177"/>
      <c r="W495" s="177"/>
      <c r="X495" s="67"/>
    </row>
    <row r="496" spans="1:24" ht="12.75" x14ac:dyDescent="0.2">
      <c r="A496" s="34"/>
      <c r="B496" s="173"/>
      <c r="C496" s="173"/>
      <c r="D496" s="174"/>
      <c r="E496" s="173"/>
      <c r="F496" s="173"/>
      <c r="G496" s="176"/>
      <c r="H496" s="174"/>
      <c r="J496" s="174"/>
      <c r="K496" s="173"/>
      <c r="L496" s="173"/>
      <c r="M496" s="174"/>
      <c r="N496" s="177"/>
      <c r="O496" s="176"/>
      <c r="P496" s="177"/>
      <c r="Q496" s="178"/>
      <c r="R496" s="179"/>
      <c r="S496" s="177"/>
      <c r="T496" s="180"/>
      <c r="U496" s="180"/>
      <c r="V496" s="177"/>
      <c r="W496" s="177"/>
      <c r="X496" s="67"/>
    </row>
    <row r="497" spans="1:24" ht="12.75" x14ac:dyDescent="0.2">
      <c r="A497" s="34"/>
      <c r="B497" s="173"/>
      <c r="C497" s="173"/>
      <c r="D497" s="174"/>
      <c r="E497" s="173"/>
      <c r="F497" s="173"/>
      <c r="G497" s="176"/>
      <c r="H497" s="174"/>
      <c r="J497" s="174"/>
      <c r="K497" s="173"/>
      <c r="L497" s="173"/>
      <c r="M497" s="174"/>
      <c r="N497" s="177"/>
      <c r="O497" s="176"/>
      <c r="P497" s="177"/>
      <c r="Q497" s="178"/>
      <c r="R497" s="179"/>
      <c r="S497" s="177"/>
      <c r="T497" s="180"/>
      <c r="U497" s="180"/>
      <c r="V497" s="177"/>
      <c r="W497" s="177"/>
      <c r="X497" s="67"/>
    </row>
    <row r="498" spans="1:24" ht="12.75" x14ac:dyDescent="0.2">
      <c r="A498" s="34"/>
      <c r="B498" s="173"/>
      <c r="C498" s="173"/>
      <c r="D498" s="174"/>
      <c r="E498" s="173"/>
      <c r="F498" s="173"/>
      <c r="G498" s="176"/>
      <c r="H498" s="174"/>
      <c r="J498" s="174"/>
      <c r="K498" s="173"/>
      <c r="L498" s="173"/>
      <c r="M498" s="174"/>
      <c r="N498" s="177"/>
      <c r="O498" s="176"/>
      <c r="P498" s="177"/>
      <c r="Q498" s="178"/>
      <c r="R498" s="179"/>
      <c r="S498" s="177"/>
      <c r="T498" s="180"/>
      <c r="U498" s="180"/>
      <c r="V498" s="177"/>
      <c r="W498" s="177"/>
      <c r="X498" s="67"/>
    </row>
    <row r="499" spans="1:24" ht="12.75" x14ac:dyDescent="0.2">
      <c r="A499" s="34"/>
      <c r="B499" s="173"/>
      <c r="C499" s="173"/>
      <c r="D499" s="174"/>
      <c r="E499" s="173"/>
      <c r="F499" s="173"/>
      <c r="G499" s="176"/>
      <c r="H499" s="174"/>
      <c r="J499" s="174"/>
      <c r="K499" s="173"/>
      <c r="L499" s="173"/>
      <c r="M499" s="174"/>
      <c r="N499" s="177"/>
      <c r="O499" s="176"/>
      <c r="P499" s="177"/>
      <c r="Q499" s="178"/>
      <c r="R499" s="179"/>
      <c r="S499" s="177"/>
      <c r="T499" s="180"/>
      <c r="U499" s="180"/>
      <c r="V499" s="177"/>
      <c r="W499" s="177"/>
      <c r="X499" s="67"/>
    </row>
    <row r="500" spans="1:24" ht="12.75" x14ac:dyDescent="0.2">
      <c r="A500" s="34"/>
      <c r="B500" s="173"/>
      <c r="C500" s="173"/>
      <c r="D500" s="174"/>
      <c r="E500" s="173"/>
      <c r="F500" s="173"/>
      <c r="G500" s="176"/>
      <c r="H500" s="174"/>
      <c r="J500" s="174"/>
      <c r="K500" s="173"/>
      <c r="L500" s="173"/>
      <c r="M500" s="174"/>
      <c r="N500" s="177"/>
      <c r="O500" s="176"/>
      <c r="P500" s="177"/>
      <c r="Q500" s="178"/>
      <c r="R500" s="179"/>
      <c r="S500" s="177"/>
      <c r="T500" s="180"/>
      <c r="U500" s="180"/>
      <c r="V500" s="177"/>
      <c r="W500" s="177"/>
      <c r="X500" s="67"/>
    </row>
    <row r="501" spans="1:24" ht="12.75" x14ac:dyDescent="0.2">
      <c r="A501" s="34"/>
      <c r="B501" s="173"/>
      <c r="C501" s="173"/>
      <c r="D501" s="174"/>
      <c r="E501" s="173"/>
      <c r="F501" s="173"/>
      <c r="G501" s="176"/>
      <c r="H501" s="174"/>
      <c r="J501" s="174"/>
      <c r="K501" s="173"/>
      <c r="L501" s="173"/>
      <c r="M501" s="174"/>
      <c r="N501" s="177"/>
      <c r="O501" s="176"/>
      <c r="P501" s="177"/>
      <c r="Q501" s="178"/>
      <c r="R501" s="179"/>
      <c r="S501" s="177"/>
      <c r="T501" s="180"/>
      <c r="U501" s="180"/>
      <c r="V501" s="177"/>
      <c r="W501" s="177"/>
      <c r="X501" s="67"/>
    </row>
    <row r="502" spans="1:24" ht="12.75" x14ac:dyDescent="0.2">
      <c r="A502" s="34"/>
      <c r="B502" s="173"/>
      <c r="C502" s="173"/>
      <c r="D502" s="174"/>
      <c r="E502" s="173"/>
      <c r="F502" s="173"/>
      <c r="G502" s="176"/>
      <c r="H502" s="174"/>
      <c r="J502" s="174"/>
      <c r="K502" s="173"/>
      <c r="L502" s="173"/>
      <c r="M502" s="174"/>
      <c r="N502" s="177"/>
      <c r="O502" s="176"/>
      <c r="P502" s="177"/>
      <c r="Q502" s="178"/>
      <c r="R502" s="179"/>
      <c r="S502" s="177"/>
      <c r="T502" s="180"/>
      <c r="U502" s="180"/>
      <c r="V502" s="177"/>
      <c r="W502" s="177"/>
      <c r="X502" s="67"/>
    </row>
    <row r="503" spans="1:24" ht="12.75" x14ac:dyDescent="0.2">
      <c r="A503" s="34"/>
      <c r="B503" s="173"/>
      <c r="C503" s="173"/>
      <c r="D503" s="174"/>
      <c r="E503" s="173"/>
      <c r="F503" s="173"/>
      <c r="G503" s="176"/>
      <c r="H503" s="174"/>
      <c r="J503" s="174"/>
      <c r="K503" s="173"/>
      <c r="L503" s="173"/>
      <c r="M503" s="174"/>
      <c r="N503" s="177"/>
      <c r="O503" s="176"/>
      <c r="P503" s="177"/>
      <c r="Q503" s="178"/>
      <c r="R503" s="179"/>
      <c r="S503" s="177"/>
      <c r="T503" s="180"/>
      <c r="U503" s="180"/>
      <c r="V503" s="177"/>
      <c r="W503" s="177"/>
      <c r="X503" s="67"/>
    </row>
    <row r="504" spans="1:24" ht="12.75" x14ac:dyDescent="0.2">
      <c r="A504" s="34"/>
      <c r="B504" s="173"/>
      <c r="C504" s="173"/>
      <c r="D504" s="174"/>
      <c r="E504" s="173"/>
      <c r="F504" s="173"/>
      <c r="G504" s="176"/>
      <c r="H504" s="174"/>
      <c r="J504" s="174"/>
      <c r="K504" s="173"/>
      <c r="L504" s="173"/>
      <c r="M504" s="174"/>
      <c r="N504" s="177"/>
      <c r="O504" s="176"/>
      <c r="P504" s="177"/>
      <c r="Q504" s="178"/>
      <c r="R504" s="179"/>
      <c r="S504" s="177"/>
      <c r="T504" s="180"/>
      <c r="U504" s="180"/>
      <c r="V504" s="177"/>
      <c r="W504" s="177"/>
      <c r="X504" s="67"/>
    </row>
    <row r="505" spans="1:24" ht="12.75" x14ac:dyDescent="0.2">
      <c r="A505" s="34"/>
      <c r="B505" s="173"/>
      <c r="C505" s="173"/>
      <c r="D505" s="174"/>
      <c r="E505" s="173"/>
      <c r="F505" s="173"/>
      <c r="G505" s="176"/>
      <c r="H505" s="174"/>
      <c r="J505" s="174"/>
      <c r="K505" s="173"/>
      <c r="L505" s="173"/>
      <c r="M505" s="174"/>
      <c r="N505" s="177"/>
      <c r="O505" s="176"/>
      <c r="P505" s="177"/>
      <c r="Q505" s="178"/>
      <c r="R505" s="179"/>
      <c r="S505" s="177"/>
      <c r="T505" s="180"/>
      <c r="U505" s="180"/>
      <c r="V505" s="177"/>
      <c r="W505" s="177"/>
      <c r="X505" s="67"/>
    </row>
    <row r="506" spans="1:24" ht="12.75" x14ac:dyDescent="0.2">
      <c r="A506" s="34"/>
      <c r="B506" s="173"/>
      <c r="C506" s="173"/>
      <c r="D506" s="174"/>
      <c r="E506" s="173"/>
      <c r="F506" s="173"/>
      <c r="G506" s="176"/>
      <c r="H506" s="174"/>
      <c r="J506" s="174"/>
      <c r="K506" s="173"/>
      <c r="L506" s="173"/>
      <c r="M506" s="174"/>
      <c r="N506" s="177"/>
      <c r="O506" s="176"/>
      <c r="P506" s="177"/>
      <c r="Q506" s="178"/>
      <c r="R506" s="179"/>
      <c r="S506" s="177"/>
      <c r="T506" s="180"/>
      <c r="U506" s="180"/>
      <c r="V506" s="177"/>
      <c r="W506" s="177"/>
      <c r="X506" s="67"/>
    </row>
    <row r="507" spans="1:24" ht="12.75" x14ac:dyDescent="0.2">
      <c r="A507" s="34"/>
      <c r="B507" s="173"/>
      <c r="C507" s="173"/>
      <c r="D507" s="174"/>
      <c r="E507" s="173"/>
      <c r="F507" s="173"/>
      <c r="G507" s="176"/>
      <c r="H507" s="174"/>
      <c r="J507" s="174"/>
      <c r="K507" s="173"/>
      <c r="L507" s="173"/>
      <c r="M507" s="174"/>
      <c r="N507" s="177"/>
      <c r="O507" s="176"/>
      <c r="P507" s="177"/>
      <c r="Q507" s="178"/>
      <c r="R507" s="179"/>
      <c r="S507" s="177"/>
      <c r="T507" s="180"/>
      <c r="U507" s="180"/>
      <c r="V507" s="177"/>
      <c r="W507" s="177"/>
      <c r="X507" s="67"/>
    </row>
    <row r="508" spans="1:24" ht="12.75" x14ac:dyDescent="0.2">
      <c r="A508" s="34"/>
      <c r="B508" s="173"/>
      <c r="C508" s="173"/>
      <c r="D508" s="174"/>
      <c r="E508" s="173"/>
      <c r="F508" s="173"/>
      <c r="G508" s="176"/>
      <c r="H508" s="174"/>
      <c r="J508" s="174"/>
      <c r="K508" s="173"/>
      <c r="L508" s="173"/>
      <c r="M508" s="174"/>
      <c r="N508" s="177"/>
      <c r="O508" s="176"/>
      <c r="P508" s="177"/>
      <c r="Q508" s="178"/>
      <c r="R508" s="179"/>
      <c r="S508" s="177"/>
      <c r="T508" s="180"/>
      <c r="U508" s="180"/>
      <c r="V508" s="177"/>
      <c r="W508" s="177"/>
      <c r="X508" s="67"/>
    </row>
    <row r="509" spans="1:24" ht="12.75" x14ac:dyDescent="0.2">
      <c r="A509" s="34"/>
      <c r="B509" s="173"/>
      <c r="C509" s="173"/>
      <c r="D509" s="174"/>
      <c r="E509" s="173"/>
      <c r="F509" s="173"/>
      <c r="G509" s="176"/>
      <c r="H509" s="174"/>
      <c r="J509" s="174"/>
      <c r="K509" s="173"/>
      <c r="L509" s="173"/>
      <c r="M509" s="174"/>
      <c r="N509" s="177"/>
      <c r="O509" s="176"/>
      <c r="P509" s="177"/>
      <c r="Q509" s="178"/>
      <c r="R509" s="179"/>
      <c r="S509" s="177"/>
      <c r="T509" s="180"/>
      <c r="U509" s="180"/>
      <c r="V509" s="177"/>
      <c r="W509" s="177"/>
      <c r="X509" s="67"/>
    </row>
    <row r="510" spans="1:24" ht="12.75" x14ac:dyDescent="0.2">
      <c r="A510" s="34"/>
      <c r="B510" s="173"/>
      <c r="C510" s="173"/>
      <c r="D510" s="174"/>
      <c r="E510" s="173"/>
      <c r="F510" s="173"/>
      <c r="G510" s="176"/>
      <c r="H510" s="174"/>
      <c r="J510" s="174"/>
      <c r="K510" s="173"/>
      <c r="L510" s="173"/>
      <c r="M510" s="174"/>
      <c r="N510" s="177"/>
      <c r="O510" s="176"/>
      <c r="P510" s="177"/>
      <c r="Q510" s="178"/>
      <c r="R510" s="179"/>
      <c r="S510" s="177"/>
      <c r="T510" s="180"/>
      <c r="U510" s="180"/>
      <c r="V510" s="177"/>
      <c r="W510" s="177"/>
      <c r="X510" s="67"/>
    </row>
    <row r="511" spans="1:24" ht="12.75" x14ac:dyDescent="0.2">
      <c r="A511" s="34"/>
      <c r="B511" s="173"/>
      <c r="C511" s="173"/>
      <c r="D511" s="174"/>
      <c r="E511" s="173"/>
      <c r="F511" s="173"/>
      <c r="G511" s="176"/>
      <c r="H511" s="174"/>
      <c r="J511" s="174"/>
      <c r="K511" s="173"/>
      <c r="L511" s="173"/>
      <c r="M511" s="174"/>
      <c r="N511" s="177"/>
      <c r="O511" s="176"/>
      <c r="P511" s="177"/>
      <c r="Q511" s="178"/>
      <c r="R511" s="179"/>
      <c r="S511" s="177"/>
      <c r="T511" s="180"/>
      <c r="U511" s="180"/>
      <c r="V511" s="177"/>
      <c r="W511" s="177"/>
      <c r="X511" s="67"/>
    </row>
    <row r="512" spans="1:24" ht="12.75" x14ac:dyDescent="0.2">
      <c r="A512" s="34"/>
      <c r="B512" s="173"/>
      <c r="C512" s="173"/>
      <c r="D512" s="174"/>
      <c r="E512" s="173"/>
      <c r="F512" s="173"/>
      <c r="G512" s="176"/>
      <c r="H512" s="174"/>
      <c r="J512" s="174"/>
      <c r="K512" s="173"/>
      <c r="L512" s="173"/>
      <c r="M512" s="174"/>
      <c r="N512" s="177"/>
      <c r="O512" s="176"/>
      <c r="P512" s="177"/>
      <c r="Q512" s="178"/>
      <c r="R512" s="179"/>
      <c r="S512" s="177"/>
      <c r="T512" s="180"/>
      <c r="U512" s="180"/>
      <c r="V512" s="177"/>
      <c r="W512" s="177"/>
      <c r="X512" s="67"/>
    </row>
    <row r="513" spans="1:24" ht="12.75" x14ac:dyDescent="0.2">
      <c r="A513" s="34"/>
      <c r="B513" s="173"/>
      <c r="C513" s="173"/>
      <c r="D513" s="174"/>
      <c r="E513" s="173"/>
      <c r="F513" s="173"/>
      <c r="G513" s="176"/>
      <c r="H513" s="174"/>
      <c r="J513" s="174"/>
      <c r="K513" s="173"/>
      <c r="L513" s="173"/>
      <c r="M513" s="174"/>
      <c r="N513" s="177"/>
      <c r="O513" s="176"/>
      <c r="P513" s="177"/>
      <c r="Q513" s="178"/>
      <c r="R513" s="179"/>
      <c r="S513" s="177"/>
      <c r="T513" s="180"/>
      <c r="U513" s="180"/>
      <c r="V513" s="177"/>
      <c r="W513" s="177"/>
      <c r="X513" s="67"/>
    </row>
    <row r="514" spans="1:24" ht="12.75" x14ac:dyDescent="0.2">
      <c r="A514" s="34"/>
      <c r="B514" s="173"/>
      <c r="C514" s="173"/>
      <c r="D514" s="174"/>
      <c r="E514" s="173"/>
      <c r="F514" s="173"/>
      <c r="G514" s="176"/>
      <c r="H514" s="174"/>
      <c r="J514" s="174"/>
      <c r="K514" s="173"/>
      <c r="L514" s="173"/>
      <c r="M514" s="174"/>
      <c r="N514" s="177"/>
      <c r="O514" s="176"/>
      <c r="P514" s="177"/>
      <c r="Q514" s="178"/>
      <c r="R514" s="179"/>
      <c r="S514" s="177"/>
      <c r="T514" s="180"/>
      <c r="U514" s="180"/>
      <c r="V514" s="177"/>
      <c r="W514" s="177"/>
      <c r="X514" s="67"/>
    </row>
    <row r="515" spans="1:24" ht="12.75" x14ac:dyDescent="0.2">
      <c r="A515" s="34"/>
      <c r="B515" s="173"/>
      <c r="C515" s="173"/>
      <c r="D515" s="174"/>
      <c r="E515" s="173"/>
      <c r="F515" s="173"/>
      <c r="G515" s="176"/>
      <c r="H515" s="174"/>
      <c r="J515" s="174"/>
      <c r="K515" s="173"/>
      <c r="L515" s="173"/>
      <c r="M515" s="174"/>
      <c r="N515" s="177"/>
      <c r="O515" s="176"/>
      <c r="P515" s="177"/>
      <c r="Q515" s="178"/>
      <c r="R515" s="179"/>
      <c r="S515" s="177"/>
      <c r="T515" s="180"/>
      <c r="U515" s="180"/>
      <c r="V515" s="177"/>
      <c r="W515" s="177"/>
      <c r="X515" s="67"/>
    </row>
    <row r="516" spans="1:24" ht="12.75" x14ac:dyDescent="0.2">
      <c r="A516" s="34"/>
      <c r="B516" s="173"/>
      <c r="C516" s="173"/>
      <c r="D516" s="174"/>
      <c r="E516" s="173"/>
      <c r="F516" s="173"/>
      <c r="G516" s="176"/>
      <c r="H516" s="174"/>
      <c r="J516" s="174"/>
      <c r="K516" s="173"/>
      <c r="L516" s="173"/>
      <c r="M516" s="174"/>
      <c r="N516" s="177"/>
      <c r="O516" s="176"/>
      <c r="P516" s="177"/>
      <c r="Q516" s="178"/>
      <c r="R516" s="179"/>
      <c r="S516" s="177"/>
      <c r="T516" s="180"/>
      <c r="U516" s="180"/>
      <c r="V516" s="177"/>
      <c r="W516" s="177"/>
      <c r="X516" s="67"/>
    </row>
    <row r="517" spans="1:24" ht="12.75" x14ac:dyDescent="0.2">
      <c r="A517" s="34"/>
      <c r="B517" s="173"/>
      <c r="C517" s="173"/>
      <c r="D517" s="174"/>
      <c r="E517" s="173"/>
      <c r="F517" s="173"/>
      <c r="G517" s="176"/>
      <c r="H517" s="174"/>
      <c r="J517" s="174"/>
      <c r="K517" s="173"/>
      <c r="L517" s="173"/>
      <c r="M517" s="174"/>
      <c r="N517" s="177"/>
      <c r="O517" s="176"/>
      <c r="P517" s="177"/>
      <c r="Q517" s="178"/>
      <c r="R517" s="179"/>
      <c r="S517" s="177"/>
      <c r="T517" s="180"/>
      <c r="U517" s="180"/>
      <c r="V517" s="177"/>
      <c r="W517" s="177"/>
      <c r="X517" s="67"/>
    </row>
    <row r="518" spans="1:24" ht="12.75" x14ac:dyDescent="0.2">
      <c r="A518" s="34"/>
      <c r="B518" s="173"/>
      <c r="C518" s="173"/>
      <c r="D518" s="174"/>
      <c r="E518" s="173"/>
      <c r="F518" s="173"/>
      <c r="G518" s="176"/>
      <c r="H518" s="174"/>
      <c r="J518" s="174"/>
      <c r="K518" s="173"/>
      <c r="L518" s="173"/>
      <c r="M518" s="174"/>
      <c r="N518" s="177"/>
      <c r="O518" s="176"/>
      <c r="P518" s="177"/>
      <c r="Q518" s="178"/>
      <c r="R518" s="179"/>
      <c r="S518" s="177"/>
      <c r="T518" s="180"/>
      <c r="U518" s="180"/>
      <c r="V518" s="177"/>
      <c r="W518" s="177"/>
      <c r="X518" s="67"/>
    </row>
    <row r="519" spans="1:24" ht="12.75" x14ac:dyDescent="0.2">
      <c r="A519" s="34"/>
      <c r="B519" s="173"/>
      <c r="C519" s="173"/>
      <c r="D519" s="174"/>
      <c r="E519" s="173"/>
      <c r="F519" s="173"/>
      <c r="G519" s="176"/>
      <c r="H519" s="174"/>
      <c r="J519" s="174"/>
      <c r="K519" s="173"/>
      <c r="L519" s="173"/>
      <c r="M519" s="174"/>
      <c r="N519" s="177"/>
      <c r="O519" s="176"/>
      <c r="P519" s="177"/>
      <c r="Q519" s="178"/>
      <c r="R519" s="179"/>
      <c r="S519" s="177"/>
      <c r="T519" s="180"/>
      <c r="U519" s="180"/>
      <c r="V519" s="177"/>
      <c r="W519" s="177"/>
      <c r="X519" s="67"/>
    </row>
    <row r="520" spans="1:24" ht="12.75" x14ac:dyDescent="0.2">
      <c r="A520" s="34"/>
      <c r="B520" s="173"/>
      <c r="C520" s="173"/>
      <c r="D520" s="174"/>
      <c r="E520" s="173"/>
      <c r="F520" s="173"/>
      <c r="G520" s="176"/>
      <c r="H520" s="174"/>
      <c r="J520" s="174"/>
      <c r="K520" s="173"/>
      <c r="L520" s="173"/>
      <c r="M520" s="174"/>
      <c r="N520" s="177"/>
      <c r="O520" s="176"/>
      <c r="P520" s="177"/>
      <c r="Q520" s="178"/>
      <c r="R520" s="179"/>
      <c r="S520" s="177"/>
      <c r="T520" s="180"/>
      <c r="U520" s="180"/>
      <c r="V520" s="177"/>
      <c r="W520" s="177"/>
      <c r="X520" s="67"/>
    </row>
    <row r="521" spans="1:24" ht="12.75" x14ac:dyDescent="0.2">
      <c r="A521" s="34"/>
      <c r="B521" s="173"/>
      <c r="C521" s="173"/>
      <c r="D521" s="174"/>
      <c r="E521" s="173"/>
      <c r="F521" s="173"/>
      <c r="G521" s="176"/>
      <c r="H521" s="174"/>
      <c r="J521" s="174"/>
      <c r="K521" s="173"/>
      <c r="L521" s="173"/>
      <c r="M521" s="174"/>
      <c r="N521" s="177"/>
      <c r="O521" s="176"/>
      <c r="P521" s="177"/>
      <c r="Q521" s="178"/>
      <c r="R521" s="179"/>
      <c r="S521" s="177"/>
      <c r="T521" s="180"/>
      <c r="U521" s="180"/>
      <c r="V521" s="177"/>
      <c r="W521" s="177"/>
      <c r="X521" s="67"/>
    </row>
    <row r="522" spans="1:24" ht="12.75" x14ac:dyDescent="0.2">
      <c r="A522" s="34"/>
      <c r="B522" s="173"/>
      <c r="C522" s="173"/>
      <c r="D522" s="174"/>
      <c r="E522" s="173"/>
      <c r="F522" s="173"/>
      <c r="G522" s="176"/>
      <c r="H522" s="174"/>
      <c r="J522" s="174"/>
      <c r="K522" s="173"/>
      <c r="L522" s="173"/>
      <c r="M522" s="174"/>
      <c r="N522" s="177"/>
      <c r="O522" s="176"/>
      <c r="P522" s="177"/>
      <c r="Q522" s="178"/>
      <c r="R522" s="179"/>
      <c r="S522" s="177"/>
      <c r="T522" s="180"/>
      <c r="U522" s="180"/>
      <c r="V522" s="177"/>
      <c r="W522" s="177"/>
      <c r="X522" s="67"/>
    </row>
    <row r="523" spans="1:24" ht="12.75" x14ac:dyDescent="0.2">
      <c r="A523" s="34"/>
      <c r="B523" s="173"/>
      <c r="C523" s="173"/>
      <c r="D523" s="174"/>
      <c r="E523" s="173"/>
      <c r="F523" s="173"/>
      <c r="G523" s="176"/>
      <c r="H523" s="174"/>
      <c r="J523" s="174"/>
      <c r="K523" s="173"/>
      <c r="L523" s="173"/>
      <c r="M523" s="174"/>
      <c r="N523" s="177"/>
      <c r="O523" s="176"/>
      <c r="P523" s="177"/>
      <c r="Q523" s="178"/>
      <c r="R523" s="179"/>
      <c r="S523" s="177"/>
      <c r="T523" s="180"/>
      <c r="U523" s="180"/>
      <c r="V523" s="177"/>
      <c r="W523" s="177"/>
      <c r="X523" s="67"/>
    </row>
    <row r="524" spans="1:24" ht="12.75" x14ac:dyDescent="0.2">
      <c r="A524" s="34"/>
      <c r="B524" s="173"/>
      <c r="C524" s="173"/>
      <c r="D524" s="174"/>
      <c r="E524" s="173"/>
      <c r="F524" s="173"/>
      <c r="G524" s="176"/>
      <c r="H524" s="174"/>
      <c r="J524" s="174"/>
      <c r="K524" s="173"/>
      <c r="L524" s="173"/>
      <c r="M524" s="174"/>
      <c r="N524" s="177"/>
      <c r="O524" s="176"/>
      <c r="P524" s="177"/>
      <c r="Q524" s="178"/>
      <c r="R524" s="179"/>
      <c r="S524" s="177"/>
      <c r="T524" s="180"/>
      <c r="U524" s="180"/>
      <c r="V524" s="177"/>
      <c r="W524" s="177"/>
      <c r="X524" s="67"/>
    </row>
    <row r="525" spans="1:24" ht="12.75" x14ac:dyDescent="0.2">
      <c r="A525" s="34"/>
      <c r="B525" s="173"/>
      <c r="C525" s="173"/>
      <c r="D525" s="174"/>
      <c r="E525" s="173"/>
      <c r="F525" s="173"/>
      <c r="G525" s="176"/>
      <c r="H525" s="174"/>
      <c r="J525" s="174"/>
      <c r="K525" s="173"/>
      <c r="L525" s="173"/>
      <c r="M525" s="174"/>
      <c r="N525" s="177"/>
      <c r="O525" s="176"/>
      <c r="P525" s="177"/>
      <c r="Q525" s="178"/>
      <c r="R525" s="179"/>
      <c r="S525" s="177"/>
      <c r="T525" s="180"/>
      <c r="U525" s="180"/>
      <c r="V525" s="177"/>
      <c r="W525" s="177"/>
      <c r="X525" s="67"/>
    </row>
    <row r="526" spans="1:24" ht="12.75" x14ac:dyDescent="0.2">
      <c r="A526" s="34"/>
      <c r="B526" s="173"/>
      <c r="C526" s="173"/>
      <c r="D526" s="174"/>
      <c r="E526" s="173"/>
      <c r="F526" s="173"/>
      <c r="G526" s="176"/>
      <c r="H526" s="174"/>
      <c r="J526" s="174"/>
      <c r="K526" s="173"/>
      <c r="L526" s="173"/>
      <c r="M526" s="174"/>
      <c r="N526" s="177"/>
      <c r="O526" s="176"/>
      <c r="P526" s="177"/>
      <c r="Q526" s="178"/>
      <c r="R526" s="179"/>
      <c r="S526" s="177"/>
      <c r="T526" s="180"/>
      <c r="U526" s="180"/>
      <c r="V526" s="177"/>
      <c r="W526" s="177"/>
      <c r="X526" s="67"/>
    </row>
    <row r="527" spans="1:24" ht="12.75" x14ac:dyDescent="0.2">
      <c r="A527" s="34"/>
      <c r="B527" s="173"/>
      <c r="C527" s="173"/>
      <c r="D527" s="174"/>
      <c r="E527" s="173"/>
      <c r="F527" s="173"/>
      <c r="G527" s="176"/>
      <c r="H527" s="174"/>
      <c r="J527" s="174"/>
      <c r="K527" s="173"/>
      <c r="L527" s="173"/>
      <c r="M527" s="174"/>
      <c r="N527" s="177"/>
      <c r="O527" s="176"/>
      <c r="P527" s="177"/>
      <c r="Q527" s="178"/>
      <c r="R527" s="179"/>
      <c r="S527" s="177"/>
      <c r="T527" s="180"/>
      <c r="U527" s="180"/>
      <c r="V527" s="177"/>
      <c r="W527" s="177"/>
      <c r="X527" s="67"/>
    </row>
    <row r="528" spans="1:24" ht="12.75" x14ac:dyDescent="0.2">
      <c r="A528" s="34"/>
      <c r="B528" s="173"/>
      <c r="C528" s="173"/>
      <c r="D528" s="174"/>
      <c r="E528" s="173"/>
      <c r="F528" s="173"/>
      <c r="G528" s="176"/>
      <c r="H528" s="174"/>
      <c r="J528" s="174"/>
      <c r="K528" s="173"/>
      <c r="L528" s="173"/>
      <c r="M528" s="174"/>
      <c r="N528" s="177"/>
      <c r="O528" s="176"/>
      <c r="P528" s="177"/>
      <c r="Q528" s="178"/>
      <c r="R528" s="179"/>
      <c r="S528" s="177"/>
      <c r="T528" s="180"/>
      <c r="U528" s="180"/>
      <c r="V528" s="177"/>
      <c r="W528" s="177"/>
      <c r="X528" s="67"/>
    </row>
    <row r="529" spans="1:24" ht="12.75" x14ac:dyDescent="0.2">
      <c r="A529" s="34"/>
      <c r="B529" s="173"/>
      <c r="C529" s="173"/>
      <c r="D529" s="174"/>
      <c r="E529" s="173"/>
      <c r="F529" s="173"/>
      <c r="G529" s="176"/>
      <c r="H529" s="174"/>
      <c r="J529" s="174"/>
      <c r="K529" s="173"/>
      <c r="L529" s="173"/>
      <c r="M529" s="174"/>
      <c r="N529" s="177"/>
      <c r="O529" s="176"/>
      <c r="P529" s="177"/>
      <c r="Q529" s="178"/>
      <c r="R529" s="179"/>
      <c r="S529" s="177"/>
      <c r="T529" s="180"/>
      <c r="U529" s="180"/>
      <c r="V529" s="177"/>
      <c r="W529" s="177"/>
      <c r="X529" s="67"/>
    </row>
    <row r="530" spans="1:24" ht="12.75" x14ac:dyDescent="0.2">
      <c r="A530" s="34"/>
      <c r="B530" s="173"/>
      <c r="C530" s="173"/>
      <c r="D530" s="174"/>
      <c r="E530" s="173"/>
      <c r="F530" s="173"/>
      <c r="G530" s="176"/>
      <c r="H530" s="174"/>
      <c r="J530" s="174"/>
      <c r="K530" s="173"/>
      <c r="L530" s="173"/>
      <c r="M530" s="174"/>
      <c r="N530" s="177"/>
      <c r="O530" s="176"/>
      <c r="P530" s="177"/>
      <c r="Q530" s="178"/>
      <c r="R530" s="179"/>
      <c r="S530" s="177"/>
      <c r="T530" s="180"/>
      <c r="U530" s="180"/>
      <c r="V530" s="177"/>
      <c r="W530" s="177"/>
      <c r="X530" s="67"/>
    </row>
    <row r="531" spans="1:24" ht="12.75" x14ac:dyDescent="0.2">
      <c r="A531" s="34"/>
      <c r="B531" s="173"/>
      <c r="C531" s="173"/>
      <c r="D531" s="174"/>
      <c r="E531" s="173"/>
      <c r="F531" s="173"/>
      <c r="G531" s="176"/>
      <c r="H531" s="174"/>
      <c r="J531" s="174"/>
      <c r="K531" s="173"/>
      <c r="L531" s="173"/>
      <c r="M531" s="174"/>
      <c r="N531" s="177"/>
      <c r="O531" s="176"/>
      <c r="P531" s="177"/>
      <c r="Q531" s="178"/>
      <c r="R531" s="179"/>
      <c r="S531" s="177"/>
      <c r="T531" s="180"/>
      <c r="U531" s="180"/>
      <c r="V531" s="177"/>
      <c r="W531" s="177"/>
      <c r="X531" s="67"/>
    </row>
    <row r="532" spans="1:24" ht="12.75" x14ac:dyDescent="0.2">
      <c r="A532" s="34"/>
      <c r="B532" s="173"/>
      <c r="C532" s="173"/>
      <c r="D532" s="174"/>
      <c r="E532" s="173"/>
      <c r="F532" s="173"/>
      <c r="G532" s="176"/>
      <c r="H532" s="174"/>
      <c r="J532" s="174"/>
      <c r="K532" s="173"/>
      <c r="L532" s="173"/>
      <c r="M532" s="174"/>
      <c r="N532" s="177"/>
      <c r="O532" s="176"/>
      <c r="P532" s="177"/>
      <c r="Q532" s="178"/>
      <c r="R532" s="179"/>
      <c r="S532" s="177"/>
      <c r="T532" s="180"/>
      <c r="U532" s="180"/>
      <c r="V532" s="177"/>
      <c r="W532" s="177"/>
      <c r="X532" s="67"/>
    </row>
    <row r="533" spans="1:24" ht="12.75" x14ac:dyDescent="0.2">
      <c r="A533" s="34"/>
      <c r="B533" s="173"/>
      <c r="C533" s="173"/>
      <c r="D533" s="174"/>
      <c r="E533" s="173"/>
      <c r="F533" s="173"/>
      <c r="G533" s="176"/>
      <c r="H533" s="174"/>
      <c r="J533" s="174"/>
      <c r="K533" s="173"/>
      <c r="L533" s="173"/>
      <c r="M533" s="174"/>
      <c r="N533" s="177"/>
      <c r="O533" s="176"/>
      <c r="P533" s="177"/>
      <c r="Q533" s="178"/>
      <c r="R533" s="179"/>
      <c r="S533" s="177"/>
      <c r="T533" s="180"/>
      <c r="U533" s="180"/>
      <c r="V533" s="177"/>
      <c r="W533" s="177"/>
      <c r="X533" s="67"/>
    </row>
    <row r="534" spans="1:24" ht="12.75" x14ac:dyDescent="0.2">
      <c r="A534" s="34"/>
      <c r="B534" s="173"/>
      <c r="C534" s="173"/>
      <c r="D534" s="174"/>
      <c r="E534" s="173"/>
      <c r="F534" s="173"/>
      <c r="G534" s="176"/>
      <c r="H534" s="174"/>
      <c r="J534" s="174"/>
      <c r="K534" s="173"/>
      <c r="L534" s="173"/>
      <c r="M534" s="174"/>
      <c r="N534" s="177"/>
      <c r="O534" s="176"/>
      <c r="P534" s="177"/>
      <c r="Q534" s="178"/>
      <c r="R534" s="179"/>
      <c r="S534" s="177"/>
      <c r="T534" s="180"/>
      <c r="U534" s="180"/>
      <c r="V534" s="177"/>
      <c r="W534" s="177"/>
      <c r="X534" s="67"/>
    </row>
    <row r="535" spans="1:24" ht="12.75" x14ac:dyDescent="0.2">
      <c r="A535" s="34"/>
      <c r="B535" s="173"/>
      <c r="C535" s="173"/>
      <c r="D535" s="174"/>
      <c r="E535" s="173"/>
      <c r="F535" s="173"/>
      <c r="G535" s="176"/>
      <c r="H535" s="174"/>
      <c r="J535" s="174"/>
      <c r="K535" s="173"/>
      <c r="L535" s="173"/>
      <c r="M535" s="174"/>
      <c r="N535" s="177"/>
      <c r="O535" s="176"/>
      <c r="P535" s="177"/>
      <c r="Q535" s="178"/>
      <c r="R535" s="179"/>
      <c r="S535" s="177"/>
      <c r="T535" s="180"/>
      <c r="U535" s="180"/>
      <c r="V535" s="177"/>
      <c r="W535" s="177"/>
      <c r="X535" s="67"/>
    </row>
    <row r="536" spans="1:24" ht="12.75" x14ac:dyDescent="0.2">
      <c r="A536" s="34"/>
      <c r="B536" s="173"/>
      <c r="C536" s="173"/>
      <c r="D536" s="174"/>
      <c r="E536" s="173"/>
      <c r="F536" s="173"/>
      <c r="G536" s="176"/>
      <c r="H536" s="174"/>
      <c r="J536" s="174"/>
      <c r="K536" s="173"/>
      <c r="L536" s="173"/>
      <c r="M536" s="174"/>
      <c r="N536" s="177"/>
      <c r="O536" s="176"/>
      <c r="P536" s="177"/>
      <c r="Q536" s="178"/>
      <c r="R536" s="179"/>
      <c r="S536" s="177"/>
      <c r="T536" s="180"/>
      <c r="U536" s="180"/>
      <c r="V536" s="177"/>
      <c r="W536" s="177"/>
      <c r="X536" s="67"/>
    </row>
    <row r="537" spans="1:24" ht="12.75" x14ac:dyDescent="0.2">
      <c r="A537" s="34"/>
      <c r="B537" s="173"/>
      <c r="C537" s="173"/>
      <c r="D537" s="174"/>
      <c r="E537" s="173"/>
      <c r="F537" s="173"/>
      <c r="G537" s="176"/>
      <c r="H537" s="174"/>
      <c r="J537" s="174"/>
      <c r="K537" s="173"/>
      <c r="L537" s="173"/>
      <c r="M537" s="174"/>
      <c r="N537" s="177"/>
      <c r="O537" s="176"/>
      <c r="P537" s="177"/>
      <c r="Q537" s="178"/>
      <c r="R537" s="179"/>
      <c r="S537" s="177"/>
      <c r="T537" s="180"/>
      <c r="U537" s="180"/>
      <c r="V537" s="177"/>
      <c r="W537" s="177"/>
      <c r="X537" s="67"/>
    </row>
    <row r="538" spans="1:24" ht="12.75" x14ac:dyDescent="0.2">
      <c r="A538" s="34"/>
      <c r="B538" s="173"/>
      <c r="C538" s="173"/>
      <c r="D538" s="174"/>
      <c r="E538" s="173"/>
      <c r="F538" s="173"/>
      <c r="G538" s="176"/>
      <c r="H538" s="174"/>
      <c r="J538" s="174"/>
      <c r="K538" s="173"/>
      <c r="L538" s="173"/>
      <c r="M538" s="174"/>
      <c r="N538" s="177"/>
      <c r="O538" s="176"/>
      <c r="P538" s="177"/>
      <c r="Q538" s="178"/>
      <c r="R538" s="179"/>
      <c r="S538" s="177"/>
      <c r="T538" s="180"/>
      <c r="U538" s="180"/>
      <c r="V538" s="177"/>
      <c r="W538" s="177"/>
      <c r="X538" s="67"/>
    </row>
    <row r="539" spans="1:24" ht="12.75" x14ac:dyDescent="0.2">
      <c r="A539" s="34"/>
      <c r="B539" s="173"/>
      <c r="C539" s="173"/>
      <c r="D539" s="174"/>
      <c r="E539" s="173"/>
      <c r="F539" s="173"/>
      <c r="G539" s="176"/>
      <c r="H539" s="174"/>
      <c r="J539" s="174"/>
      <c r="K539" s="173"/>
      <c r="L539" s="173"/>
      <c r="M539" s="174"/>
      <c r="N539" s="177"/>
      <c r="O539" s="176"/>
      <c r="P539" s="177"/>
      <c r="Q539" s="178"/>
      <c r="R539" s="179"/>
      <c r="S539" s="177"/>
      <c r="T539" s="180"/>
      <c r="U539" s="180"/>
      <c r="V539" s="177"/>
      <c r="W539" s="177"/>
      <c r="X539" s="67"/>
    </row>
    <row r="540" spans="1:24" ht="12.75" x14ac:dyDescent="0.2">
      <c r="A540" s="34"/>
      <c r="B540" s="173"/>
      <c r="C540" s="173"/>
      <c r="D540" s="174"/>
      <c r="E540" s="173"/>
      <c r="F540" s="173"/>
      <c r="G540" s="176"/>
      <c r="H540" s="174"/>
      <c r="J540" s="174"/>
      <c r="K540" s="173"/>
      <c r="L540" s="173"/>
      <c r="M540" s="174"/>
      <c r="N540" s="177"/>
      <c r="O540" s="176"/>
      <c r="P540" s="177"/>
      <c r="Q540" s="178"/>
      <c r="R540" s="179"/>
      <c r="S540" s="177"/>
      <c r="T540" s="180"/>
      <c r="U540" s="180"/>
      <c r="V540" s="177"/>
      <c r="W540" s="177"/>
      <c r="X540" s="67"/>
    </row>
    <row r="541" spans="1:24" ht="12.75" x14ac:dyDescent="0.2">
      <c r="A541" s="34"/>
      <c r="B541" s="173"/>
      <c r="C541" s="173"/>
      <c r="D541" s="174"/>
      <c r="E541" s="173"/>
      <c r="F541" s="173"/>
      <c r="G541" s="176"/>
      <c r="H541" s="174"/>
      <c r="J541" s="174"/>
      <c r="K541" s="173"/>
      <c r="L541" s="173"/>
      <c r="M541" s="174"/>
      <c r="N541" s="177"/>
      <c r="O541" s="176"/>
      <c r="P541" s="177"/>
      <c r="Q541" s="178"/>
      <c r="R541" s="179"/>
      <c r="S541" s="177"/>
      <c r="T541" s="180"/>
      <c r="U541" s="180"/>
      <c r="V541" s="177"/>
      <c r="W541" s="177"/>
      <c r="X541" s="67"/>
    </row>
    <row r="542" spans="1:24" ht="12.75" x14ac:dyDescent="0.2">
      <c r="A542" s="34"/>
      <c r="B542" s="173"/>
      <c r="C542" s="173"/>
      <c r="D542" s="174"/>
      <c r="E542" s="173"/>
      <c r="F542" s="173"/>
      <c r="G542" s="176"/>
      <c r="H542" s="174"/>
      <c r="J542" s="174"/>
      <c r="K542" s="173"/>
      <c r="L542" s="173"/>
      <c r="M542" s="174"/>
      <c r="N542" s="177"/>
      <c r="O542" s="176"/>
      <c r="P542" s="177"/>
      <c r="Q542" s="178"/>
      <c r="R542" s="179"/>
      <c r="S542" s="177"/>
      <c r="T542" s="180"/>
      <c r="U542" s="180"/>
      <c r="V542" s="177"/>
      <c r="W542" s="177"/>
      <c r="X542" s="67"/>
    </row>
    <row r="543" spans="1:24" ht="12.75" x14ac:dyDescent="0.2">
      <c r="A543" s="34"/>
      <c r="B543" s="173"/>
      <c r="C543" s="173"/>
      <c r="D543" s="174"/>
      <c r="E543" s="173"/>
      <c r="F543" s="173"/>
      <c r="G543" s="176"/>
      <c r="H543" s="174"/>
      <c r="J543" s="174"/>
      <c r="K543" s="173"/>
      <c r="L543" s="173"/>
      <c r="M543" s="174"/>
      <c r="N543" s="177"/>
      <c r="O543" s="176"/>
      <c r="P543" s="177"/>
      <c r="Q543" s="178"/>
      <c r="R543" s="179"/>
      <c r="S543" s="177"/>
      <c r="T543" s="180"/>
      <c r="U543" s="180"/>
      <c r="V543" s="177"/>
      <c r="W543" s="177"/>
      <c r="X543" s="67"/>
    </row>
    <row r="544" spans="1:24" ht="12.75" x14ac:dyDescent="0.2">
      <c r="A544" s="34"/>
      <c r="B544" s="173"/>
      <c r="C544" s="173"/>
      <c r="D544" s="174"/>
      <c r="E544" s="173"/>
      <c r="F544" s="173"/>
      <c r="G544" s="176"/>
      <c r="H544" s="174"/>
      <c r="J544" s="174"/>
      <c r="K544" s="173"/>
      <c r="L544" s="173"/>
      <c r="M544" s="174"/>
      <c r="N544" s="177"/>
      <c r="O544" s="176"/>
      <c r="P544" s="177"/>
      <c r="Q544" s="178"/>
      <c r="R544" s="179"/>
      <c r="S544" s="177"/>
      <c r="T544" s="180"/>
      <c r="U544" s="180"/>
      <c r="V544" s="177"/>
      <c r="W544" s="177"/>
      <c r="X544" s="67"/>
    </row>
    <row r="545" spans="1:24" ht="12.75" x14ac:dyDescent="0.2">
      <c r="A545" s="34"/>
      <c r="B545" s="173"/>
      <c r="C545" s="173"/>
      <c r="D545" s="174"/>
      <c r="E545" s="173"/>
      <c r="F545" s="173"/>
      <c r="G545" s="176"/>
      <c r="H545" s="174"/>
      <c r="J545" s="174"/>
      <c r="K545" s="173"/>
      <c r="L545" s="173"/>
      <c r="M545" s="174"/>
      <c r="N545" s="177"/>
      <c r="O545" s="176"/>
      <c r="P545" s="177"/>
      <c r="Q545" s="178"/>
      <c r="R545" s="179"/>
      <c r="S545" s="177"/>
      <c r="T545" s="180"/>
      <c r="U545" s="180"/>
      <c r="V545" s="177"/>
      <c r="W545" s="177"/>
      <c r="X545" s="67"/>
    </row>
    <row r="546" spans="1:24" ht="12.75" x14ac:dyDescent="0.2">
      <c r="A546" s="34"/>
      <c r="B546" s="173"/>
      <c r="C546" s="173"/>
      <c r="D546" s="174"/>
      <c r="E546" s="173"/>
      <c r="F546" s="173"/>
      <c r="G546" s="176"/>
      <c r="H546" s="174"/>
      <c r="J546" s="174"/>
      <c r="K546" s="173"/>
      <c r="L546" s="173"/>
      <c r="M546" s="174"/>
      <c r="N546" s="177"/>
      <c r="O546" s="176"/>
      <c r="P546" s="177"/>
      <c r="Q546" s="178"/>
      <c r="R546" s="179"/>
      <c r="S546" s="177"/>
      <c r="T546" s="180"/>
      <c r="U546" s="180"/>
      <c r="V546" s="177"/>
      <c r="W546" s="177"/>
      <c r="X546" s="67"/>
    </row>
    <row r="547" spans="1:24" ht="12.75" x14ac:dyDescent="0.2">
      <c r="A547" s="34"/>
      <c r="B547" s="173"/>
      <c r="C547" s="173"/>
      <c r="D547" s="174"/>
      <c r="E547" s="173"/>
      <c r="F547" s="173"/>
      <c r="G547" s="176"/>
      <c r="H547" s="174"/>
      <c r="J547" s="174"/>
      <c r="K547" s="173"/>
      <c r="L547" s="173"/>
      <c r="M547" s="174"/>
      <c r="N547" s="177"/>
      <c r="O547" s="176"/>
      <c r="P547" s="177"/>
      <c r="Q547" s="178"/>
      <c r="R547" s="179"/>
      <c r="S547" s="177"/>
      <c r="T547" s="180"/>
      <c r="U547" s="180"/>
      <c r="V547" s="177"/>
      <c r="W547" s="177"/>
      <c r="X547" s="67"/>
    </row>
    <row r="548" spans="1:24" ht="12.75" x14ac:dyDescent="0.2">
      <c r="A548" s="34"/>
      <c r="B548" s="173"/>
      <c r="C548" s="173"/>
      <c r="D548" s="174"/>
      <c r="E548" s="173"/>
      <c r="F548" s="173"/>
      <c r="G548" s="176"/>
      <c r="H548" s="174"/>
      <c r="J548" s="174"/>
      <c r="K548" s="173"/>
      <c r="L548" s="173"/>
      <c r="M548" s="174"/>
      <c r="N548" s="177"/>
      <c r="O548" s="176"/>
      <c r="P548" s="177"/>
      <c r="Q548" s="178"/>
      <c r="R548" s="179"/>
      <c r="S548" s="177"/>
      <c r="T548" s="180"/>
      <c r="U548" s="180"/>
      <c r="V548" s="177"/>
      <c r="W548" s="177"/>
      <c r="X548" s="67"/>
    </row>
    <row r="549" spans="1:24" ht="12.75" x14ac:dyDescent="0.2">
      <c r="A549" s="34"/>
      <c r="B549" s="173"/>
      <c r="C549" s="173"/>
      <c r="D549" s="174"/>
      <c r="E549" s="173"/>
      <c r="F549" s="173"/>
      <c r="G549" s="176"/>
      <c r="H549" s="174"/>
      <c r="J549" s="174"/>
      <c r="K549" s="173"/>
      <c r="L549" s="173"/>
      <c r="M549" s="174"/>
      <c r="N549" s="177"/>
      <c r="O549" s="176"/>
      <c r="P549" s="177"/>
      <c r="Q549" s="178"/>
      <c r="R549" s="179"/>
      <c r="S549" s="177"/>
      <c r="T549" s="180"/>
      <c r="U549" s="180"/>
      <c r="V549" s="177"/>
      <c r="W549" s="177"/>
      <c r="X549" s="67"/>
    </row>
    <row r="550" spans="1:24" ht="12.75" x14ac:dyDescent="0.2">
      <c r="A550" s="34"/>
      <c r="B550" s="173"/>
      <c r="C550" s="173"/>
      <c r="D550" s="174"/>
      <c r="E550" s="173"/>
      <c r="F550" s="173"/>
      <c r="G550" s="176"/>
      <c r="H550" s="174"/>
      <c r="J550" s="174"/>
      <c r="K550" s="173"/>
      <c r="L550" s="173"/>
      <c r="M550" s="174"/>
      <c r="N550" s="177"/>
      <c r="O550" s="176"/>
      <c r="P550" s="177"/>
      <c r="Q550" s="178"/>
      <c r="R550" s="179"/>
      <c r="S550" s="177"/>
      <c r="T550" s="180"/>
      <c r="U550" s="180"/>
      <c r="V550" s="177"/>
      <c r="W550" s="177"/>
      <c r="X550" s="67"/>
    </row>
    <row r="551" spans="1:24" ht="12.75" x14ac:dyDescent="0.2">
      <c r="A551" s="34"/>
      <c r="B551" s="173"/>
      <c r="C551" s="173"/>
      <c r="D551" s="174"/>
      <c r="E551" s="173"/>
      <c r="F551" s="173"/>
      <c r="G551" s="176"/>
      <c r="H551" s="174"/>
      <c r="J551" s="174"/>
      <c r="K551" s="173"/>
      <c r="L551" s="173"/>
      <c r="M551" s="174"/>
      <c r="N551" s="177"/>
      <c r="O551" s="176"/>
      <c r="P551" s="177"/>
      <c r="Q551" s="178"/>
      <c r="R551" s="179"/>
      <c r="S551" s="177"/>
      <c r="T551" s="180"/>
      <c r="U551" s="180"/>
      <c r="V551" s="177"/>
      <c r="W551" s="177"/>
      <c r="X551" s="67"/>
    </row>
    <row r="552" spans="1:24" ht="12.75" x14ac:dyDescent="0.2">
      <c r="A552" s="34"/>
      <c r="B552" s="173"/>
      <c r="C552" s="173"/>
      <c r="D552" s="174"/>
      <c r="E552" s="173"/>
      <c r="F552" s="173"/>
      <c r="G552" s="176"/>
      <c r="H552" s="174"/>
      <c r="J552" s="174"/>
      <c r="K552" s="173"/>
      <c r="L552" s="173"/>
      <c r="M552" s="174"/>
      <c r="N552" s="177"/>
      <c r="O552" s="176"/>
      <c r="P552" s="177"/>
      <c r="Q552" s="178"/>
      <c r="R552" s="179"/>
      <c r="S552" s="177"/>
      <c r="T552" s="180"/>
      <c r="U552" s="180"/>
      <c r="V552" s="177"/>
      <c r="W552" s="177"/>
      <c r="X552" s="67"/>
    </row>
    <row r="553" spans="1:24" ht="12.75" x14ac:dyDescent="0.2">
      <c r="A553" s="34"/>
      <c r="B553" s="173"/>
      <c r="C553" s="173"/>
      <c r="D553" s="174"/>
      <c r="E553" s="173"/>
      <c r="F553" s="173"/>
      <c r="G553" s="176"/>
      <c r="H553" s="174"/>
      <c r="J553" s="174"/>
      <c r="K553" s="173"/>
      <c r="L553" s="173"/>
      <c r="M553" s="174"/>
      <c r="N553" s="177"/>
      <c r="O553" s="176"/>
      <c r="P553" s="177"/>
      <c r="Q553" s="178"/>
      <c r="R553" s="179"/>
      <c r="S553" s="177"/>
      <c r="T553" s="180"/>
      <c r="U553" s="180"/>
      <c r="V553" s="177"/>
      <c r="W553" s="177"/>
      <c r="X553" s="67"/>
    </row>
    <row r="554" spans="1:24" ht="12.75" x14ac:dyDescent="0.2">
      <c r="A554" s="34"/>
      <c r="B554" s="173"/>
      <c r="C554" s="173"/>
      <c r="D554" s="174"/>
      <c r="E554" s="173"/>
      <c r="F554" s="173"/>
      <c r="G554" s="176"/>
      <c r="H554" s="174"/>
      <c r="J554" s="174"/>
      <c r="K554" s="173"/>
      <c r="L554" s="173"/>
      <c r="M554" s="174"/>
      <c r="N554" s="177"/>
      <c r="O554" s="176"/>
      <c r="P554" s="177"/>
      <c r="Q554" s="178"/>
      <c r="R554" s="179"/>
      <c r="S554" s="177"/>
      <c r="T554" s="180"/>
      <c r="U554" s="180"/>
      <c r="V554" s="177"/>
      <c r="W554" s="177"/>
      <c r="X554" s="67"/>
    </row>
    <row r="555" spans="1:24" ht="12.75" x14ac:dyDescent="0.2">
      <c r="A555" s="34"/>
      <c r="B555" s="173"/>
      <c r="C555" s="173"/>
      <c r="D555" s="174"/>
      <c r="E555" s="173"/>
      <c r="F555" s="173"/>
      <c r="G555" s="176"/>
      <c r="H555" s="174"/>
      <c r="J555" s="174"/>
      <c r="K555" s="173"/>
      <c r="L555" s="173"/>
      <c r="M555" s="174"/>
      <c r="N555" s="177"/>
      <c r="O555" s="176"/>
      <c r="P555" s="177"/>
      <c r="Q555" s="178"/>
      <c r="R555" s="179"/>
      <c r="S555" s="177"/>
      <c r="T555" s="180"/>
      <c r="U555" s="180"/>
      <c r="V555" s="177"/>
      <c r="W555" s="177"/>
      <c r="X555" s="67"/>
    </row>
    <row r="556" spans="1:24" ht="12.75" x14ac:dyDescent="0.2">
      <c r="A556" s="34"/>
      <c r="B556" s="173"/>
      <c r="C556" s="173"/>
      <c r="D556" s="174"/>
      <c r="E556" s="173"/>
      <c r="F556" s="173"/>
      <c r="G556" s="176"/>
      <c r="H556" s="174"/>
      <c r="J556" s="174"/>
      <c r="K556" s="173"/>
      <c r="L556" s="173"/>
      <c r="M556" s="174"/>
      <c r="N556" s="177"/>
      <c r="O556" s="176"/>
      <c r="P556" s="177"/>
      <c r="Q556" s="178"/>
      <c r="R556" s="179"/>
      <c r="S556" s="177"/>
      <c r="T556" s="180"/>
      <c r="U556" s="180"/>
      <c r="V556" s="177"/>
      <c r="W556" s="177"/>
      <c r="X556" s="67"/>
    </row>
    <row r="557" spans="1:24" ht="12.75" x14ac:dyDescent="0.2">
      <c r="A557" s="34"/>
      <c r="B557" s="173"/>
      <c r="C557" s="173"/>
      <c r="D557" s="174"/>
      <c r="E557" s="173"/>
      <c r="F557" s="173"/>
      <c r="G557" s="176"/>
      <c r="H557" s="174"/>
      <c r="J557" s="174"/>
      <c r="K557" s="173"/>
      <c r="L557" s="173"/>
      <c r="M557" s="174"/>
      <c r="N557" s="177"/>
      <c r="O557" s="176"/>
      <c r="P557" s="177"/>
      <c r="Q557" s="178"/>
      <c r="R557" s="179"/>
      <c r="S557" s="177"/>
      <c r="T557" s="180"/>
      <c r="U557" s="180"/>
      <c r="V557" s="177"/>
      <c r="W557" s="177"/>
      <c r="X557" s="67"/>
    </row>
    <row r="558" spans="1:24" ht="12.75" x14ac:dyDescent="0.2">
      <c r="A558" s="34"/>
      <c r="B558" s="173"/>
      <c r="C558" s="173"/>
      <c r="D558" s="174"/>
      <c r="E558" s="173"/>
      <c r="F558" s="173"/>
      <c r="G558" s="176"/>
      <c r="H558" s="174"/>
      <c r="J558" s="174"/>
      <c r="K558" s="173"/>
      <c r="L558" s="173"/>
      <c r="M558" s="174"/>
      <c r="N558" s="177"/>
      <c r="O558" s="176"/>
      <c r="P558" s="177"/>
      <c r="Q558" s="178"/>
      <c r="R558" s="179"/>
      <c r="S558" s="177"/>
      <c r="T558" s="180"/>
      <c r="U558" s="180"/>
      <c r="V558" s="177"/>
      <c r="W558" s="177"/>
      <c r="X558" s="67"/>
    </row>
    <row r="559" spans="1:24" ht="12.75" x14ac:dyDescent="0.2">
      <c r="A559" s="34"/>
      <c r="B559" s="173"/>
      <c r="C559" s="173"/>
      <c r="D559" s="174"/>
      <c r="E559" s="173"/>
      <c r="F559" s="173"/>
      <c r="G559" s="176"/>
      <c r="H559" s="174"/>
      <c r="J559" s="174"/>
      <c r="K559" s="173"/>
      <c r="L559" s="173"/>
      <c r="M559" s="174"/>
      <c r="N559" s="177"/>
      <c r="O559" s="176"/>
      <c r="P559" s="177"/>
      <c r="Q559" s="178"/>
      <c r="R559" s="179"/>
      <c r="S559" s="177"/>
      <c r="T559" s="180"/>
      <c r="U559" s="180"/>
      <c r="V559" s="177"/>
      <c r="W559" s="177"/>
      <c r="X559" s="67"/>
    </row>
    <row r="560" spans="1:24" ht="12.75" x14ac:dyDescent="0.2">
      <c r="A560" s="34"/>
      <c r="B560" s="173"/>
      <c r="C560" s="173"/>
      <c r="D560" s="174"/>
      <c r="E560" s="173"/>
      <c r="F560" s="173"/>
      <c r="G560" s="176"/>
      <c r="H560" s="174"/>
      <c r="J560" s="174"/>
      <c r="K560" s="173"/>
      <c r="L560" s="173"/>
      <c r="M560" s="174"/>
      <c r="N560" s="177"/>
      <c r="O560" s="176"/>
      <c r="P560" s="177"/>
      <c r="Q560" s="178"/>
      <c r="R560" s="179"/>
      <c r="S560" s="177"/>
      <c r="T560" s="180"/>
      <c r="U560" s="180"/>
      <c r="V560" s="177"/>
      <c r="W560" s="177"/>
      <c r="X560" s="67"/>
    </row>
    <row r="561" spans="1:24" ht="12.75" x14ac:dyDescent="0.2">
      <c r="A561" s="34"/>
      <c r="B561" s="173"/>
      <c r="C561" s="173"/>
      <c r="D561" s="174"/>
      <c r="E561" s="173"/>
      <c r="F561" s="173"/>
      <c r="G561" s="176"/>
      <c r="H561" s="174"/>
      <c r="J561" s="174"/>
      <c r="K561" s="173"/>
      <c r="L561" s="173"/>
      <c r="M561" s="174"/>
      <c r="N561" s="177"/>
      <c r="O561" s="176"/>
      <c r="P561" s="177"/>
      <c r="Q561" s="178"/>
      <c r="R561" s="179"/>
      <c r="S561" s="177"/>
      <c r="T561" s="180"/>
      <c r="U561" s="180"/>
      <c r="V561" s="177"/>
      <c r="W561" s="177"/>
      <c r="X561" s="67"/>
    </row>
    <row r="562" spans="1:24" ht="12.75" x14ac:dyDescent="0.2">
      <c r="A562" s="34"/>
      <c r="B562" s="173"/>
      <c r="C562" s="173"/>
      <c r="D562" s="174"/>
      <c r="E562" s="173"/>
      <c r="F562" s="173"/>
      <c r="G562" s="176"/>
      <c r="H562" s="174"/>
      <c r="J562" s="174"/>
      <c r="K562" s="173"/>
      <c r="L562" s="173"/>
      <c r="M562" s="174"/>
      <c r="N562" s="177"/>
      <c r="O562" s="176"/>
      <c r="P562" s="177"/>
      <c r="Q562" s="178"/>
      <c r="R562" s="179"/>
      <c r="S562" s="177"/>
      <c r="T562" s="180"/>
      <c r="U562" s="180"/>
      <c r="V562" s="177"/>
      <c r="W562" s="177"/>
      <c r="X562" s="67"/>
    </row>
    <row r="563" spans="1:24" ht="12.75" x14ac:dyDescent="0.2">
      <c r="A563" s="34"/>
      <c r="B563" s="173"/>
      <c r="C563" s="173"/>
      <c r="D563" s="174"/>
      <c r="E563" s="173"/>
      <c r="F563" s="173"/>
      <c r="G563" s="176"/>
      <c r="H563" s="174"/>
      <c r="J563" s="174"/>
      <c r="K563" s="173"/>
      <c r="L563" s="173"/>
      <c r="M563" s="174"/>
      <c r="N563" s="177"/>
      <c r="O563" s="176"/>
      <c r="P563" s="177"/>
      <c r="Q563" s="178"/>
      <c r="R563" s="179"/>
      <c r="S563" s="177"/>
      <c r="T563" s="180"/>
      <c r="U563" s="180"/>
      <c r="V563" s="177"/>
      <c r="W563" s="177"/>
      <c r="X563" s="67"/>
    </row>
    <row r="564" spans="1:24" ht="12.75" x14ac:dyDescent="0.2">
      <c r="A564" s="34"/>
      <c r="B564" s="173"/>
      <c r="C564" s="173"/>
      <c r="D564" s="174"/>
      <c r="E564" s="173"/>
      <c r="F564" s="173"/>
      <c r="G564" s="176"/>
      <c r="H564" s="174"/>
      <c r="J564" s="174"/>
      <c r="K564" s="173"/>
      <c r="L564" s="173"/>
      <c r="M564" s="174"/>
      <c r="N564" s="177"/>
      <c r="O564" s="176"/>
      <c r="P564" s="177"/>
      <c r="Q564" s="178"/>
      <c r="R564" s="179"/>
      <c r="S564" s="177"/>
      <c r="T564" s="180"/>
      <c r="U564" s="180"/>
      <c r="V564" s="177"/>
      <c r="W564" s="177"/>
      <c r="X564" s="67"/>
    </row>
    <row r="565" spans="1:24" ht="12.75" x14ac:dyDescent="0.2">
      <c r="A565" s="34"/>
      <c r="B565" s="173"/>
      <c r="C565" s="173"/>
      <c r="D565" s="174"/>
      <c r="E565" s="173"/>
      <c r="F565" s="173"/>
      <c r="G565" s="176"/>
      <c r="H565" s="174"/>
      <c r="J565" s="174"/>
      <c r="K565" s="173"/>
      <c r="L565" s="173"/>
      <c r="M565" s="174"/>
      <c r="N565" s="177"/>
      <c r="O565" s="176"/>
      <c r="P565" s="177"/>
      <c r="Q565" s="178"/>
      <c r="R565" s="179"/>
      <c r="S565" s="177"/>
      <c r="T565" s="180"/>
      <c r="U565" s="180"/>
      <c r="V565" s="177"/>
      <c r="W565" s="177"/>
      <c r="X565" s="67"/>
    </row>
    <row r="566" spans="1:24" ht="12.75" x14ac:dyDescent="0.2">
      <c r="A566" s="34"/>
      <c r="B566" s="173"/>
      <c r="C566" s="173"/>
      <c r="D566" s="174"/>
      <c r="E566" s="173"/>
      <c r="F566" s="173"/>
      <c r="G566" s="176"/>
      <c r="H566" s="174"/>
      <c r="J566" s="174"/>
      <c r="K566" s="173"/>
      <c r="L566" s="173"/>
      <c r="M566" s="174"/>
      <c r="N566" s="177"/>
      <c r="O566" s="176"/>
      <c r="P566" s="177"/>
      <c r="Q566" s="178"/>
      <c r="R566" s="179"/>
      <c r="S566" s="177"/>
      <c r="T566" s="180"/>
      <c r="U566" s="180"/>
      <c r="V566" s="177"/>
      <c r="W566" s="177"/>
      <c r="X566" s="67"/>
    </row>
    <row r="567" spans="1:24" ht="12.75" x14ac:dyDescent="0.2">
      <c r="A567" s="34"/>
      <c r="B567" s="173"/>
      <c r="C567" s="173"/>
      <c r="D567" s="174"/>
      <c r="E567" s="173"/>
      <c r="F567" s="173"/>
      <c r="G567" s="176"/>
      <c r="H567" s="174"/>
      <c r="J567" s="174"/>
      <c r="K567" s="173"/>
      <c r="L567" s="173"/>
      <c r="M567" s="174"/>
      <c r="N567" s="177"/>
      <c r="O567" s="176"/>
      <c r="P567" s="177"/>
      <c r="Q567" s="178"/>
      <c r="R567" s="179"/>
      <c r="S567" s="177"/>
      <c r="T567" s="180"/>
      <c r="U567" s="180"/>
      <c r="V567" s="177"/>
      <c r="W567" s="177"/>
      <c r="X567" s="67"/>
    </row>
    <row r="568" spans="1:24" ht="12.75" x14ac:dyDescent="0.2">
      <c r="A568" s="34"/>
      <c r="B568" s="173"/>
      <c r="C568" s="173"/>
      <c r="D568" s="174"/>
      <c r="E568" s="173"/>
      <c r="F568" s="173"/>
      <c r="G568" s="176"/>
      <c r="H568" s="174"/>
      <c r="J568" s="174"/>
      <c r="K568" s="173"/>
      <c r="L568" s="173"/>
      <c r="M568" s="174"/>
      <c r="N568" s="177"/>
      <c r="O568" s="176"/>
      <c r="P568" s="177"/>
      <c r="Q568" s="178"/>
      <c r="R568" s="179"/>
      <c r="S568" s="177"/>
      <c r="T568" s="180"/>
      <c r="U568" s="180"/>
      <c r="V568" s="177"/>
      <c r="W568" s="177"/>
      <c r="X568" s="67"/>
    </row>
    <row r="569" spans="1:24" ht="12.75" x14ac:dyDescent="0.2">
      <c r="A569" s="34"/>
      <c r="B569" s="173"/>
      <c r="C569" s="173"/>
      <c r="D569" s="174"/>
      <c r="E569" s="173"/>
      <c r="F569" s="173"/>
      <c r="G569" s="176"/>
      <c r="H569" s="174"/>
      <c r="J569" s="174"/>
      <c r="K569" s="173"/>
      <c r="L569" s="173"/>
      <c r="M569" s="174"/>
      <c r="N569" s="177"/>
      <c r="O569" s="176"/>
      <c r="P569" s="177"/>
      <c r="Q569" s="178"/>
      <c r="R569" s="179"/>
      <c r="S569" s="177"/>
      <c r="T569" s="180"/>
      <c r="U569" s="180"/>
      <c r="V569" s="177"/>
      <c r="W569" s="177"/>
      <c r="X569" s="67"/>
    </row>
    <row r="570" spans="1:24" ht="12.75" x14ac:dyDescent="0.2">
      <c r="A570" s="34"/>
      <c r="B570" s="173"/>
      <c r="C570" s="173"/>
      <c r="D570" s="174"/>
      <c r="E570" s="173"/>
      <c r="F570" s="173"/>
      <c r="G570" s="176"/>
      <c r="H570" s="174"/>
      <c r="J570" s="174"/>
      <c r="K570" s="173"/>
      <c r="L570" s="173"/>
      <c r="M570" s="174"/>
      <c r="N570" s="177"/>
      <c r="O570" s="176"/>
      <c r="P570" s="177"/>
      <c r="Q570" s="178"/>
      <c r="R570" s="179"/>
      <c r="S570" s="177"/>
      <c r="T570" s="180"/>
      <c r="U570" s="180"/>
      <c r="V570" s="177"/>
      <c r="W570" s="177"/>
      <c r="X570" s="67"/>
    </row>
    <row r="571" spans="1:24" ht="12.75" x14ac:dyDescent="0.2">
      <c r="A571" s="34"/>
      <c r="B571" s="173"/>
      <c r="C571" s="173"/>
      <c r="D571" s="174"/>
      <c r="E571" s="173"/>
      <c r="F571" s="173"/>
      <c r="G571" s="176"/>
      <c r="H571" s="174"/>
      <c r="J571" s="174"/>
      <c r="K571" s="173"/>
      <c r="L571" s="173"/>
      <c r="M571" s="174"/>
      <c r="N571" s="177"/>
      <c r="O571" s="176"/>
      <c r="P571" s="177"/>
      <c r="Q571" s="178"/>
      <c r="R571" s="179"/>
      <c r="S571" s="177"/>
      <c r="T571" s="180"/>
      <c r="U571" s="180"/>
      <c r="V571" s="177"/>
      <c r="W571" s="177"/>
      <c r="X571" s="67"/>
    </row>
    <row r="572" spans="1:24" ht="12.75" x14ac:dyDescent="0.2">
      <c r="A572" s="34"/>
      <c r="B572" s="173"/>
      <c r="C572" s="173"/>
      <c r="D572" s="174"/>
      <c r="E572" s="173"/>
      <c r="F572" s="173"/>
      <c r="G572" s="176"/>
      <c r="H572" s="174"/>
      <c r="J572" s="174"/>
      <c r="K572" s="173"/>
      <c r="L572" s="173"/>
      <c r="M572" s="174"/>
      <c r="N572" s="177"/>
      <c r="O572" s="176"/>
      <c r="P572" s="177"/>
      <c r="Q572" s="178"/>
      <c r="R572" s="179"/>
      <c r="S572" s="177"/>
      <c r="T572" s="180"/>
      <c r="U572" s="180"/>
      <c r="V572" s="177"/>
      <c r="W572" s="177"/>
      <c r="X572" s="67"/>
    </row>
    <row r="573" spans="1:24" ht="12.75" x14ac:dyDescent="0.2">
      <c r="A573" s="34"/>
      <c r="B573" s="173"/>
      <c r="C573" s="173"/>
      <c r="D573" s="174"/>
      <c r="E573" s="173"/>
      <c r="F573" s="173"/>
      <c r="G573" s="176"/>
      <c r="H573" s="174"/>
      <c r="J573" s="174"/>
      <c r="K573" s="173"/>
      <c r="L573" s="173"/>
      <c r="M573" s="174"/>
      <c r="N573" s="177"/>
      <c r="O573" s="176"/>
      <c r="P573" s="177"/>
      <c r="Q573" s="178"/>
      <c r="R573" s="179"/>
      <c r="S573" s="177"/>
      <c r="T573" s="180"/>
      <c r="U573" s="180"/>
      <c r="V573" s="177"/>
      <c r="W573" s="177"/>
      <c r="X573" s="67"/>
    </row>
    <row r="574" spans="1:24" ht="12.75" x14ac:dyDescent="0.2">
      <c r="A574" s="34"/>
      <c r="B574" s="173"/>
      <c r="C574" s="173"/>
      <c r="D574" s="174"/>
      <c r="E574" s="173"/>
      <c r="F574" s="173"/>
      <c r="G574" s="176"/>
      <c r="H574" s="174"/>
      <c r="J574" s="174"/>
      <c r="K574" s="173"/>
      <c r="L574" s="173"/>
      <c r="M574" s="174"/>
      <c r="N574" s="177"/>
      <c r="O574" s="176"/>
      <c r="P574" s="177"/>
      <c r="Q574" s="178"/>
      <c r="R574" s="179"/>
      <c r="S574" s="177"/>
      <c r="T574" s="180"/>
      <c r="U574" s="180"/>
      <c r="V574" s="177"/>
      <c r="W574" s="177"/>
      <c r="X574" s="67"/>
    </row>
    <row r="575" spans="1:24" ht="12.75" x14ac:dyDescent="0.2">
      <c r="A575" s="34"/>
      <c r="B575" s="173"/>
      <c r="C575" s="173"/>
      <c r="D575" s="174"/>
      <c r="E575" s="173"/>
      <c r="F575" s="173"/>
      <c r="G575" s="176"/>
      <c r="H575" s="174"/>
      <c r="J575" s="174"/>
      <c r="K575" s="173"/>
      <c r="L575" s="173"/>
      <c r="M575" s="174"/>
      <c r="N575" s="177"/>
      <c r="O575" s="176"/>
      <c r="P575" s="177"/>
      <c r="Q575" s="178"/>
      <c r="R575" s="179"/>
      <c r="S575" s="177"/>
      <c r="T575" s="180"/>
      <c r="U575" s="180"/>
      <c r="V575" s="177"/>
      <c r="W575" s="177"/>
      <c r="X575" s="67"/>
    </row>
    <row r="576" spans="1:24" ht="12.75" x14ac:dyDescent="0.2">
      <c r="A576" s="34"/>
      <c r="B576" s="173"/>
      <c r="C576" s="173"/>
      <c r="D576" s="174"/>
      <c r="E576" s="173"/>
      <c r="F576" s="173"/>
      <c r="G576" s="176"/>
      <c r="H576" s="174"/>
      <c r="J576" s="174"/>
      <c r="K576" s="173"/>
      <c r="L576" s="173"/>
      <c r="M576" s="174"/>
      <c r="N576" s="177"/>
      <c r="O576" s="176"/>
      <c r="P576" s="177"/>
      <c r="Q576" s="178"/>
      <c r="R576" s="179"/>
      <c r="S576" s="177"/>
      <c r="T576" s="180"/>
      <c r="U576" s="180"/>
      <c r="V576" s="177"/>
      <c r="W576" s="177"/>
      <c r="X576" s="67"/>
    </row>
    <row r="577" spans="1:24" ht="12.75" x14ac:dyDescent="0.2">
      <c r="A577" s="34"/>
      <c r="B577" s="173"/>
      <c r="C577" s="173"/>
      <c r="D577" s="174"/>
      <c r="E577" s="173"/>
      <c r="F577" s="173"/>
      <c r="G577" s="176"/>
      <c r="H577" s="174"/>
      <c r="J577" s="174"/>
      <c r="K577" s="173"/>
      <c r="L577" s="173"/>
      <c r="M577" s="174"/>
      <c r="N577" s="177"/>
      <c r="O577" s="176"/>
      <c r="P577" s="177"/>
      <c r="Q577" s="178"/>
      <c r="R577" s="179"/>
      <c r="S577" s="177"/>
      <c r="T577" s="180"/>
      <c r="U577" s="180"/>
      <c r="V577" s="177"/>
      <c r="W577" s="177"/>
      <c r="X577" s="67"/>
    </row>
    <row r="578" spans="1:24" ht="12.75" x14ac:dyDescent="0.2">
      <c r="A578" s="34"/>
      <c r="B578" s="173"/>
      <c r="C578" s="173"/>
      <c r="D578" s="174"/>
      <c r="E578" s="173"/>
      <c r="F578" s="173"/>
      <c r="G578" s="176"/>
      <c r="H578" s="174"/>
      <c r="J578" s="174"/>
      <c r="K578" s="173"/>
      <c r="L578" s="173"/>
      <c r="M578" s="174"/>
      <c r="N578" s="177"/>
      <c r="O578" s="176"/>
      <c r="P578" s="177"/>
      <c r="Q578" s="178"/>
      <c r="R578" s="179"/>
      <c r="S578" s="177"/>
      <c r="T578" s="180"/>
      <c r="U578" s="180"/>
      <c r="V578" s="177"/>
      <c r="W578" s="177"/>
      <c r="X578" s="67"/>
    </row>
    <row r="579" spans="1:24" ht="12.75" x14ac:dyDescent="0.2">
      <c r="A579" s="34"/>
      <c r="B579" s="173"/>
      <c r="C579" s="173"/>
      <c r="D579" s="174"/>
      <c r="E579" s="173"/>
      <c r="F579" s="173"/>
      <c r="G579" s="176"/>
      <c r="H579" s="174"/>
      <c r="J579" s="174"/>
      <c r="K579" s="173"/>
      <c r="L579" s="173"/>
      <c r="M579" s="174"/>
      <c r="N579" s="177"/>
      <c r="O579" s="176"/>
      <c r="P579" s="177"/>
      <c r="Q579" s="178"/>
      <c r="R579" s="179"/>
      <c r="S579" s="177"/>
      <c r="T579" s="180"/>
      <c r="U579" s="180"/>
      <c r="V579" s="177"/>
      <c r="W579" s="177"/>
      <c r="X579" s="67"/>
    </row>
    <row r="580" spans="1:24" ht="12.75" x14ac:dyDescent="0.2">
      <c r="A580" s="34"/>
      <c r="B580" s="173"/>
      <c r="C580" s="173"/>
      <c r="D580" s="174"/>
      <c r="E580" s="173"/>
      <c r="F580" s="173"/>
      <c r="G580" s="176"/>
      <c r="H580" s="174"/>
      <c r="J580" s="174"/>
      <c r="K580" s="173"/>
      <c r="L580" s="173"/>
      <c r="M580" s="174"/>
      <c r="N580" s="177"/>
      <c r="O580" s="176"/>
      <c r="P580" s="177"/>
      <c r="Q580" s="178"/>
      <c r="R580" s="179"/>
      <c r="S580" s="177"/>
      <c r="T580" s="180"/>
      <c r="U580" s="180"/>
      <c r="V580" s="177"/>
      <c r="W580" s="177"/>
      <c r="X580" s="67"/>
    </row>
    <row r="581" spans="1:24" ht="12.75" x14ac:dyDescent="0.2">
      <c r="A581" s="34"/>
      <c r="B581" s="173"/>
      <c r="C581" s="173"/>
      <c r="D581" s="174"/>
      <c r="E581" s="173"/>
      <c r="F581" s="173"/>
      <c r="G581" s="176"/>
      <c r="H581" s="174"/>
      <c r="J581" s="174"/>
      <c r="K581" s="173"/>
      <c r="L581" s="173"/>
      <c r="M581" s="174"/>
      <c r="N581" s="177"/>
      <c r="O581" s="176"/>
      <c r="P581" s="177"/>
      <c r="Q581" s="178"/>
      <c r="R581" s="179"/>
      <c r="S581" s="177"/>
      <c r="T581" s="180"/>
      <c r="U581" s="180"/>
      <c r="V581" s="177"/>
      <c r="W581" s="177"/>
      <c r="X581" s="67"/>
    </row>
    <row r="582" spans="1:24" ht="12.75" x14ac:dyDescent="0.2">
      <c r="A582" s="34"/>
      <c r="B582" s="173"/>
      <c r="C582" s="173"/>
      <c r="D582" s="174"/>
      <c r="E582" s="173"/>
      <c r="F582" s="173"/>
      <c r="G582" s="176"/>
      <c r="H582" s="174"/>
      <c r="J582" s="174"/>
      <c r="K582" s="173"/>
      <c r="L582" s="173"/>
      <c r="M582" s="174"/>
      <c r="N582" s="177"/>
      <c r="O582" s="176"/>
      <c r="P582" s="177"/>
      <c r="Q582" s="178"/>
      <c r="R582" s="179"/>
      <c r="S582" s="177"/>
      <c r="T582" s="180"/>
      <c r="U582" s="180"/>
      <c r="V582" s="177"/>
      <c r="W582" s="177"/>
      <c r="X582" s="67"/>
    </row>
    <row r="583" spans="1:24" ht="12.75" x14ac:dyDescent="0.2">
      <c r="A583" s="34"/>
      <c r="B583" s="173"/>
      <c r="C583" s="173"/>
      <c r="D583" s="174"/>
      <c r="E583" s="173"/>
      <c r="F583" s="173"/>
      <c r="G583" s="176"/>
      <c r="H583" s="174"/>
      <c r="J583" s="174"/>
      <c r="K583" s="173"/>
      <c r="L583" s="173"/>
      <c r="M583" s="174"/>
      <c r="N583" s="177"/>
      <c r="O583" s="176"/>
      <c r="P583" s="177"/>
      <c r="Q583" s="178"/>
      <c r="R583" s="179"/>
      <c r="S583" s="177"/>
      <c r="T583" s="180"/>
      <c r="U583" s="180"/>
      <c r="V583" s="177"/>
      <c r="W583" s="177"/>
      <c r="X583" s="67"/>
    </row>
    <row r="584" spans="1:24" ht="12.75" x14ac:dyDescent="0.2">
      <c r="A584" s="34"/>
      <c r="B584" s="173"/>
      <c r="C584" s="173"/>
      <c r="D584" s="174"/>
      <c r="E584" s="173"/>
      <c r="F584" s="173"/>
      <c r="G584" s="176"/>
      <c r="H584" s="174"/>
      <c r="J584" s="174"/>
      <c r="K584" s="173"/>
      <c r="L584" s="173"/>
      <c r="M584" s="174"/>
      <c r="N584" s="177"/>
      <c r="O584" s="176"/>
      <c r="P584" s="177"/>
      <c r="Q584" s="178"/>
      <c r="R584" s="179"/>
      <c r="S584" s="177"/>
      <c r="T584" s="180"/>
      <c r="U584" s="180"/>
      <c r="V584" s="177"/>
      <c r="W584" s="177"/>
      <c r="X584" s="67"/>
    </row>
    <row r="585" spans="1:24" ht="12.75" x14ac:dyDescent="0.2">
      <c r="A585" s="34"/>
      <c r="B585" s="173"/>
      <c r="C585" s="173"/>
      <c r="D585" s="174"/>
      <c r="E585" s="173"/>
      <c r="F585" s="173"/>
      <c r="G585" s="176"/>
      <c r="H585" s="174"/>
      <c r="J585" s="174"/>
      <c r="K585" s="173"/>
      <c r="L585" s="173"/>
      <c r="M585" s="174"/>
      <c r="N585" s="177"/>
      <c r="O585" s="176"/>
      <c r="P585" s="177"/>
      <c r="Q585" s="178"/>
      <c r="R585" s="179"/>
      <c r="S585" s="177"/>
      <c r="T585" s="180"/>
      <c r="U585" s="180"/>
      <c r="V585" s="177"/>
      <c r="W585" s="177"/>
      <c r="X585" s="67"/>
    </row>
    <row r="586" spans="1:24" ht="12.75" x14ac:dyDescent="0.2">
      <c r="A586" s="34"/>
      <c r="B586" s="173"/>
      <c r="C586" s="173"/>
      <c r="D586" s="174"/>
      <c r="E586" s="173"/>
      <c r="F586" s="173"/>
      <c r="G586" s="176"/>
      <c r="H586" s="174"/>
      <c r="J586" s="174"/>
      <c r="K586" s="173"/>
      <c r="L586" s="173"/>
      <c r="M586" s="174"/>
      <c r="N586" s="177"/>
      <c r="O586" s="176"/>
      <c r="P586" s="177"/>
      <c r="Q586" s="178"/>
      <c r="R586" s="179"/>
      <c r="S586" s="177"/>
      <c r="T586" s="180"/>
      <c r="U586" s="180"/>
      <c r="V586" s="177"/>
      <c r="W586" s="177"/>
      <c r="X586" s="67"/>
    </row>
    <row r="587" spans="1:24" ht="12.75" x14ac:dyDescent="0.2">
      <c r="A587" s="34"/>
      <c r="B587" s="173"/>
      <c r="C587" s="173"/>
      <c r="D587" s="174"/>
      <c r="E587" s="173"/>
      <c r="F587" s="173"/>
      <c r="G587" s="176"/>
      <c r="H587" s="174"/>
      <c r="J587" s="174"/>
      <c r="K587" s="173"/>
      <c r="L587" s="173"/>
      <c r="M587" s="174"/>
      <c r="N587" s="177"/>
      <c r="O587" s="176"/>
      <c r="P587" s="177"/>
      <c r="Q587" s="178"/>
      <c r="R587" s="179"/>
      <c r="S587" s="177"/>
      <c r="T587" s="180"/>
      <c r="U587" s="180"/>
      <c r="V587" s="177"/>
      <c r="W587" s="177"/>
      <c r="X587" s="67"/>
    </row>
    <row r="588" spans="1:24" ht="12.75" x14ac:dyDescent="0.2">
      <c r="A588" s="34"/>
      <c r="B588" s="173"/>
      <c r="C588" s="173"/>
      <c r="D588" s="174"/>
      <c r="E588" s="173"/>
      <c r="F588" s="173"/>
      <c r="G588" s="176"/>
      <c r="H588" s="174"/>
      <c r="J588" s="174"/>
      <c r="K588" s="173"/>
      <c r="L588" s="173"/>
      <c r="M588" s="174"/>
      <c r="N588" s="177"/>
      <c r="O588" s="176"/>
      <c r="P588" s="177"/>
      <c r="Q588" s="178"/>
      <c r="R588" s="179"/>
      <c r="S588" s="177"/>
      <c r="T588" s="180"/>
      <c r="U588" s="180"/>
      <c r="V588" s="177"/>
      <c r="W588" s="177"/>
      <c r="X588" s="67"/>
    </row>
    <row r="589" spans="1:24" ht="12.75" x14ac:dyDescent="0.2">
      <c r="A589" s="34"/>
      <c r="B589" s="173"/>
      <c r="C589" s="173"/>
      <c r="D589" s="174"/>
      <c r="E589" s="173"/>
      <c r="F589" s="173"/>
      <c r="G589" s="176"/>
      <c r="H589" s="174"/>
      <c r="J589" s="174"/>
      <c r="K589" s="173"/>
      <c r="L589" s="173"/>
      <c r="M589" s="174"/>
      <c r="N589" s="177"/>
      <c r="O589" s="176"/>
      <c r="P589" s="177"/>
      <c r="Q589" s="178"/>
      <c r="R589" s="179"/>
      <c r="S589" s="177"/>
      <c r="T589" s="180"/>
      <c r="U589" s="180"/>
      <c r="V589" s="177"/>
      <c r="W589" s="177"/>
      <c r="X589" s="67"/>
    </row>
    <row r="590" spans="1:24" ht="12.75" x14ac:dyDescent="0.2">
      <c r="A590" s="34"/>
      <c r="B590" s="173"/>
      <c r="C590" s="173"/>
      <c r="D590" s="174"/>
      <c r="E590" s="173"/>
      <c r="F590" s="173"/>
      <c r="G590" s="176"/>
      <c r="H590" s="174"/>
      <c r="J590" s="174"/>
      <c r="K590" s="173"/>
      <c r="L590" s="173"/>
      <c r="M590" s="174"/>
      <c r="N590" s="177"/>
      <c r="O590" s="176"/>
      <c r="P590" s="177"/>
      <c r="Q590" s="178"/>
      <c r="R590" s="179"/>
      <c r="S590" s="177"/>
      <c r="T590" s="180"/>
      <c r="U590" s="180"/>
      <c r="V590" s="177"/>
      <c r="W590" s="177"/>
      <c r="X590" s="67"/>
    </row>
    <row r="591" spans="1:24" ht="12.75" x14ac:dyDescent="0.2">
      <c r="A591" s="34"/>
      <c r="B591" s="173"/>
      <c r="C591" s="173"/>
      <c r="D591" s="174"/>
      <c r="E591" s="173"/>
      <c r="F591" s="173"/>
      <c r="G591" s="176"/>
      <c r="H591" s="174"/>
      <c r="J591" s="174"/>
      <c r="K591" s="173"/>
      <c r="L591" s="173"/>
      <c r="M591" s="174"/>
      <c r="N591" s="177"/>
      <c r="O591" s="176"/>
      <c r="P591" s="177"/>
      <c r="Q591" s="178"/>
      <c r="R591" s="179"/>
      <c r="S591" s="177"/>
      <c r="T591" s="180"/>
      <c r="U591" s="180"/>
      <c r="V591" s="177"/>
      <c r="W591" s="177"/>
      <c r="X591" s="67"/>
    </row>
    <row r="592" spans="1:24" ht="12.75" x14ac:dyDescent="0.2">
      <c r="A592" s="34"/>
      <c r="B592" s="173"/>
      <c r="C592" s="173"/>
      <c r="D592" s="174"/>
      <c r="E592" s="173"/>
      <c r="F592" s="173"/>
      <c r="G592" s="176"/>
      <c r="H592" s="174"/>
      <c r="J592" s="174"/>
      <c r="K592" s="173"/>
      <c r="L592" s="173"/>
      <c r="M592" s="174"/>
      <c r="N592" s="177"/>
      <c r="O592" s="176"/>
      <c r="P592" s="177"/>
      <c r="Q592" s="178"/>
      <c r="R592" s="179"/>
      <c r="S592" s="177"/>
      <c r="T592" s="180"/>
      <c r="U592" s="180"/>
      <c r="V592" s="177"/>
      <c r="W592" s="177"/>
      <c r="X592" s="67"/>
    </row>
    <row r="593" spans="1:24" ht="12.75" x14ac:dyDescent="0.2">
      <c r="A593" s="34"/>
      <c r="B593" s="173"/>
      <c r="C593" s="173"/>
      <c r="D593" s="174"/>
      <c r="E593" s="173"/>
      <c r="F593" s="173"/>
      <c r="G593" s="176"/>
      <c r="H593" s="174"/>
      <c r="J593" s="174"/>
      <c r="K593" s="173"/>
      <c r="L593" s="173"/>
      <c r="M593" s="174"/>
      <c r="N593" s="177"/>
      <c r="O593" s="176"/>
      <c r="P593" s="177"/>
      <c r="Q593" s="178"/>
      <c r="R593" s="179"/>
      <c r="S593" s="177"/>
      <c r="T593" s="180"/>
      <c r="U593" s="180"/>
      <c r="V593" s="177"/>
      <c r="W593" s="177"/>
      <c r="X593" s="67"/>
    </row>
    <row r="594" spans="1:24" ht="12.75" x14ac:dyDescent="0.2">
      <c r="A594" s="34"/>
      <c r="B594" s="173"/>
      <c r="C594" s="173"/>
      <c r="D594" s="174"/>
      <c r="E594" s="173"/>
      <c r="F594" s="173"/>
      <c r="G594" s="176"/>
      <c r="H594" s="174"/>
      <c r="J594" s="174"/>
      <c r="K594" s="173"/>
      <c r="L594" s="173"/>
      <c r="M594" s="174"/>
      <c r="N594" s="177"/>
      <c r="O594" s="176"/>
      <c r="P594" s="177"/>
      <c r="Q594" s="178"/>
      <c r="R594" s="179"/>
      <c r="S594" s="177"/>
      <c r="T594" s="180"/>
      <c r="U594" s="180"/>
      <c r="V594" s="177"/>
      <c r="W594" s="177"/>
      <c r="X594" s="67"/>
    </row>
    <row r="595" spans="1:24" ht="12.75" x14ac:dyDescent="0.2">
      <c r="A595" s="34"/>
      <c r="B595" s="173"/>
      <c r="C595" s="173"/>
      <c r="D595" s="174"/>
      <c r="E595" s="173"/>
      <c r="F595" s="173"/>
      <c r="G595" s="176"/>
      <c r="H595" s="174"/>
      <c r="J595" s="174"/>
      <c r="K595" s="173"/>
      <c r="L595" s="173"/>
      <c r="M595" s="174"/>
      <c r="N595" s="177"/>
      <c r="O595" s="176"/>
      <c r="P595" s="177"/>
      <c r="Q595" s="178"/>
      <c r="R595" s="179"/>
      <c r="S595" s="177"/>
      <c r="T595" s="180"/>
      <c r="U595" s="180"/>
      <c r="V595" s="177"/>
      <c r="W595" s="177"/>
      <c r="X595" s="67"/>
    </row>
    <row r="596" spans="1:24" ht="12.75" x14ac:dyDescent="0.2">
      <c r="A596" s="34"/>
      <c r="B596" s="173"/>
      <c r="C596" s="173"/>
      <c r="D596" s="174"/>
      <c r="E596" s="173"/>
      <c r="F596" s="173"/>
      <c r="G596" s="176"/>
      <c r="H596" s="174"/>
      <c r="J596" s="174"/>
      <c r="K596" s="173"/>
      <c r="L596" s="173"/>
      <c r="M596" s="174"/>
      <c r="N596" s="177"/>
      <c r="O596" s="176"/>
      <c r="P596" s="177"/>
      <c r="Q596" s="178"/>
      <c r="R596" s="179"/>
      <c r="S596" s="177"/>
      <c r="T596" s="180"/>
      <c r="U596" s="180"/>
      <c r="V596" s="177"/>
      <c r="W596" s="177"/>
      <c r="X596" s="67"/>
    </row>
    <row r="597" spans="1:24" ht="12.75" x14ac:dyDescent="0.2">
      <c r="A597" s="34"/>
      <c r="B597" s="173"/>
      <c r="C597" s="173"/>
      <c r="D597" s="174"/>
      <c r="E597" s="173"/>
      <c r="F597" s="173"/>
      <c r="G597" s="176"/>
      <c r="H597" s="174"/>
      <c r="J597" s="174"/>
      <c r="K597" s="173"/>
      <c r="L597" s="173"/>
      <c r="M597" s="174"/>
      <c r="N597" s="177"/>
      <c r="O597" s="176"/>
      <c r="P597" s="177"/>
      <c r="Q597" s="178"/>
      <c r="R597" s="179"/>
      <c r="S597" s="177"/>
      <c r="T597" s="180"/>
      <c r="U597" s="180"/>
      <c r="V597" s="177"/>
      <c r="W597" s="177"/>
      <c r="X597" s="67"/>
    </row>
    <row r="598" spans="1:24" ht="12.75" x14ac:dyDescent="0.2">
      <c r="A598" s="34"/>
      <c r="B598" s="173"/>
      <c r="C598" s="173"/>
      <c r="D598" s="174"/>
      <c r="E598" s="173"/>
      <c r="F598" s="173"/>
      <c r="G598" s="176"/>
      <c r="H598" s="174"/>
      <c r="J598" s="174"/>
      <c r="K598" s="173"/>
      <c r="L598" s="173"/>
      <c r="M598" s="174"/>
      <c r="N598" s="177"/>
      <c r="O598" s="176"/>
      <c r="P598" s="177"/>
      <c r="Q598" s="178"/>
      <c r="R598" s="179"/>
      <c r="S598" s="177"/>
      <c r="T598" s="180"/>
      <c r="U598" s="180"/>
      <c r="V598" s="177"/>
      <c r="W598" s="177"/>
      <c r="X598" s="67"/>
    </row>
    <row r="599" spans="1:24" ht="12.75" x14ac:dyDescent="0.2">
      <c r="A599" s="34"/>
      <c r="B599" s="173"/>
      <c r="C599" s="173"/>
      <c r="D599" s="174"/>
      <c r="E599" s="173"/>
      <c r="F599" s="173"/>
      <c r="G599" s="176"/>
      <c r="H599" s="174"/>
      <c r="J599" s="174"/>
      <c r="K599" s="173"/>
      <c r="L599" s="173"/>
      <c r="M599" s="174"/>
      <c r="N599" s="177"/>
      <c r="O599" s="176"/>
      <c r="P599" s="177"/>
      <c r="Q599" s="178"/>
      <c r="R599" s="179"/>
      <c r="S599" s="177"/>
      <c r="T599" s="180"/>
      <c r="U599" s="180"/>
      <c r="V599" s="177"/>
      <c r="W599" s="177"/>
      <c r="X599" s="67"/>
    </row>
    <row r="600" spans="1:24" ht="12.75" x14ac:dyDescent="0.2">
      <c r="A600" s="34"/>
      <c r="B600" s="173"/>
      <c r="C600" s="173"/>
      <c r="D600" s="174"/>
      <c r="E600" s="173"/>
      <c r="F600" s="173"/>
      <c r="G600" s="176"/>
      <c r="H600" s="174"/>
      <c r="J600" s="174"/>
      <c r="K600" s="173"/>
      <c r="L600" s="173"/>
      <c r="M600" s="174"/>
      <c r="N600" s="177"/>
      <c r="O600" s="176"/>
      <c r="P600" s="177"/>
      <c r="Q600" s="178"/>
      <c r="R600" s="179"/>
      <c r="S600" s="177"/>
      <c r="T600" s="180"/>
      <c r="U600" s="180"/>
      <c r="V600" s="177"/>
      <c r="W600" s="177"/>
      <c r="X600" s="67"/>
    </row>
    <row r="601" spans="1:24" ht="12.75" x14ac:dyDescent="0.2">
      <c r="A601" s="34"/>
      <c r="B601" s="173"/>
      <c r="C601" s="173"/>
      <c r="D601" s="174"/>
      <c r="E601" s="173"/>
      <c r="F601" s="173"/>
      <c r="G601" s="176"/>
      <c r="H601" s="174"/>
      <c r="J601" s="174"/>
      <c r="K601" s="173"/>
      <c r="L601" s="173"/>
      <c r="M601" s="174"/>
      <c r="N601" s="177"/>
      <c r="O601" s="176"/>
      <c r="P601" s="177"/>
      <c r="Q601" s="178"/>
      <c r="R601" s="179"/>
      <c r="S601" s="177"/>
      <c r="T601" s="180"/>
      <c r="U601" s="180"/>
      <c r="V601" s="177"/>
      <c r="W601" s="177"/>
      <c r="X601" s="67"/>
    </row>
    <row r="602" spans="1:24" ht="12.75" x14ac:dyDescent="0.2">
      <c r="A602" s="34"/>
      <c r="B602" s="173"/>
      <c r="C602" s="173"/>
      <c r="D602" s="174"/>
      <c r="E602" s="173"/>
      <c r="F602" s="173"/>
      <c r="G602" s="176"/>
      <c r="H602" s="174"/>
      <c r="J602" s="174"/>
      <c r="K602" s="173"/>
      <c r="L602" s="173"/>
      <c r="M602" s="174"/>
      <c r="N602" s="177"/>
      <c r="O602" s="176"/>
      <c r="P602" s="177"/>
      <c r="Q602" s="178"/>
      <c r="R602" s="179"/>
      <c r="S602" s="177"/>
      <c r="T602" s="180"/>
      <c r="U602" s="180"/>
      <c r="V602" s="177"/>
      <c r="W602" s="177"/>
      <c r="X602" s="67"/>
    </row>
    <row r="603" spans="1:24" ht="12.75" x14ac:dyDescent="0.2">
      <c r="A603" s="34"/>
      <c r="B603" s="173"/>
      <c r="C603" s="173"/>
      <c r="D603" s="174"/>
      <c r="E603" s="173"/>
      <c r="F603" s="173"/>
      <c r="G603" s="176"/>
      <c r="H603" s="174"/>
      <c r="J603" s="174"/>
      <c r="K603" s="173"/>
      <c r="L603" s="173"/>
      <c r="M603" s="174"/>
      <c r="N603" s="177"/>
      <c r="O603" s="176"/>
      <c r="P603" s="177"/>
      <c r="Q603" s="178"/>
      <c r="R603" s="179"/>
      <c r="S603" s="177"/>
      <c r="T603" s="180"/>
      <c r="U603" s="180"/>
      <c r="V603" s="177"/>
      <c r="W603" s="177"/>
      <c r="X603" s="67"/>
    </row>
    <row r="604" spans="1:24" ht="12.75" x14ac:dyDescent="0.2">
      <c r="A604" s="34"/>
      <c r="B604" s="173"/>
      <c r="C604" s="173"/>
      <c r="D604" s="174"/>
      <c r="E604" s="173"/>
      <c r="F604" s="173"/>
      <c r="G604" s="176"/>
      <c r="H604" s="174"/>
      <c r="J604" s="174"/>
      <c r="K604" s="173"/>
      <c r="L604" s="173"/>
      <c r="M604" s="174"/>
      <c r="N604" s="177"/>
      <c r="O604" s="176"/>
      <c r="P604" s="177"/>
      <c r="Q604" s="178"/>
      <c r="R604" s="179"/>
      <c r="S604" s="177"/>
      <c r="T604" s="180"/>
      <c r="U604" s="180"/>
      <c r="V604" s="177"/>
      <c r="W604" s="177"/>
      <c r="X604" s="67"/>
    </row>
    <row r="605" spans="1:24" ht="12.75" x14ac:dyDescent="0.2">
      <c r="A605" s="34"/>
      <c r="B605" s="173"/>
      <c r="C605" s="173"/>
      <c r="D605" s="174"/>
      <c r="E605" s="173"/>
      <c r="F605" s="173"/>
      <c r="G605" s="176"/>
      <c r="H605" s="174"/>
      <c r="J605" s="174"/>
      <c r="K605" s="173"/>
      <c r="L605" s="173"/>
      <c r="M605" s="174"/>
      <c r="N605" s="177"/>
      <c r="O605" s="176"/>
      <c r="P605" s="177"/>
      <c r="Q605" s="178"/>
      <c r="R605" s="179"/>
      <c r="S605" s="177"/>
      <c r="T605" s="180"/>
      <c r="U605" s="180"/>
      <c r="V605" s="177"/>
      <c r="W605" s="177"/>
      <c r="X605" s="67"/>
    </row>
    <row r="606" spans="1:24" ht="12.75" x14ac:dyDescent="0.2">
      <c r="A606" s="34"/>
      <c r="B606" s="173"/>
      <c r="C606" s="173"/>
      <c r="D606" s="174"/>
      <c r="E606" s="173"/>
      <c r="F606" s="173"/>
      <c r="G606" s="176"/>
      <c r="H606" s="174"/>
      <c r="J606" s="174"/>
      <c r="K606" s="173"/>
      <c r="L606" s="173"/>
      <c r="M606" s="174"/>
      <c r="N606" s="177"/>
      <c r="O606" s="176"/>
      <c r="P606" s="177"/>
      <c r="Q606" s="178"/>
      <c r="R606" s="179"/>
      <c r="S606" s="177"/>
      <c r="T606" s="180"/>
      <c r="U606" s="180"/>
      <c r="V606" s="177"/>
      <c r="W606" s="177"/>
      <c r="X606" s="67"/>
    </row>
    <row r="607" spans="1:24" ht="12.75" x14ac:dyDescent="0.2">
      <c r="A607" s="34"/>
      <c r="B607" s="173"/>
      <c r="C607" s="173"/>
      <c r="D607" s="174"/>
      <c r="E607" s="173"/>
      <c r="F607" s="173"/>
      <c r="G607" s="176"/>
      <c r="H607" s="174"/>
      <c r="J607" s="174"/>
      <c r="K607" s="173"/>
      <c r="L607" s="173"/>
      <c r="M607" s="174"/>
      <c r="N607" s="177"/>
      <c r="O607" s="176"/>
      <c r="P607" s="177"/>
      <c r="Q607" s="178"/>
      <c r="R607" s="179"/>
      <c r="S607" s="177"/>
      <c r="T607" s="180"/>
      <c r="U607" s="180"/>
      <c r="V607" s="177"/>
      <c r="W607" s="177"/>
      <c r="X607" s="67"/>
    </row>
    <row r="608" spans="1:24" ht="12.75" x14ac:dyDescent="0.2">
      <c r="A608" s="34"/>
      <c r="B608" s="173"/>
      <c r="C608" s="173"/>
      <c r="D608" s="174"/>
      <c r="E608" s="173"/>
      <c r="F608" s="173"/>
      <c r="G608" s="176"/>
      <c r="H608" s="174"/>
      <c r="J608" s="174"/>
      <c r="K608" s="173"/>
      <c r="L608" s="173"/>
      <c r="M608" s="174"/>
      <c r="N608" s="177"/>
      <c r="O608" s="176"/>
      <c r="P608" s="177"/>
      <c r="Q608" s="178"/>
      <c r="R608" s="179"/>
      <c r="S608" s="177"/>
      <c r="T608" s="180"/>
      <c r="U608" s="180"/>
      <c r="V608" s="177"/>
      <c r="W608" s="177"/>
      <c r="X608" s="67"/>
    </row>
    <row r="609" spans="1:24" ht="12.75" x14ac:dyDescent="0.2">
      <c r="A609" s="34"/>
      <c r="B609" s="173"/>
      <c r="C609" s="173"/>
      <c r="D609" s="174"/>
      <c r="E609" s="173"/>
      <c r="F609" s="173"/>
      <c r="G609" s="176"/>
      <c r="H609" s="174"/>
      <c r="J609" s="174"/>
      <c r="K609" s="173"/>
      <c r="L609" s="173"/>
      <c r="M609" s="174"/>
      <c r="N609" s="177"/>
      <c r="O609" s="176"/>
      <c r="P609" s="177"/>
      <c r="Q609" s="178"/>
      <c r="R609" s="179"/>
      <c r="S609" s="177"/>
      <c r="T609" s="180"/>
      <c r="U609" s="180"/>
      <c r="V609" s="177"/>
      <c r="W609" s="177"/>
      <c r="X609" s="67"/>
    </row>
    <row r="610" spans="1:24" ht="12.75" x14ac:dyDescent="0.2">
      <c r="A610" s="34"/>
      <c r="B610" s="173"/>
      <c r="C610" s="173"/>
      <c r="D610" s="174"/>
      <c r="E610" s="173"/>
      <c r="F610" s="173"/>
      <c r="G610" s="176"/>
      <c r="H610" s="174"/>
      <c r="J610" s="174"/>
      <c r="K610" s="173"/>
      <c r="L610" s="173"/>
      <c r="M610" s="174"/>
      <c r="N610" s="177"/>
      <c r="O610" s="176"/>
      <c r="P610" s="177"/>
      <c r="Q610" s="178"/>
      <c r="R610" s="179"/>
      <c r="S610" s="177"/>
      <c r="T610" s="180"/>
      <c r="U610" s="180"/>
      <c r="V610" s="177"/>
      <c r="W610" s="177"/>
      <c r="X610" s="67"/>
    </row>
    <row r="611" spans="1:24" ht="12.75" x14ac:dyDescent="0.2">
      <c r="A611" s="34"/>
      <c r="B611" s="173"/>
      <c r="C611" s="173"/>
      <c r="D611" s="174"/>
      <c r="E611" s="173"/>
      <c r="F611" s="173"/>
      <c r="G611" s="176"/>
      <c r="H611" s="174"/>
      <c r="J611" s="174"/>
      <c r="K611" s="173"/>
      <c r="L611" s="173"/>
      <c r="M611" s="174"/>
      <c r="N611" s="177"/>
      <c r="O611" s="176"/>
      <c r="P611" s="177"/>
      <c r="Q611" s="178"/>
      <c r="R611" s="179"/>
      <c r="S611" s="177"/>
      <c r="T611" s="180"/>
      <c r="U611" s="180"/>
      <c r="V611" s="177"/>
      <c r="W611" s="177"/>
      <c r="X611" s="67"/>
    </row>
    <row r="612" spans="1:24" ht="12.75" x14ac:dyDescent="0.2">
      <c r="A612" s="34"/>
      <c r="B612" s="173"/>
      <c r="C612" s="173"/>
      <c r="D612" s="174"/>
      <c r="E612" s="173"/>
      <c r="F612" s="173"/>
      <c r="G612" s="176"/>
      <c r="H612" s="174"/>
      <c r="J612" s="174"/>
      <c r="K612" s="173"/>
      <c r="L612" s="173"/>
      <c r="M612" s="174"/>
      <c r="N612" s="177"/>
      <c r="O612" s="176"/>
      <c r="P612" s="177"/>
      <c r="Q612" s="178"/>
      <c r="R612" s="179"/>
      <c r="S612" s="177"/>
      <c r="T612" s="180"/>
      <c r="U612" s="180"/>
      <c r="V612" s="177"/>
      <c r="W612" s="177"/>
      <c r="X612" s="67"/>
    </row>
    <row r="613" spans="1:24" ht="12.75" x14ac:dyDescent="0.2">
      <c r="A613" s="34"/>
      <c r="B613" s="173"/>
      <c r="C613" s="173"/>
      <c r="D613" s="174"/>
      <c r="E613" s="173"/>
      <c r="F613" s="173"/>
      <c r="G613" s="176"/>
      <c r="H613" s="174"/>
      <c r="J613" s="174"/>
      <c r="K613" s="173"/>
      <c r="L613" s="173"/>
      <c r="M613" s="174"/>
      <c r="N613" s="177"/>
      <c r="O613" s="176"/>
      <c r="P613" s="177"/>
      <c r="Q613" s="178"/>
      <c r="R613" s="179"/>
      <c r="S613" s="177"/>
      <c r="T613" s="180"/>
      <c r="U613" s="180"/>
      <c r="V613" s="177"/>
      <c r="W613" s="177"/>
      <c r="X613" s="67"/>
    </row>
    <row r="614" spans="1:24" ht="12.75" x14ac:dyDescent="0.2">
      <c r="A614" s="34"/>
      <c r="B614" s="173"/>
      <c r="C614" s="173"/>
      <c r="D614" s="174"/>
      <c r="E614" s="173"/>
      <c r="F614" s="173"/>
      <c r="G614" s="176"/>
      <c r="H614" s="174"/>
      <c r="J614" s="174"/>
      <c r="K614" s="173"/>
      <c r="L614" s="173"/>
      <c r="M614" s="174"/>
      <c r="N614" s="177"/>
      <c r="O614" s="176"/>
      <c r="P614" s="177"/>
      <c r="Q614" s="178"/>
      <c r="R614" s="179"/>
      <c r="S614" s="177"/>
      <c r="T614" s="180"/>
      <c r="U614" s="180"/>
      <c r="V614" s="177"/>
      <c r="W614" s="177"/>
      <c r="X614" s="67"/>
    </row>
    <row r="615" spans="1:24" ht="12.75" x14ac:dyDescent="0.2">
      <c r="A615" s="34"/>
      <c r="B615" s="173"/>
      <c r="C615" s="173"/>
      <c r="D615" s="174"/>
      <c r="E615" s="173"/>
      <c r="F615" s="173"/>
      <c r="G615" s="176"/>
      <c r="H615" s="174"/>
      <c r="J615" s="174"/>
      <c r="K615" s="173"/>
      <c r="L615" s="173"/>
      <c r="M615" s="174"/>
      <c r="N615" s="177"/>
      <c r="O615" s="176"/>
      <c r="P615" s="177"/>
      <c r="Q615" s="178"/>
      <c r="R615" s="179"/>
      <c r="S615" s="177"/>
      <c r="T615" s="180"/>
      <c r="U615" s="180"/>
      <c r="V615" s="177"/>
      <c r="W615" s="177"/>
      <c r="X615" s="67"/>
    </row>
    <row r="616" spans="1:24" ht="12.75" x14ac:dyDescent="0.2">
      <c r="A616" s="34"/>
      <c r="B616" s="173"/>
      <c r="C616" s="173"/>
      <c r="D616" s="174"/>
      <c r="E616" s="173"/>
      <c r="F616" s="173"/>
      <c r="G616" s="176"/>
      <c r="H616" s="174"/>
      <c r="J616" s="174"/>
      <c r="K616" s="173"/>
      <c r="L616" s="173"/>
      <c r="M616" s="174"/>
      <c r="N616" s="177"/>
      <c r="O616" s="176"/>
      <c r="P616" s="177"/>
      <c r="Q616" s="178"/>
      <c r="R616" s="179"/>
      <c r="S616" s="177"/>
      <c r="T616" s="180"/>
      <c r="U616" s="180"/>
      <c r="V616" s="177"/>
      <c r="W616" s="177"/>
      <c r="X616" s="67"/>
    </row>
    <row r="617" spans="1:24" ht="12.75" x14ac:dyDescent="0.2">
      <c r="A617" s="34"/>
      <c r="B617" s="173"/>
      <c r="C617" s="173"/>
      <c r="D617" s="174"/>
      <c r="E617" s="173"/>
      <c r="F617" s="173"/>
      <c r="G617" s="176"/>
      <c r="H617" s="174"/>
      <c r="J617" s="174"/>
      <c r="K617" s="173"/>
      <c r="L617" s="173"/>
      <c r="M617" s="174"/>
      <c r="N617" s="177"/>
      <c r="O617" s="176"/>
      <c r="P617" s="177"/>
      <c r="Q617" s="178"/>
      <c r="R617" s="179"/>
      <c r="S617" s="177"/>
      <c r="T617" s="180"/>
      <c r="U617" s="180"/>
      <c r="V617" s="177"/>
      <c r="W617" s="177"/>
      <c r="X617" s="67"/>
    </row>
    <row r="618" spans="1:24" ht="12.75" x14ac:dyDescent="0.2">
      <c r="A618" s="34"/>
      <c r="B618" s="173"/>
      <c r="C618" s="173"/>
      <c r="D618" s="174"/>
      <c r="E618" s="173"/>
      <c r="F618" s="173"/>
      <c r="G618" s="176"/>
      <c r="H618" s="174"/>
      <c r="J618" s="174"/>
      <c r="K618" s="173"/>
      <c r="L618" s="173"/>
      <c r="M618" s="174"/>
      <c r="N618" s="177"/>
      <c r="O618" s="176"/>
      <c r="P618" s="177"/>
      <c r="Q618" s="178"/>
      <c r="R618" s="179"/>
      <c r="S618" s="177"/>
      <c r="T618" s="180"/>
      <c r="U618" s="180"/>
      <c r="V618" s="177"/>
      <c r="W618" s="177"/>
      <c r="X618" s="67"/>
    </row>
    <row r="619" spans="1:24" ht="12.75" x14ac:dyDescent="0.2">
      <c r="A619" s="34"/>
      <c r="B619" s="173"/>
      <c r="C619" s="173"/>
      <c r="D619" s="174"/>
      <c r="E619" s="173"/>
      <c r="F619" s="173"/>
      <c r="G619" s="176"/>
      <c r="H619" s="174"/>
      <c r="J619" s="174"/>
      <c r="K619" s="173"/>
      <c r="L619" s="173"/>
      <c r="M619" s="174"/>
      <c r="N619" s="177"/>
      <c r="O619" s="176"/>
      <c r="P619" s="177"/>
      <c r="Q619" s="178"/>
      <c r="R619" s="179"/>
      <c r="S619" s="177"/>
      <c r="T619" s="180"/>
      <c r="U619" s="180"/>
      <c r="V619" s="177"/>
      <c r="W619" s="177"/>
      <c r="X619" s="67"/>
    </row>
    <row r="620" spans="1:24" ht="12.75" x14ac:dyDescent="0.2">
      <c r="A620" s="34"/>
      <c r="B620" s="173"/>
      <c r="C620" s="173"/>
      <c r="D620" s="174"/>
      <c r="E620" s="173"/>
      <c r="F620" s="173"/>
      <c r="G620" s="176"/>
      <c r="H620" s="174"/>
      <c r="J620" s="174"/>
      <c r="K620" s="173"/>
      <c r="L620" s="173"/>
      <c r="M620" s="174"/>
      <c r="N620" s="177"/>
      <c r="O620" s="176"/>
      <c r="P620" s="177"/>
      <c r="Q620" s="178"/>
      <c r="R620" s="179"/>
      <c r="S620" s="177"/>
      <c r="T620" s="180"/>
      <c r="U620" s="180"/>
      <c r="V620" s="177"/>
      <c r="W620" s="177"/>
      <c r="X620" s="67"/>
    </row>
    <row r="621" spans="1:24" ht="12.75" x14ac:dyDescent="0.2">
      <c r="A621" s="34"/>
      <c r="B621" s="173"/>
      <c r="C621" s="173"/>
      <c r="D621" s="174"/>
      <c r="E621" s="173"/>
      <c r="F621" s="173"/>
      <c r="G621" s="176"/>
      <c r="H621" s="174"/>
      <c r="J621" s="174"/>
      <c r="K621" s="173"/>
      <c r="L621" s="173"/>
      <c r="M621" s="174"/>
      <c r="N621" s="177"/>
      <c r="O621" s="176"/>
      <c r="P621" s="177"/>
      <c r="Q621" s="178"/>
      <c r="R621" s="179"/>
      <c r="S621" s="177"/>
      <c r="T621" s="180"/>
      <c r="U621" s="180"/>
      <c r="V621" s="177"/>
      <c r="W621" s="177"/>
      <c r="X621" s="67"/>
    </row>
    <row r="622" spans="1:24" ht="12.75" x14ac:dyDescent="0.2">
      <c r="A622" s="34"/>
      <c r="B622" s="173"/>
      <c r="C622" s="173"/>
      <c r="D622" s="174"/>
      <c r="E622" s="173"/>
      <c r="F622" s="173"/>
      <c r="G622" s="176"/>
      <c r="H622" s="174"/>
      <c r="J622" s="174"/>
      <c r="K622" s="173"/>
      <c r="L622" s="173"/>
      <c r="M622" s="174"/>
      <c r="N622" s="177"/>
      <c r="O622" s="176"/>
      <c r="P622" s="177"/>
      <c r="Q622" s="178"/>
      <c r="R622" s="179"/>
      <c r="S622" s="177"/>
      <c r="T622" s="180"/>
      <c r="U622" s="180"/>
      <c r="V622" s="177"/>
      <c r="W622" s="177"/>
      <c r="X622" s="67"/>
    </row>
    <row r="623" spans="1:24" ht="12.75" x14ac:dyDescent="0.2">
      <c r="A623" s="34"/>
      <c r="B623" s="173"/>
      <c r="C623" s="173"/>
      <c r="D623" s="174"/>
      <c r="E623" s="173"/>
      <c r="F623" s="173"/>
      <c r="G623" s="176"/>
      <c r="H623" s="174"/>
      <c r="J623" s="174"/>
      <c r="K623" s="173"/>
      <c r="L623" s="173"/>
      <c r="M623" s="174"/>
      <c r="N623" s="177"/>
      <c r="O623" s="176"/>
      <c r="P623" s="177"/>
      <c r="Q623" s="178"/>
      <c r="R623" s="179"/>
      <c r="S623" s="177"/>
      <c r="T623" s="180"/>
      <c r="U623" s="180"/>
      <c r="V623" s="177"/>
      <c r="W623" s="177"/>
      <c r="X623" s="67"/>
    </row>
    <row r="624" spans="1:24" ht="12.75" x14ac:dyDescent="0.2">
      <c r="A624" s="34"/>
      <c r="B624" s="173"/>
      <c r="C624" s="173"/>
      <c r="D624" s="174"/>
      <c r="E624" s="173"/>
      <c r="F624" s="173"/>
      <c r="G624" s="176"/>
      <c r="H624" s="174"/>
      <c r="J624" s="174"/>
      <c r="K624" s="173"/>
      <c r="L624" s="173"/>
      <c r="M624" s="174"/>
      <c r="N624" s="177"/>
      <c r="O624" s="176"/>
      <c r="P624" s="177"/>
      <c r="Q624" s="178"/>
      <c r="R624" s="179"/>
      <c r="S624" s="177"/>
      <c r="T624" s="180"/>
      <c r="U624" s="180"/>
      <c r="V624" s="177"/>
      <c r="W624" s="177"/>
      <c r="X624" s="67"/>
    </row>
    <row r="625" spans="1:24" ht="12.75" x14ac:dyDescent="0.2">
      <c r="A625" s="34"/>
      <c r="B625" s="173"/>
      <c r="C625" s="173"/>
      <c r="D625" s="174"/>
      <c r="E625" s="173"/>
      <c r="F625" s="173"/>
      <c r="G625" s="176"/>
      <c r="H625" s="174"/>
      <c r="J625" s="174"/>
      <c r="K625" s="173"/>
      <c r="L625" s="173"/>
      <c r="M625" s="174"/>
      <c r="N625" s="177"/>
      <c r="O625" s="176"/>
      <c r="P625" s="177"/>
      <c r="Q625" s="178"/>
      <c r="R625" s="179"/>
      <c r="S625" s="177"/>
      <c r="T625" s="180"/>
      <c r="U625" s="180"/>
      <c r="V625" s="177"/>
      <c r="W625" s="177"/>
      <c r="X625" s="67"/>
    </row>
    <row r="626" spans="1:24" ht="12.75" x14ac:dyDescent="0.2">
      <c r="A626" s="34"/>
      <c r="B626" s="173"/>
      <c r="C626" s="173"/>
      <c r="D626" s="174"/>
      <c r="E626" s="173"/>
      <c r="F626" s="173"/>
      <c r="G626" s="176"/>
      <c r="H626" s="174"/>
      <c r="J626" s="174"/>
      <c r="K626" s="173"/>
      <c r="L626" s="173"/>
      <c r="M626" s="174"/>
      <c r="N626" s="177"/>
      <c r="O626" s="176"/>
      <c r="P626" s="177"/>
      <c r="Q626" s="178"/>
      <c r="R626" s="179"/>
      <c r="S626" s="177"/>
      <c r="T626" s="180"/>
      <c r="U626" s="180"/>
      <c r="V626" s="177"/>
      <c r="W626" s="177"/>
      <c r="X626" s="67"/>
    </row>
    <row r="627" spans="1:24" ht="12.75" x14ac:dyDescent="0.2">
      <c r="A627" s="34"/>
      <c r="B627" s="173"/>
      <c r="C627" s="173"/>
      <c r="D627" s="174"/>
      <c r="E627" s="173"/>
      <c r="F627" s="173"/>
      <c r="G627" s="176"/>
      <c r="H627" s="174"/>
      <c r="J627" s="174"/>
      <c r="K627" s="173"/>
      <c r="L627" s="173"/>
      <c r="M627" s="174"/>
      <c r="N627" s="177"/>
      <c r="O627" s="176"/>
      <c r="P627" s="177"/>
      <c r="Q627" s="178"/>
      <c r="R627" s="179"/>
      <c r="S627" s="177"/>
      <c r="T627" s="180"/>
      <c r="U627" s="180"/>
      <c r="V627" s="177"/>
      <c r="W627" s="177"/>
      <c r="X627" s="67"/>
    </row>
    <row r="628" spans="1:24" ht="12.75" x14ac:dyDescent="0.2">
      <c r="A628" s="34"/>
      <c r="B628" s="173"/>
      <c r="C628" s="173"/>
      <c r="D628" s="174"/>
      <c r="E628" s="173"/>
      <c r="F628" s="173"/>
      <c r="G628" s="176"/>
      <c r="H628" s="174"/>
      <c r="J628" s="174"/>
      <c r="K628" s="173"/>
      <c r="L628" s="173"/>
      <c r="M628" s="174"/>
      <c r="N628" s="177"/>
      <c r="O628" s="176"/>
      <c r="P628" s="177"/>
      <c r="Q628" s="178"/>
      <c r="R628" s="179"/>
      <c r="S628" s="177"/>
      <c r="T628" s="180"/>
      <c r="U628" s="180"/>
      <c r="V628" s="177"/>
      <c r="W628" s="177"/>
      <c r="X628" s="67"/>
    </row>
    <row r="629" spans="1:24" ht="12.75" x14ac:dyDescent="0.2">
      <c r="A629" s="34"/>
      <c r="B629" s="173"/>
      <c r="C629" s="173"/>
      <c r="D629" s="174"/>
      <c r="E629" s="173"/>
      <c r="F629" s="173"/>
      <c r="G629" s="176"/>
      <c r="H629" s="174"/>
      <c r="J629" s="174"/>
      <c r="K629" s="173"/>
      <c r="L629" s="173"/>
      <c r="M629" s="174"/>
      <c r="N629" s="177"/>
      <c r="O629" s="176"/>
      <c r="P629" s="177"/>
      <c r="Q629" s="178"/>
      <c r="R629" s="179"/>
      <c r="S629" s="177"/>
      <c r="T629" s="180"/>
      <c r="U629" s="180"/>
      <c r="V629" s="177"/>
      <c r="W629" s="177"/>
      <c r="X629" s="67"/>
    </row>
    <row r="630" spans="1:24" ht="12.75" x14ac:dyDescent="0.2">
      <c r="A630" s="34"/>
      <c r="B630" s="173"/>
      <c r="C630" s="173"/>
      <c r="D630" s="174"/>
      <c r="E630" s="173"/>
      <c r="F630" s="173"/>
      <c r="G630" s="176"/>
      <c r="H630" s="174"/>
      <c r="J630" s="174"/>
      <c r="K630" s="173"/>
      <c r="L630" s="173"/>
      <c r="M630" s="174"/>
      <c r="N630" s="177"/>
      <c r="O630" s="176"/>
      <c r="P630" s="177"/>
      <c r="Q630" s="178"/>
      <c r="R630" s="179"/>
      <c r="S630" s="177"/>
      <c r="T630" s="180"/>
      <c r="U630" s="180"/>
      <c r="V630" s="177"/>
      <c r="W630" s="177"/>
      <c r="X630" s="67"/>
    </row>
    <row r="631" spans="1:24" ht="12.75" x14ac:dyDescent="0.2">
      <c r="A631" s="34"/>
      <c r="B631" s="173"/>
      <c r="C631" s="173"/>
      <c r="D631" s="174"/>
      <c r="E631" s="173"/>
      <c r="F631" s="173"/>
      <c r="G631" s="176"/>
      <c r="H631" s="174"/>
      <c r="J631" s="174"/>
      <c r="K631" s="173"/>
      <c r="L631" s="173"/>
      <c r="M631" s="174"/>
      <c r="N631" s="177"/>
      <c r="O631" s="176"/>
      <c r="P631" s="177"/>
      <c r="Q631" s="178"/>
      <c r="R631" s="179"/>
      <c r="S631" s="177"/>
      <c r="T631" s="180"/>
      <c r="U631" s="180"/>
      <c r="V631" s="177"/>
      <c r="W631" s="177"/>
      <c r="X631" s="67"/>
    </row>
    <row r="632" spans="1:24" ht="12.75" x14ac:dyDescent="0.2">
      <c r="A632" s="34"/>
      <c r="B632" s="173"/>
      <c r="C632" s="173"/>
      <c r="D632" s="174"/>
      <c r="E632" s="173"/>
      <c r="F632" s="173"/>
      <c r="G632" s="176"/>
      <c r="H632" s="174"/>
      <c r="J632" s="174"/>
      <c r="K632" s="173"/>
      <c r="L632" s="173"/>
      <c r="M632" s="174"/>
      <c r="N632" s="177"/>
      <c r="O632" s="176"/>
      <c r="P632" s="177"/>
      <c r="Q632" s="178"/>
      <c r="R632" s="179"/>
      <c r="S632" s="177"/>
      <c r="T632" s="180"/>
      <c r="U632" s="180"/>
      <c r="V632" s="177"/>
      <c r="W632" s="177"/>
      <c r="X632" s="67"/>
    </row>
    <row r="633" spans="1:24" ht="12.75" x14ac:dyDescent="0.2">
      <c r="A633" s="34"/>
      <c r="B633" s="173"/>
      <c r="C633" s="173"/>
      <c r="D633" s="174"/>
      <c r="E633" s="173"/>
      <c r="F633" s="173"/>
      <c r="G633" s="176"/>
      <c r="H633" s="174"/>
      <c r="J633" s="174"/>
      <c r="K633" s="173"/>
      <c r="L633" s="173"/>
      <c r="M633" s="174"/>
      <c r="N633" s="177"/>
      <c r="O633" s="176"/>
      <c r="P633" s="177"/>
      <c r="Q633" s="178"/>
      <c r="R633" s="179"/>
      <c r="S633" s="177"/>
      <c r="T633" s="180"/>
      <c r="U633" s="180"/>
      <c r="V633" s="177"/>
      <c r="W633" s="177"/>
      <c r="X633" s="67"/>
    </row>
    <row r="634" spans="1:24" ht="12.75" x14ac:dyDescent="0.2">
      <c r="A634" s="34"/>
      <c r="B634" s="173"/>
      <c r="C634" s="173"/>
      <c r="D634" s="174"/>
      <c r="E634" s="173"/>
      <c r="F634" s="173"/>
      <c r="G634" s="176"/>
      <c r="H634" s="174"/>
      <c r="J634" s="174"/>
      <c r="K634" s="173"/>
      <c r="L634" s="173"/>
      <c r="M634" s="174"/>
      <c r="N634" s="177"/>
      <c r="O634" s="176"/>
      <c r="P634" s="177"/>
      <c r="Q634" s="178"/>
      <c r="R634" s="179"/>
      <c r="S634" s="177"/>
      <c r="T634" s="180"/>
      <c r="U634" s="180"/>
      <c r="V634" s="177"/>
      <c r="W634" s="177"/>
      <c r="X634" s="67"/>
    </row>
    <row r="635" spans="1:24" ht="12.75" x14ac:dyDescent="0.2">
      <c r="A635" s="34"/>
      <c r="B635" s="173"/>
      <c r="C635" s="173"/>
      <c r="D635" s="174"/>
      <c r="E635" s="173"/>
      <c r="F635" s="173"/>
      <c r="G635" s="176"/>
      <c r="H635" s="174"/>
      <c r="J635" s="174"/>
      <c r="K635" s="173"/>
      <c r="L635" s="173"/>
      <c r="M635" s="174"/>
      <c r="N635" s="177"/>
      <c r="O635" s="176"/>
      <c r="P635" s="177"/>
      <c r="Q635" s="178"/>
      <c r="R635" s="179"/>
      <c r="S635" s="177"/>
      <c r="T635" s="180"/>
      <c r="U635" s="180"/>
      <c r="V635" s="177"/>
      <c r="W635" s="177"/>
      <c r="X635" s="67"/>
    </row>
    <row r="636" spans="1:24" ht="12.75" x14ac:dyDescent="0.2">
      <c r="A636" s="34"/>
      <c r="B636" s="173"/>
      <c r="C636" s="173"/>
      <c r="D636" s="174"/>
      <c r="E636" s="173"/>
      <c r="F636" s="173"/>
      <c r="G636" s="176"/>
      <c r="H636" s="174"/>
      <c r="J636" s="174"/>
      <c r="K636" s="173"/>
      <c r="L636" s="173"/>
      <c r="M636" s="174"/>
      <c r="N636" s="177"/>
      <c r="O636" s="176"/>
      <c r="P636" s="177"/>
      <c r="Q636" s="178"/>
      <c r="R636" s="179"/>
      <c r="S636" s="177"/>
      <c r="T636" s="180"/>
      <c r="U636" s="180"/>
      <c r="V636" s="177"/>
      <c r="W636" s="177"/>
      <c r="X636" s="67"/>
    </row>
    <row r="637" spans="1:24" ht="12.75" x14ac:dyDescent="0.2">
      <c r="A637" s="34"/>
      <c r="B637" s="173"/>
      <c r="C637" s="173"/>
      <c r="D637" s="174"/>
      <c r="E637" s="173"/>
      <c r="F637" s="173"/>
      <c r="G637" s="176"/>
      <c r="H637" s="174"/>
      <c r="J637" s="174"/>
      <c r="K637" s="173"/>
      <c r="L637" s="173"/>
      <c r="M637" s="174"/>
      <c r="N637" s="177"/>
      <c r="O637" s="176"/>
      <c r="P637" s="177"/>
      <c r="Q637" s="178"/>
      <c r="R637" s="179"/>
      <c r="S637" s="177"/>
      <c r="T637" s="180"/>
      <c r="U637" s="180"/>
      <c r="V637" s="177"/>
      <c r="W637" s="177"/>
      <c r="X637" s="67"/>
    </row>
    <row r="638" spans="1:24" ht="12.75" x14ac:dyDescent="0.2">
      <c r="A638" s="34"/>
      <c r="B638" s="173"/>
      <c r="C638" s="173"/>
      <c r="D638" s="174"/>
      <c r="E638" s="173"/>
      <c r="F638" s="173"/>
      <c r="G638" s="176"/>
      <c r="H638" s="174"/>
      <c r="J638" s="174"/>
      <c r="K638" s="173"/>
      <c r="L638" s="173"/>
      <c r="M638" s="174"/>
      <c r="N638" s="177"/>
      <c r="O638" s="176"/>
      <c r="P638" s="177"/>
      <c r="Q638" s="178"/>
      <c r="R638" s="179"/>
      <c r="S638" s="177"/>
      <c r="T638" s="180"/>
      <c r="U638" s="180"/>
      <c r="V638" s="177"/>
      <c r="W638" s="177"/>
      <c r="X638" s="67"/>
    </row>
    <row r="639" spans="1:24" ht="12.75" x14ac:dyDescent="0.2">
      <c r="A639" s="34"/>
      <c r="B639" s="173"/>
      <c r="C639" s="173"/>
      <c r="D639" s="174"/>
      <c r="E639" s="173"/>
      <c r="F639" s="173"/>
      <c r="G639" s="176"/>
      <c r="H639" s="174"/>
      <c r="J639" s="174"/>
      <c r="K639" s="173"/>
      <c r="L639" s="173"/>
      <c r="M639" s="174"/>
      <c r="N639" s="177"/>
      <c r="O639" s="176"/>
      <c r="P639" s="177"/>
      <c r="Q639" s="178"/>
      <c r="R639" s="179"/>
      <c r="S639" s="177"/>
      <c r="T639" s="180"/>
      <c r="U639" s="180"/>
      <c r="V639" s="177"/>
      <c r="W639" s="177"/>
      <c r="X639" s="67"/>
    </row>
    <row r="640" spans="1:24" ht="12.75" x14ac:dyDescent="0.2">
      <c r="A640" s="34"/>
      <c r="B640" s="173"/>
      <c r="C640" s="173"/>
      <c r="D640" s="174"/>
      <c r="E640" s="173"/>
      <c r="F640" s="173"/>
      <c r="G640" s="176"/>
      <c r="H640" s="174"/>
      <c r="J640" s="174"/>
      <c r="K640" s="173"/>
      <c r="L640" s="173"/>
      <c r="M640" s="174"/>
      <c r="N640" s="177"/>
      <c r="O640" s="176"/>
      <c r="P640" s="177"/>
      <c r="Q640" s="178"/>
      <c r="R640" s="179"/>
      <c r="S640" s="177"/>
      <c r="T640" s="180"/>
      <c r="U640" s="180"/>
      <c r="V640" s="177"/>
      <c r="W640" s="177"/>
      <c r="X640" s="67"/>
    </row>
    <row r="641" spans="1:24" ht="12.75" x14ac:dyDescent="0.2">
      <c r="A641" s="34"/>
      <c r="B641" s="173"/>
      <c r="C641" s="173"/>
      <c r="D641" s="174"/>
      <c r="E641" s="173"/>
      <c r="F641" s="173"/>
      <c r="G641" s="176"/>
      <c r="H641" s="174"/>
      <c r="J641" s="174"/>
      <c r="K641" s="173"/>
      <c r="L641" s="173"/>
      <c r="M641" s="174"/>
      <c r="N641" s="177"/>
      <c r="O641" s="176"/>
      <c r="P641" s="177"/>
      <c r="Q641" s="178"/>
      <c r="R641" s="179"/>
      <c r="S641" s="177"/>
      <c r="T641" s="180"/>
      <c r="U641" s="180"/>
      <c r="V641" s="177"/>
      <c r="W641" s="177"/>
      <c r="X641" s="67"/>
    </row>
    <row r="642" spans="1:24" ht="12.75" x14ac:dyDescent="0.2">
      <c r="A642" s="34"/>
      <c r="B642" s="173"/>
      <c r="C642" s="173"/>
      <c r="D642" s="174"/>
      <c r="E642" s="173"/>
      <c r="F642" s="173"/>
      <c r="G642" s="176"/>
      <c r="H642" s="174"/>
      <c r="J642" s="174"/>
      <c r="K642" s="173"/>
      <c r="L642" s="173"/>
      <c r="M642" s="174"/>
      <c r="N642" s="177"/>
      <c r="O642" s="176"/>
      <c r="P642" s="177"/>
      <c r="Q642" s="178"/>
      <c r="R642" s="179"/>
      <c r="S642" s="177"/>
      <c r="T642" s="180"/>
      <c r="U642" s="180"/>
      <c r="V642" s="177"/>
      <c r="W642" s="177"/>
      <c r="X642" s="67"/>
    </row>
    <row r="643" spans="1:24" ht="12.75" x14ac:dyDescent="0.2">
      <c r="A643" s="34"/>
      <c r="B643" s="173"/>
      <c r="C643" s="173"/>
      <c r="D643" s="174"/>
      <c r="E643" s="173"/>
      <c r="F643" s="173"/>
      <c r="G643" s="176"/>
      <c r="H643" s="174"/>
      <c r="J643" s="174"/>
      <c r="K643" s="173"/>
      <c r="L643" s="173"/>
      <c r="M643" s="174"/>
      <c r="N643" s="177"/>
      <c r="O643" s="176"/>
      <c r="P643" s="177"/>
      <c r="Q643" s="178"/>
      <c r="R643" s="179"/>
      <c r="S643" s="177"/>
      <c r="T643" s="180"/>
      <c r="U643" s="180"/>
      <c r="V643" s="177"/>
      <c r="W643" s="177"/>
      <c r="X643" s="67"/>
    </row>
    <row r="644" spans="1:24" ht="12.75" x14ac:dyDescent="0.2">
      <c r="A644" s="34"/>
      <c r="B644" s="173"/>
      <c r="C644" s="173"/>
      <c r="D644" s="174"/>
      <c r="E644" s="173"/>
      <c r="F644" s="173"/>
      <c r="G644" s="176"/>
      <c r="H644" s="174"/>
      <c r="J644" s="174"/>
      <c r="K644" s="173"/>
      <c r="L644" s="173"/>
      <c r="M644" s="174"/>
      <c r="N644" s="177"/>
      <c r="O644" s="176"/>
      <c r="P644" s="177"/>
      <c r="Q644" s="178"/>
      <c r="R644" s="179"/>
      <c r="S644" s="177"/>
      <c r="T644" s="180"/>
      <c r="U644" s="180"/>
      <c r="V644" s="177"/>
      <c r="W644" s="177"/>
      <c r="X644" s="67"/>
    </row>
    <row r="645" spans="1:24" ht="12.75" x14ac:dyDescent="0.2">
      <c r="A645" s="34"/>
      <c r="B645" s="173"/>
      <c r="C645" s="173"/>
      <c r="D645" s="174"/>
      <c r="E645" s="173"/>
      <c r="F645" s="173"/>
      <c r="G645" s="176"/>
      <c r="H645" s="174"/>
      <c r="J645" s="174"/>
      <c r="K645" s="173"/>
      <c r="L645" s="173"/>
      <c r="M645" s="174"/>
      <c r="N645" s="177"/>
      <c r="O645" s="176"/>
      <c r="P645" s="177"/>
      <c r="Q645" s="178"/>
      <c r="R645" s="179"/>
      <c r="S645" s="177"/>
      <c r="T645" s="180"/>
      <c r="U645" s="180"/>
      <c r="V645" s="177"/>
      <c r="W645" s="177"/>
      <c r="X645" s="67"/>
    </row>
    <row r="646" spans="1:24" ht="12.75" x14ac:dyDescent="0.2">
      <c r="A646" s="34"/>
      <c r="B646" s="173"/>
      <c r="C646" s="173"/>
      <c r="D646" s="174"/>
      <c r="E646" s="173"/>
      <c r="F646" s="173"/>
      <c r="G646" s="176"/>
      <c r="H646" s="174"/>
      <c r="J646" s="174"/>
      <c r="K646" s="173"/>
      <c r="L646" s="173"/>
      <c r="M646" s="174"/>
      <c r="N646" s="177"/>
      <c r="O646" s="176"/>
      <c r="P646" s="177"/>
      <c r="Q646" s="178"/>
      <c r="R646" s="179"/>
      <c r="S646" s="177"/>
      <c r="T646" s="180"/>
      <c r="U646" s="180"/>
      <c r="V646" s="177"/>
      <c r="W646" s="177"/>
      <c r="X646" s="67"/>
    </row>
    <row r="647" spans="1:24" ht="12.75" x14ac:dyDescent="0.2">
      <c r="A647" s="34"/>
      <c r="B647" s="173"/>
      <c r="C647" s="173"/>
      <c r="D647" s="174"/>
      <c r="E647" s="173"/>
      <c r="F647" s="173"/>
      <c r="G647" s="176"/>
      <c r="H647" s="174"/>
      <c r="J647" s="174"/>
      <c r="K647" s="173"/>
      <c r="L647" s="173"/>
      <c r="M647" s="174"/>
      <c r="N647" s="177"/>
      <c r="O647" s="176"/>
      <c r="P647" s="177"/>
      <c r="Q647" s="178"/>
      <c r="R647" s="179"/>
      <c r="S647" s="177"/>
      <c r="T647" s="180"/>
      <c r="U647" s="180"/>
      <c r="V647" s="177"/>
      <c r="W647" s="177"/>
      <c r="X647" s="67"/>
    </row>
    <row r="648" spans="1:24" ht="12.75" x14ac:dyDescent="0.2">
      <c r="A648" s="34"/>
      <c r="B648" s="173"/>
      <c r="C648" s="173"/>
      <c r="D648" s="174"/>
      <c r="E648" s="173"/>
      <c r="F648" s="173"/>
      <c r="G648" s="176"/>
      <c r="H648" s="174"/>
      <c r="J648" s="174"/>
      <c r="K648" s="173"/>
      <c r="L648" s="173"/>
      <c r="M648" s="174"/>
      <c r="N648" s="177"/>
      <c r="O648" s="176"/>
      <c r="P648" s="177"/>
      <c r="Q648" s="178"/>
      <c r="R648" s="179"/>
      <c r="S648" s="177"/>
      <c r="T648" s="180"/>
      <c r="U648" s="180"/>
      <c r="V648" s="177"/>
      <c r="W648" s="177"/>
      <c r="X648" s="67"/>
    </row>
    <row r="649" spans="1:24" ht="12.75" x14ac:dyDescent="0.2">
      <c r="A649" s="34"/>
      <c r="B649" s="173"/>
      <c r="C649" s="173"/>
      <c r="D649" s="174"/>
      <c r="E649" s="173"/>
      <c r="F649" s="173"/>
      <c r="G649" s="176"/>
      <c r="H649" s="174"/>
      <c r="J649" s="174"/>
      <c r="K649" s="173"/>
      <c r="L649" s="173"/>
      <c r="M649" s="174"/>
      <c r="N649" s="177"/>
      <c r="O649" s="176"/>
      <c r="P649" s="177"/>
      <c r="Q649" s="178"/>
      <c r="R649" s="179"/>
      <c r="S649" s="177"/>
      <c r="T649" s="180"/>
      <c r="U649" s="180"/>
      <c r="V649" s="177"/>
      <c r="W649" s="177"/>
      <c r="X649" s="67"/>
    </row>
    <row r="650" spans="1:24" ht="12.75" x14ac:dyDescent="0.2">
      <c r="A650" s="34"/>
      <c r="B650" s="173"/>
      <c r="C650" s="173"/>
      <c r="D650" s="174"/>
      <c r="E650" s="173"/>
      <c r="F650" s="173"/>
      <c r="G650" s="176"/>
      <c r="H650" s="174"/>
      <c r="J650" s="174"/>
      <c r="K650" s="173"/>
      <c r="L650" s="173"/>
      <c r="M650" s="174"/>
      <c r="N650" s="177"/>
      <c r="O650" s="176"/>
      <c r="P650" s="177"/>
      <c r="Q650" s="178"/>
      <c r="R650" s="179"/>
      <c r="S650" s="177"/>
      <c r="T650" s="180"/>
      <c r="U650" s="180"/>
      <c r="V650" s="177"/>
      <c r="W650" s="177"/>
      <c r="X650" s="67"/>
    </row>
    <row r="651" spans="1:24" ht="12.75" x14ac:dyDescent="0.2">
      <c r="A651" s="34"/>
      <c r="B651" s="173"/>
      <c r="C651" s="173"/>
      <c r="D651" s="174"/>
      <c r="E651" s="173"/>
      <c r="F651" s="173"/>
      <c r="G651" s="176"/>
      <c r="H651" s="174"/>
      <c r="J651" s="174"/>
      <c r="K651" s="173"/>
      <c r="L651" s="173"/>
      <c r="M651" s="174"/>
      <c r="N651" s="177"/>
      <c r="O651" s="176"/>
      <c r="P651" s="177"/>
      <c r="Q651" s="178"/>
      <c r="R651" s="179"/>
      <c r="S651" s="177"/>
      <c r="T651" s="180"/>
      <c r="U651" s="180"/>
      <c r="V651" s="177"/>
      <c r="W651" s="177"/>
      <c r="X651" s="67"/>
    </row>
    <row r="652" spans="1:24" ht="12.75" x14ac:dyDescent="0.2">
      <c r="A652" s="34"/>
      <c r="B652" s="173"/>
      <c r="C652" s="173"/>
      <c r="D652" s="174"/>
      <c r="E652" s="173"/>
      <c r="F652" s="173"/>
      <c r="G652" s="176"/>
      <c r="H652" s="174"/>
      <c r="J652" s="174"/>
      <c r="K652" s="173"/>
      <c r="L652" s="173"/>
      <c r="M652" s="174"/>
      <c r="N652" s="177"/>
      <c r="O652" s="176"/>
      <c r="P652" s="177"/>
      <c r="Q652" s="178"/>
      <c r="R652" s="179"/>
      <c r="S652" s="177"/>
      <c r="T652" s="180"/>
      <c r="U652" s="180"/>
      <c r="V652" s="177"/>
      <c r="W652" s="177"/>
      <c r="X652" s="67"/>
    </row>
    <row r="653" spans="1:24" ht="12.75" x14ac:dyDescent="0.2">
      <c r="A653" s="34"/>
      <c r="B653" s="173"/>
      <c r="C653" s="173"/>
      <c r="D653" s="174"/>
      <c r="E653" s="173"/>
      <c r="F653" s="173"/>
      <c r="G653" s="176"/>
      <c r="H653" s="174"/>
      <c r="J653" s="174"/>
      <c r="K653" s="173"/>
      <c r="L653" s="173"/>
      <c r="M653" s="174"/>
      <c r="N653" s="177"/>
      <c r="O653" s="176"/>
      <c r="P653" s="177"/>
      <c r="Q653" s="178"/>
      <c r="R653" s="179"/>
      <c r="S653" s="177"/>
      <c r="T653" s="180"/>
      <c r="U653" s="180"/>
      <c r="V653" s="177"/>
      <c r="W653" s="177"/>
      <c r="X653" s="67"/>
    </row>
    <row r="654" spans="1:24" ht="12.75" x14ac:dyDescent="0.2">
      <c r="A654" s="34"/>
      <c r="B654" s="173"/>
      <c r="C654" s="173"/>
      <c r="D654" s="174"/>
      <c r="E654" s="173"/>
      <c r="F654" s="173"/>
      <c r="G654" s="176"/>
      <c r="H654" s="174"/>
      <c r="J654" s="174"/>
      <c r="K654" s="173"/>
      <c r="L654" s="173"/>
      <c r="M654" s="174"/>
      <c r="N654" s="177"/>
      <c r="O654" s="176"/>
      <c r="P654" s="177"/>
      <c r="Q654" s="178"/>
      <c r="R654" s="179"/>
      <c r="S654" s="177"/>
      <c r="T654" s="180"/>
      <c r="U654" s="180"/>
      <c r="V654" s="177"/>
      <c r="W654" s="177"/>
      <c r="X654" s="67"/>
    </row>
    <row r="655" spans="1:24" ht="12.75" x14ac:dyDescent="0.2">
      <c r="A655" s="34"/>
      <c r="B655" s="173"/>
      <c r="C655" s="173"/>
      <c r="D655" s="174"/>
      <c r="E655" s="173"/>
      <c r="F655" s="173"/>
      <c r="G655" s="176"/>
      <c r="H655" s="174"/>
      <c r="J655" s="174"/>
      <c r="K655" s="173"/>
      <c r="L655" s="173"/>
      <c r="M655" s="174"/>
      <c r="N655" s="177"/>
      <c r="O655" s="176"/>
      <c r="P655" s="177"/>
      <c r="Q655" s="178"/>
      <c r="R655" s="179"/>
      <c r="S655" s="177"/>
      <c r="T655" s="180"/>
      <c r="U655" s="180"/>
      <c r="V655" s="177"/>
      <c r="W655" s="177"/>
      <c r="X655" s="67"/>
    </row>
    <row r="656" spans="1:24" ht="12.75" x14ac:dyDescent="0.2">
      <c r="A656" s="34"/>
      <c r="B656" s="173"/>
      <c r="C656" s="173"/>
      <c r="D656" s="174"/>
      <c r="E656" s="173"/>
      <c r="F656" s="173"/>
      <c r="G656" s="176"/>
      <c r="H656" s="174"/>
      <c r="J656" s="174"/>
      <c r="K656" s="173"/>
      <c r="L656" s="173"/>
      <c r="M656" s="174"/>
      <c r="N656" s="177"/>
      <c r="O656" s="176"/>
      <c r="P656" s="177"/>
      <c r="Q656" s="178"/>
      <c r="R656" s="179"/>
      <c r="S656" s="177"/>
      <c r="T656" s="180"/>
      <c r="U656" s="180"/>
      <c r="V656" s="177"/>
      <c r="W656" s="177"/>
      <c r="X656" s="67"/>
    </row>
    <row r="657" spans="1:24" ht="12.75" x14ac:dyDescent="0.2">
      <c r="A657" s="34"/>
      <c r="B657" s="173"/>
      <c r="C657" s="173"/>
      <c r="D657" s="174"/>
      <c r="E657" s="173"/>
      <c r="F657" s="173"/>
      <c r="G657" s="176"/>
      <c r="H657" s="174"/>
      <c r="J657" s="174"/>
      <c r="K657" s="173"/>
      <c r="L657" s="173"/>
      <c r="M657" s="174"/>
      <c r="N657" s="177"/>
      <c r="O657" s="176"/>
      <c r="P657" s="177"/>
      <c r="Q657" s="178"/>
      <c r="R657" s="179"/>
      <c r="S657" s="177"/>
      <c r="T657" s="180"/>
      <c r="U657" s="180"/>
      <c r="V657" s="177"/>
      <c r="W657" s="177"/>
      <c r="X657" s="67"/>
    </row>
    <row r="658" spans="1:24" ht="12.75" x14ac:dyDescent="0.2">
      <c r="A658" s="34"/>
      <c r="B658" s="173"/>
      <c r="C658" s="173"/>
      <c r="D658" s="174"/>
      <c r="E658" s="173"/>
      <c r="F658" s="173"/>
      <c r="G658" s="176"/>
      <c r="H658" s="174"/>
      <c r="J658" s="174"/>
      <c r="K658" s="173"/>
      <c r="L658" s="173"/>
      <c r="M658" s="174"/>
      <c r="N658" s="177"/>
      <c r="O658" s="176"/>
      <c r="P658" s="177"/>
      <c r="Q658" s="178"/>
      <c r="R658" s="179"/>
      <c r="S658" s="177"/>
      <c r="T658" s="180"/>
      <c r="U658" s="180"/>
      <c r="V658" s="177"/>
      <c r="W658" s="177"/>
      <c r="X658" s="67"/>
    </row>
    <row r="659" spans="1:24" ht="12.75" x14ac:dyDescent="0.2">
      <c r="A659" s="34"/>
      <c r="B659" s="173"/>
      <c r="C659" s="173"/>
      <c r="D659" s="174"/>
      <c r="E659" s="173"/>
      <c r="F659" s="173"/>
      <c r="G659" s="176"/>
      <c r="H659" s="174"/>
      <c r="J659" s="174"/>
      <c r="K659" s="173"/>
      <c r="L659" s="173"/>
      <c r="M659" s="174"/>
      <c r="N659" s="177"/>
      <c r="O659" s="176"/>
      <c r="P659" s="177"/>
      <c r="Q659" s="178"/>
      <c r="R659" s="179"/>
      <c r="S659" s="177"/>
      <c r="T659" s="180"/>
      <c r="U659" s="180"/>
      <c r="V659" s="177"/>
      <c r="W659" s="177"/>
      <c r="X659" s="67"/>
    </row>
    <row r="660" spans="1:24" ht="12.75" x14ac:dyDescent="0.2">
      <c r="A660" s="34"/>
      <c r="B660" s="173"/>
      <c r="C660" s="173"/>
      <c r="D660" s="174"/>
      <c r="E660" s="173"/>
      <c r="F660" s="173"/>
      <c r="G660" s="176"/>
      <c r="H660" s="174"/>
      <c r="J660" s="174"/>
      <c r="K660" s="173"/>
      <c r="L660" s="173"/>
      <c r="M660" s="174"/>
      <c r="N660" s="177"/>
      <c r="O660" s="176"/>
      <c r="P660" s="177"/>
      <c r="Q660" s="178"/>
      <c r="R660" s="179"/>
      <c r="S660" s="177"/>
      <c r="T660" s="180"/>
      <c r="U660" s="180"/>
      <c r="V660" s="177"/>
      <c r="W660" s="177"/>
      <c r="X660" s="67"/>
    </row>
    <row r="661" spans="1:24" ht="12.75" x14ac:dyDescent="0.2">
      <c r="A661" s="34"/>
      <c r="B661" s="173"/>
      <c r="C661" s="173"/>
      <c r="D661" s="174"/>
      <c r="E661" s="173"/>
      <c r="F661" s="173"/>
      <c r="G661" s="176"/>
      <c r="H661" s="174"/>
      <c r="J661" s="174"/>
      <c r="K661" s="173"/>
      <c r="L661" s="173"/>
      <c r="M661" s="174"/>
      <c r="N661" s="177"/>
      <c r="O661" s="176"/>
      <c r="P661" s="177"/>
      <c r="Q661" s="178"/>
      <c r="R661" s="179"/>
      <c r="S661" s="177"/>
      <c r="T661" s="180"/>
      <c r="U661" s="180"/>
      <c r="V661" s="177"/>
      <c r="W661" s="177"/>
      <c r="X661" s="67"/>
    </row>
    <row r="662" spans="1:24" ht="12.75" x14ac:dyDescent="0.2">
      <c r="A662" s="34"/>
      <c r="B662" s="173"/>
      <c r="C662" s="173"/>
      <c r="D662" s="174"/>
      <c r="E662" s="173"/>
      <c r="F662" s="173"/>
      <c r="G662" s="176"/>
      <c r="H662" s="174"/>
      <c r="J662" s="174"/>
      <c r="K662" s="173"/>
      <c r="L662" s="173"/>
      <c r="M662" s="174"/>
      <c r="N662" s="177"/>
      <c r="O662" s="176"/>
      <c r="P662" s="177"/>
      <c r="Q662" s="178"/>
      <c r="R662" s="179"/>
      <c r="S662" s="177"/>
      <c r="T662" s="180"/>
      <c r="U662" s="180"/>
      <c r="V662" s="177"/>
      <c r="W662" s="177"/>
      <c r="X662" s="67"/>
    </row>
    <row r="663" spans="1:24" ht="12.75" x14ac:dyDescent="0.2">
      <c r="A663" s="34"/>
      <c r="B663" s="173"/>
      <c r="C663" s="173"/>
      <c r="D663" s="174"/>
      <c r="E663" s="173"/>
      <c r="F663" s="173"/>
      <c r="G663" s="176"/>
      <c r="H663" s="174"/>
      <c r="J663" s="174"/>
      <c r="K663" s="173"/>
      <c r="L663" s="173"/>
      <c r="M663" s="174"/>
      <c r="N663" s="177"/>
      <c r="O663" s="176"/>
      <c r="P663" s="177"/>
      <c r="Q663" s="178"/>
      <c r="R663" s="179"/>
      <c r="S663" s="177"/>
      <c r="T663" s="180"/>
      <c r="U663" s="180"/>
      <c r="V663" s="177"/>
      <c r="W663" s="177"/>
      <c r="X663" s="67"/>
    </row>
    <row r="664" spans="1:24" ht="12.75" x14ac:dyDescent="0.2">
      <c r="A664" s="34"/>
      <c r="B664" s="173"/>
      <c r="C664" s="173"/>
      <c r="D664" s="174"/>
      <c r="E664" s="173"/>
      <c r="F664" s="173"/>
      <c r="G664" s="176"/>
      <c r="H664" s="174"/>
      <c r="J664" s="174"/>
      <c r="K664" s="173"/>
      <c r="L664" s="173"/>
      <c r="M664" s="174"/>
      <c r="N664" s="177"/>
      <c r="O664" s="176"/>
      <c r="P664" s="177"/>
      <c r="Q664" s="178"/>
      <c r="R664" s="179"/>
      <c r="S664" s="177"/>
      <c r="T664" s="180"/>
      <c r="U664" s="180"/>
      <c r="V664" s="177"/>
      <c r="W664" s="177"/>
      <c r="X664" s="67"/>
    </row>
    <row r="665" spans="1:24" ht="12.75" x14ac:dyDescent="0.2">
      <c r="A665" s="34"/>
      <c r="B665" s="173"/>
      <c r="C665" s="173"/>
      <c r="D665" s="174"/>
      <c r="E665" s="173"/>
      <c r="F665" s="173"/>
      <c r="G665" s="176"/>
      <c r="H665" s="174"/>
      <c r="J665" s="174"/>
      <c r="K665" s="173"/>
      <c r="L665" s="173"/>
      <c r="M665" s="174"/>
      <c r="N665" s="177"/>
      <c r="O665" s="176"/>
      <c r="P665" s="177"/>
      <c r="Q665" s="178"/>
      <c r="R665" s="179"/>
      <c r="S665" s="177"/>
      <c r="T665" s="180"/>
      <c r="U665" s="180"/>
      <c r="V665" s="177"/>
      <c r="W665" s="177"/>
      <c r="X665" s="67"/>
    </row>
    <row r="666" spans="1:24" ht="12.75" x14ac:dyDescent="0.2">
      <c r="A666" s="34"/>
      <c r="B666" s="173"/>
      <c r="C666" s="173"/>
      <c r="D666" s="174"/>
      <c r="E666" s="173"/>
      <c r="F666" s="173"/>
      <c r="G666" s="176"/>
      <c r="H666" s="174"/>
      <c r="J666" s="174"/>
      <c r="K666" s="173"/>
      <c r="L666" s="173"/>
      <c r="M666" s="174"/>
      <c r="N666" s="177"/>
      <c r="O666" s="176"/>
      <c r="P666" s="177"/>
      <c r="Q666" s="178"/>
      <c r="R666" s="179"/>
      <c r="S666" s="177"/>
      <c r="T666" s="180"/>
      <c r="U666" s="180"/>
      <c r="V666" s="177"/>
      <c r="W666" s="177"/>
      <c r="X666" s="67"/>
    </row>
    <row r="667" spans="1:24" ht="12.75" x14ac:dyDescent="0.2">
      <c r="A667" s="34"/>
      <c r="B667" s="173"/>
      <c r="C667" s="173"/>
      <c r="D667" s="174"/>
      <c r="E667" s="173"/>
      <c r="F667" s="173"/>
      <c r="G667" s="176"/>
      <c r="H667" s="174"/>
      <c r="J667" s="174"/>
      <c r="K667" s="173"/>
      <c r="L667" s="173"/>
      <c r="M667" s="174"/>
      <c r="N667" s="177"/>
      <c r="O667" s="176"/>
      <c r="P667" s="177"/>
      <c r="Q667" s="178"/>
      <c r="R667" s="179"/>
      <c r="S667" s="177"/>
      <c r="T667" s="180"/>
      <c r="U667" s="180"/>
      <c r="V667" s="177"/>
      <c r="W667" s="177"/>
      <c r="X667" s="67"/>
    </row>
    <row r="668" spans="1:24" ht="12.75" x14ac:dyDescent="0.2">
      <c r="A668" s="34"/>
      <c r="B668" s="173"/>
      <c r="C668" s="173"/>
      <c r="D668" s="174"/>
      <c r="E668" s="173"/>
      <c r="F668" s="173"/>
      <c r="G668" s="176"/>
      <c r="H668" s="174"/>
      <c r="J668" s="174"/>
      <c r="K668" s="173"/>
      <c r="L668" s="173"/>
      <c r="M668" s="174"/>
      <c r="N668" s="177"/>
      <c r="O668" s="176"/>
      <c r="P668" s="177"/>
      <c r="Q668" s="178"/>
      <c r="R668" s="179"/>
      <c r="S668" s="177"/>
      <c r="T668" s="180"/>
      <c r="U668" s="180"/>
      <c r="V668" s="177"/>
      <c r="W668" s="177"/>
      <c r="X668" s="67"/>
    </row>
    <row r="669" spans="1:24" ht="12.75" x14ac:dyDescent="0.2">
      <c r="A669" s="34"/>
      <c r="B669" s="173"/>
      <c r="C669" s="173"/>
      <c r="D669" s="174"/>
      <c r="E669" s="173"/>
      <c r="F669" s="173"/>
      <c r="G669" s="176"/>
      <c r="H669" s="174"/>
      <c r="J669" s="174"/>
      <c r="K669" s="173"/>
      <c r="L669" s="173"/>
      <c r="M669" s="174"/>
      <c r="N669" s="177"/>
      <c r="O669" s="176"/>
      <c r="P669" s="177"/>
      <c r="Q669" s="178"/>
      <c r="R669" s="179"/>
      <c r="S669" s="177"/>
      <c r="T669" s="180"/>
      <c r="U669" s="180"/>
      <c r="V669" s="177"/>
      <c r="W669" s="177"/>
      <c r="X669" s="67"/>
    </row>
    <row r="670" spans="1:24" ht="12.75" x14ac:dyDescent="0.2">
      <c r="A670" s="34"/>
      <c r="B670" s="173"/>
      <c r="C670" s="173"/>
      <c r="D670" s="174"/>
      <c r="E670" s="173"/>
      <c r="F670" s="173"/>
      <c r="G670" s="176"/>
      <c r="H670" s="174"/>
      <c r="J670" s="174"/>
      <c r="K670" s="173"/>
      <c r="L670" s="173"/>
      <c r="M670" s="174"/>
      <c r="N670" s="177"/>
      <c r="O670" s="176"/>
      <c r="P670" s="177"/>
      <c r="Q670" s="178"/>
      <c r="R670" s="179"/>
      <c r="S670" s="177"/>
      <c r="T670" s="180"/>
      <c r="U670" s="180"/>
      <c r="V670" s="177"/>
      <c r="W670" s="177"/>
      <c r="X670" s="67"/>
    </row>
    <row r="671" spans="1:24" ht="12.75" x14ac:dyDescent="0.2">
      <c r="A671" s="34"/>
      <c r="B671" s="173"/>
      <c r="C671" s="173"/>
      <c r="D671" s="174"/>
      <c r="E671" s="173"/>
      <c r="F671" s="173"/>
      <c r="G671" s="176"/>
      <c r="H671" s="174"/>
      <c r="J671" s="174"/>
      <c r="K671" s="173"/>
      <c r="L671" s="173"/>
      <c r="M671" s="174"/>
      <c r="N671" s="177"/>
      <c r="O671" s="176"/>
      <c r="P671" s="177"/>
      <c r="Q671" s="178"/>
      <c r="R671" s="179"/>
      <c r="S671" s="177"/>
      <c r="T671" s="180"/>
      <c r="U671" s="180"/>
      <c r="V671" s="177"/>
      <c r="W671" s="177"/>
      <c r="X671" s="67"/>
    </row>
    <row r="672" spans="1:24" ht="12.75" x14ac:dyDescent="0.2">
      <c r="A672" s="34"/>
      <c r="B672" s="173"/>
      <c r="C672" s="173"/>
      <c r="D672" s="174"/>
      <c r="E672" s="173"/>
      <c r="F672" s="173"/>
      <c r="G672" s="176"/>
      <c r="H672" s="174"/>
      <c r="J672" s="174"/>
      <c r="K672" s="173"/>
      <c r="L672" s="173"/>
      <c r="M672" s="174"/>
      <c r="N672" s="177"/>
      <c r="O672" s="176"/>
      <c r="P672" s="177"/>
      <c r="Q672" s="178"/>
      <c r="R672" s="179"/>
      <c r="S672" s="177"/>
      <c r="T672" s="180"/>
      <c r="U672" s="180"/>
      <c r="V672" s="177"/>
      <c r="W672" s="177"/>
      <c r="X672" s="67"/>
    </row>
    <row r="673" spans="1:24" ht="12.75" x14ac:dyDescent="0.2">
      <c r="A673" s="34"/>
      <c r="B673" s="173"/>
      <c r="C673" s="173"/>
      <c r="D673" s="174"/>
      <c r="E673" s="173"/>
      <c r="F673" s="173"/>
      <c r="G673" s="176"/>
      <c r="H673" s="174"/>
      <c r="J673" s="174"/>
      <c r="K673" s="173"/>
      <c r="L673" s="173"/>
      <c r="M673" s="174"/>
      <c r="N673" s="177"/>
      <c r="O673" s="176"/>
      <c r="P673" s="177"/>
      <c r="Q673" s="178"/>
      <c r="R673" s="179"/>
      <c r="S673" s="177"/>
      <c r="T673" s="180"/>
      <c r="U673" s="180"/>
      <c r="V673" s="177"/>
      <c r="W673" s="177"/>
      <c r="X673" s="67"/>
    </row>
    <row r="674" spans="1:24" ht="12.75" x14ac:dyDescent="0.2">
      <c r="A674" s="34"/>
      <c r="B674" s="173"/>
      <c r="C674" s="173"/>
      <c r="D674" s="174"/>
      <c r="E674" s="173"/>
      <c r="F674" s="173"/>
      <c r="G674" s="176"/>
      <c r="H674" s="174"/>
      <c r="J674" s="174"/>
      <c r="K674" s="173"/>
      <c r="L674" s="173"/>
      <c r="M674" s="174"/>
      <c r="N674" s="177"/>
      <c r="O674" s="176"/>
      <c r="P674" s="177"/>
      <c r="Q674" s="178"/>
      <c r="R674" s="179"/>
      <c r="S674" s="177"/>
      <c r="T674" s="180"/>
      <c r="U674" s="180"/>
      <c r="V674" s="177"/>
      <c r="W674" s="177"/>
      <c r="X674" s="67"/>
    </row>
    <row r="675" spans="1:24" ht="12.75" x14ac:dyDescent="0.2">
      <c r="A675" s="34"/>
      <c r="B675" s="173"/>
      <c r="C675" s="173"/>
      <c r="D675" s="174"/>
      <c r="E675" s="173"/>
      <c r="F675" s="173"/>
      <c r="G675" s="176"/>
      <c r="H675" s="174"/>
      <c r="J675" s="174"/>
      <c r="K675" s="173"/>
      <c r="L675" s="173"/>
      <c r="M675" s="174"/>
      <c r="N675" s="177"/>
      <c r="O675" s="176"/>
      <c r="P675" s="177"/>
      <c r="Q675" s="178"/>
      <c r="R675" s="179"/>
      <c r="S675" s="177"/>
      <c r="T675" s="180"/>
      <c r="U675" s="180"/>
      <c r="V675" s="177"/>
      <c r="W675" s="177"/>
      <c r="X675" s="67"/>
    </row>
    <row r="676" spans="1:24" ht="12.75" x14ac:dyDescent="0.2">
      <c r="A676" s="34"/>
      <c r="B676" s="173"/>
      <c r="C676" s="173"/>
      <c r="D676" s="174"/>
      <c r="E676" s="173"/>
      <c r="F676" s="173"/>
      <c r="G676" s="176"/>
      <c r="H676" s="174"/>
      <c r="J676" s="174"/>
      <c r="K676" s="173"/>
      <c r="L676" s="173"/>
      <c r="M676" s="174"/>
      <c r="N676" s="177"/>
      <c r="O676" s="176"/>
      <c r="P676" s="177"/>
      <c r="Q676" s="178"/>
      <c r="R676" s="179"/>
      <c r="S676" s="177"/>
      <c r="T676" s="180"/>
      <c r="U676" s="180"/>
      <c r="V676" s="177"/>
      <c r="W676" s="177"/>
      <c r="X676" s="67"/>
    </row>
    <row r="677" spans="1:24" ht="12.75" x14ac:dyDescent="0.2">
      <c r="A677" s="34"/>
      <c r="B677" s="173"/>
      <c r="C677" s="173"/>
      <c r="D677" s="174"/>
      <c r="E677" s="173"/>
      <c r="F677" s="173"/>
      <c r="G677" s="176"/>
      <c r="H677" s="174"/>
      <c r="J677" s="174"/>
      <c r="K677" s="173"/>
      <c r="L677" s="173"/>
      <c r="M677" s="174"/>
      <c r="N677" s="177"/>
      <c r="O677" s="176"/>
      <c r="P677" s="177"/>
      <c r="Q677" s="178"/>
      <c r="R677" s="179"/>
      <c r="S677" s="177"/>
      <c r="T677" s="180"/>
      <c r="U677" s="180"/>
      <c r="V677" s="177"/>
      <c r="W677" s="177"/>
      <c r="X677" s="67"/>
    </row>
    <row r="678" spans="1:24" ht="12.75" x14ac:dyDescent="0.2">
      <c r="A678" s="34"/>
      <c r="B678" s="173"/>
      <c r="C678" s="173"/>
      <c r="D678" s="174"/>
      <c r="E678" s="173"/>
      <c r="F678" s="173"/>
      <c r="G678" s="176"/>
      <c r="H678" s="174"/>
      <c r="J678" s="174"/>
      <c r="K678" s="173"/>
      <c r="L678" s="173"/>
      <c r="M678" s="174"/>
      <c r="N678" s="177"/>
      <c r="O678" s="176"/>
      <c r="P678" s="177"/>
      <c r="Q678" s="178"/>
      <c r="R678" s="179"/>
      <c r="S678" s="177"/>
      <c r="T678" s="180"/>
      <c r="U678" s="180"/>
      <c r="V678" s="177"/>
      <c r="W678" s="177"/>
      <c r="X678" s="67"/>
    </row>
    <row r="679" spans="1:24" ht="12.75" x14ac:dyDescent="0.2">
      <c r="A679" s="34"/>
      <c r="B679" s="173"/>
      <c r="C679" s="173"/>
      <c r="D679" s="174"/>
      <c r="E679" s="173"/>
      <c r="F679" s="173"/>
      <c r="G679" s="176"/>
      <c r="H679" s="174"/>
      <c r="J679" s="174"/>
      <c r="K679" s="173"/>
      <c r="L679" s="173"/>
      <c r="M679" s="174"/>
      <c r="N679" s="177"/>
      <c r="O679" s="176"/>
      <c r="P679" s="177"/>
      <c r="Q679" s="178"/>
      <c r="R679" s="179"/>
      <c r="S679" s="177"/>
      <c r="T679" s="180"/>
      <c r="U679" s="180"/>
      <c r="V679" s="177"/>
      <c r="W679" s="177"/>
      <c r="X679" s="67"/>
    </row>
    <row r="680" spans="1:24" ht="12.75" x14ac:dyDescent="0.2">
      <c r="A680" s="34"/>
      <c r="B680" s="173"/>
      <c r="C680" s="173"/>
      <c r="D680" s="174"/>
      <c r="E680" s="173"/>
      <c r="F680" s="173"/>
      <c r="G680" s="176"/>
      <c r="H680" s="174"/>
      <c r="J680" s="174"/>
      <c r="K680" s="173"/>
      <c r="L680" s="173"/>
      <c r="M680" s="174"/>
      <c r="N680" s="177"/>
      <c r="O680" s="176"/>
      <c r="P680" s="177"/>
      <c r="Q680" s="178"/>
      <c r="R680" s="179"/>
      <c r="S680" s="177"/>
      <c r="T680" s="180"/>
      <c r="U680" s="180"/>
      <c r="V680" s="177"/>
      <c r="W680" s="177"/>
      <c r="X680" s="67"/>
    </row>
    <row r="681" spans="1:24" ht="12.75" x14ac:dyDescent="0.2">
      <c r="A681" s="34"/>
      <c r="B681" s="173"/>
      <c r="C681" s="173"/>
      <c r="D681" s="174"/>
      <c r="E681" s="173"/>
      <c r="F681" s="173"/>
      <c r="G681" s="176"/>
      <c r="H681" s="174"/>
      <c r="J681" s="174"/>
      <c r="K681" s="173"/>
      <c r="L681" s="173"/>
      <c r="M681" s="174"/>
      <c r="N681" s="177"/>
      <c r="O681" s="176"/>
      <c r="P681" s="177"/>
      <c r="Q681" s="178"/>
      <c r="R681" s="179"/>
      <c r="S681" s="177"/>
      <c r="T681" s="180"/>
      <c r="U681" s="180"/>
      <c r="V681" s="177"/>
      <c r="W681" s="177"/>
      <c r="X681" s="67"/>
    </row>
    <row r="682" spans="1:24" ht="12.75" x14ac:dyDescent="0.2">
      <c r="A682" s="34"/>
      <c r="B682" s="173"/>
      <c r="C682" s="173"/>
      <c r="D682" s="174"/>
      <c r="E682" s="173"/>
      <c r="F682" s="173"/>
      <c r="G682" s="176"/>
      <c r="H682" s="174"/>
      <c r="J682" s="174"/>
      <c r="K682" s="173"/>
      <c r="L682" s="173"/>
      <c r="M682" s="174"/>
      <c r="N682" s="177"/>
      <c r="O682" s="176"/>
      <c r="P682" s="177"/>
      <c r="Q682" s="178"/>
      <c r="R682" s="179"/>
      <c r="S682" s="177"/>
      <c r="T682" s="180"/>
      <c r="U682" s="180"/>
      <c r="V682" s="177"/>
      <c r="W682" s="177"/>
      <c r="X682" s="67"/>
    </row>
    <row r="683" spans="1:24" ht="12.75" x14ac:dyDescent="0.2">
      <c r="A683" s="34"/>
      <c r="B683" s="173"/>
      <c r="C683" s="173"/>
      <c r="D683" s="174"/>
      <c r="E683" s="173"/>
      <c r="F683" s="173"/>
      <c r="G683" s="176"/>
      <c r="H683" s="174"/>
      <c r="J683" s="174"/>
      <c r="K683" s="173"/>
      <c r="L683" s="173"/>
      <c r="M683" s="174"/>
      <c r="N683" s="177"/>
      <c r="O683" s="176"/>
      <c r="P683" s="177"/>
      <c r="Q683" s="178"/>
      <c r="R683" s="179"/>
      <c r="S683" s="177"/>
      <c r="T683" s="180"/>
      <c r="U683" s="180"/>
      <c r="V683" s="177"/>
      <c r="W683" s="177"/>
      <c r="X683" s="67"/>
    </row>
    <row r="684" spans="1:24" ht="12.75" x14ac:dyDescent="0.2">
      <c r="A684" s="34"/>
      <c r="B684" s="173"/>
      <c r="C684" s="173"/>
      <c r="D684" s="174"/>
      <c r="E684" s="173"/>
      <c r="F684" s="173"/>
      <c r="G684" s="176"/>
      <c r="H684" s="174"/>
      <c r="J684" s="174"/>
      <c r="K684" s="173"/>
      <c r="L684" s="173"/>
      <c r="M684" s="174"/>
      <c r="N684" s="177"/>
      <c r="O684" s="176"/>
      <c r="P684" s="177"/>
      <c r="Q684" s="178"/>
      <c r="R684" s="179"/>
      <c r="S684" s="177"/>
      <c r="T684" s="180"/>
      <c r="U684" s="180"/>
      <c r="V684" s="177"/>
      <c r="W684" s="177"/>
      <c r="X684" s="67"/>
    </row>
    <row r="685" spans="1:24" ht="12.75" x14ac:dyDescent="0.2">
      <c r="A685" s="34"/>
      <c r="B685" s="173"/>
      <c r="C685" s="173"/>
      <c r="D685" s="174"/>
      <c r="E685" s="173"/>
      <c r="F685" s="173"/>
      <c r="G685" s="176"/>
      <c r="H685" s="174"/>
      <c r="J685" s="174"/>
      <c r="K685" s="173"/>
      <c r="L685" s="173"/>
      <c r="M685" s="174"/>
      <c r="N685" s="177"/>
      <c r="O685" s="176"/>
      <c r="P685" s="177"/>
      <c r="Q685" s="178"/>
      <c r="R685" s="179"/>
      <c r="S685" s="177"/>
      <c r="T685" s="180"/>
      <c r="U685" s="180"/>
      <c r="V685" s="177"/>
      <c r="W685" s="177"/>
      <c r="X685" s="67"/>
    </row>
    <row r="686" spans="1:24" ht="12.75" x14ac:dyDescent="0.2">
      <c r="A686" s="34"/>
      <c r="B686" s="173"/>
      <c r="C686" s="173"/>
      <c r="D686" s="174"/>
      <c r="E686" s="173"/>
      <c r="F686" s="173"/>
      <c r="G686" s="176"/>
      <c r="H686" s="174"/>
      <c r="J686" s="174"/>
      <c r="K686" s="173"/>
      <c r="L686" s="173"/>
      <c r="M686" s="174"/>
      <c r="N686" s="177"/>
      <c r="O686" s="176"/>
      <c r="P686" s="177"/>
      <c r="Q686" s="178"/>
      <c r="R686" s="179"/>
      <c r="S686" s="177"/>
      <c r="T686" s="180"/>
      <c r="U686" s="180"/>
      <c r="V686" s="177"/>
      <c r="W686" s="177"/>
      <c r="X686" s="67"/>
    </row>
    <row r="687" spans="1:24" ht="12.75" x14ac:dyDescent="0.2">
      <c r="A687" s="34"/>
      <c r="B687" s="173"/>
      <c r="C687" s="173"/>
      <c r="D687" s="174"/>
      <c r="E687" s="173"/>
      <c r="F687" s="173"/>
      <c r="G687" s="176"/>
      <c r="H687" s="174"/>
      <c r="J687" s="174"/>
      <c r="K687" s="173"/>
      <c r="L687" s="173"/>
      <c r="M687" s="174"/>
      <c r="N687" s="177"/>
      <c r="O687" s="176"/>
      <c r="P687" s="177"/>
      <c r="Q687" s="178"/>
      <c r="R687" s="179"/>
      <c r="S687" s="177"/>
      <c r="T687" s="180"/>
      <c r="U687" s="180"/>
      <c r="V687" s="177"/>
      <c r="W687" s="177"/>
      <c r="X687" s="67"/>
    </row>
    <row r="688" spans="1:24" ht="12.75" x14ac:dyDescent="0.2">
      <c r="A688" s="34"/>
      <c r="B688" s="173"/>
      <c r="C688" s="173"/>
      <c r="D688" s="174"/>
      <c r="E688" s="173"/>
      <c r="F688" s="173"/>
      <c r="G688" s="176"/>
      <c r="H688" s="174"/>
      <c r="J688" s="174"/>
      <c r="K688" s="173"/>
      <c r="L688" s="173"/>
      <c r="M688" s="174"/>
      <c r="N688" s="177"/>
      <c r="O688" s="176"/>
      <c r="P688" s="177"/>
      <c r="Q688" s="178"/>
      <c r="R688" s="179"/>
      <c r="S688" s="177"/>
      <c r="T688" s="180"/>
      <c r="U688" s="180"/>
      <c r="V688" s="177"/>
      <c r="W688" s="177"/>
      <c r="X688" s="67"/>
    </row>
    <row r="689" spans="1:24" ht="12.75" x14ac:dyDescent="0.2">
      <c r="A689" s="34"/>
      <c r="B689" s="173"/>
      <c r="C689" s="173"/>
      <c r="D689" s="174"/>
      <c r="E689" s="173"/>
      <c r="F689" s="173"/>
      <c r="G689" s="176"/>
      <c r="H689" s="174"/>
      <c r="J689" s="174"/>
      <c r="K689" s="173"/>
      <c r="L689" s="173"/>
      <c r="M689" s="174"/>
      <c r="N689" s="177"/>
      <c r="O689" s="176"/>
      <c r="P689" s="177"/>
      <c r="Q689" s="178"/>
      <c r="R689" s="179"/>
      <c r="S689" s="177"/>
      <c r="T689" s="180"/>
      <c r="U689" s="180"/>
      <c r="V689" s="177"/>
      <c r="W689" s="177"/>
      <c r="X689" s="67"/>
    </row>
    <row r="690" spans="1:24" ht="12.75" x14ac:dyDescent="0.2">
      <c r="A690" s="34"/>
      <c r="B690" s="173"/>
      <c r="C690" s="173"/>
      <c r="D690" s="174"/>
      <c r="E690" s="173"/>
      <c r="F690" s="173"/>
      <c r="G690" s="176"/>
      <c r="H690" s="174"/>
      <c r="J690" s="174"/>
      <c r="K690" s="173"/>
      <c r="L690" s="173"/>
      <c r="M690" s="174"/>
      <c r="N690" s="177"/>
      <c r="O690" s="176"/>
      <c r="P690" s="177"/>
      <c r="Q690" s="178"/>
      <c r="R690" s="179"/>
      <c r="S690" s="177"/>
      <c r="T690" s="180"/>
      <c r="U690" s="180"/>
      <c r="V690" s="177"/>
      <c r="W690" s="177"/>
      <c r="X690" s="67"/>
    </row>
    <row r="691" spans="1:24" ht="12.75" x14ac:dyDescent="0.2">
      <c r="A691" s="34"/>
      <c r="B691" s="173"/>
      <c r="C691" s="173"/>
      <c r="D691" s="174"/>
      <c r="E691" s="173"/>
      <c r="F691" s="173"/>
      <c r="G691" s="176"/>
      <c r="H691" s="174"/>
      <c r="J691" s="174"/>
      <c r="K691" s="173"/>
      <c r="L691" s="173"/>
      <c r="M691" s="174"/>
      <c r="N691" s="177"/>
      <c r="O691" s="176"/>
      <c r="P691" s="177"/>
      <c r="Q691" s="178"/>
      <c r="R691" s="179"/>
      <c r="S691" s="177"/>
      <c r="T691" s="180"/>
      <c r="U691" s="180"/>
      <c r="V691" s="177"/>
      <c r="W691" s="177"/>
      <c r="X691" s="67"/>
    </row>
    <row r="692" spans="1:24" ht="12.75" x14ac:dyDescent="0.2">
      <c r="A692" s="34"/>
      <c r="B692" s="173"/>
      <c r="C692" s="173"/>
      <c r="D692" s="174"/>
      <c r="E692" s="173"/>
      <c r="F692" s="173"/>
      <c r="G692" s="176"/>
      <c r="H692" s="174"/>
      <c r="J692" s="174"/>
      <c r="K692" s="173"/>
      <c r="L692" s="173"/>
      <c r="M692" s="174"/>
      <c r="N692" s="177"/>
      <c r="O692" s="176"/>
      <c r="P692" s="177"/>
      <c r="Q692" s="178"/>
      <c r="R692" s="179"/>
      <c r="S692" s="177"/>
      <c r="T692" s="180"/>
      <c r="U692" s="180"/>
      <c r="V692" s="177"/>
      <c r="W692" s="177"/>
      <c r="X692" s="67"/>
    </row>
    <row r="693" spans="1:24" ht="12.75" x14ac:dyDescent="0.2">
      <c r="A693" s="34"/>
      <c r="B693" s="173"/>
      <c r="C693" s="173"/>
      <c r="D693" s="174"/>
      <c r="E693" s="173"/>
      <c r="F693" s="173"/>
      <c r="G693" s="176"/>
      <c r="H693" s="174"/>
      <c r="J693" s="174"/>
      <c r="K693" s="173"/>
      <c r="L693" s="173"/>
      <c r="M693" s="174"/>
      <c r="N693" s="177"/>
      <c r="O693" s="176"/>
      <c r="P693" s="177"/>
      <c r="Q693" s="178"/>
      <c r="R693" s="179"/>
      <c r="S693" s="177"/>
      <c r="T693" s="180"/>
      <c r="U693" s="180"/>
      <c r="V693" s="177"/>
      <c r="W693" s="177"/>
      <c r="X693" s="67"/>
    </row>
    <row r="694" spans="1:24" ht="12.75" x14ac:dyDescent="0.2">
      <c r="A694" s="34"/>
      <c r="B694" s="173"/>
      <c r="C694" s="173"/>
      <c r="D694" s="174"/>
      <c r="E694" s="173"/>
      <c r="F694" s="173"/>
      <c r="G694" s="176"/>
      <c r="H694" s="174"/>
      <c r="J694" s="174"/>
      <c r="K694" s="173"/>
      <c r="L694" s="173"/>
      <c r="M694" s="174"/>
      <c r="N694" s="177"/>
      <c r="O694" s="176"/>
      <c r="P694" s="177"/>
      <c r="Q694" s="178"/>
      <c r="R694" s="179"/>
      <c r="S694" s="177"/>
      <c r="T694" s="180"/>
      <c r="U694" s="180"/>
      <c r="V694" s="177"/>
      <c r="W694" s="177"/>
      <c r="X694" s="67"/>
    </row>
    <row r="695" spans="1:24" ht="12.75" x14ac:dyDescent="0.2">
      <c r="A695" s="34"/>
      <c r="B695" s="173"/>
      <c r="C695" s="173"/>
      <c r="D695" s="174"/>
      <c r="E695" s="173"/>
      <c r="F695" s="173"/>
      <c r="G695" s="176"/>
      <c r="H695" s="174"/>
      <c r="J695" s="174"/>
      <c r="K695" s="173"/>
      <c r="L695" s="173"/>
      <c r="M695" s="174"/>
      <c r="N695" s="177"/>
      <c r="O695" s="176"/>
      <c r="P695" s="177"/>
      <c r="Q695" s="178"/>
      <c r="R695" s="179"/>
      <c r="S695" s="177"/>
      <c r="T695" s="180"/>
      <c r="U695" s="180"/>
      <c r="V695" s="177"/>
      <c r="W695" s="177"/>
      <c r="X695" s="67"/>
    </row>
    <row r="696" spans="1:24" ht="12.75" x14ac:dyDescent="0.2">
      <c r="A696" s="34"/>
      <c r="B696" s="173"/>
      <c r="C696" s="173"/>
      <c r="D696" s="174"/>
      <c r="E696" s="173"/>
      <c r="F696" s="173"/>
      <c r="G696" s="176"/>
      <c r="H696" s="174"/>
      <c r="J696" s="174"/>
      <c r="K696" s="173"/>
      <c r="L696" s="173"/>
      <c r="M696" s="174"/>
      <c r="N696" s="177"/>
      <c r="O696" s="176"/>
      <c r="P696" s="177"/>
      <c r="Q696" s="178"/>
      <c r="R696" s="179"/>
      <c r="S696" s="177"/>
      <c r="T696" s="180"/>
      <c r="U696" s="180"/>
      <c r="V696" s="177"/>
      <c r="W696" s="177"/>
      <c r="X696" s="67"/>
    </row>
    <row r="697" spans="1:24" ht="12.75" x14ac:dyDescent="0.2">
      <c r="A697" s="34"/>
      <c r="B697" s="173"/>
      <c r="C697" s="173"/>
      <c r="D697" s="174"/>
      <c r="E697" s="173"/>
      <c r="F697" s="173"/>
      <c r="G697" s="176"/>
      <c r="H697" s="174"/>
      <c r="J697" s="174"/>
      <c r="K697" s="173"/>
      <c r="L697" s="173"/>
      <c r="M697" s="174"/>
      <c r="N697" s="177"/>
      <c r="O697" s="176"/>
      <c r="P697" s="177"/>
      <c r="Q697" s="178"/>
      <c r="R697" s="179"/>
      <c r="S697" s="177"/>
      <c r="T697" s="180"/>
      <c r="U697" s="180"/>
      <c r="V697" s="177"/>
      <c r="W697" s="177"/>
      <c r="X697" s="67"/>
    </row>
    <row r="698" spans="1:24" ht="12.75" x14ac:dyDescent="0.2">
      <c r="A698" s="34"/>
      <c r="B698" s="173"/>
      <c r="C698" s="173"/>
      <c r="D698" s="174"/>
      <c r="E698" s="173"/>
      <c r="F698" s="173"/>
      <c r="G698" s="176"/>
      <c r="H698" s="174"/>
      <c r="J698" s="174"/>
      <c r="K698" s="173"/>
      <c r="L698" s="173"/>
      <c r="M698" s="174"/>
      <c r="N698" s="177"/>
      <c r="O698" s="176"/>
      <c r="P698" s="177"/>
      <c r="Q698" s="178"/>
      <c r="R698" s="179"/>
      <c r="S698" s="177"/>
      <c r="T698" s="180"/>
      <c r="U698" s="180"/>
      <c r="V698" s="177"/>
      <c r="W698" s="177"/>
      <c r="X698" s="67"/>
    </row>
    <row r="699" spans="1:24" ht="12.75" x14ac:dyDescent="0.2">
      <c r="A699" s="34"/>
      <c r="B699" s="173"/>
      <c r="C699" s="173"/>
      <c r="D699" s="174"/>
      <c r="E699" s="173"/>
      <c r="F699" s="173"/>
      <c r="G699" s="176"/>
      <c r="H699" s="174"/>
      <c r="J699" s="174"/>
      <c r="K699" s="173"/>
      <c r="L699" s="173"/>
      <c r="M699" s="174"/>
      <c r="N699" s="177"/>
      <c r="O699" s="176"/>
      <c r="P699" s="177"/>
      <c r="Q699" s="178"/>
      <c r="R699" s="179"/>
      <c r="S699" s="177"/>
      <c r="T699" s="180"/>
      <c r="U699" s="180"/>
      <c r="V699" s="177"/>
      <c r="W699" s="177"/>
      <c r="X699" s="67"/>
    </row>
    <row r="700" spans="1:24" ht="12.75" x14ac:dyDescent="0.2">
      <c r="A700" s="34"/>
      <c r="B700" s="173"/>
      <c r="C700" s="173"/>
      <c r="D700" s="174"/>
      <c r="E700" s="173"/>
      <c r="F700" s="173"/>
      <c r="G700" s="176"/>
      <c r="H700" s="174"/>
      <c r="J700" s="174"/>
      <c r="K700" s="173"/>
      <c r="L700" s="173"/>
      <c r="M700" s="174"/>
      <c r="N700" s="177"/>
      <c r="O700" s="176"/>
      <c r="P700" s="177"/>
      <c r="Q700" s="178"/>
      <c r="R700" s="179"/>
      <c r="S700" s="177"/>
      <c r="T700" s="180"/>
      <c r="U700" s="180"/>
      <c r="V700" s="177"/>
      <c r="W700" s="177"/>
      <c r="X700" s="67"/>
    </row>
    <row r="701" spans="1:24" ht="12.75" x14ac:dyDescent="0.2">
      <c r="A701" s="34"/>
      <c r="B701" s="173"/>
      <c r="C701" s="173"/>
      <c r="D701" s="174"/>
      <c r="E701" s="173"/>
      <c r="F701" s="173"/>
      <c r="G701" s="176"/>
      <c r="H701" s="174"/>
      <c r="J701" s="174"/>
      <c r="K701" s="173"/>
      <c r="L701" s="173"/>
      <c r="M701" s="174"/>
      <c r="N701" s="177"/>
      <c r="O701" s="176"/>
      <c r="P701" s="177"/>
      <c r="Q701" s="178"/>
      <c r="R701" s="179"/>
      <c r="S701" s="177"/>
      <c r="T701" s="180"/>
      <c r="U701" s="180"/>
      <c r="V701" s="177"/>
      <c r="W701" s="177"/>
      <c r="X701" s="67"/>
    </row>
    <row r="702" spans="1:24" ht="12.75" x14ac:dyDescent="0.2">
      <c r="A702" s="34"/>
      <c r="B702" s="173"/>
      <c r="C702" s="173"/>
      <c r="D702" s="174"/>
      <c r="E702" s="173"/>
      <c r="F702" s="173"/>
      <c r="G702" s="176"/>
      <c r="H702" s="174"/>
      <c r="J702" s="174"/>
      <c r="K702" s="173"/>
      <c r="L702" s="173"/>
      <c r="M702" s="174"/>
      <c r="N702" s="177"/>
      <c r="O702" s="176"/>
      <c r="P702" s="177"/>
      <c r="Q702" s="178"/>
      <c r="R702" s="179"/>
      <c r="S702" s="177"/>
      <c r="T702" s="180"/>
      <c r="U702" s="180"/>
      <c r="V702" s="177"/>
      <c r="W702" s="177"/>
      <c r="X702" s="67"/>
    </row>
    <row r="703" spans="1:24" ht="12.75" x14ac:dyDescent="0.2">
      <c r="A703" s="34"/>
      <c r="B703" s="173"/>
      <c r="C703" s="173"/>
      <c r="D703" s="174"/>
      <c r="E703" s="173"/>
      <c r="F703" s="173"/>
      <c r="G703" s="176"/>
      <c r="H703" s="174"/>
      <c r="J703" s="174"/>
      <c r="K703" s="173"/>
      <c r="L703" s="173"/>
      <c r="M703" s="174"/>
      <c r="N703" s="177"/>
      <c r="O703" s="176"/>
      <c r="P703" s="177"/>
      <c r="Q703" s="178"/>
      <c r="R703" s="179"/>
      <c r="S703" s="177"/>
      <c r="T703" s="180"/>
      <c r="U703" s="180"/>
      <c r="V703" s="177"/>
      <c r="W703" s="177"/>
      <c r="X703" s="67"/>
    </row>
    <row r="704" spans="1:24" ht="12.75" x14ac:dyDescent="0.2">
      <c r="A704" s="34"/>
      <c r="B704" s="173"/>
      <c r="C704" s="173"/>
      <c r="D704" s="174"/>
      <c r="E704" s="173"/>
      <c r="F704" s="173"/>
      <c r="G704" s="176"/>
      <c r="H704" s="174"/>
      <c r="J704" s="174"/>
      <c r="K704" s="173"/>
      <c r="L704" s="173"/>
      <c r="M704" s="174"/>
      <c r="N704" s="177"/>
      <c r="O704" s="176"/>
      <c r="P704" s="177"/>
      <c r="Q704" s="178"/>
      <c r="R704" s="179"/>
      <c r="S704" s="177"/>
      <c r="T704" s="180"/>
      <c r="U704" s="180"/>
      <c r="V704" s="177"/>
      <c r="W704" s="177"/>
      <c r="X704" s="67"/>
    </row>
    <row r="705" spans="1:24" ht="12.75" x14ac:dyDescent="0.2">
      <c r="A705" s="34"/>
      <c r="B705" s="173"/>
      <c r="C705" s="173"/>
      <c r="D705" s="174"/>
      <c r="E705" s="173"/>
      <c r="F705" s="173"/>
      <c r="G705" s="176"/>
      <c r="H705" s="174"/>
      <c r="J705" s="174"/>
      <c r="K705" s="173"/>
      <c r="L705" s="173"/>
      <c r="M705" s="174"/>
      <c r="N705" s="177"/>
      <c r="O705" s="176"/>
      <c r="P705" s="177"/>
      <c r="Q705" s="178"/>
      <c r="R705" s="179"/>
      <c r="S705" s="177"/>
      <c r="T705" s="180"/>
      <c r="U705" s="180"/>
      <c r="V705" s="177"/>
      <c r="W705" s="177"/>
      <c r="X705" s="67"/>
    </row>
    <row r="706" spans="1:24" ht="12.75" x14ac:dyDescent="0.2">
      <c r="A706" s="34"/>
      <c r="B706" s="173"/>
      <c r="C706" s="173"/>
      <c r="D706" s="174"/>
      <c r="E706" s="173"/>
      <c r="F706" s="173"/>
      <c r="G706" s="176"/>
      <c r="H706" s="174"/>
      <c r="J706" s="174"/>
      <c r="K706" s="173"/>
      <c r="L706" s="173"/>
      <c r="M706" s="174"/>
      <c r="N706" s="177"/>
      <c r="O706" s="176"/>
      <c r="P706" s="177"/>
      <c r="Q706" s="178"/>
      <c r="R706" s="179"/>
      <c r="S706" s="177"/>
      <c r="T706" s="180"/>
      <c r="U706" s="180"/>
      <c r="V706" s="177"/>
      <c r="W706" s="177"/>
      <c r="X706" s="67"/>
    </row>
    <row r="707" spans="1:24" ht="12.75" x14ac:dyDescent="0.2">
      <c r="A707" s="34"/>
      <c r="B707" s="173"/>
      <c r="C707" s="173"/>
      <c r="D707" s="174"/>
      <c r="E707" s="173"/>
      <c r="F707" s="173"/>
      <c r="G707" s="176"/>
      <c r="H707" s="174"/>
      <c r="J707" s="174"/>
      <c r="K707" s="173"/>
      <c r="L707" s="173"/>
      <c r="M707" s="174"/>
      <c r="N707" s="177"/>
      <c r="O707" s="176"/>
      <c r="P707" s="177"/>
      <c r="Q707" s="178"/>
      <c r="R707" s="179"/>
      <c r="S707" s="177"/>
      <c r="T707" s="180"/>
      <c r="U707" s="180"/>
      <c r="V707" s="177"/>
      <c r="W707" s="177"/>
      <c r="X707" s="67"/>
    </row>
    <row r="708" spans="1:24" ht="12.75" x14ac:dyDescent="0.2">
      <c r="A708" s="34"/>
      <c r="B708" s="173"/>
      <c r="C708" s="173"/>
      <c r="D708" s="174"/>
      <c r="E708" s="173"/>
      <c r="F708" s="173"/>
      <c r="G708" s="176"/>
      <c r="H708" s="174"/>
      <c r="J708" s="174"/>
      <c r="K708" s="173"/>
      <c r="L708" s="173"/>
      <c r="M708" s="174"/>
      <c r="N708" s="177"/>
      <c r="O708" s="176"/>
      <c r="P708" s="177"/>
      <c r="Q708" s="178"/>
      <c r="R708" s="179"/>
      <c r="S708" s="177"/>
      <c r="T708" s="180"/>
      <c r="U708" s="180"/>
      <c r="V708" s="177"/>
      <c r="W708" s="177"/>
      <c r="X708" s="67"/>
    </row>
    <row r="709" spans="1:24" ht="12.75" x14ac:dyDescent="0.2">
      <c r="A709" s="34"/>
      <c r="B709" s="173"/>
      <c r="C709" s="173"/>
      <c r="D709" s="174"/>
      <c r="E709" s="173"/>
      <c r="F709" s="173"/>
      <c r="G709" s="176"/>
      <c r="H709" s="174"/>
      <c r="J709" s="174"/>
      <c r="K709" s="173"/>
      <c r="L709" s="173"/>
      <c r="M709" s="174"/>
      <c r="N709" s="177"/>
      <c r="O709" s="176"/>
      <c r="P709" s="177"/>
      <c r="Q709" s="178"/>
      <c r="R709" s="179"/>
      <c r="S709" s="177"/>
      <c r="T709" s="180"/>
      <c r="U709" s="180"/>
      <c r="V709" s="177"/>
      <c r="W709" s="177"/>
      <c r="X709" s="67"/>
    </row>
    <row r="710" spans="1:24" ht="12.75" x14ac:dyDescent="0.2">
      <c r="A710" s="34"/>
      <c r="B710" s="173"/>
      <c r="C710" s="173"/>
      <c r="D710" s="174"/>
      <c r="E710" s="173"/>
      <c r="F710" s="173"/>
      <c r="G710" s="176"/>
      <c r="H710" s="174"/>
      <c r="J710" s="174"/>
      <c r="K710" s="173"/>
      <c r="L710" s="173"/>
      <c r="M710" s="174"/>
      <c r="N710" s="177"/>
      <c r="O710" s="176"/>
      <c r="P710" s="177"/>
      <c r="Q710" s="178"/>
      <c r="R710" s="179"/>
      <c r="S710" s="177"/>
      <c r="T710" s="180"/>
      <c r="U710" s="180"/>
      <c r="V710" s="177"/>
      <c r="W710" s="177"/>
      <c r="X710" s="67"/>
    </row>
    <row r="711" spans="1:24" ht="12.75" x14ac:dyDescent="0.2">
      <c r="A711" s="34"/>
      <c r="B711" s="173"/>
      <c r="C711" s="173"/>
      <c r="D711" s="174"/>
      <c r="E711" s="173"/>
      <c r="F711" s="173"/>
      <c r="G711" s="176"/>
      <c r="H711" s="174"/>
      <c r="J711" s="174"/>
      <c r="K711" s="173"/>
      <c r="L711" s="173"/>
      <c r="M711" s="174"/>
      <c r="N711" s="177"/>
      <c r="O711" s="176"/>
      <c r="P711" s="177"/>
      <c r="Q711" s="178"/>
      <c r="R711" s="179"/>
      <c r="S711" s="177"/>
      <c r="T711" s="180"/>
      <c r="U711" s="180"/>
      <c r="V711" s="177"/>
      <c r="W711" s="177"/>
      <c r="X711" s="67"/>
    </row>
    <row r="712" spans="1:24" ht="12.75" x14ac:dyDescent="0.2">
      <c r="A712" s="34"/>
      <c r="B712" s="173"/>
      <c r="C712" s="173"/>
      <c r="D712" s="174"/>
      <c r="E712" s="173"/>
      <c r="F712" s="173"/>
      <c r="G712" s="176"/>
      <c r="H712" s="174"/>
      <c r="J712" s="174"/>
      <c r="K712" s="173"/>
      <c r="L712" s="173"/>
      <c r="M712" s="174"/>
      <c r="N712" s="177"/>
      <c r="O712" s="176"/>
      <c r="P712" s="177"/>
      <c r="Q712" s="178"/>
      <c r="R712" s="179"/>
      <c r="S712" s="177"/>
      <c r="T712" s="180"/>
      <c r="U712" s="180"/>
      <c r="V712" s="177"/>
      <c r="W712" s="177"/>
      <c r="X712" s="67"/>
    </row>
    <row r="713" spans="1:24" ht="12.75" x14ac:dyDescent="0.2">
      <c r="A713" s="34"/>
      <c r="B713" s="173"/>
      <c r="C713" s="173"/>
      <c r="D713" s="174"/>
      <c r="E713" s="173"/>
      <c r="F713" s="173"/>
      <c r="G713" s="176"/>
      <c r="H713" s="174"/>
      <c r="J713" s="174"/>
      <c r="K713" s="173"/>
      <c r="L713" s="173"/>
      <c r="M713" s="174"/>
      <c r="N713" s="177"/>
      <c r="O713" s="176"/>
      <c r="P713" s="177"/>
      <c r="Q713" s="178"/>
      <c r="R713" s="179"/>
      <c r="S713" s="177"/>
      <c r="T713" s="180"/>
      <c r="U713" s="180"/>
      <c r="V713" s="177"/>
      <c r="W713" s="177"/>
      <c r="X713" s="67"/>
    </row>
    <row r="714" spans="1:24" ht="12.75" x14ac:dyDescent="0.2">
      <c r="A714" s="34"/>
      <c r="B714" s="173"/>
      <c r="C714" s="173"/>
      <c r="D714" s="174"/>
      <c r="E714" s="173"/>
      <c r="F714" s="173"/>
      <c r="G714" s="176"/>
      <c r="H714" s="174"/>
      <c r="J714" s="174"/>
      <c r="K714" s="173"/>
      <c r="L714" s="173"/>
      <c r="M714" s="174"/>
      <c r="N714" s="177"/>
      <c r="O714" s="176"/>
      <c r="P714" s="177"/>
      <c r="Q714" s="178"/>
      <c r="R714" s="179"/>
      <c r="S714" s="177"/>
      <c r="T714" s="180"/>
      <c r="U714" s="180"/>
      <c r="V714" s="177"/>
      <c r="W714" s="177"/>
      <c r="X714" s="67"/>
    </row>
    <row r="715" spans="1:24" ht="12.75" x14ac:dyDescent="0.2">
      <c r="A715" s="34"/>
      <c r="B715" s="173"/>
      <c r="C715" s="173"/>
      <c r="D715" s="174"/>
      <c r="E715" s="173"/>
      <c r="F715" s="173"/>
      <c r="G715" s="176"/>
      <c r="H715" s="174"/>
      <c r="J715" s="174"/>
      <c r="K715" s="173"/>
      <c r="L715" s="173"/>
      <c r="M715" s="174"/>
      <c r="N715" s="177"/>
      <c r="O715" s="176"/>
      <c r="P715" s="177"/>
      <c r="Q715" s="178"/>
      <c r="R715" s="179"/>
      <c r="S715" s="177"/>
      <c r="T715" s="180"/>
      <c r="U715" s="180"/>
      <c r="V715" s="177"/>
      <c r="W715" s="177"/>
      <c r="X715" s="67"/>
    </row>
    <row r="716" spans="1:24" ht="12.75" x14ac:dyDescent="0.2">
      <c r="A716" s="34"/>
      <c r="B716" s="173"/>
      <c r="C716" s="173"/>
      <c r="D716" s="174"/>
      <c r="E716" s="173"/>
      <c r="F716" s="173"/>
      <c r="G716" s="176"/>
      <c r="H716" s="174"/>
      <c r="J716" s="174"/>
      <c r="K716" s="173"/>
      <c r="L716" s="173"/>
      <c r="M716" s="174"/>
      <c r="N716" s="177"/>
      <c r="O716" s="176"/>
      <c r="P716" s="177"/>
      <c r="Q716" s="178"/>
      <c r="R716" s="179"/>
      <c r="S716" s="177"/>
      <c r="T716" s="180"/>
      <c r="U716" s="180"/>
      <c r="V716" s="177"/>
      <c r="W716" s="177"/>
      <c r="X716" s="67"/>
    </row>
    <row r="717" spans="1:24" ht="12.75" x14ac:dyDescent="0.2">
      <c r="A717" s="34"/>
      <c r="B717" s="173"/>
      <c r="C717" s="173"/>
      <c r="D717" s="174"/>
      <c r="E717" s="173"/>
      <c r="F717" s="173"/>
      <c r="G717" s="176"/>
      <c r="H717" s="174"/>
      <c r="J717" s="174"/>
      <c r="K717" s="173"/>
      <c r="L717" s="173"/>
      <c r="M717" s="174"/>
      <c r="N717" s="177"/>
      <c r="O717" s="176"/>
      <c r="P717" s="177"/>
      <c r="Q717" s="178"/>
      <c r="R717" s="179"/>
      <c r="S717" s="177"/>
      <c r="T717" s="180"/>
      <c r="U717" s="180"/>
      <c r="V717" s="177"/>
      <c r="W717" s="177"/>
      <c r="X717" s="67"/>
    </row>
    <row r="718" spans="1:24" ht="12.75" x14ac:dyDescent="0.2">
      <c r="A718" s="34"/>
      <c r="B718" s="173"/>
      <c r="C718" s="173"/>
      <c r="D718" s="174"/>
      <c r="E718" s="173"/>
      <c r="F718" s="173"/>
      <c r="G718" s="176"/>
      <c r="H718" s="174"/>
      <c r="J718" s="174"/>
      <c r="K718" s="173"/>
      <c r="L718" s="173"/>
      <c r="M718" s="174"/>
      <c r="N718" s="177"/>
      <c r="O718" s="176"/>
      <c r="P718" s="177"/>
      <c r="Q718" s="178"/>
      <c r="R718" s="179"/>
      <c r="S718" s="177"/>
      <c r="T718" s="180"/>
      <c r="U718" s="180"/>
      <c r="V718" s="177"/>
      <c r="W718" s="177"/>
      <c r="X718" s="67"/>
    </row>
    <row r="719" spans="1:24" ht="12.75" x14ac:dyDescent="0.2">
      <c r="A719" s="34"/>
      <c r="B719" s="173"/>
      <c r="C719" s="173"/>
      <c r="D719" s="174"/>
      <c r="E719" s="173"/>
      <c r="F719" s="173"/>
      <c r="G719" s="176"/>
      <c r="H719" s="174"/>
      <c r="J719" s="174"/>
      <c r="K719" s="173"/>
      <c r="L719" s="173"/>
      <c r="M719" s="174"/>
      <c r="N719" s="177"/>
      <c r="O719" s="176"/>
      <c r="P719" s="177"/>
      <c r="Q719" s="178"/>
      <c r="R719" s="179"/>
      <c r="S719" s="177"/>
      <c r="T719" s="180"/>
      <c r="U719" s="180"/>
      <c r="V719" s="177"/>
      <c r="W719" s="177"/>
      <c r="X719" s="67"/>
    </row>
    <row r="720" spans="1:24" ht="12.75" x14ac:dyDescent="0.2">
      <c r="A720" s="34"/>
      <c r="B720" s="173"/>
      <c r="C720" s="173"/>
      <c r="D720" s="174"/>
      <c r="E720" s="173"/>
      <c r="F720" s="173"/>
      <c r="G720" s="176"/>
      <c r="H720" s="174"/>
      <c r="J720" s="174"/>
      <c r="K720" s="173"/>
      <c r="L720" s="173"/>
      <c r="M720" s="174"/>
      <c r="N720" s="177"/>
      <c r="O720" s="176"/>
      <c r="P720" s="177"/>
      <c r="Q720" s="178"/>
      <c r="R720" s="179"/>
      <c r="S720" s="177"/>
      <c r="T720" s="180"/>
      <c r="U720" s="180"/>
      <c r="V720" s="177"/>
      <c r="W720" s="177"/>
      <c r="X720" s="67"/>
    </row>
    <row r="721" spans="1:24" ht="12.75" x14ac:dyDescent="0.2">
      <c r="A721" s="34"/>
      <c r="B721" s="173"/>
      <c r="C721" s="173"/>
      <c r="D721" s="174"/>
      <c r="E721" s="173"/>
      <c r="F721" s="173"/>
      <c r="G721" s="176"/>
      <c r="H721" s="174"/>
      <c r="J721" s="174"/>
      <c r="K721" s="173"/>
      <c r="L721" s="173"/>
      <c r="M721" s="174"/>
      <c r="N721" s="177"/>
      <c r="O721" s="176"/>
      <c r="P721" s="177"/>
      <c r="Q721" s="178"/>
      <c r="R721" s="179"/>
      <c r="S721" s="177"/>
      <c r="T721" s="180"/>
      <c r="U721" s="180"/>
      <c r="V721" s="177"/>
      <c r="W721" s="177"/>
      <c r="X721" s="67"/>
    </row>
    <row r="722" spans="1:24" ht="12.75" x14ac:dyDescent="0.2">
      <c r="A722" s="34"/>
      <c r="B722" s="173"/>
      <c r="C722" s="173"/>
      <c r="D722" s="174"/>
      <c r="E722" s="173"/>
      <c r="F722" s="173"/>
      <c r="G722" s="176"/>
      <c r="H722" s="174"/>
      <c r="J722" s="174"/>
      <c r="K722" s="173"/>
      <c r="L722" s="173"/>
      <c r="M722" s="174"/>
      <c r="N722" s="177"/>
      <c r="O722" s="176"/>
      <c r="P722" s="177"/>
      <c r="Q722" s="178"/>
      <c r="R722" s="179"/>
      <c r="S722" s="177"/>
      <c r="T722" s="180"/>
      <c r="U722" s="180"/>
      <c r="V722" s="177"/>
      <c r="W722" s="177"/>
      <c r="X722" s="67"/>
    </row>
    <row r="723" spans="1:24" ht="12.75" x14ac:dyDescent="0.2">
      <c r="A723" s="34"/>
      <c r="B723" s="173"/>
      <c r="C723" s="173"/>
      <c r="D723" s="174"/>
      <c r="E723" s="173"/>
      <c r="F723" s="173"/>
      <c r="G723" s="176"/>
      <c r="H723" s="174"/>
      <c r="J723" s="174"/>
      <c r="K723" s="173"/>
      <c r="L723" s="173"/>
      <c r="M723" s="174"/>
      <c r="N723" s="177"/>
      <c r="O723" s="176"/>
      <c r="P723" s="177"/>
      <c r="Q723" s="178"/>
      <c r="R723" s="179"/>
      <c r="S723" s="177"/>
      <c r="T723" s="180"/>
      <c r="U723" s="180"/>
      <c r="V723" s="177"/>
      <c r="W723" s="177"/>
      <c r="X723" s="67"/>
    </row>
    <row r="724" spans="1:24" ht="12.75" x14ac:dyDescent="0.2">
      <c r="A724" s="34"/>
      <c r="B724" s="173"/>
      <c r="C724" s="173"/>
      <c r="D724" s="174"/>
      <c r="E724" s="173"/>
      <c r="F724" s="173"/>
      <c r="G724" s="176"/>
      <c r="H724" s="174"/>
      <c r="J724" s="174"/>
      <c r="K724" s="173"/>
      <c r="L724" s="173"/>
      <c r="M724" s="174"/>
      <c r="N724" s="177"/>
      <c r="O724" s="176"/>
      <c r="P724" s="177"/>
      <c r="Q724" s="178"/>
      <c r="R724" s="179"/>
      <c r="S724" s="177"/>
      <c r="T724" s="180"/>
      <c r="U724" s="180"/>
      <c r="V724" s="177"/>
      <c r="W724" s="177"/>
      <c r="X724" s="67"/>
    </row>
    <row r="725" spans="1:24" ht="12.75" x14ac:dyDescent="0.2">
      <c r="A725" s="34"/>
      <c r="B725" s="173"/>
      <c r="C725" s="173"/>
      <c r="D725" s="174"/>
      <c r="E725" s="173"/>
      <c r="F725" s="173"/>
      <c r="G725" s="176"/>
      <c r="H725" s="174"/>
      <c r="J725" s="174"/>
      <c r="K725" s="173"/>
      <c r="L725" s="173"/>
      <c r="M725" s="174"/>
      <c r="N725" s="177"/>
      <c r="O725" s="176"/>
      <c r="P725" s="177"/>
      <c r="Q725" s="178"/>
      <c r="R725" s="179"/>
      <c r="S725" s="177"/>
      <c r="T725" s="180"/>
      <c r="U725" s="180"/>
      <c r="V725" s="177"/>
      <c r="W725" s="177"/>
      <c r="X725" s="67"/>
    </row>
    <row r="726" spans="1:24" ht="12.75" x14ac:dyDescent="0.2">
      <c r="A726" s="34"/>
      <c r="B726" s="173"/>
      <c r="C726" s="173"/>
      <c r="D726" s="174"/>
      <c r="E726" s="173"/>
      <c r="F726" s="173"/>
      <c r="G726" s="176"/>
      <c r="H726" s="174"/>
      <c r="J726" s="174"/>
      <c r="K726" s="173"/>
      <c r="L726" s="173"/>
      <c r="M726" s="174"/>
      <c r="N726" s="177"/>
      <c r="O726" s="176"/>
      <c r="P726" s="177"/>
      <c r="Q726" s="178"/>
      <c r="R726" s="179"/>
      <c r="S726" s="177"/>
      <c r="T726" s="180"/>
      <c r="U726" s="180"/>
      <c r="V726" s="177"/>
      <c r="W726" s="177"/>
      <c r="X726" s="67"/>
    </row>
    <row r="727" spans="1:24" ht="12.75" x14ac:dyDescent="0.2">
      <c r="A727" s="34"/>
      <c r="B727" s="173"/>
      <c r="C727" s="173"/>
      <c r="D727" s="174"/>
      <c r="E727" s="173"/>
      <c r="F727" s="173"/>
      <c r="G727" s="176"/>
      <c r="H727" s="174"/>
      <c r="J727" s="174"/>
      <c r="K727" s="173"/>
      <c r="L727" s="173"/>
      <c r="M727" s="174"/>
      <c r="N727" s="177"/>
      <c r="O727" s="176"/>
      <c r="P727" s="177"/>
      <c r="Q727" s="178"/>
      <c r="R727" s="179"/>
      <c r="S727" s="177"/>
      <c r="T727" s="180"/>
      <c r="U727" s="180"/>
      <c r="V727" s="177"/>
      <c r="W727" s="177"/>
      <c r="X727" s="67"/>
    </row>
    <row r="728" spans="1:24" ht="12.75" x14ac:dyDescent="0.2">
      <c r="A728" s="34"/>
      <c r="B728" s="173"/>
      <c r="C728" s="173"/>
      <c r="D728" s="174"/>
      <c r="E728" s="173"/>
      <c r="F728" s="173"/>
      <c r="G728" s="176"/>
      <c r="H728" s="174"/>
      <c r="J728" s="174"/>
      <c r="K728" s="173"/>
      <c r="L728" s="173"/>
      <c r="M728" s="174"/>
      <c r="N728" s="177"/>
      <c r="O728" s="176"/>
      <c r="P728" s="177"/>
      <c r="Q728" s="178"/>
      <c r="R728" s="179"/>
      <c r="S728" s="177"/>
      <c r="T728" s="180"/>
      <c r="U728" s="180"/>
      <c r="V728" s="177"/>
      <c r="W728" s="177"/>
      <c r="X728" s="67"/>
    </row>
    <row r="729" spans="1:24" ht="12.75" x14ac:dyDescent="0.2">
      <c r="A729" s="34"/>
      <c r="B729" s="173"/>
      <c r="C729" s="173"/>
      <c r="D729" s="174"/>
      <c r="E729" s="173"/>
      <c r="F729" s="173"/>
      <c r="G729" s="176"/>
      <c r="H729" s="174"/>
      <c r="J729" s="174"/>
      <c r="K729" s="173"/>
      <c r="L729" s="173"/>
      <c r="M729" s="174"/>
      <c r="N729" s="177"/>
      <c r="O729" s="176"/>
      <c r="P729" s="177"/>
      <c r="Q729" s="178"/>
      <c r="R729" s="179"/>
      <c r="S729" s="177"/>
      <c r="T729" s="180"/>
      <c r="U729" s="180"/>
      <c r="V729" s="177"/>
      <c r="W729" s="177"/>
      <c r="X729" s="67"/>
    </row>
    <row r="730" spans="1:24" ht="12.75" x14ac:dyDescent="0.2">
      <c r="A730" s="34"/>
      <c r="B730" s="173"/>
      <c r="C730" s="173"/>
      <c r="D730" s="174"/>
      <c r="E730" s="173"/>
      <c r="F730" s="173"/>
      <c r="G730" s="176"/>
      <c r="H730" s="174"/>
      <c r="J730" s="174"/>
      <c r="K730" s="173"/>
      <c r="L730" s="173"/>
      <c r="M730" s="174"/>
      <c r="N730" s="177"/>
      <c r="O730" s="176"/>
      <c r="P730" s="177"/>
      <c r="Q730" s="178"/>
      <c r="R730" s="179"/>
      <c r="S730" s="177"/>
      <c r="T730" s="180"/>
      <c r="U730" s="180"/>
      <c r="V730" s="177"/>
      <c r="W730" s="177"/>
      <c r="X730" s="67"/>
    </row>
    <row r="731" spans="1:24" ht="12.75" x14ac:dyDescent="0.2">
      <c r="A731" s="34"/>
      <c r="B731" s="173"/>
      <c r="C731" s="173"/>
      <c r="D731" s="174"/>
      <c r="E731" s="173"/>
      <c r="F731" s="173"/>
      <c r="G731" s="176"/>
      <c r="H731" s="174"/>
      <c r="J731" s="174"/>
      <c r="K731" s="173"/>
      <c r="L731" s="173"/>
      <c r="M731" s="174"/>
      <c r="N731" s="177"/>
      <c r="O731" s="176"/>
      <c r="P731" s="177"/>
      <c r="Q731" s="178"/>
      <c r="R731" s="179"/>
      <c r="S731" s="177"/>
      <c r="T731" s="180"/>
      <c r="U731" s="180"/>
      <c r="V731" s="177"/>
      <c r="W731" s="177"/>
      <c r="X731" s="67"/>
    </row>
    <row r="732" spans="1:24" ht="12.75" x14ac:dyDescent="0.2">
      <c r="A732" s="34"/>
      <c r="B732" s="173"/>
      <c r="C732" s="173"/>
      <c r="D732" s="174"/>
      <c r="E732" s="173"/>
      <c r="F732" s="173"/>
      <c r="G732" s="176"/>
      <c r="H732" s="174"/>
      <c r="J732" s="174"/>
      <c r="K732" s="173"/>
      <c r="L732" s="173"/>
      <c r="M732" s="174"/>
      <c r="N732" s="177"/>
      <c r="O732" s="176"/>
      <c r="P732" s="177"/>
      <c r="Q732" s="178"/>
      <c r="R732" s="179"/>
      <c r="S732" s="177"/>
      <c r="T732" s="180"/>
      <c r="U732" s="180"/>
      <c r="V732" s="177"/>
      <c r="W732" s="177"/>
      <c r="X732" s="67"/>
    </row>
    <row r="733" spans="1:24" ht="12.75" x14ac:dyDescent="0.2">
      <c r="A733" s="34"/>
      <c r="B733" s="173"/>
      <c r="C733" s="173"/>
      <c r="D733" s="174"/>
      <c r="E733" s="173"/>
      <c r="F733" s="173"/>
      <c r="G733" s="176"/>
      <c r="H733" s="174"/>
      <c r="J733" s="174"/>
      <c r="K733" s="173"/>
      <c r="L733" s="173"/>
      <c r="M733" s="174"/>
      <c r="N733" s="177"/>
      <c r="O733" s="176"/>
      <c r="P733" s="177"/>
      <c r="Q733" s="178"/>
      <c r="R733" s="179"/>
      <c r="S733" s="177"/>
      <c r="T733" s="180"/>
      <c r="U733" s="180"/>
      <c r="V733" s="177"/>
      <c r="W733" s="177"/>
      <c r="X733" s="67"/>
    </row>
    <row r="734" spans="1:24" ht="12.75" x14ac:dyDescent="0.2">
      <c r="A734" s="34"/>
      <c r="B734" s="173"/>
      <c r="C734" s="173"/>
      <c r="D734" s="174"/>
      <c r="E734" s="173"/>
      <c r="F734" s="173"/>
      <c r="G734" s="176"/>
      <c r="H734" s="174"/>
      <c r="J734" s="174"/>
      <c r="K734" s="173"/>
      <c r="L734" s="173"/>
      <c r="M734" s="174"/>
      <c r="N734" s="177"/>
      <c r="O734" s="176"/>
      <c r="P734" s="177"/>
      <c r="Q734" s="178"/>
      <c r="R734" s="179"/>
      <c r="S734" s="177"/>
      <c r="T734" s="180"/>
      <c r="U734" s="180"/>
      <c r="V734" s="177"/>
      <c r="W734" s="177"/>
      <c r="X734" s="67"/>
    </row>
    <row r="735" spans="1:24" ht="12.75" x14ac:dyDescent="0.2">
      <c r="A735" s="34"/>
      <c r="B735" s="173"/>
      <c r="C735" s="173"/>
      <c r="D735" s="174"/>
      <c r="E735" s="173"/>
      <c r="F735" s="173"/>
      <c r="G735" s="176"/>
      <c r="H735" s="174"/>
      <c r="J735" s="174"/>
      <c r="K735" s="173"/>
      <c r="L735" s="173"/>
      <c r="M735" s="174"/>
      <c r="N735" s="177"/>
      <c r="O735" s="176"/>
      <c r="P735" s="177"/>
      <c r="Q735" s="178"/>
      <c r="R735" s="179"/>
      <c r="S735" s="177"/>
      <c r="T735" s="180"/>
      <c r="U735" s="180"/>
      <c r="V735" s="177"/>
      <c r="W735" s="177"/>
      <c r="X735" s="67"/>
    </row>
    <row r="736" spans="1:24" ht="12.75" x14ac:dyDescent="0.2">
      <c r="A736" s="34"/>
      <c r="B736" s="173"/>
      <c r="C736" s="173"/>
      <c r="D736" s="174"/>
      <c r="E736" s="173"/>
      <c r="F736" s="173"/>
      <c r="G736" s="176"/>
      <c r="H736" s="174"/>
      <c r="J736" s="174"/>
      <c r="K736" s="173"/>
      <c r="L736" s="173"/>
      <c r="M736" s="174"/>
      <c r="N736" s="177"/>
      <c r="O736" s="176"/>
      <c r="P736" s="177"/>
      <c r="Q736" s="178"/>
      <c r="R736" s="179"/>
      <c r="S736" s="177"/>
      <c r="T736" s="180"/>
      <c r="U736" s="180"/>
      <c r="V736" s="177"/>
      <c r="W736" s="177"/>
      <c r="X736" s="67"/>
    </row>
    <row r="737" spans="1:24" ht="12.75" x14ac:dyDescent="0.2">
      <c r="A737" s="34"/>
      <c r="B737" s="173"/>
      <c r="C737" s="173"/>
      <c r="D737" s="174"/>
      <c r="E737" s="173"/>
      <c r="F737" s="173"/>
      <c r="G737" s="176"/>
      <c r="H737" s="174"/>
      <c r="J737" s="174"/>
      <c r="K737" s="173"/>
      <c r="L737" s="173"/>
      <c r="M737" s="174"/>
      <c r="N737" s="177"/>
      <c r="O737" s="176"/>
      <c r="P737" s="177"/>
      <c r="Q737" s="178"/>
      <c r="R737" s="179"/>
      <c r="S737" s="177"/>
      <c r="T737" s="180"/>
      <c r="U737" s="180"/>
      <c r="V737" s="177"/>
      <c r="W737" s="177"/>
      <c r="X737" s="67"/>
    </row>
    <row r="738" spans="1:24" ht="12.75" x14ac:dyDescent="0.2">
      <c r="A738" s="34"/>
      <c r="B738" s="173"/>
      <c r="C738" s="173"/>
      <c r="D738" s="174"/>
      <c r="E738" s="173"/>
      <c r="F738" s="173"/>
      <c r="G738" s="176"/>
      <c r="H738" s="174"/>
      <c r="J738" s="174"/>
      <c r="K738" s="173"/>
      <c r="L738" s="173"/>
      <c r="M738" s="174"/>
      <c r="N738" s="177"/>
      <c r="O738" s="176"/>
      <c r="P738" s="177"/>
      <c r="Q738" s="178"/>
      <c r="R738" s="179"/>
      <c r="S738" s="177"/>
      <c r="T738" s="180"/>
      <c r="U738" s="180"/>
      <c r="V738" s="177"/>
      <c r="W738" s="177"/>
      <c r="X738" s="67"/>
    </row>
    <row r="739" spans="1:24" ht="12.75" x14ac:dyDescent="0.2">
      <c r="A739" s="34"/>
      <c r="B739" s="173"/>
      <c r="C739" s="173"/>
      <c r="D739" s="174"/>
      <c r="E739" s="173"/>
      <c r="F739" s="173"/>
      <c r="G739" s="176"/>
      <c r="H739" s="174"/>
      <c r="J739" s="174"/>
      <c r="K739" s="173"/>
      <c r="L739" s="173"/>
      <c r="M739" s="174"/>
      <c r="N739" s="177"/>
      <c r="O739" s="176"/>
      <c r="P739" s="177"/>
      <c r="Q739" s="178"/>
      <c r="R739" s="179"/>
      <c r="S739" s="177"/>
      <c r="T739" s="180"/>
      <c r="U739" s="180"/>
      <c r="V739" s="177"/>
      <c r="W739" s="177"/>
      <c r="X739" s="67"/>
    </row>
    <row r="740" spans="1:24" ht="12.75" x14ac:dyDescent="0.2">
      <c r="A740" s="34"/>
      <c r="B740" s="173"/>
      <c r="C740" s="173"/>
      <c r="D740" s="174"/>
      <c r="E740" s="173"/>
      <c r="F740" s="173"/>
      <c r="G740" s="176"/>
      <c r="H740" s="174"/>
      <c r="J740" s="174"/>
      <c r="K740" s="173"/>
      <c r="L740" s="173"/>
      <c r="M740" s="174"/>
      <c r="N740" s="177"/>
      <c r="O740" s="176"/>
      <c r="P740" s="177"/>
      <c r="Q740" s="178"/>
      <c r="R740" s="179"/>
      <c r="S740" s="177"/>
      <c r="T740" s="180"/>
      <c r="U740" s="180"/>
      <c r="V740" s="177"/>
      <c r="W740" s="177"/>
      <c r="X740" s="67"/>
    </row>
    <row r="741" spans="1:24" ht="12.75" x14ac:dyDescent="0.2">
      <c r="A741" s="34"/>
      <c r="B741" s="173"/>
      <c r="C741" s="173"/>
      <c r="D741" s="174"/>
      <c r="E741" s="173"/>
      <c r="F741" s="173"/>
      <c r="G741" s="176"/>
      <c r="H741" s="174"/>
      <c r="J741" s="174"/>
      <c r="K741" s="173"/>
      <c r="L741" s="173"/>
      <c r="M741" s="174"/>
      <c r="N741" s="177"/>
      <c r="O741" s="176"/>
      <c r="P741" s="177"/>
      <c r="Q741" s="178"/>
      <c r="R741" s="179"/>
      <c r="S741" s="177"/>
      <c r="T741" s="180"/>
      <c r="U741" s="180"/>
      <c r="V741" s="177"/>
      <c r="W741" s="177"/>
      <c r="X741" s="67"/>
    </row>
    <row r="742" spans="1:24" ht="12.75" x14ac:dyDescent="0.2">
      <c r="A742" s="34"/>
      <c r="B742" s="173"/>
      <c r="C742" s="173"/>
      <c r="D742" s="174"/>
      <c r="E742" s="173"/>
      <c r="F742" s="173"/>
      <c r="G742" s="176"/>
      <c r="H742" s="174"/>
      <c r="J742" s="174"/>
      <c r="K742" s="173"/>
      <c r="L742" s="173"/>
      <c r="M742" s="174"/>
      <c r="N742" s="177"/>
      <c r="O742" s="176"/>
      <c r="P742" s="177"/>
      <c r="Q742" s="178"/>
      <c r="R742" s="179"/>
      <c r="S742" s="177"/>
      <c r="T742" s="180"/>
      <c r="U742" s="180"/>
      <c r="V742" s="177"/>
      <c r="W742" s="177"/>
      <c r="X742" s="67"/>
    </row>
    <row r="743" spans="1:24" ht="12.75" x14ac:dyDescent="0.2">
      <c r="A743" s="34"/>
      <c r="B743" s="173"/>
      <c r="C743" s="173"/>
      <c r="D743" s="174"/>
      <c r="E743" s="173"/>
      <c r="F743" s="173"/>
      <c r="G743" s="176"/>
      <c r="H743" s="174"/>
      <c r="J743" s="174"/>
      <c r="K743" s="173"/>
      <c r="L743" s="173"/>
      <c r="M743" s="174"/>
      <c r="N743" s="177"/>
      <c r="O743" s="176"/>
      <c r="P743" s="177"/>
      <c r="Q743" s="178"/>
      <c r="R743" s="179"/>
      <c r="S743" s="177"/>
      <c r="T743" s="180"/>
      <c r="U743" s="180"/>
      <c r="V743" s="177"/>
      <c r="W743" s="177"/>
      <c r="X743" s="67"/>
    </row>
    <row r="744" spans="1:24" ht="12.75" x14ac:dyDescent="0.2">
      <c r="A744" s="34"/>
      <c r="B744" s="173"/>
      <c r="C744" s="173"/>
      <c r="D744" s="174"/>
      <c r="E744" s="173"/>
      <c r="F744" s="173"/>
      <c r="G744" s="176"/>
      <c r="H744" s="174"/>
      <c r="J744" s="174"/>
      <c r="K744" s="173"/>
      <c r="L744" s="173"/>
      <c r="M744" s="174"/>
      <c r="N744" s="177"/>
      <c r="O744" s="176"/>
      <c r="P744" s="177"/>
      <c r="Q744" s="178"/>
      <c r="R744" s="179"/>
      <c r="S744" s="177"/>
      <c r="T744" s="180"/>
      <c r="U744" s="180"/>
      <c r="V744" s="177"/>
      <c r="W744" s="177"/>
      <c r="X744" s="67"/>
    </row>
    <row r="745" spans="1:24" ht="12.75" x14ac:dyDescent="0.2">
      <c r="A745" s="34"/>
      <c r="B745" s="173"/>
      <c r="C745" s="173"/>
      <c r="D745" s="174"/>
      <c r="E745" s="173"/>
      <c r="F745" s="173"/>
      <c r="G745" s="176"/>
      <c r="H745" s="174"/>
      <c r="J745" s="174"/>
      <c r="K745" s="173"/>
      <c r="L745" s="173"/>
      <c r="M745" s="174"/>
      <c r="N745" s="177"/>
      <c r="O745" s="176"/>
      <c r="P745" s="177"/>
      <c r="Q745" s="178"/>
      <c r="R745" s="179"/>
      <c r="S745" s="177"/>
      <c r="T745" s="180"/>
      <c r="U745" s="180"/>
      <c r="V745" s="177"/>
      <c r="W745" s="177"/>
      <c r="X745" s="67"/>
    </row>
    <row r="746" spans="1:24" ht="12.75" x14ac:dyDescent="0.2">
      <c r="A746" s="34"/>
      <c r="B746" s="173"/>
      <c r="C746" s="173"/>
      <c r="D746" s="174"/>
      <c r="E746" s="173"/>
      <c r="F746" s="173"/>
      <c r="G746" s="176"/>
      <c r="H746" s="174"/>
      <c r="J746" s="174"/>
      <c r="K746" s="173"/>
      <c r="L746" s="173"/>
      <c r="M746" s="174"/>
      <c r="N746" s="177"/>
      <c r="O746" s="176"/>
      <c r="P746" s="177"/>
      <c r="Q746" s="178"/>
      <c r="R746" s="179"/>
      <c r="S746" s="177"/>
      <c r="T746" s="180"/>
      <c r="U746" s="180"/>
      <c r="V746" s="177"/>
      <c r="W746" s="177"/>
      <c r="X746" s="67"/>
    </row>
    <row r="747" spans="1:24" ht="12.75" x14ac:dyDescent="0.2">
      <c r="A747" s="34"/>
      <c r="B747" s="173"/>
      <c r="C747" s="173"/>
      <c r="D747" s="174"/>
      <c r="E747" s="173"/>
      <c r="F747" s="173"/>
      <c r="G747" s="176"/>
      <c r="H747" s="174"/>
      <c r="J747" s="174"/>
      <c r="K747" s="173"/>
      <c r="L747" s="173"/>
      <c r="M747" s="174"/>
      <c r="N747" s="177"/>
      <c r="O747" s="176"/>
      <c r="P747" s="177"/>
      <c r="Q747" s="178"/>
      <c r="R747" s="179"/>
      <c r="S747" s="177"/>
      <c r="T747" s="180"/>
      <c r="U747" s="180"/>
      <c r="V747" s="177"/>
      <c r="W747" s="177"/>
      <c r="X747" s="67"/>
    </row>
    <row r="748" spans="1:24" ht="12.75" x14ac:dyDescent="0.2">
      <c r="A748" s="34"/>
      <c r="B748" s="173"/>
      <c r="C748" s="173"/>
      <c r="D748" s="174"/>
      <c r="E748" s="173"/>
      <c r="F748" s="173"/>
      <c r="G748" s="176"/>
      <c r="H748" s="174"/>
      <c r="J748" s="174"/>
      <c r="K748" s="173"/>
      <c r="L748" s="173"/>
      <c r="M748" s="174"/>
      <c r="N748" s="177"/>
      <c r="O748" s="176"/>
      <c r="P748" s="177"/>
      <c r="Q748" s="178"/>
      <c r="R748" s="179"/>
      <c r="S748" s="177"/>
      <c r="T748" s="180"/>
      <c r="U748" s="180"/>
      <c r="V748" s="177"/>
      <c r="W748" s="177"/>
      <c r="X748" s="67"/>
    </row>
    <row r="749" spans="1:24" ht="12.75" x14ac:dyDescent="0.2">
      <c r="A749" s="34"/>
      <c r="B749" s="173"/>
      <c r="C749" s="173"/>
      <c r="D749" s="174"/>
      <c r="E749" s="173"/>
      <c r="F749" s="173"/>
      <c r="G749" s="176"/>
      <c r="H749" s="174"/>
      <c r="J749" s="174"/>
      <c r="K749" s="173"/>
      <c r="L749" s="173"/>
      <c r="M749" s="174"/>
      <c r="N749" s="177"/>
      <c r="O749" s="176"/>
      <c r="P749" s="177"/>
      <c r="Q749" s="178"/>
      <c r="R749" s="179"/>
      <c r="S749" s="177"/>
      <c r="T749" s="180"/>
      <c r="U749" s="180"/>
      <c r="V749" s="177"/>
      <c r="W749" s="177"/>
      <c r="X749" s="67"/>
    </row>
    <row r="750" spans="1:24" ht="12.75" x14ac:dyDescent="0.2">
      <c r="A750" s="34"/>
      <c r="B750" s="173"/>
      <c r="C750" s="173"/>
      <c r="D750" s="174"/>
      <c r="E750" s="173"/>
      <c r="F750" s="173"/>
      <c r="G750" s="176"/>
      <c r="H750" s="174"/>
      <c r="J750" s="174"/>
      <c r="K750" s="173"/>
      <c r="L750" s="173"/>
      <c r="M750" s="174"/>
      <c r="N750" s="177"/>
      <c r="O750" s="176"/>
      <c r="P750" s="177"/>
      <c r="Q750" s="178"/>
      <c r="R750" s="179"/>
      <c r="S750" s="177"/>
      <c r="T750" s="180"/>
      <c r="U750" s="180"/>
      <c r="V750" s="177"/>
      <c r="W750" s="177"/>
      <c r="X750" s="67"/>
    </row>
    <row r="751" spans="1:24" ht="12.75" x14ac:dyDescent="0.2">
      <c r="A751" s="34"/>
      <c r="B751" s="173"/>
      <c r="C751" s="173"/>
      <c r="D751" s="174"/>
      <c r="E751" s="173"/>
      <c r="F751" s="173"/>
      <c r="G751" s="176"/>
      <c r="H751" s="174"/>
      <c r="J751" s="174"/>
      <c r="K751" s="173"/>
      <c r="L751" s="173"/>
      <c r="M751" s="174"/>
      <c r="N751" s="177"/>
      <c r="O751" s="176"/>
      <c r="P751" s="177"/>
      <c r="Q751" s="178"/>
      <c r="R751" s="179"/>
      <c r="S751" s="177"/>
      <c r="T751" s="180"/>
      <c r="U751" s="180"/>
      <c r="V751" s="177"/>
      <c r="W751" s="177"/>
      <c r="X751" s="67"/>
    </row>
    <row r="752" spans="1:24" ht="12.75" x14ac:dyDescent="0.2">
      <c r="A752" s="34"/>
      <c r="B752" s="173"/>
      <c r="C752" s="173"/>
      <c r="D752" s="174"/>
      <c r="E752" s="173"/>
      <c r="F752" s="173"/>
      <c r="G752" s="176"/>
      <c r="H752" s="174"/>
      <c r="J752" s="174"/>
      <c r="K752" s="173"/>
      <c r="L752" s="173"/>
      <c r="M752" s="174"/>
      <c r="N752" s="177"/>
      <c r="O752" s="176"/>
      <c r="P752" s="177"/>
      <c r="Q752" s="178"/>
      <c r="R752" s="179"/>
      <c r="S752" s="177"/>
      <c r="T752" s="180"/>
      <c r="U752" s="180"/>
      <c r="V752" s="177"/>
      <c r="W752" s="177"/>
      <c r="X752" s="67"/>
    </row>
    <row r="753" spans="1:24" ht="12.75" x14ac:dyDescent="0.2">
      <c r="A753" s="34"/>
      <c r="B753" s="173"/>
      <c r="C753" s="173"/>
      <c r="D753" s="174"/>
      <c r="E753" s="173"/>
      <c r="F753" s="173"/>
      <c r="G753" s="176"/>
      <c r="H753" s="174"/>
      <c r="J753" s="174"/>
      <c r="K753" s="173"/>
      <c r="L753" s="173"/>
      <c r="M753" s="174"/>
      <c r="N753" s="177"/>
      <c r="O753" s="176"/>
      <c r="P753" s="177"/>
      <c r="Q753" s="178"/>
      <c r="R753" s="179"/>
      <c r="S753" s="177"/>
      <c r="T753" s="180"/>
      <c r="U753" s="180"/>
      <c r="V753" s="177"/>
      <c r="W753" s="177"/>
      <c r="X753" s="67"/>
    </row>
    <row r="754" spans="1:24" ht="12.75" x14ac:dyDescent="0.2">
      <c r="A754" s="34"/>
      <c r="B754" s="173"/>
      <c r="C754" s="173"/>
      <c r="D754" s="174"/>
      <c r="E754" s="173"/>
      <c r="F754" s="173"/>
      <c r="G754" s="176"/>
      <c r="H754" s="174"/>
      <c r="J754" s="174"/>
      <c r="K754" s="173"/>
      <c r="L754" s="173"/>
      <c r="M754" s="174"/>
      <c r="N754" s="177"/>
      <c r="O754" s="176"/>
      <c r="P754" s="177"/>
      <c r="Q754" s="178"/>
      <c r="R754" s="179"/>
      <c r="S754" s="177"/>
      <c r="T754" s="180"/>
      <c r="U754" s="180"/>
      <c r="V754" s="177"/>
      <c r="W754" s="177"/>
      <c r="X754" s="67"/>
    </row>
    <row r="755" spans="1:24" ht="12.75" x14ac:dyDescent="0.2">
      <c r="A755" s="34"/>
      <c r="B755" s="173"/>
      <c r="C755" s="173"/>
      <c r="D755" s="174"/>
      <c r="E755" s="173"/>
      <c r="F755" s="173"/>
      <c r="G755" s="176"/>
      <c r="H755" s="174"/>
      <c r="J755" s="174"/>
      <c r="K755" s="173"/>
      <c r="L755" s="173"/>
      <c r="M755" s="174"/>
      <c r="N755" s="177"/>
      <c r="O755" s="176"/>
      <c r="P755" s="177"/>
      <c r="Q755" s="178"/>
      <c r="R755" s="179"/>
      <c r="S755" s="177"/>
      <c r="T755" s="180"/>
      <c r="U755" s="180"/>
      <c r="V755" s="177"/>
      <c r="W755" s="177"/>
      <c r="X755" s="67"/>
    </row>
    <row r="756" spans="1:24" ht="12.75" x14ac:dyDescent="0.2">
      <c r="A756" s="34"/>
      <c r="B756" s="173"/>
      <c r="C756" s="173"/>
      <c r="D756" s="174"/>
      <c r="E756" s="173"/>
      <c r="F756" s="173"/>
      <c r="G756" s="176"/>
      <c r="H756" s="174"/>
      <c r="J756" s="174"/>
      <c r="K756" s="173"/>
      <c r="L756" s="173"/>
      <c r="M756" s="174"/>
      <c r="N756" s="177"/>
      <c r="O756" s="176"/>
      <c r="P756" s="177"/>
      <c r="Q756" s="178"/>
      <c r="R756" s="179"/>
      <c r="S756" s="177"/>
      <c r="T756" s="180"/>
      <c r="U756" s="180"/>
      <c r="V756" s="177"/>
      <c r="W756" s="177"/>
      <c r="X756" s="67"/>
    </row>
    <row r="757" spans="1:24" ht="12.75" x14ac:dyDescent="0.2">
      <c r="A757" s="34"/>
      <c r="B757" s="173"/>
      <c r="C757" s="173"/>
      <c r="D757" s="174"/>
      <c r="E757" s="173"/>
      <c r="F757" s="173"/>
      <c r="G757" s="176"/>
      <c r="H757" s="174"/>
      <c r="J757" s="174"/>
      <c r="K757" s="173"/>
      <c r="L757" s="173"/>
      <c r="M757" s="174"/>
      <c r="N757" s="177"/>
      <c r="O757" s="176"/>
      <c r="P757" s="177"/>
      <c r="Q757" s="178"/>
      <c r="R757" s="179"/>
      <c r="S757" s="177"/>
      <c r="T757" s="180"/>
      <c r="U757" s="180"/>
      <c r="V757" s="177"/>
      <c r="W757" s="177"/>
      <c r="X757" s="67"/>
    </row>
    <row r="758" spans="1:24" ht="12.75" x14ac:dyDescent="0.2">
      <c r="A758" s="34"/>
      <c r="B758" s="173"/>
      <c r="C758" s="173"/>
      <c r="D758" s="174"/>
      <c r="E758" s="173"/>
      <c r="F758" s="173"/>
      <c r="G758" s="176"/>
      <c r="H758" s="174"/>
      <c r="J758" s="174"/>
      <c r="K758" s="173"/>
      <c r="L758" s="173"/>
      <c r="M758" s="174"/>
      <c r="N758" s="177"/>
      <c r="O758" s="176"/>
      <c r="P758" s="177"/>
      <c r="Q758" s="178"/>
      <c r="R758" s="179"/>
      <c r="S758" s="177"/>
      <c r="T758" s="180"/>
      <c r="U758" s="180"/>
      <c r="V758" s="177"/>
      <c r="W758" s="177"/>
      <c r="X758" s="67"/>
    </row>
    <row r="759" spans="1:24" ht="12.75" x14ac:dyDescent="0.2">
      <c r="A759" s="34"/>
      <c r="B759" s="173"/>
      <c r="C759" s="173"/>
      <c r="D759" s="174"/>
      <c r="E759" s="173"/>
      <c r="F759" s="173"/>
      <c r="G759" s="176"/>
      <c r="H759" s="174"/>
      <c r="J759" s="174"/>
      <c r="K759" s="173"/>
      <c r="L759" s="173"/>
      <c r="M759" s="174"/>
      <c r="N759" s="177"/>
      <c r="O759" s="176"/>
      <c r="P759" s="177"/>
      <c r="Q759" s="178"/>
      <c r="R759" s="179"/>
      <c r="S759" s="177"/>
      <c r="T759" s="180"/>
      <c r="U759" s="180"/>
      <c r="V759" s="177"/>
      <c r="W759" s="177"/>
      <c r="X759" s="67"/>
    </row>
    <row r="760" spans="1:24" ht="12.75" x14ac:dyDescent="0.2">
      <c r="A760" s="34"/>
      <c r="B760" s="173"/>
      <c r="C760" s="173"/>
      <c r="D760" s="174"/>
      <c r="E760" s="173"/>
      <c r="F760" s="173"/>
      <c r="G760" s="176"/>
      <c r="H760" s="174"/>
      <c r="J760" s="174"/>
      <c r="K760" s="173"/>
      <c r="L760" s="173"/>
      <c r="M760" s="174"/>
      <c r="N760" s="177"/>
      <c r="O760" s="176"/>
      <c r="P760" s="177"/>
      <c r="Q760" s="178"/>
      <c r="R760" s="179"/>
      <c r="S760" s="177"/>
      <c r="T760" s="180"/>
      <c r="U760" s="180"/>
      <c r="V760" s="177"/>
      <c r="W760" s="177"/>
      <c r="X760" s="67"/>
    </row>
    <row r="761" spans="1:24" ht="12.75" x14ac:dyDescent="0.2">
      <c r="A761" s="34"/>
      <c r="B761" s="173"/>
      <c r="C761" s="173"/>
      <c r="D761" s="174"/>
      <c r="E761" s="173"/>
      <c r="F761" s="173"/>
      <c r="G761" s="176"/>
      <c r="H761" s="174"/>
      <c r="J761" s="174"/>
      <c r="K761" s="173"/>
      <c r="L761" s="173"/>
      <c r="M761" s="174"/>
      <c r="N761" s="177"/>
      <c r="O761" s="176"/>
      <c r="P761" s="177"/>
      <c r="Q761" s="178"/>
      <c r="R761" s="179"/>
      <c r="S761" s="177"/>
      <c r="T761" s="180"/>
      <c r="U761" s="180"/>
      <c r="V761" s="177"/>
      <c r="W761" s="177"/>
      <c r="X761" s="67"/>
    </row>
    <row r="762" spans="1:24" ht="12.75" x14ac:dyDescent="0.2">
      <c r="A762" s="34"/>
      <c r="B762" s="173"/>
      <c r="C762" s="173"/>
      <c r="D762" s="174"/>
      <c r="E762" s="173"/>
      <c r="F762" s="173"/>
      <c r="G762" s="176"/>
      <c r="H762" s="174"/>
      <c r="J762" s="174"/>
      <c r="K762" s="173"/>
      <c r="L762" s="173"/>
      <c r="M762" s="174"/>
      <c r="N762" s="177"/>
      <c r="O762" s="176"/>
      <c r="P762" s="177"/>
      <c r="Q762" s="178"/>
      <c r="R762" s="179"/>
      <c r="S762" s="177"/>
      <c r="T762" s="180"/>
      <c r="U762" s="180"/>
      <c r="V762" s="177"/>
      <c r="W762" s="177"/>
      <c r="X762" s="67"/>
    </row>
    <row r="763" spans="1:24" ht="12.75" x14ac:dyDescent="0.2">
      <c r="A763" s="34"/>
      <c r="B763" s="173"/>
      <c r="C763" s="173"/>
      <c r="D763" s="174"/>
      <c r="E763" s="173"/>
      <c r="F763" s="173"/>
      <c r="G763" s="176"/>
      <c r="H763" s="174"/>
      <c r="J763" s="174"/>
      <c r="K763" s="173"/>
      <c r="L763" s="173"/>
      <c r="M763" s="174"/>
      <c r="N763" s="177"/>
      <c r="O763" s="176"/>
      <c r="P763" s="177"/>
      <c r="Q763" s="178"/>
      <c r="R763" s="179"/>
      <c r="S763" s="177"/>
      <c r="T763" s="180"/>
      <c r="U763" s="180"/>
      <c r="V763" s="177"/>
      <c r="W763" s="177"/>
      <c r="X763" s="67"/>
    </row>
    <row r="764" spans="1:24" ht="12.75" x14ac:dyDescent="0.2">
      <c r="A764" s="34"/>
      <c r="B764" s="173"/>
      <c r="C764" s="173"/>
      <c r="D764" s="174"/>
      <c r="E764" s="173"/>
      <c r="F764" s="173"/>
      <c r="G764" s="176"/>
      <c r="H764" s="174"/>
      <c r="J764" s="174"/>
      <c r="K764" s="173"/>
      <c r="L764" s="173"/>
      <c r="M764" s="174"/>
      <c r="N764" s="177"/>
      <c r="O764" s="176"/>
      <c r="P764" s="177"/>
      <c r="Q764" s="178"/>
      <c r="R764" s="179"/>
      <c r="S764" s="177"/>
      <c r="T764" s="180"/>
      <c r="U764" s="180"/>
      <c r="V764" s="177"/>
      <c r="W764" s="177"/>
      <c r="X764" s="67"/>
    </row>
    <row r="765" spans="1:24" ht="12.75" x14ac:dyDescent="0.2">
      <c r="A765" s="34"/>
      <c r="B765" s="173"/>
      <c r="C765" s="173"/>
      <c r="D765" s="174"/>
      <c r="E765" s="173"/>
      <c r="F765" s="173"/>
      <c r="G765" s="176"/>
      <c r="H765" s="174"/>
      <c r="J765" s="174"/>
      <c r="K765" s="173"/>
      <c r="L765" s="173"/>
      <c r="M765" s="174"/>
      <c r="N765" s="177"/>
      <c r="O765" s="176"/>
      <c r="P765" s="177"/>
      <c r="Q765" s="178"/>
      <c r="R765" s="179"/>
      <c r="S765" s="177"/>
      <c r="T765" s="180"/>
      <c r="U765" s="180"/>
      <c r="V765" s="177"/>
      <c r="W765" s="177"/>
      <c r="X765" s="67"/>
    </row>
    <row r="766" spans="1:24" ht="12.75" x14ac:dyDescent="0.2">
      <c r="A766" s="34"/>
      <c r="B766" s="173"/>
      <c r="C766" s="173"/>
      <c r="D766" s="174"/>
      <c r="E766" s="173"/>
      <c r="F766" s="173"/>
      <c r="G766" s="176"/>
      <c r="H766" s="174"/>
      <c r="J766" s="174"/>
      <c r="K766" s="173"/>
      <c r="L766" s="173"/>
      <c r="M766" s="174"/>
      <c r="N766" s="177"/>
      <c r="O766" s="176"/>
      <c r="P766" s="177"/>
      <c r="Q766" s="178"/>
      <c r="R766" s="179"/>
      <c r="S766" s="177"/>
      <c r="T766" s="180"/>
      <c r="U766" s="180"/>
      <c r="V766" s="177"/>
      <c r="W766" s="177"/>
      <c r="X766" s="67"/>
    </row>
    <row r="767" spans="1:24" ht="12.75" x14ac:dyDescent="0.2">
      <c r="A767" s="34"/>
      <c r="B767" s="173"/>
      <c r="C767" s="173"/>
      <c r="D767" s="174"/>
      <c r="E767" s="173"/>
      <c r="F767" s="173"/>
      <c r="G767" s="176"/>
      <c r="H767" s="174"/>
      <c r="J767" s="174"/>
      <c r="K767" s="173"/>
      <c r="L767" s="173"/>
      <c r="M767" s="174"/>
      <c r="N767" s="177"/>
      <c r="O767" s="176"/>
      <c r="P767" s="177"/>
      <c r="Q767" s="178"/>
      <c r="R767" s="179"/>
      <c r="S767" s="177"/>
      <c r="T767" s="180"/>
      <c r="U767" s="180"/>
      <c r="V767" s="177"/>
      <c r="W767" s="177"/>
      <c r="X767" s="67"/>
    </row>
    <row r="768" spans="1:24" ht="12.75" x14ac:dyDescent="0.2">
      <c r="A768" s="34"/>
      <c r="B768" s="173"/>
      <c r="C768" s="173"/>
      <c r="D768" s="174"/>
      <c r="E768" s="173"/>
      <c r="F768" s="173"/>
      <c r="G768" s="176"/>
      <c r="H768" s="174"/>
      <c r="J768" s="174"/>
      <c r="K768" s="173"/>
      <c r="L768" s="173"/>
      <c r="M768" s="174"/>
      <c r="N768" s="177"/>
      <c r="O768" s="176"/>
      <c r="P768" s="177"/>
      <c r="Q768" s="178"/>
      <c r="R768" s="179"/>
      <c r="S768" s="177"/>
      <c r="T768" s="180"/>
      <c r="U768" s="180"/>
      <c r="V768" s="177"/>
      <c r="W768" s="177"/>
      <c r="X768" s="67"/>
    </row>
    <row r="769" spans="1:24" ht="12.75" x14ac:dyDescent="0.2">
      <c r="A769" s="34"/>
      <c r="B769" s="173"/>
      <c r="C769" s="173"/>
      <c r="D769" s="174"/>
      <c r="E769" s="173"/>
      <c r="F769" s="173"/>
      <c r="G769" s="176"/>
      <c r="H769" s="174"/>
      <c r="J769" s="174"/>
      <c r="K769" s="173"/>
      <c r="L769" s="173"/>
      <c r="M769" s="174"/>
      <c r="N769" s="177"/>
      <c r="O769" s="176"/>
      <c r="P769" s="177"/>
      <c r="Q769" s="178"/>
      <c r="R769" s="179"/>
      <c r="S769" s="177"/>
      <c r="T769" s="180"/>
      <c r="U769" s="180"/>
      <c r="V769" s="177"/>
      <c r="W769" s="177"/>
      <c r="X769" s="67"/>
    </row>
    <row r="770" spans="1:24" ht="12.75" x14ac:dyDescent="0.2">
      <c r="A770" s="34"/>
      <c r="B770" s="173"/>
      <c r="C770" s="173"/>
      <c r="D770" s="174"/>
      <c r="E770" s="173"/>
      <c r="F770" s="173"/>
      <c r="G770" s="176"/>
      <c r="H770" s="174"/>
      <c r="J770" s="174"/>
      <c r="K770" s="173"/>
      <c r="L770" s="173"/>
      <c r="M770" s="174"/>
      <c r="N770" s="177"/>
      <c r="O770" s="176"/>
      <c r="P770" s="177"/>
      <c r="Q770" s="178"/>
      <c r="R770" s="179"/>
      <c r="S770" s="177"/>
      <c r="T770" s="180"/>
      <c r="U770" s="180"/>
      <c r="V770" s="177"/>
      <c r="W770" s="177"/>
      <c r="X770" s="67"/>
    </row>
    <row r="771" spans="1:24" ht="12.75" x14ac:dyDescent="0.2">
      <c r="A771" s="34"/>
      <c r="B771" s="173"/>
      <c r="C771" s="173"/>
      <c r="D771" s="174"/>
      <c r="E771" s="173"/>
      <c r="F771" s="173"/>
      <c r="G771" s="176"/>
      <c r="H771" s="174"/>
      <c r="J771" s="174"/>
      <c r="K771" s="173"/>
      <c r="L771" s="173"/>
      <c r="M771" s="174"/>
      <c r="N771" s="177"/>
      <c r="O771" s="176"/>
      <c r="P771" s="177"/>
      <c r="Q771" s="178"/>
      <c r="R771" s="179"/>
      <c r="S771" s="177"/>
      <c r="T771" s="180"/>
      <c r="U771" s="180"/>
      <c r="V771" s="177"/>
      <c r="W771" s="177"/>
      <c r="X771" s="67"/>
    </row>
    <row r="772" spans="1:24" ht="12.75" x14ac:dyDescent="0.2">
      <c r="A772" s="34"/>
      <c r="B772" s="173"/>
      <c r="C772" s="173"/>
      <c r="D772" s="174"/>
      <c r="E772" s="173"/>
      <c r="F772" s="173"/>
      <c r="G772" s="176"/>
      <c r="H772" s="174"/>
      <c r="J772" s="174"/>
      <c r="K772" s="173"/>
      <c r="L772" s="173"/>
      <c r="M772" s="174"/>
      <c r="N772" s="177"/>
      <c r="O772" s="176"/>
      <c r="P772" s="177"/>
      <c r="Q772" s="178"/>
      <c r="R772" s="179"/>
      <c r="S772" s="177"/>
      <c r="T772" s="180"/>
      <c r="U772" s="180"/>
      <c r="V772" s="177"/>
      <c r="W772" s="177"/>
      <c r="X772" s="67"/>
    </row>
    <row r="773" spans="1:24" ht="12.75" x14ac:dyDescent="0.2">
      <c r="A773" s="34"/>
      <c r="B773" s="173"/>
      <c r="C773" s="173"/>
      <c r="D773" s="174"/>
      <c r="E773" s="173"/>
      <c r="F773" s="173"/>
      <c r="G773" s="176"/>
      <c r="H773" s="174"/>
      <c r="J773" s="174"/>
      <c r="K773" s="173"/>
      <c r="L773" s="173"/>
      <c r="M773" s="174"/>
      <c r="N773" s="177"/>
      <c r="O773" s="176"/>
      <c r="P773" s="177"/>
      <c r="Q773" s="178"/>
      <c r="R773" s="179"/>
      <c r="S773" s="177"/>
      <c r="T773" s="180"/>
      <c r="U773" s="180"/>
      <c r="V773" s="177"/>
      <c r="W773" s="177"/>
      <c r="X773" s="67"/>
    </row>
    <row r="774" spans="1:24" ht="12.75" x14ac:dyDescent="0.2">
      <c r="A774" s="34"/>
      <c r="B774" s="173"/>
      <c r="C774" s="173"/>
      <c r="D774" s="174"/>
      <c r="E774" s="173"/>
      <c r="F774" s="173"/>
      <c r="G774" s="176"/>
      <c r="H774" s="174"/>
      <c r="J774" s="174"/>
      <c r="K774" s="173"/>
      <c r="L774" s="173"/>
      <c r="M774" s="174"/>
      <c r="N774" s="177"/>
      <c r="O774" s="176"/>
      <c r="P774" s="177"/>
      <c r="Q774" s="178"/>
      <c r="R774" s="179"/>
      <c r="S774" s="177"/>
      <c r="T774" s="180"/>
      <c r="U774" s="180"/>
      <c r="V774" s="177"/>
      <c r="W774" s="177"/>
      <c r="X774" s="67"/>
    </row>
    <row r="775" spans="1:24" ht="12.75" x14ac:dyDescent="0.2">
      <c r="A775" s="34"/>
      <c r="B775" s="173"/>
      <c r="C775" s="173"/>
      <c r="D775" s="174"/>
      <c r="E775" s="173"/>
      <c r="F775" s="173"/>
      <c r="G775" s="176"/>
      <c r="H775" s="174"/>
      <c r="J775" s="174"/>
      <c r="K775" s="173"/>
      <c r="L775" s="173"/>
      <c r="M775" s="174"/>
      <c r="N775" s="177"/>
      <c r="O775" s="176"/>
      <c r="P775" s="177"/>
      <c r="Q775" s="178"/>
      <c r="R775" s="179"/>
      <c r="S775" s="177"/>
      <c r="T775" s="180"/>
      <c r="U775" s="180"/>
      <c r="V775" s="177"/>
      <c r="W775" s="177"/>
      <c r="X775" s="67"/>
    </row>
    <row r="776" spans="1:24" ht="12.75" x14ac:dyDescent="0.2">
      <c r="A776" s="34"/>
      <c r="B776" s="173"/>
      <c r="C776" s="173"/>
      <c r="D776" s="174"/>
      <c r="E776" s="173"/>
      <c r="F776" s="173"/>
      <c r="G776" s="176"/>
      <c r="H776" s="174"/>
      <c r="J776" s="174"/>
      <c r="K776" s="173"/>
      <c r="L776" s="173"/>
      <c r="M776" s="174"/>
      <c r="N776" s="177"/>
      <c r="O776" s="176"/>
      <c r="P776" s="177"/>
      <c r="Q776" s="178"/>
      <c r="R776" s="179"/>
      <c r="S776" s="177"/>
      <c r="T776" s="180"/>
      <c r="U776" s="180"/>
      <c r="V776" s="177"/>
      <c r="W776" s="177"/>
      <c r="X776" s="67"/>
    </row>
    <row r="777" spans="1:24" ht="12.75" x14ac:dyDescent="0.2">
      <c r="A777" s="34"/>
      <c r="B777" s="173"/>
      <c r="C777" s="173"/>
      <c r="D777" s="174"/>
      <c r="E777" s="173"/>
      <c r="F777" s="173"/>
      <c r="G777" s="176"/>
      <c r="H777" s="174"/>
      <c r="J777" s="174"/>
      <c r="K777" s="173"/>
      <c r="L777" s="173"/>
      <c r="M777" s="174"/>
      <c r="N777" s="177"/>
      <c r="O777" s="176"/>
      <c r="P777" s="177"/>
      <c r="Q777" s="178"/>
      <c r="R777" s="179"/>
      <c r="S777" s="177"/>
      <c r="T777" s="180"/>
      <c r="U777" s="180"/>
      <c r="V777" s="177"/>
      <c r="W777" s="177"/>
      <c r="X777" s="67"/>
    </row>
    <row r="778" spans="1:24" ht="12.75" x14ac:dyDescent="0.2">
      <c r="A778" s="34"/>
      <c r="B778" s="173"/>
      <c r="C778" s="173"/>
      <c r="D778" s="174"/>
      <c r="E778" s="173"/>
      <c r="F778" s="173"/>
      <c r="G778" s="176"/>
      <c r="H778" s="174"/>
      <c r="J778" s="174"/>
      <c r="K778" s="173"/>
      <c r="L778" s="173"/>
      <c r="M778" s="174"/>
      <c r="N778" s="177"/>
      <c r="O778" s="176"/>
      <c r="P778" s="177"/>
      <c r="Q778" s="178"/>
      <c r="R778" s="179"/>
      <c r="S778" s="177"/>
      <c r="T778" s="180"/>
      <c r="U778" s="180"/>
      <c r="V778" s="177"/>
      <c r="W778" s="177"/>
      <c r="X778" s="67"/>
    </row>
    <row r="779" spans="1:24" ht="12.75" x14ac:dyDescent="0.2">
      <c r="A779" s="34"/>
      <c r="B779" s="173"/>
      <c r="C779" s="173"/>
      <c r="D779" s="174"/>
      <c r="E779" s="173"/>
      <c r="F779" s="173"/>
      <c r="G779" s="176"/>
      <c r="H779" s="174"/>
      <c r="J779" s="174"/>
      <c r="K779" s="173"/>
      <c r="L779" s="173"/>
      <c r="M779" s="174"/>
      <c r="N779" s="177"/>
      <c r="O779" s="176"/>
      <c r="P779" s="177"/>
      <c r="Q779" s="178"/>
      <c r="R779" s="179"/>
      <c r="S779" s="177"/>
      <c r="T779" s="180"/>
      <c r="U779" s="180"/>
      <c r="V779" s="177"/>
      <c r="W779" s="177"/>
      <c r="X779" s="67"/>
    </row>
    <row r="780" spans="1:24" ht="12.75" x14ac:dyDescent="0.2">
      <c r="A780" s="34"/>
      <c r="B780" s="173"/>
      <c r="C780" s="173"/>
      <c r="D780" s="174"/>
      <c r="E780" s="173"/>
      <c r="F780" s="173"/>
      <c r="G780" s="176"/>
      <c r="H780" s="174"/>
      <c r="J780" s="174"/>
      <c r="K780" s="173"/>
      <c r="L780" s="173"/>
      <c r="M780" s="174"/>
      <c r="N780" s="177"/>
      <c r="O780" s="176"/>
      <c r="P780" s="177"/>
      <c r="Q780" s="178"/>
      <c r="R780" s="179"/>
      <c r="S780" s="177"/>
      <c r="T780" s="180"/>
      <c r="U780" s="180"/>
      <c r="V780" s="177"/>
      <c r="W780" s="177"/>
      <c r="X780" s="67"/>
    </row>
    <row r="781" spans="1:24" ht="12.75" x14ac:dyDescent="0.2">
      <c r="A781" s="34"/>
      <c r="B781" s="173"/>
      <c r="C781" s="173"/>
      <c r="D781" s="174"/>
      <c r="E781" s="173"/>
      <c r="F781" s="173"/>
      <c r="G781" s="176"/>
      <c r="H781" s="174"/>
      <c r="J781" s="174"/>
      <c r="K781" s="173"/>
      <c r="L781" s="173"/>
      <c r="M781" s="174"/>
      <c r="N781" s="177"/>
      <c r="O781" s="176"/>
      <c r="P781" s="177"/>
      <c r="Q781" s="178"/>
      <c r="R781" s="179"/>
      <c r="S781" s="177"/>
      <c r="T781" s="180"/>
      <c r="U781" s="180"/>
      <c r="V781" s="177"/>
      <c r="W781" s="177"/>
      <c r="X781" s="67"/>
    </row>
    <row r="782" spans="1:24" ht="12.75" x14ac:dyDescent="0.2">
      <c r="A782" s="34"/>
      <c r="B782" s="173"/>
      <c r="C782" s="173"/>
      <c r="D782" s="174"/>
      <c r="E782" s="173"/>
      <c r="F782" s="173"/>
      <c r="G782" s="176"/>
      <c r="H782" s="174"/>
      <c r="J782" s="174"/>
      <c r="K782" s="173"/>
      <c r="L782" s="173"/>
      <c r="M782" s="174"/>
      <c r="N782" s="177"/>
      <c r="O782" s="176"/>
      <c r="P782" s="177"/>
      <c r="Q782" s="178"/>
      <c r="R782" s="179"/>
      <c r="S782" s="177"/>
      <c r="T782" s="180"/>
      <c r="U782" s="180"/>
      <c r="V782" s="177"/>
      <c r="W782" s="177"/>
      <c r="X782" s="67"/>
    </row>
    <row r="783" spans="1:24" ht="12.75" x14ac:dyDescent="0.2">
      <c r="A783" s="34"/>
      <c r="B783" s="173"/>
      <c r="C783" s="173"/>
      <c r="D783" s="174"/>
      <c r="E783" s="173"/>
      <c r="F783" s="173"/>
      <c r="G783" s="176"/>
      <c r="H783" s="174"/>
      <c r="J783" s="174"/>
      <c r="K783" s="173"/>
      <c r="L783" s="173"/>
      <c r="M783" s="174"/>
      <c r="N783" s="177"/>
      <c r="O783" s="176"/>
      <c r="P783" s="177"/>
      <c r="Q783" s="178"/>
      <c r="R783" s="179"/>
      <c r="S783" s="177"/>
      <c r="T783" s="180"/>
      <c r="U783" s="180"/>
      <c r="V783" s="177"/>
      <c r="W783" s="177"/>
      <c r="X783" s="67"/>
    </row>
    <row r="784" spans="1:24" ht="12.75" x14ac:dyDescent="0.2">
      <c r="A784" s="34"/>
      <c r="B784" s="173"/>
      <c r="C784" s="173"/>
      <c r="D784" s="174"/>
      <c r="E784" s="173"/>
      <c r="F784" s="173"/>
      <c r="G784" s="176"/>
      <c r="H784" s="174"/>
      <c r="J784" s="174"/>
      <c r="K784" s="173"/>
      <c r="L784" s="173"/>
      <c r="M784" s="174"/>
      <c r="N784" s="177"/>
      <c r="O784" s="176"/>
      <c r="P784" s="177"/>
      <c r="Q784" s="178"/>
      <c r="R784" s="179"/>
      <c r="S784" s="177"/>
      <c r="T784" s="180"/>
      <c r="U784" s="180"/>
      <c r="V784" s="177"/>
      <c r="W784" s="177"/>
      <c r="X784" s="67"/>
    </row>
    <row r="785" spans="1:24" ht="12.75" x14ac:dyDescent="0.2">
      <c r="A785" s="34"/>
      <c r="B785" s="173"/>
      <c r="C785" s="173"/>
      <c r="D785" s="174"/>
      <c r="E785" s="173"/>
      <c r="F785" s="173"/>
      <c r="G785" s="176"/>
      <c r="H785" s="174"/>
      <c r="J785" s="174"/>
      <c r="K785" s="173"/>
      <c r="L785" s="173"/>
      <c r="M785" s="174"/>
      <c r="N785" s="177"/>
      <c r="O785" s="176"/>
      <c r="P785" s="177"/>
      <c r="Q785" s="178"/>
      <c r="R785" s="179"/>
      <c r="S785" s="177"/>
      <c r="T785" s="180"/>
      <c r="U785" s="180"/>
      <c r="V785" s="177"/>
      <c r="W785" s="177"/>
      <c r="X785" s="67"/>
    </row>
    <row r="786" spans="1:24" ht="12.75" x14ac:dyDescent="0.2">
      <c r="A786" s="34"/>
      <c r="B786" s="173"/>
      <c r="C786" s="173"/>
      <c r="D786" s="174"/>
      <c r="E786" s="173"/>
      <c r="F786" s="173"/>
      <c r="G786" s="176"/>
      <c r="H786" s="174"/>
      <c r="J786" s="174"/>
      <c r="K786" s="173"/>
      <c r="L786" s="173"/>
      <c r="M786" s="174"/>
      <c r="N786" s="177"/>
      <c r="O786" s="176"/>
      <c r="P786" s="177"/>
      <c r="Q786" s="178"/>
      <c r="R786" s="179"/>
      <c r="S786" s="177"/>
      <c r="T786" s="180"/>
      <c r="U786" s="180"/>
      <c r="V786" s="177"/>
      <c r="W786" s="177"/>
      <c r="X786" s="67"/>
    </row>
    <row r="787" spans="1:24" ht="12.75" x14ac:dyDescent="0.2">
      <c r="A787" s="34"/>
      <c r="B787" s="173"/>
      <c r="C787" s="173"/>
      <c r="D787" s="174"/>
      <c r="E787" s="173"/>
      <c r="F787" s="173"/>
      <c r="G787" s="176"/>
      <c r="H787" s="174"/>
      <c r="J787" s="174"/>
      <c r="K787" s="173"/>
      <c r="L787" s="173"/>
      <c r="M787" s="174"/>
      <c r="N787" s="177"/>
      <c r="O787" s="176"/>
      <c r="P787" s="177"/>
      <c r="Q787" s="178"/>
      <c r="R787" s="179"/>
      <c r="S787" s="177"/>
      <c r="T787" s="180"/>
      <c r="U787" s="180"/>
      <c r="V787" s="177"/>
      <c r="W787" s="177"/>
      <c r="X787" s="67"/>
    </row>
    <row r="788" spans="1:24" ht="12.75" x14ac:dyDescent="0.2">
      <c r="A788" s="34"/>
      <c r="B788" s="173"/>
      <c r="C788" s="173"/>
      <c r="D788" s="174"/>
      <c r="E788" s="173"/>
      <c r="F788" s="173"/>
      <c r="G788" s="176"/>
      <c r="H788" s="174"/>
      <c r="J788" s="174"/>
      <c r="K788" s="173"/>
      <c r="L788" s="173"/>
      <c r="M788" s="174"/>
      <c r="N788" s="177"/>
      <c r="O788" s="176"/>
      <c r="P788" s="177"/>
      <c r="Q788" s="178"/>
      <c r="R788" s="179"/>
      <c r="S788" s="177"/>
      <c r="T788" s="180"/>
      <c r="U788" s="180"/>
      <c r="V788" s="177"/>
      <c r="W788" s="177"/>
      <c r="X788" s="67"/>
    </row>
    <row r="789" spans="1:24" ht="12.75" x14ac:dyDescent="0.2">
      <c r="A789" s="34"/>
      <c r="B789" s="173"/>
      <c r="C789" s="173"/>
      <c r="D789" s="174"/>
      <c r="E789" s="173"/>
      <c r="F789" s="173"/>
      <c r="G789" s="176"/>
      <c r="H789" s="174"/>
      <c r="J789" s="174"/>
      <c r="K789" s="173"/>
      <c r="L789" s="173"/>
      <c r="M789" s="174"/>
      <c r="N789" s="177"/>
      <c r="O789" s="176"/>
      <c r="P789" s="177"/>
      <c r="Q789" s="178"/>
      <c r="R789" s="179"/>
      <c r="S789" s="177"/>
      <c r="T789" s="180"/>
      <c r="U789" s="180"/>
      <c r="V789" s="177"/>
      <c r="W789" s="177"/>
      <c r="X789" s="67"/>
    </row>
    <row r="790" spans="1:24" ht="12.75" x14ac:dyDescent="0.2">
      <c r="A790" s="34"/>
      <c r="B790" s="173"/>
      <c r="C790" s="173"/>
      <c r="D790" s="174"/>
      <c r="E790" s="173"/>
      <c r="F790" s="173"/>
      <c r="G790" s="176"/>
      <c r="H790" s="174"/>
      <c r="J790" s="174"/>
      <c r="K790" s="173"/>
      <c r="L790" s="173"/>
      <c r="M790" s="174"/>
      <c r="N790" s="177"/>
      <c r="O790" s="176"/>
      <c r="P790" s="177"/>
      <c r="Q790" s="178"/>
      <c r="R790" s="179"/>
      <c r="S790" s="177"/>
      <c r="T790" s="180"/>
      <c r="U790" s="180"/>
      <c r="V790" s="177"/>
      <c r="W790" s="177"/>
      <c r="X790" s="67"/>
    </row>
    <row r="791" spans="1:24" ht="12.75" x14ac:dyDescent="0.2">
      <c r="A791" s="34"/>
      <c r="B791" s="173"/>
      <c r="C791" s="173"/>
      <c r="D791" s="174"/>
      <c r="E791" s="173"/>
      <c r="F791" s="173"/>
      <c r="G791" s="176"/>
      <c r="H791" s="174"/>
      <c r="J791" s="174"/>
      <c r="K791" s="173"/>
      <c r="L791" s="173"/>
      <c r="M791" s="174"/>
      <c r="N791" s="177"/>
      <c r="O791" s="176"/>
      <c r="P791" s="177"/>
      <c r="Q791" s="178"/>
      <c r="R791" s="179"/>
      <c r="S791" s="177"/>
      <c r="T791" s="180"/>
      <c r="U791" s="180"/>
      <c r="V791" s="177"/>
      <c r="W791" s="177"/>
      <c r="X791" s="67"/>
    </row>
    <row r="792" spans="1:24" ht="12.75" x14ac:dyDescent="0.2">
      <c r="A792" s="34"/>
      <c r="B792" s="173"/>
      <c r="C792" s="173"/>
      <c r="D792" s="174"/>
      <c r="E792" s="173"/>
      <c r="F792" s="173"/>
      <c r="G792" s="176"/>
      <c r="H792" s="174"/>
      <c r="J792" s="174"/>
      <c r="K792" s="173"/>
      <c r="L792" s="173"/>
      <c r="M792" s="174"/>
      <c r="N792" s="177"/>
      <c r="O792" s="176"/>
      <c r="P792" s="177"/>
      <c r="Q792" s="178"/>
      <c r="R792" s="179"/>
      <c r="S792" s="177"/>
      <c r="T792" s="180"/>
      <c r="U792" s="180"/>
      <c r="V792" s="177"/>
      <c r="W792" s="177"/>
      <c r="X792" s="67"/>
    </row>
    <row r="793" spans="1:24" ht="12.75" x14ac:dyDescent="0.2">
      <c r="A793" s="34"/>
      <c r="B793" s="173"/>
      <c r="C793" s="173"/>
      <c r="D793" s="174"/>
      <c r="E793" s="173"/>
      <c r="F793" s="173"/>
      <c r="G793" s="176"/>
      <c r="H793" s="174"/>
      <c r="J793" s="174"/>
      <c r="K793" s="173"/>
      <c r="L793" s="173"/>
      <c r="M793" s="174"/>
      <c r="N793" s="177"/>
      <c r="O793" s="176"/>
      <c r="P793" s="177"/>
      <c r="Q793" s="178"/>
      <c r="R793" s="179"/>
      <c r="S793" s="177"/>
      <c r="T793" s="180"/>
      <c r="U793" s="180"/>
      <c r="V793" s="177"/>
      <c r="W793" s="177"/>
      <c r="X793" s="67"/>
    </row>
    <row r="794" spans="1:24" ht="12.75" x14ac:dyDescent="0.2">
      <c r="A794" s="34"/>
      <c r="B794" s="173"/>
      <c r="C794" s="173"/>
      <c r="D794" s="174"/>
      <c r="E794" s="173"/>
      <c r="F794" s="173"/>
      <c r="G794" s="176"/>
      <c r="H794" s="174"/>
      <c r="J794" s="174"/>
      <c r="K794" s="173"/>
      <c r="L794" s="173"/>
      <c r="M794" s="174"/>
      <c r="N794" s="177"/>
      <c r="O794" s="176"/>
      <c r="P794" s="177"/>
      <c r="Q794" s="178"/>
      <c r="R794" s="179"/>
      <c r="S794" s="177"/>
      <c r="T794" s="180"/>
      <c r="U794" s="180"/>
      <c r="V794" s="177"/>
      <c r="W794" s="177"/>
      <c r="X794" s="67"/>
    </row>
    <row r="795" spans="1:24" ht="12.75" x14ac:dyDescent="0.2">
      <c r="A795" s="34"/>
      <c r="B795" s="173"/>
      <c r="C795" s="173"/>
      <c r="D795" s="174"/>
      <c r="E795" s="173"/>
      <c r="F795" s="173"/>
      <c r="G795" s="176"/>
      <c r="H795" s="174"/>
      <c r="J795" s="174"/>
      <c r="K795" s="173"/>
      <c r="L795" s="173"/>
      <c r="M795" s="174"/>
      <c r="N795" s="177"/>
      <c r="O795" s="176"/>
      <c r="P795" s="177"/>
      <c r="Q795" s="178"/>
      <c r="R795" s="179"/>
      <c r="S795" s="177"/>
      <c r="T795" s="180"/>
      <c r="U795" s="180"/>
      <c r="V795" s="177"/>
      <c r="W795" s="177"/>
      <c r="X795" s="67"/>
    </row>
    <row r="796" spans="1:24" ht="12.75" x14ac:dyDescent="0.2">
      <c r="A796" s="34"/>
      <c r="B796" s="173"/>
      <c r="C796" s="173"/>
      <c r="D796" s="174"/>
      <c r="E796" s="173"/>
      <c r="F796" s="173"/>
      <c r="G796" s="176"/>
      <c r="H796" s="174"/>
      <c r="J796" s="174"/>
      <c r="K796" s="173"/>
      <c r="L796" s="173"/>
      <c r="M796" s="174"/>
      <c r="N796" s="177"/>
      <c r="O796" s="176"/>
      <c r="P796" s="177"/>
      <c r="Q796" s="178"/>
      <c r="R796" s="179"/>
      <c r="S796" s="177"/>
      <c r="T796" s="180"/>
      <c r="U796" s="180"/>
      <c r="V796" s="177"/>
      <c r="W796" s="177"/>
      <c r="X796" s="67"/>
    </row>
    <row r="797" spans="1:24" ht="12.75" x14ac:dyDescent="0.2">
      <c r="A797" s="34"/>
      <c r="B797" s="173"/>
      <c r="C797" s="173"/>
      <c r="D797" s="174"/>
      <c r="E797" s="173"/>
      <c r="F797" s="173"/>
      <c r="G797" s="176"/>
      <c r="H797" s="174"/>
      <c r="J797" s="174"/>
      <c r="K797" s="173"/>
      <c r="L797" s="173"/>
      <c r="M797" s="174"/>
      <c r="N797" s="177"/>
      <c r="O797" s="176"/>
      <c r="P797" s="177"/>
      <c r="Q797" s="178"/>
      <c r="R797" s="179"/>
      <c r="S797" s="177"/>
      <c r="T797" s="180"/>
      <c r="U797" s="180"/>
      <c r="V797" s="177"/>
      <c r="W797" s="177"/>
      <c r="X797" s="67"/>
    </row>
    <row r="798" spans="1:24" ht="12.75" x14ac:dyDescent="0.2">
      <c r="A798" s="34"/>
      <c r="B798" s="173"/>
      <c r="C798" s="173"/>
      <c r="D798" s="174"/>
      <c r="E798" s="173"/>
      <c r="F798" s="173"/>
      <c r="G798" s="176"/>
      <c r="H798" s="174"/>
      <c r="J798" s="174"/>
      <c r="K798" s="173"/>
      <c r="L798" s="173"/>
      <c r="M798" s="174"/>
      <c r="N798" s="177"/>
      <c r="O798" s="176"/>
      <c r="P798" s="177"/>
      <c r="Q798" s="178"/>
      <c r="R798" s="179"/>
      <c r="S798" s="177"/>
      <c r="T798" s="180"/>
      <c r="U798" s="180"/>
      <c r="V798" s="177"/>
      <c r="W798" s="177"/>
      <c r="X798" s="67"/>
    </row>
    <row r="799" spans="1:24" ht="12.75" x14ac:dyDescent="0.2">
      <c r="A799" s="34"/>
      <c r="B799" s="173"/>
      <c r="C799" s="173"/>
      <c r="D799" s="174"/>
      <c r="E799" s="173"/>
      <c r="F799" s="173"/>
      <c r="G799" s="176"/>
      <c r="H799" s="174"/>
      <c r="J799" s="174"/>
      <c r="K799" s="173"/>
      <c r="L799" s="173"/>
      <c r="M799" s="174"/>
      <c r="N799" s="177"/>
      <c r="O799" s="176"/>
      <c r="P799" s="177"/>
      <c r="Q799" s="178"/>
      <c r="R799" s="179"/>
      <c r="S799" s="177"/>
      <c r="T799" s="180"/>
      <c r="U799" s="180"/>
      <c r="V799" s="177"/>
      <c r="W799" s="177"/>
      <c r="X799" s="67"/>
    </row>
    <row r="800" spans="1:24" ht="12.75" x14ac:dyDescent="0.2">
      <c r="A800" s="34"/>
      <c r="B800" s="173"/>
      <c r="C800" s="173"/>
      <c r="D800" s="174"/>
      <c r="E800" s="173"/>
      <c r="F800" s="173"/>
      <c r="G800" s="176"/>
      <c r="H800" s="174"/>
      <c r="J800" s="174"/>
      <c r="K800" s="173"/>
      <c r="L800" s="173"/>
      <c r="M800" s="174"/>
      <c r="N800" s="177"/>
      <c r="O800" s="176"/>
      <c r="P800" s="177"/>
      <c r="Q800" s="178"/>
      <c r="R800" s="179"/>
      <c r="S800" s="177"/>
      <c r="T800" s="180"/>
      <c r="U800" s="180"/>
      <c r="V800" s="177"/>
      <c r="W800" s="177"/>
      <c r="X800" s="67"/>
    </row>
    <row r="801" spans="1:24" ht="12.75" x14ac:dyDescent="0.2">
      <c r="A801" s="34"/>
      <c r="B801" s="173"/>
      <c r="C801" s="173"/>
      <c r="D801" s="174"/>
      <c r="E801" s="173"/>
      <c r="F801" s="173"/>
      <c r="G801" s="176"/>
      <c r="H801" s="174"/>
      <c r="J801" s="174"/>
      <c r="K801" s="173"/>
      <c r="L801" s="173"/>
      <c r="M801" s="174"/>
      <c r="N801" s="177"/>
      <c r="O801" s="176"/>
      <c r="P801" s="177"/>
      <c r="Q801" s="178"/>
      <c r="R801" s="179"/>
      <c r="S801" s="177"/>
      <c r="T801" s="180"/>
      <c r="U801" s="180"/>
      <c r="V801" s="177"/>
      <c r="W801" s="177"/>
      <c r="X801" s="67"/>
    </row>
    <row r="802" spans="1:24" ht="12.75" x14ac:dyDescent="0.2">
      <c r="A802" s="34"/>
      <c r="B802" s="173"/>
      <c r="C802" s="173"/>
      <c r="D802" s="174"/>
      <c r="E802" s="173"/>
      <c r="F802" s="173"/>
      <c r="G802" s="176"/>
      <c r="H802" s="174"/>
      <c r="J802" s="174"/>
      <c r="K802" s="173"/>
      <c r="L802" s="173"/>
      <c r="M802" s="174"/>
      <c r="N802" s="177"/>
      <c r="O802" s="176"/>
      <c r="P802" s="177"/>
      <c r="Q802" s="178"/>
      <c r="R802" s="179"/>
      <c r="S802" s="177"/>
      <c r="T802" s="180"/>
      <c r="U802" s="180"/>
      <c r="V802" s="177"/>
      <c r="W802" s="177"/>
      <c r="X802" s="67"/>
    </row>
    <row r="803" spans="1:24" ht="12.75" x14ac:dyDescent="0.2">
      <c r="A803" s="34"/>
      <c r="B803" s="173"/>
      <c r="C803" s="173"/>
      <c r="D803" s="174"/>
      <c r="E803" s="173"/>
      <c r="F803" s="173"/>
      <c r="G803" s="176"/>
      <c r="H803" s="174"/>
      <c r="J803" s="174"/>
      <c r="K803" s="173"/>
      <c r="L803" s="173"/>
      <c r="M803" s="174"/>
      <c r="N803" s="177"/>
      <c r="O803" s="176"/>
      <c r="P803" s="177"/>
      <c r="Q803" s="178"/>
      <c r="R803" s="179"/>
      <c r="S803" s="177"/>
      <c r="T803" s="180"/>
      <c r="U803" s="180"/>
      <c r="V803" s="177"/>
      <c r="W803" s="177"/>
      <c r="X803" s="67"/>
    </row>
    <row r="804" spans="1:24" ht="12.75" x14ac:dyDescent="0.2">
      <c r="A804" s="34"/>
      <c r="B804" s="173"/>
      <c r="C804" s="173"/>
      <c r="D804" s="174"/>
      <c r="E804" s="173"/>
      <c r="F804" s="173"/>
      <c r="G804" s="176"/>
      <c r="H804" s="174"/>
      <c r="J804" s="174"/>
      <c r="K804" s="173"/>
      <c r="L804" s="173"/>
      <c r="M804" s="174"/>
      <c r="N804" s="177"/>
      <c r="O804" s="176"/>
      <c r="P804" s="177"/>
      <c r="Q804" s="178"/>
      <c r="R804" s="179"/>
      <c r="S804" s="177"/>
      <c r="T804" s="180"/>
      <c r="U804" s="180"/>
      <c r="V804" s="177"/>
      <c r="W804" s="177"/>
      <c r="X804" s="67"/>
    </row>
    <row r="805" spans="1:24" ht="12.75" x14ac:dyDescent="0.2">
      <c r="A805" s="34"/>
      <c r="B805" s="173"/>
      <c r="C805" s="173"/>
      <c r="D805" s="174"/>
      <c r="E805" s="173"/>
      <c r="F805" s="173"/>
      <c r="G805" s="176"/>
      <c r="H805" s="174"/>
      <c r="J805" s="174"/>
      <c r="K805" s="173"/>
      <c r="L805" s="173"/>
      <c r="M805" s="174"/>
      <c r="N805" s="177"/>
      <c r="O805" s="176"/>
      <c r="P805" s="177"/>
      <c r="Q805" s="178"/>
      <c r="R805" s="179"/>
      <c r="S805" s="177"/>
      <c r="T805" s="180"/>
      <c r="U805" s="180"/>
      <c r="V805" s="177"/>
      <c r="W805" s="177"/>
      <c r="X805" s="67"/>
    </row>
    <row r="806" spans="1:24" ht="12.75" x14ac:dyDescent="0.2">
      <c r="A806" s="34"/>
      <c r="B806" s="173"/>
      <c r="C806" s="173"/>
      <c r="D806" s="174"/>
      <c r="E806" s="173"/>
      <c r="F806" s="173"/>
      <c r="G806" s="176"/>
      <c r="H806" s="174"/>
      <c r="J806" s="174"/>
      <c r="K806" s="173"/>
      <c r="L806" s="173"/>
      <c r="M806" s="174"/>
      <c r="N806" s="177"/>
      <c r="O806" s="176"/>
      <c r="P806" s="177"/>
      <c r="Q806" s="178"/>
      <c r="R806" s="179"/>
      <c r="S806" s="177"/>
      <c r="T806" s="180"/>
      <c r="U806" s="180"/>
      <c r="V806" s="177"/>
      <c r="W806" s="177"/>
      <c r="X806" s="67"/>
    </row>
    <row r="807" spans="1:24" ht="12.75" x14ac:dyDescent="0.2">
      <c r="A807" s="34"/>
      <c r="B807" s="173"/>
      <c r="C807" s="173"/>
      <c r="D807" s="174"/>
      <c r="E807" s="173"/>
      <c r="F807" s="173"/>
      <c r="G807" s="176"/>
      <c r="H807" s="174"/>
      <c r="J807" s="174"/>
      <c r="K807" s="173"/>
      <c r="L807" s="173"/>
      <c r="M807" s="174"/>
      <c r="N807" s="177"/>
      <c r="O807" s="176"/>
      <c r="P807" s="177"/>
      <c r="Q807" s="178"/>
      <c r="R807" s="179"/>
      <c r="S807" s="177"/>
      <c r="T807" s="180"/>
      <c r="U807" s="180"/>
      <c r="V807" s="177"/>
      <c r="W807" s="177"/>
      <c r="X807" s="67"/>
    </row>
    <row r="808" spans="1:24" ht="12.75" x14ac:dyDescent="0.2">
      <c r="A808" s="34"/>
      <c r="B808" s="173"/>
      <c r="C808" s="173"/>
      <c r="D808" s="174"/>
      <c r="E808" s="173"/>
      <c r="F808" s="173"/>
      <c r="G808" s="176"/>
      <c r="H808" s="174"/>
      <c r="J808" s="174"/>
      <c r="K808" s="173"/>
      <c r="L808" s="173"/>
      <c r="M808" s="174"/>
      <c r="N808" s="177"/>
      <c r="O808" s="176"/>
      <c r="P808" s="177"/>
      <c r="Q808" s="178"/>
      <c r="R808" s="179"/>
      <c r="S808" s="177"/>
      <c r="T808" s="180"/>
      <c r="U808" s="180"/>
      <c r="V808" s="177"/>
      <c r="W808" s="177"/>
      <c r="X808" s="67"/>
    </row>
    <row r="809" spans="1:24" ht="12.75" x14ac:dyDescent="0.2">
      <c r="A809" s="34"/>
      <c r="B809" s="173"/>
      <c r="C809" s="173"/>
      <c r="D809" s="174"/>
      <c r="E809" s="173"/>
      <c r="F809" s="173"/>
      <c r="G809" s="176"/>
      <c r="H809" s="174"/>
      <c r="J809" s="174"/>
      <c r="K809" s="173"/>
      <c r="L809" s="173"/>
      <c r="M809" s="174"/>
      <c r="N809" s="177"/>
      <c r="O809" s="176"/>
      <c r="P809" s="177"/>
      <c r="Q809" s="178"/>
      <c r="R809" s="179"/>
      <c r="S809" s="177"/>
      <c r="T809" s="180"/>
      <c r="U809" s="180"/>
      <c r="V809" s="177"/>
      <c r="W809" s="177"/>
      <c r="X809" s="67"/>
    </row>
    <row r="810" spans="1:24" ht="12.75" x14ac:dyDescent="0.2">
      <c r="A810" s="34"/>
      <c r="B810" s="173"/>
      <c r="C810" s="173"/>
      <c r="D810" s="174"/>
      <c r="E810" s="173"/>
      <c r="F810" s="173"/>
      <c r="G810" s="176"/>
      <c r="H810" s="174"/>
      <c r="J810" s="174"/>
      <c r="K810" s="173"/>
      <c r="L810" s="173"/>
      <c r="M810" s="174"/>
      <c r="N810" s="177"/>
      <c r="O810" s="176"/>
      <c r="P810" s="177"/>
      <c r="Q810" s="178"/>
      <c r="R810" s="179"/>
      <c r="S810" s="177"/>
      <c r="T810" s="180"/>
      <c r="U810" s="180"/>
      <c r="V810" s="177"/>
      <c r="W810" s="177"/>
      <c r="X810" s="67"/>
    </row>
    <row r="811" spans="1:24" ht="12.75" x14ac:dyDescent="0.2">
      <c r="A811" s="34"/>
      <c r="B811" s="173"/>
      <c r="C811" s="173"/>
      <c r="D811" s="174"/>
      <c r="E811" s="173"/>
      <c r="F811" s="173"/>
      <c r="G811" s="176"/>
      <c r="H811" s="174"/>
      <c r="J811" s="174"/>
      <c r="K811" s="173"/>
      <c r="L811" s="173"/>
      <c r="M811" s="174"/>
      <c r="N811" s="177"/>
      <c r="O811" s="176"/>
      <c r="P811" s="177"/>
      <c r="Q811" s="178"/>
      <c r="R811" s="179"/>
      <c r="S811" s="177"/>
      <c r="T811" s="180"/>
      <c r="U811" s="180"/>
      <c r="V811" s="177"/>
      <c r="W811" s="177"/>
      <c r="X811" s="67"/>
    </row>
    <row r="812" spans="1:24" ht="12.75" x14ac:dyDescent="0.2">
      <c r="A812" s="34"/>
      <c r="B812" s="173"/>
      <c r="C812" s="173"/>
      <c r="D812" s="174"/>
      <c r="E812" s="173"/>
      <c r="F812" s="173"/>
      <c r="G812" s="176"/>
      <c r="H812" s="174"/>
      <c r="J812" s="174"/>
      <c r="K812" s="173"/>
      <c r="L812" s="173"/>
      <c r="M812" s="174"/>
      <c r="N812" s="177"/>
      <c r="O812" s="176"/>
      <c r="P812" s="177"/>
      <c r="Q812" s="178"/>
      <c r="R812" s="179"/>
      <c r="S812" s="177"/>
      <c r="T812" s="180"/>
      <c r="U812" s="180"/>
      <c r="V812" s="177"/>
      <c r="W812" s="177"/>
      <c r="X812" s="67"/>
    </row>
    <row r="813" spans="1:24" ht="12.75" x14ac:dyDescent="0.2">
      <c r="A813" s="34"/>
      <c r="B813" s="173"/>
      <c r="C813" s="173"/>
      <c r="D813" s="174"/>
      <c r="E813" s="173"/>
      <c r="F813" s="173"/>
      <c r="G813" s="176"/>
      <c r="H813" s="174"/>
      <c r="J813" s="174"/>
      <c r="K813" s="173"/>
      <c r="L813" s="173"/>
      <c r="M813" s="174"/>
      <c r="N813" s="177"/>
      <c r="O813" s="176"/>
      <c r="P813" s="177"/>
      <c r="Q813" s="178"/>
      <c r="R813" s="179"/>
      <c r="S813" s="177"/>
      <c r="T813" s="180"/>
      <c r="U813" s="180"/>
      <c r="V813" s="177"/>
      <c r="W813" s="177"/>
      <c r="X813" s="67"/>
    </row>
    <row r="814" spans="1:24" ht="12.75" x14ac:dyDescent="0.2">
      <c r="A814" s="34"/>
      <c r="B814" s="173"/>
      <c r="C814" s="173"/>
      <c r="D814" s="174"/>
      <c r="E814" s="173"/>
      <c r="F814" s="173"/>
      <c r="G814" s="176"/>
      <c r="H814" s="174"/>
      <c r="J814" s="174"/>
      <c r="K814" s="173"/>
      <c r="L814" s="173"/>
      <c r="M814" s="174"/>
      <c r="N814" s="177"/>
      <c r="O814" s="176"/>
      <c r="P814" s="177"/>
      <c r="Q814" s="178"/>
      <c r="R814" s="179"/>
      <c r="S814" s="177"/>
      <c r="T814" s="180"/>
      <c r="U814" s="180"/>
      <c r="V814" s="177"/>
      <c r="W814" s="177"/>
      <c r="X814" s="67"/>
    </row>
    <row r="815" spans="1:24" ht="12.75" x14ac:dyDescent="0.2">
      <c r="A815" s="34"/>
      <c r="B815" s="173"/>
      <c r="C815" s="173"/>
      <c r="D815" s="174"/>
      <c r="E815" s="173"/>
      <c r="F815" s="173"/>
      <c r="G815" s="176"/>
      <c r="H815" s="174"/>
      <c r="J815" s="174"/>
      <c r="K815" s="173"/>
      <c r="L815" s="173"/>
      <c r="M815" s="174"/>
      <c r="N815" s="177"/>
      <c r="O815" s="176"/>
      <c r="P815" s="177"/>
      <c r="Q815" s="178"/>
      <c r="R815" s="179"/>
      <c r="S815" s="177"/>
      <c r="T815" s="180"/>
      <c r="U815" s="180"/>
      <c r="V815" s="177"/>
      <c r="W815" s="177"/>
      <c r="X815" s="67"/>
    </row>
    <row r="816" spans="1:24" ht="12.75" x14ac:dyDescent="0.2">
      <c r="A816" s="34"/>
      <c r="B816" s="173"/>
      <c r="C816" s="173"/>
      <c r="D816" s="174"/>
      <c r="E816" s="173"/>
      <c r="F816" s="173"/>
      <c r="G816" s="176"/>
      <c r="H816" s="174"/>
      <c r="J816" s="174"/>
      <c r="K816" s="173"/>
      <c r="L816" s="173"/>
      <c r="M816" s="174"/>
      <c r="N816" s="177"/>
      <c r="O816" s="176"/>
      <c r="P816" s="177"/>
      <c r="Q816" s="178"/>
      <c r="R816" s="179"/>
      <c r="S816" s="177"/>
      <c r="T816" s="180"/>
      <c r="U816" s="180"/>
      <c r="V816" s="177"/>
      <c r="W816" s="177"/>
      <c r="X816" s="67"/>
    </row>
    <row r="817" spans="1:24" ht="12.75" x14ac:dyDescent="0.2">
      <c r="A817" s="34"/>
      <c r="B817" s="173"/>
      <c r="C817" s="173"/>
      <c r="D817" s="174"/>
      <c r="E817" s="173"/>
      <c r="F817" s="173"/>
      <c r="G817" s="176"/>
      <c r="H817" s="174"/>
      <c r="J817" s="174"/>
      <c r="K817" s="173"/>
      <c r="L817" s="173"/>
      <c r="M817" s="174"/>
      <c r="N817" s="177"/>
      <c r="O817" s="176"/>
      <c r="P817" s="177"/>
      <c r="Q817" s="178"/>
      <c r="R817" s="179"/>
      <c r="S817" s="177"/>
      <c r="T817" s="180"/>
      <c r="U817" s="180"/>
      <c r="V817" s="177"/>
      <c r="W817" s="177"/>
      <c r="X817" s="67"/>
    </row>
    <row r="818" spans="1:24" ht="12.75" x14ac:dyDescent="0.2">
      <c r="A818" s="34"/>
      <c r="B818" s="173"/>
      <c r="C818" s="173"/>
      <c r="D818" s="174"/>
      <c r="E818" s="173"/>
      <c r="F818" s="173"/>
      <c r="G818" s="176"/>
      <c r="H818" s="174"/>
      <c r="J818" s="174"/>
      <c r="K818" s="173"/>
      <c r="L818" s="173"/>
      <c r="M818" s="174"/>
      <c r="N818" s="177"/>
      <c r="O818" s="176"/>
      <c r="P818" s="177"/>
      <c r="Q818" s="178"/>
      <c r="R818" s="179"/>
      <c r="S818" s="177"/>
      <c r="T818" s="180"/>
      <c r="U818" s="180"/>
      <c r="V818" s="177"/>
      <c r="W818" s="177"/>
      <c r="X818" s="67"/>
    </row>
    <row r="819" spans="1:24" ht="12.75" x14ac:dyDescent="0.2">
      <c r="A819" s="34"/>
      <c r="B819" s="173"/>
      <c r="C819" s="173"/>
      <c r="D819" s="174"/>
      <c r="E819" s="173"/>
      <c r="F819" s="173"/>
      <c r="G819" s="176"/>
      <c r="H819" s="174"/>
      <c r="J819" s="174"/>
      <c r="K819" s="173"/>
      <c r="L819" s="173"/>
      <c r="M819" s="174"/>
      <c r="N819" s="177"/>
      <c r="O819" s="176"/>
      <c r="P819" s="177"/>
      <c r="Q819" s="178"/>
      <c r="R819" s="179"/>
      <c r="S819" s="177"/>
      <c r="T819" s="180"/>
      <c r="U819" s="180"/>
      <c r="V819" s="177"/>
      <c r="W819" s="177"/>
      <c r="X819" s="67"/>
    </row>
    <row r="820" spans="1:24" ht="12.75" x14ac:dyDescent="0.2">
      <c r="A820" s="34"/>
      <c r="B820" s="173"/>
      <c r="C820" s="173"/>
      <c r="D820" s="174"/>
      <c r="E820" s="173"/>
      <c r="F820" s="173"/>
      <c r="G820" s="176"/>
      <c r="H820" s="174"/>
      <c r="J820" s="174"/>
      <c r="K820" s="173"/>
      <c r="L820" s="173"/>
      <c r="M820" s="174"/>
      <c r="N820" s="177"/>
      <c r="O820" s="176"/>
      <c r="P820" s="177"/>
      <c r="Q820" s="178"/>
      <c r="R820" s="179"/>
      <c r="S820" s="177"/>
      <c r="T820" s="180"/>
      <c r="U820" s="180"/>
      <c r="V820" s="177"/>
      <c r="W820" s="177"/>
      <c r="X820" s="67"/>
    </row>
    <row r="821" spans="1:24" ht="12.75" x14ac:dyDescent="0.2">
      <c r="A821" s="34"/>
      <c r="B821" s="173"/>
      <c r="C821" s="173"/>
      <c r="D821" s="174"/>
      <c r="E821" s="173"/>
      <c r="F821" s="173"/>
      <c r="G821" s="176"/>
      <c r="H821" s="174"/>
      <c r="J821" s="174"/>
      <c r="K821" s="173"/>
      <c r="L821" s="173"/>
      <c r="M821" s="174"/>
      <c r="N821" s="177"/>
      <c r="O821" s="176"/>
      <c r="P821" s="177"/>
      <c r="Q821" s="178"/>
      <c r="R821" s="179"/>
      <c r="S821" s="177"/>
      <c r="T821" s="180"/>
      <c r="U821" s="180"/>
      <c r="V821" s="177"/>
      <c r="W821" s="177"/>
      <c r="X821" s="67"/>
    </row>
    <row r="822" spans="1:24" ht="12.75" x14ac:dyDescent="0.2">
      <c r="A822" s="34"/>
      <c r="B822" s="173"/>
      <c r="C822" s="173"/>
      <c r="D822" s="174"/>
      <c r="E822" s="173"/>
      <c r="F822" s="173"/>
      <c r="G822" s="176"/>
      <c r="H822" s="174"/>
      <c r="J822" s="174"/>
      <c r="K822" s="173"/>
      <c r="L822" s="173"/>
      <c r="M822" s="174"/>
      <c r="N822" s="177"/>
      <c r="O822" s="176"/>
      <c r="P822" s="177"/>
      <c r="Q822" s="178"/>
      <c r="R822" s="179"/>
      <c r="S822" s="177"/>
      <c r="T822" s="180"/>
      <c r="U822" s="180"/>
      <c r="V822" s="177"/>
      <c r="W822" s="177"/>
      <c r="X822" s="67"/>
    </row>
    <row r="823" spans="1:24" ht="12.75" x14ac:dyDescent="0.2">
      <c r="A823" s="34"/>
      <c r="B823" s="173"/>
      <c r="C823" s="173"/>
      <c r="D823" s="174"/>
      <c r="E823" s="173"/>
      <c r="F823" s="173"/>
      <c r="G823" s="176"/>
      <c r="H823" s="174"/>
      <c r="J823" s="174"/>
      <c r="K823" s="173"/>
      <c r="L823" s="173"/>
      <c r="M823" s="174"/>
      <c r="N823" s="177"/>
      <c r="O823" s="176"/>
      <c r="P823" s="177"/>
      <c r="Q823" s="178"/>
      <c r="R823" s="179"/>
      <c r="S823" s="177"/>
      <c r="T823" s="180"/>
      <c r="U823" s="180"/>
      <c r="V823" s="177"/>
      <c r="W823" s="177"/>
      <c r="X823" s="67"/>
    </row>
    <row r="824" spans="1:24" ht="12.75" x14ac:dyDescent="0.2">
      <c r="A824" s="34"/>
      <c r="B824" s="173"/>
      <c r="C824" s="173"/>
      <c r="D824" s="174"/>
      <c r="E824" s="173"/>
      <c r="F824" s="173"/>
      <c r="G824" s="176"/>
      <c r="H824" s="174"/>
      <c r="J824" s="174"/>
      <c r="K824" s="173"/>
      <c r="L824" s="173"/>
      <c r="M824" s="174"/>
      <c r="N824" s="177"/>
      <c r="O824" s="176"/>
      <c r="P824" s="177"/>
      <c r="Q824" s="178"/>
      <c r="R824" s="179"/>
      <c r="S824" s="177"/>
      <c r="T824" s="180"/>
      <c r="U824" s="180"/>
      <c r="V824" s="177"/>
      <c r="W824" s="177"/>
      <c r="X824" s="67"/>
    </row>
    <row r="825" spans="1:24" ht="12.75" x14ac:dyDescent="0.2">
      <c r="A825" s="34"/>
      <c r="B825" s="173"/>
      <c r="C825" s="173"/>
      <c r="D825" s="174"/>
      <c r="E825" s="173"/>
      <c r="F825" s="173"/>
      <c r="G825" s="176"/>
      <c r="H825" s="174"/>
      <c r="J825" s="174"/>
      <c r="K825" s="173"/>
      <c r="L825" s="173"/>
      <c r="M825" s="174"/>
      <c r="N825" s="177"/>
      <c r="O825" s="176"/>
      <c r="P825" s="177"/>
      <c r="Q825" s="178"/>
      <c r="R825" s="179"/>
      <c r="S825" s="177"/>
      <c r="T825" s="180"/>
      <c r="U825" s="180"/>
      <c r="V825" s="177"/>
      <c r="W825" s="177"/>
      <c r="X825" s="67"/>
    </row>
    <row r="826" spans="1:24" ht="12.75" x14ac:dyDescent="0.2">
      <c r="A826" s="34"/>
      <c r="B826" s="173"/>
      <c r="C826" s="173"/>
      <c r="D826" s="174"/>
      <c r="E826" s="173"/>
      <c r="F826" s="173"/>
      <c r="G826" s="176"/>
      <c r="H826" s="174"/>
      <c r="J826" s="174"/>
      <c r="K826" s="173"/>
      <c r="L826" s="173"/>
      <c r="M826" s="174"/>
      <c r="N826" s="177"/>
      <c r="O826" s="176"/>
      <c r="P826" s="177"/>
      <c r="Q826" s="178"/>
      <c r="R826" s="179"/>
      <c r="S826" s="177"/>
      <c r="T826" s="180"/>
      <c r="U826" s="180"/>
      <c r="V826" s="177"/>
      <c r="W826" s="177"/>
      <c r="X826" s="67"/>
    </row>
    <row r="827" spans="1:24" ht="12.75" x14ac:dyDescent="0.2">
      <c r="A827" s="34"/>
      <c r="B827" s="173"/>
      <c r="C827" s="173"/>
      <c r="D827" s="174"/>
      <c r="E827" s="173"/>
      <c r="F827" s="173"/>
      <c r="G827" s="176"/>
      <c r="H827" s="174"/>
      <c r="J827" s="174"/>
      <c r="K827" s="173"/>
      <c r="L827" s="173"/>
      <c r="M827" s="174"/>
      <c r="N827" s="177"/>
      <c r="O827" s="176"/>
      <c r="P827" s="177"/>
      <c r="Q827" s="178"/>
      <c r="R827" s="179"/>
      <c r="S827" s="177"/>
      <c r="T827" s="180"/>
      <c r="U827" s="180"/>
      <c r="V827" s="177"/>
      <c r="W827" s="177"/>
      <c r="X827" s="67"/>
    </row>
    <row r="828" spans="1:24" ht="12.75" x14ac:dyDescent="0.2">
      <c r="A828" s="34"/>
      <c r="B828" s="173"/>
      <c r="C828" s="173"/>
      <c r="D828" s="174"/>
      <c r="E828" s="173"/>
      <c r="F828" s="173"/>
      <c r="G828" s="176"/>
      <c r="H828" s="174"/>
      <c r="J828" s="174"/>
      <c r="K828" s="173"/>
      <c r="L828" s="173"/>
      <c r="M828" s="174"/>
      <c r="N828" s="177"/>
      <c r="O828" s="176"/>
      <c r="P828" s="177"/>
      <c r="Q828" s="178"/>
      <c r="R828" s="179"/>
      <c r="S828" s="177"/>
      <c r="T828" s="180"/>
      <c r="U828" s="180"/>
      <c r="V828" s="177"/>
      <c r="W828" s="177"/>
      <c r="X828" s="67"/>
    </row>
    <row r="829" spans="1:24" ht="12.75" x14ac:dyDescent="0.2">
      <c r="A829" s="34"/>
      <c r="B829" s="173"/>
      <c r="C829" s="173"/>
      <c r="D829" s="174"/>
      <c r="E829" s="173"/>
      <c r="F829" s="173"/>
      <c r="G829" s="176"/>
      <c r="H829" s="174"/>
      <c r="J829" s="174"/>
      <c r="K829" s="173"/>
      <c r="L829" s="173"/>
      <c r="M829" s="174"/>
      <c r="N829" s="177"/>
      <c r="O829" s="176"/>
      <c r="P829" s="177"/>
      <c r="Q829" s="178"/>
      <c r="R829" s="179"/>
      <c r="S829" s="177"/>
      <c r="T829" s="180"/>
      <c r="U829" s="180"/>
      <c r="V829" s="177"/>
      <c r="W829" s="177"/>
      <c r="X829" s="67"/>
    </row>
    <row r="830" spans="1:24" ht="12.75" x14ac:dyDescent="0.2">
      <c r="A830" s="34"/>
      <c r="B830" s="173"/>
      <c r="C830" s="173"/>
      <c r="D830" s="174"/>
      <c r="E830" s="173"/>
      <c r="F830" s="173"/>
      <c r="G830" s="176"/>
      <c r="H830" s="174"/>
      <c r="J830" s="174"/>
      <c r="K830" s="173"/>
      <c r="L830" s="173"/>
      <c r="M830" s="174"/>
      <c r="N830" s="177"/>
      <c r="O830" s="176"/>
      <c r="P830" s="177"/>
      <c r="Q830" s="178"/>
      <c r="R830" s="179"/>
      <c r="S830" s="177"/>
      <c r="T830" s="180"/>
      <c r="U830" s="180"/>
      <c r="V830" s="177"/>
      <c r="W830" s="177"/>
      <c r="X830" s="67"/>
    </row>
    <row r="831" spans="1:24" ht="12.75" x14ac:dyDescent="0.2">
      <c r="A831" s="34"/>
      <c r="B831" s="173"/>
      <c r="C831" s="173"/>
      <c r="D831" s="174"/>
      <c r="E831" s="173"/>
      <c r="F831" s="173"/>
      <c r="G831" s="176"/>
      <c r="H831" s="174"/>
      <c r="J831" s="174"/>
      <c r="K831" s="173"/>
      <c r="L831" s="173"/>
      <c r="M831" s="174"/>
      <c r="N831" s="177"/>
      <c r="O831" s="176"/>
      <c r="P831" s="177"/>
      <c r="Q831" s="178"/>
      <c r="R831" s="179"/>
      <c r="S831" s="177"/>
      <c r="T831" s="180"/>
      <c r="U831" s="180"/>
      <c r="V831" s="177"/>
      <c r="W831" s="177"/>
      <c r="X831" s="67"/>
    </row>
    <row r="832" spans="1:24" ht="12.75" x14ac:dyDescent="0.2">
      <c r="A832" s="34"/>
      <c r="B832" s="173"/>
      <c r="C832" s="173"/>
      <c r="D832" s="174"/>
      <c r="E832" s="173"/>
      <c r="F832" s="173"/>
      <c r="G832" s="176"/>
      <c r="H832" s="174"/>
      <c r="J832" s="174"/>
      <c r="K832" s="173"/>
      <c r="L832" s="173"/>
      <c r="M832" s="174"/>
      <c r="N832" s="177"/>
      <c r="O832" s="176"/>
      <c r="P832" s="177"/>
      <c r="Q832" s="178"/>
      <c r="R832" s="179"/>
      <c r="S832" s="177"/>
      <c r="T832" s="180"/>
      <c r="U832" s="180"/>
      <c r="V832" s="177"/>
      <c r="W832" s="177"/>
      <c r="X832" s="67"/>
    </row>
    <row r="833" spans="1:24" ht="12.75" x14ac:dyDescent="0.2">
      <c r="A833" s="34"/>
      <c r="B833" s="173"/>
      <c r="C833" s="173"/>
      <c r="D833" s="174"/>
      <c r="E833" s="173"/>
      <c r="F833" s="173"/>
      <c r="G833" s="176"/>
      <c r="H833" s="174"/>
      <c r="J833" s="174"/>
      <c r="K833" s="173"/>
      <c r="L833" s="173"/>
      <c r="M833" s="174"/>
      <c r="N833" s="177"/>
      <c r="O833" s="176"/>
      <c r="P833" s="177"/>
      <c r="Q833" s="178"/>
      <c r="R833" s="179"/>
      <c r="S833" s="177"/>
      <c r="T833" s="180"/>
      <c r="U833" s="180"/>
      <c r="V833" s="177"/>
      <c r="W833" s="177"/>
      <c r="X833" s="67"/>
    </row>
    <row r="834" spans="1:24" ht="12.75" x14ac:dyDescent="0.2">
      <c r="A834" s="34"/>
      <c r="B834" s="173"/>
      <c r="C834" s="173"/>
      <c r="D834" s="174"/>
      <c r="E834" s="173"/>
      <c r="F834" s="173"/>
      <c r="G834" s="176"/>
      <c r="H834" s="174"/>
      <c r="J834" s="174"/>
      <c r="K834" s="173"/>
      <c r="L834" s="173"/>
      <c r="M834" s="174"/>
      <c r="N834" s="177"/>
      <c r="O834" s="176"/>
      <c r="P834" s="177"/>
      <c r="Q834" s="178"/>
      <c r="R834" s="179"/>
      <c r="S834" s="177"/>
      <c r="T834" s="180"/>
      <c r="U834" s="180"/>
      <c r="V834" s="177"/>
      <c r="W834" s="177"/>
      <c r="X834" s="67"/>
    </row>
    <row r="835" spans="1:24" ht="12.75" x14ac:dyDescent="0.2">
      <c r="A835" s="34"/>
      <c r="B835" s="173"/>
      <c r="C835" s="173"/>
      <c r="D835" s="174"/>
      <c r="E835" s="173"/>
      <c r="F835" s="173"/>
      <c r="G835" s="176"/>
      <c r="H835" s="174"/>
      <c r="J835" s="174"/>
      <c r="K835" s="173"/>
      <c r="L835" s="173"/>
      <c r="M835" s="174"/>
      <c r="N835" s="177"/>
      <c r="O835" s="176"/>
      <c r="P835" s="177"/>
      <c r="Q835" s="178"/>
      <c r="R835" s="179"/>
      <c r="S835" s="177"/>
      <c r="T835" s="180"/>
      <c r="U835" s="180"/>
      <c r="V835" s="177"/>
      <c r="W835" s="177"/>
      <c r="X835" s="67"/>
    </row>
    <row r="836" spans="1:24" ht="12.75" x14ac:dyDescent="0.2">
      <c r="A836" s="34"/>
      <c r="B836" s="173"/>
      <c r="C836" s="173"/>
      <c r="D836" s="174"/>
      <c r="E836" s="173"/>
      <c r="F836" s="173"/>
      <c r="G836" s="176"/>
      <c r="H836" s="174"/>
      <c r="J836" s="174"/>
      <c r="K836" s="173"/>
      <c r="L836" s="173"/>
      <c r="M836" s="174"/>
      <c r="N836" s="177"/>
      <c r="O836" s="176"/>
      <c r="P836" s="177"/>
      <c r="Q836" s="178"/>
      <c r="R836" s="179"/>
      <c r="S836" s="177"/>
      <c r="T836" s="180"/>
      <c r="U836" s="180"/>
      <c r="V836" s="177"/>
      <c r="W836" s="177"/>
      <c r="X836" s="67"/>
    </row>
    <row r="837" spans="1:24" ht="12.75" x14ac:dyDescent="0.2">
      <c r="A837" s="34"/>
      <c r="B837" s="173"/>
      <c r="C837" s="173"/>
      <c r="D837" s="174"/>
      <c r="E837" s="173"/>
      <c r="F837" s="173"/>
      <c r="G837" s="176"/>
      <c r="H837" s="174"/>
      <c r="J837" s="174"/>
      <c r="K837" s="173"/>
      <c r="L837" s="173"/>
      <c r="M837" s="174"/>
      <c r="N837" s="177"/>
      <c r="O837" s="176"/>
      <c r="P837" s="177"/>
      <c r="Q837" s="178"/>
      <c r="R837" s="179"/>
      <c r="S837" s="177"/>
      <c r="T837" s="180"/>
      <c r="U837" s="180"/>
      <c r="V837" s="177"/>
      <c r="W837" s="177"/>
      <c r="X837" s="67"/>
    </row>
    <row r="838" spans="1:24" ht="12.75" x14ac:dyDescent="0.2">
      <c r="A838" s="34"/>
      <c r="B838" s="173"/>
      <c r="C838" s="173"/>
      <c r="D838" s="174"/>
      <c r="E838" s="173"/>
      <c r="F838" s="173"/>
      <c r="G838" s="176"/>
      <c r="H838" s="174"/>
      <c r="J838" s="174"/>
      <c r="K838" s="173"/>
      <c r="L838" s="173"/>
      <c r="M838" s="174"/>
      <c r="N838" s="177"/>
      <c r="O838" s="176"/>
      <c r="P838" s="177"/>
      <c r="Q838" s="178"/>
      <c r="R838" s="179"/>
      <c r="S838" s="177"/>
      <c r="T838" s="180"/>
      <c r="U838" s="180"/>
      <c r="V838" s="177"/>
      <c r="W838" s="177"/>
      <c r="X838" s="67"/>
    </row>
    <row r="839" spans="1:24" ht="12.75" x14ac:dyDescent="0.2">
      <c r="A839" s="34"/>
      <c r="B839" s="173"/>
      <c r="C839" s="173"/>
      <c r="D839" s="174"/>
      <c r="E839" s="173"/>
      <c r="F839" s="173"/>
      <c r="G839" s="176"/>
      <c r="H839" s="174"/>
      <c r="J839" s="174"/>
      <c r="K839" s="173"/>
      <c r="L839" s="173"/>
      <c r="M839" s="174"/>
      <c r="N839" s="177"/>
      <c r="O839" s="176"/>
      <c r="P839" s="177"/>
      <c r="Q839" s="178"/>
      <c r="R839" s="179"/>
      <c r="S839" s="177"/>
      <c r="T839" s="180"/>
      <c r="U839" s="180"/>
      <c r="V839" s="177"/>
      <c r="W839" s="177"/>
      <c r="X839" s="67"/>
    </row>
    <row r="840" spans="1:24" ht="12.75" x14ac:dyDescent="0.2">
      <c r="A840" s="34"/>
      <c r="B840" s="173"/>
      <c r="C840" s="173"/>
      <c r="D840" s="174"/>
      <c r="E840" s="173"/>
      <c r="F840" s="173"/>
      <c r="G840" s="176"/>
      <c r="H840" s="174"/>
      <c r="J840" s="174"/>
      <c r="K840" s="173"/>
      <c r="L840" s="173"/>
      <c r="M840" s="174"/>
      <c r="N840" s="177"/>
      <c r="O840" s="176"/>
      <c r="P840" s="177"/>
      <c r="Q840" s="178"/>
      <c r="R840" s="179"/>
      <c r="S840" s="177"/>
      <c r="T840" s="180"/>
      <c r="U840" s="180"/>
      <c r="V840" s="177"/>
      <c r="W840" s="177"/>
      <c r="X840" s="67"/>
    </row>
    <row r="841" spans="1:24" ht="12.75" x14ac:dyDescent="0.2">
      <c r="A841" s="34"/>
      <c r="B841" s="173"/>
      <c r="C841" s="173"/>
      <c r="D841" s="174"/>
      <c r="E841" s="173"/>
      <c r="F841" s="173"/>
      <c r="G841" s="176"/>
      <c r="H841" s="174"/>
      <c r="J841" s="174"/>
      <c r="K841" s="173"/>
      <c r="L841" s="173"/>
      <c r="M841" s="174"/>
      <c r="N841" s="177"/>
      <c r="O841" s="176"/>
      <c r="P841" s="177"/>
      <c r="Q841" s="178"/>
      <c r="R841" s="179"/>
      <c r="S841" s="177"/>
      <c r="T841" s="180"/>
      <c r="U841" s="180"/>
      <c r="V841" s="177"/>
      <c r="W841" s="177"/>
      <c r="X841" s="67"/>
    </row>
    <row r="842" spans="1:24" ht="12.75" x14ac:dyDescent="0.2">
      <c r="A842" s="34"/>
      <c r="B842" s="173"/>
      <c r="C842" s="173"/>
      <c r="D842" s="174"/>
      <c r="E842" s="173"/>
      <c r="F842" s="173"/>
      <c r="G842" s="176"/>
      <c r="H842" s="174"/>
      <c r="J842" s="174"/>
      <c r="K842" s="173"/>
      <c r="L842" s="173"/>
      <c r="M842" s="174"/>
      <c r="N842" s="177"/>
      <c r="O842" s="176"/>
      <c r="P842" s="177"/>
      <c r="Q842" s="178"/>
      <c r="R842" s="179"/>
      <c r="S842" s="177"/>
      <c r="T842" s="180"/>
      <c r="U842" s="180"/>
      <c r="V842" s="177"/>
      <c r="W842" s="177"/>
      <c r="X842" s="67"/>
    </row>
    <row r="843" spans="1:24" ht="12.75" x14ac:dyDescent="0.2">
      <c r="A843" s="34"/>
      <c r="B843" s="173"/>
      <c r="C843" s="173"/>
      <c r="D843" s="174"/>
      <c r="E843" s="173"/>
      <c r="F843" s="173"/>
      <c r="G843" s="176"/>
      <c r="H843" s="174"/>
      <c r="J843" s="174"/>
      <c r="K843" s="173"/>
      <c r="L843" s="173"/>
      <c r="M843" s="174"/>
      <c r="N843" s="177"/>
      <c r="O843" s="176"/>
      <c r="P843" s="177"/>
      <c r="Q843" s="178"/>
      <c r="R843" s="179"/>
      <c r="S843" s="177"/>
      <c r="T843" s="180"/>
      <c r="U843" s="180"/>
      <c r="V843" s="177"/>
      <c r="W843" s="177"/>
      <c r="X843" s="67"/>
    </row>
    <row r="844" spans="1:24" ht="12.75" x14ac:dyDescent="0.2">
      <c r="A844" s="34"/>
      <c r="B844" s="173"/>
      <c r="C844" s="173"/>
      <c r="D844" s="174"/>
      <c r="E844" s="173"/>
      <c r="F844" s="173"/>
      <c r="G844" s="176"/>
      <c r="H844" s="174"/>
      <c r="J844" s="174"/>
      <c r="K844" s="173"/>
      <c r="L844" s="173"/>
      <c r="M844" s="174"/>
      <c r="N844" s="177"/>
      <c r="O844" s="176"/>
      <c r="P844" s="177"/>
      <c r="Q844" s="178"/>
      <c r="R844" s="179"/>
      <c r="S844" s="177"/>
      <c r="T844" s="180"/>
      <c r="U844" s="180"/>
      <c r="V844" s="177"/>
      <c r="W844" s="177"/>
      <c r="X844" s="67"/>
    </row>
    <row r="845" spans="1:24" ht="12.75" x14ac:dyDescent="0.2">
      <c r="A845" s="34"/>
      <c r="B845" s="173"/>
      <c r="C845" s="173"/>
      <c r="D845" s="174"/>
      <c r="E845" s="173"/>
      <c r="F845" s="173"/>
      <c r="G845" s="176"/>
      <c r="H845" s="174"/>
      <c r="J845" s="174"/>
      <c r="K845" s="173"/>
      <c r="L845" s="173"/>
      <c r="M845" s="174"/>
      <c r="N845" s="177"/>
      <c r="O845" s="176"/>
      <c r="P845" s="177"/>
      <c r="Q845" s="178"/>
      <c r="R845" s="179"/>
      <c r="S845" s="177"/>
      <c r="T845" s="180"/>
      <c r="U845" s="180"/>
      <c r="V845" s="177"/>
      <c r="W845" s="177"/>
      <c r="X845" s="67"/>
    </row>
    <row r="846" spans="1:24" ht="12.75" x14ac:dyDescent="0.2">
      <c r="A846" s="34"/>
      <c r="B846" s="173"/>
      <c r="C846" s="173"/>
      <c r="D846" s="174"/>
      <c r="E846" s="173"/>
      <c r="F846" s="173"/>
      <c r="G846" s="176"/>
      <c r="H846" s="174"/>
      <c r="J846" s="174"/>
      <c r="K846" s="173"/>
      <c r="L846" s="173"/>
      <c r="M846" s="174"/>
      <c r="N846" s="177"/>
      <c r="O846" s="176"/>
      <c r="P846" s="177"/>
      <c r="Q846" s="178"/>
      <c r="R846" s="179"/>
      <c r="S846" s="177"/>
      <c r="T846" s="180"/>
      <c r="U846" s="180"/>
      <c r="V846" s="177"/>
      <c r="W846" s="177"/>
      <c r="X846" s="67"/>
    </row>
    <row r="847" spans="1:24" ht="12.75" x14ac:dyDescent="0.2">
      <c r="A847" s="34"/>
      <c r="B847" s="173"/>
      <c r="C847" s="173"/>
      <c r="D847" s="174"/>
      <c r="E847" s="173"/>
      <c r="F847" s="173"/>
      <c r="G847" s="176"/>
      <c r="H847" s="174"/>
      <c r="J847" s="174"/>
      <c r="K847" s="173"/>
      <c r="L847" s="173"/>
      <c r="M847" s="174"/>
      <c r="N847" s="177"/>
      <c r="O847" s="176"/>
      <c r="P847" s="177"/>
      <c r="Q847" s="178"/>
      <c r="R847" s="179"/>
      <c r="S847" s="177"/>
      <c r="T847" s="180"/>
      <c r="U847" s="180"/>
      <c r="V847" s="177"/>
      <c r="W847" s="177"/>
      <c r="X847" s="67"/>
    </row>
    <row r="848" spans="1:24" ht="12.75" x14ac:dyDescent="0.2">
      <c r="A848" s="34"/>
      <c r="B848" s="173"/>
      <c r="C848" s="173"/>
      <c r="D848" s="174"/>
      <c r="E848" s="173"/>
      <c r="F848" s="173"/>
      <c r="G848" s="176"/>
      <c r="H848" s="174"/>
      <c r="J848" s="174"/>
      <c r="K848" s="173"/>
      <c r="L848" s="173"/>
      <c r="M848" s="174"/>
      <c r="N848" s="177"/>
      <c r="O848" s="176"/>
      <c r="P848" s="177"/>
      <c r="Q848" s="178"/>
      <c r="R848" s="179"/>
      <c r="S848" s="177"/>
      <c r="T848" s="180"/>
      <c r="U848" s="180"/>
      <c r="V848" s="177"/>
      <c r="W848" s="177"/>
      <c r="X848" s="67"/>
    </row>
    <row r="849" spans="1:24" ht="12.75" x14ac:dyDescent="0.2">
      <c r="A849" s="34"/>
      <c r="B849" s="173"/>
      <c r="C849" s="173"/>
      <c r="D849" s="174"/>
      <c r="E849" s="173"/>
      <c r="F849" s="173"/>
      <c r="G849" s="176"/>
      <c r="H849" s="174"/>
      <c r="J849" s="174"/>
      <c r="K849" s="173"/>
      <c r="L849" s="173"/>
      <c r="M849" s="174"/>
      <c r="N849" s="177"/>
      <c r="O849" s="176"/>
      <c r="P849" s="177"/>
      <c r="Q849" s="178"/>
      <c r="R849" s="179"/>
      <c r="S849" s="177"/>
      <c r="T849" s="180"/>
      <c r="U849" s="180"/>
      <c r="V849" s="177"/>
      <c r="W849" s="177"/>
      <c r="X849" s="67"/>
    </row>
    <row r="850" spans="1:24" ht="12.75" x14ac:dyDescent="0.2">
      <c r="A850" s="34"/>
      <c r="B850" s="173"/>
      <c r="C850" s="173"/>
      <c r="D850" s="174"/>
      <c r="E850" s="173"/>
      <c r="F850" s="173"/>
      <c r="G850" s="176"/>
      <c r="H850" s="174"/>
      <c r="J850" s="174"/>
      <c r="K850" s="173"/>
      <c r="L850" s="173"/>
      <c r="M850" s="174"/>
      <c r="N850" s="177"/>
      <c r="O850" s="176"/>
      <c r="P850" s="177"/>
      <c r="Q850" s="178"/>
      <c r="R850" s="179"/>
      <c r="S850" s="177"/>
      <c r="T850" s="180"/>
      <c r="U850" s="180"/>
      <c r="V850" s="177"/>
      <c r="W850" s="177"/>
      <c r="X850" s="67"/>
    </row>
    <row r="851" spans="1:24" ht="12.75" x14ac:dyDescent="0.2">
      <c r="A851" s="34"/>
      <c r="B851" s="173"/>
      <c r="C851" s="173"/>
      <c r="D851" s="174"/>
      <c r="E851" s="173"/>
      <c r="F851" s="173"/>
      <c r="G851" s="176"/>
      <c r="H851" s="174"/>
      <c r="J851" s="174"/>
      <c r="K851" s="173"/>
      <c r="L851" s="173"/>
      <c r="M851" s="174"/>
      <c r="N851" s="177"/>
      <c r="O851" s="176"/>
      <c r="P851" s="177"/>
      <c r="Q851" s="178"/>
      <c r="R851" s="179"/>
      <c r="S851" s="177"/>
      <c r="T851" s="180"/>
      <c r="U851" s="180"/>
      <c r="V851" s="177"/>
      <c r="W851" s="177"/>
      <c r="X851" s="67"/>
    </row>
    <row r="852" spans="1:24" ht="12.75" x14ac:dyDescent="0.2">
      <c r="A852" s="34"/>
      <c r="B852" s="173"/>
      <c r="C852" s="173"/>
      <c r="D852" s="174"/>
      <c r="E852" s="173"/>
      <c r="F852" s="173"/>
      <c r="G852" s="176"/>
      <c r="H852" s="174"/>
      <c r="J852" s="174"/>
      <c r="K852" s="173"/>
      <c r="L852" s="173"/>
      <c r="M852" s="174"/>
      <c r="N852" s="177"/>
      <c r="O852" s="176"/>
      <c r="P852" s="177"/>
      <c r="Q852" s="178"/>
      <c r="R852" s="179"/>
      <c r="S852" s="177"/>
      <c r="T852" s="180"/>
      <c r="U852" s="180"/>
      <c r="V852" s="177"/>
      <c r="W852" s="177"/>
      <c r="X852" s="67"/>
    </row>
    <row r="853" spans="1:24" ht="12.75" x14ac:dyDescent="0.2">
      <c r="A853" s="34"/>
      <c r="B853" s="173"/>
      <c r="C853" s="173"/>
      <c r="D853" s="174"/>
      <c r="E853" s="173"/>
      <c r="F853" s="173"/>
      <c r="G853" s="176"/>
      <c r="H853" s="174"/>
      <c r="J853" s="174"/>
      <c r="K853" s="173"/>
      <c r="L853" s="173"/>
      <c r="M853" s="174"/>
      <c r="N853" s="177"/>
      <c r="O853" s="176"/>
      <c r="P853" s="177"/>
      <c r="Q853" s="178"/>
      <c r="R853" s="179"/>
      <c r="S853" s="177"/>
      <c r="T853" s="180"/>
      <c r="U853" s="180"/>
      <c r="V853" s="177"/>
      <c r="W853" s="177"/>
      <c r="X853" s="67"/>
    </row>
    <row r="854" spans="1:24" ht="12.75" x14ac:dyDescent="0.2">
      <c r="A854" s="34"/>
      <c r="B854" s="173"/>
      <c r="C854" s="173"/>
      <c r="D854" s="174"/>
      <c r="E854" s="173"/>
      <c r="F854" s="173"/>
      <c r="G854" s="176"/>
      <c r="H854" s="174"/>
      <c r="J854" s="174"/>
      <c r="K854" s="173"/>
      <c r="L854" s="173"/>
      <c r="M854" s="174"/>
      <c r="N854" s="177"/>
      <c r="O854" s="176"/>
      <c r="P854" s="177"/>
      <c r="Q854" s="178"/>
      <c r="R854" s="179"/>
      <c r="S854" s="177"/>
      <c r="T854" s="180"/>
      <c r="U854" s="180"/>
      <c r="V854" s="177"/>
      <c r="W854" s="177"/>
      <c r="X854" s="67"/>
    </row>
    <row r="855" spans="1:24" ht="12.75" x14ac:dyDescent="0.2">
      <c r="A855" s="34"/>
      <c r="B855" s="173"/>
      <c r="C855" s="173"/>
      <c r="D855" s="174"/>
      <c r="E855" s="173"/>
      <c r="F855" s="173"/>
      <c r="G855" s="176"/>
      <c r="H855" s="174"/>
      <c r="J855" s="174"/>
      <c r="K855" s="173"/>
      <c r="L855" s="173"/>
      <c r="M855" s="174"/>
      <c r="N855" s="177"/>
      <c r="O855" s="176"/>
      <c r="P855" s="177"/>
      <c r="Q855" s="178"/>
      <c r="R855" s="179"/>
      <c r="S855" s="177"/>
      <c r="T855" s="180"/>
      <c r="U855" s="180"/>
      <c r="V855" s="177"/>
      <c r="W855" s="177"/>
      <c r="X855" s="67"/>
    </row>
    <row r="856" spans="1:24" ht="12.75" x14ac:dyDescent="0.2">
      <c r="A856" s="34"/>
      <c r="B856" s="173"/>
      <c r="C856" s="173"/>
      <c r="D856" s="174"/>
      <c r="E856" s="173"/>
      <c r="F856" s="173"/>
      <c r="G856" s="176"/>
      <c r="H856" s="174"/>
      <c r="J856" s="174"/>
      <c r="K856" s="173"/>
      <c r="L856" s="173"/>
      <c r="M856" s="174"/>
      <c r="N856" s="177"/>
      <c r="O856" s="176"/>
      <c r="P856" s="177"/>
      <c r="Q856" s="178"/>
      <c r="R856" s="179"/>
      <c r="S856" s="177"/>
      <c r="T856" s="180"/>
      <c r="U856" s="180"/>
      <c r="V856" s="177"/>
      <c r="W856" s="177"/>
      <c r="X856" s="67"/>
    </row>
    <row r="857" spans="1:24" ht="12.75" x14ac:dyDescent="0.2">
      <c r="A857" s="34"/>
      <c r="B857" s="173"/>
      <c r="C857" s="173"/>
      <c r="D857" s="174"/>
      <c r="E857" s="173"/>
      <c r="F857" s="173"/>
      <c r="G857" s="176"/>
      <c r="H857" s="174"/>
      <c r="J857" s="174"/>
      <c r="K857" s="173"/>
      <c r="L857" s="173"/>
      <c r="M857" s="174"/>
      <c r="N857" s="177"/>
      <c r="O857" s="176"/>
      <c r="P857" s="177"/>
      <c r="Q857" s="178"/>
      <c r="R857" s="179"/>
      <c r="S857" s="177"/>
      <c r="T857" s="180"/>
      <c r="U857" s="180"/>
      <c r="V857" s="177"/>
      <c r="W857" s="177"/>
      <c r="X857" s="67"/>
    </row>
    <row r="858" spans="1:24" ht="12.75" x14ac:dyDescent="0.2">
      <c r="A858" s="34"/>
      <c r="B858" s="173"/>
      <c r="C858" s="173"/>
      <c r="D858" s="174"/>
      <c r="E858" s="173"/>
      <c r="F858" s="173"/>
      <c r="G858" s="176"/>
      <c r="H858" s="174"/>
      <c r="J858" s="174"/>
      <c r="K858" s="173"/>
      <c r="L858" s="173"/>
      <c r="M858" s="174"/>
      <c r="N858" s="177"/>
      <c r="O858" s="176"/>
      <c r="P858" s="177"/>
      <c r="Q858" s="178"/>
      <c r="R858" s="179"/>
      <c r="S858" s="177"/>
      <c r="T858" s="180"/>
      <c r="U858" s="180"/>
      <c r="V858" s="177"/>
      <c r="W858" s="177"/>
      <c r="X858" s="67"/>
    </row>
    <row r="859" spans="1:24" ht="12.75" x14ac:dyDescent="0.2">
      <c r="A859" s="34"/>
      <c r="B859" s="173"/>
      <c r="C859" s="173"/>
      <c r="D859" s="174"/>
      <c r="E859" s="173"/>
      <c r="F859" s="173"/>
      <c r="G859" s="176"/>
      <c r="H859" s="174"/>
      <c r="J859" s="174"/>
      <c r="K859" s="173"/>
      <c r="L859" s="173"/>
      <c r="M859" s="174"/>
      <c r="N859" s="177"/>
      <c r="O859" s="176"/>
      <c r="P859" s="177"/>
      <c r="Q859" s="178"/>
      <c r="R859" s="179"/>
      <c r="S859" s="177"/>
      <c r="T859" s="180"/>
      <c r="U859" s="180"/>
      <c r="V859" s="177"/>
      <c r="W859" s="177"/>
      <c r="X859" s="67"/>
    </row>
    <row r="860" spans="1:24" ht="12.75" x14ac:dyDescent="0.2">
      <c r="A860" s="34"/>
      <c r="B860" s="173"/>
      <c r="C860" s="173"/>
      <c r="D860" s="174"/>
      <c r="E860" s="173"/>
      <c r="F860" s="173"/>
      <c r="G860" s="176"/>
      <c r="H860" s="174"/>
      <c r="J860" s="174"/>
      <c r="K860" s="173"/>
      <c r="L860" s="173"/>
      <c r="M860" s="174"/>
      <c r="N860" s="177"/>
      <c r="O860" s="176"/>
      <c r="P860" s="177"/>
      <c r="Q860" s="178"/>
      <c r="R860" s="179"/>
      <c r="S860" s="177"/>
      <c r="T860" s="180"/>
      <c r="U860" s="180"/>
      <c r="V860" s="177"/>
      <c r="W860" s="177"/>
      <c r="X860" s="67"/>
    </row>
    <row r="861" spans="1:24" ht="12.75" x14ac:dyDescent="0.2">
      <c r="A861" s="34"/>
      <c r="B861" s="173"/>
      <c r="C861" s="173"/>
      <c r="D861" s="174"/>
      <c r="E861" s="173"/>
      <c r="F861" s="173"/>
      <c r="G861" s="176"/>
      <c r="H861" s="174"/>
      <c r="J861" s="174"/>
      <c r="K861" s="173"/>
      <c r="L861" s="173"/>
      <c r="M861" s="174"/>
      <c r="N861" s="177"/>
      <c r="O861" s="176"/>
      <c r="P861" s="177"/>
      <c r="Q861" s="178"/>
      <c r="R861" s="179"/>
      <c r="S861" s="177"/>
      <c r="T861" s="180"/>
      <c r="U861" s="180"/>
      <c r="V861" s="177"/>
      <c r="W861" s="177"/>
      <c r="X861" s="67"/>
    </row>
    <row r="862" spans="1:24" ht="12.75" x14ac:dyDescent="0.2">
      <c r="A862" s="34"/>
      <c r="B862" s="173"/>
      <c r="C862" s="173"/>
      <c r="D862" s="174"/>
      <c r="E862" s="173"/>
      <c r="F862" s="173"/>
      <c r="G862" s="176"/>
      <c r="H862" s="174"/>
      <c r="J862" s="174"/>
      <c r="K862" s="173"/>
      <c r="L862" s="173"/>
      <c r="M862" s="174"/>
      <c r="N862" s="177"/>
      <c r="O862" s="176"/>
      <c r="P862" s="177"/>
      <c r="Q862" s="178"/>
      <c r="R862" s="179"/>
      <c r="S862" s="177"/>
      <c r="T862" s="180"/>
      <c r="U862" s="180"/>
      <c r="V862" s="177"/>
      <c r="W862" s="177"/>
      <c r="X862" s="67"/>
    </row>
    <row r="863" spans="1:24" ht="12.75" x14ac:dyDescent="0.2">
      <c r="A863" s="34"/>
      <c r="B863" s="173"/>
      <c r="C863" s="173"/>
      <c r="D863" s="174"/>
      <c r="E863" s="173"/>
      <c r="F863" s="173"/>
      <c r="G863" s="176"/>
      <c r="H863" s="174"/>
      <c r="J863" s="174"/>
      <c r="K863" s="173"/>
      <c r="L863" s="173"/>
      <c r="M863" s="174"/>
      <c r="N863" s="177"/>
      <c r="O863" s="176"/>
      <c r="P863" s="177"/>
      <c r="Q863" s="178"/>
      <c r="R863" s="179"/>
      <c r="S863" s="177"/>
      <c r="T863" s="180"/>
      <c r="U863" s="180"/>
      <c r="V863" s="177"/>
      <c r="W863" s="177"/>
      <c r="X863" s="67"/>
    </row>
    <row r="864" spans="1:24" ht="12.75" x14ac:dyDescent="0.2">
      <c r="A864" s="34"/>
      <c r="B864" s="173"/>
      <c r="C864" s="173"/>
      <c r="D864" s="174"/>
      <c r="E864" s="173"/>
      <c r="F864" s="173"/>
      <c r="G864" s="176"/>
      <c r="H864" s="174"/>
      <c r="J864" s="174"/>
      <c r="K864" s="173"/>
      <c r="L864" s="173"/>
      <c r="M864" s="174"/>
      <c r="N864" s="177"/>
      <c r="O864" s="176"/>
      <c r="P864" s="177"/>
      <c r="Q864" s="178"/>
      <c r="R864" s="179"/>
      <c r="S864" s="177"/>
      <c r="T864" s="180"/>
      <c r="U864" s="180"/>
      <c r="V864" s="177"/>
      <c r="W864" s="177"/>
      <c r="X864" s="67"/>
    </row>
    <row r="865" spans="1:24" ht="12.75" x14ac:dyDescent="0.2">
      <c r="A865" s="34"/>
      <c r="B865" s="173"/>
      <c r="C865" s="173"/>
      <c r="D865" s="174"/>
      <c r="E865" s="173"/>
      <c r="F865" s="173"/>
      <c r="G865" s="176"/>
      <c r="H865" s="174"/>
      <c r="J865" s="174"/>
      <c r="K865" s="173"/>
      <c r="L865" s="173"/>
      <c r="M865" s="174"/>
      <c r="N865" s="177"/>
      <c r="O865" s="176"/>
      <c r="P865" s="177"/>
      <c r="Q865" s="178"/>
      <c r="R865" s="179"/>
      <c r="S865" s="177"/>
      <c r="T865" s="180"/>
      <c r="U865" s="180"/>
      <c r="V865" s="177"/>
      <c r="W865" s="177"/>
      <c r="X865" s="67"/>
    </row>
    <row r="866" spans="1:24" ht="12.75" x14ac:dyDescent="0.2">
      <c r="A866" s="34"/>
      <c r="B866" s="173"/>
      <c r="C866" s="173"/>
      <c r="D866" s="174"/>
      <c r="E866" s="173"/>
      <c r="F866" s="173"/>
      <c r="G866" s="176"/>
      <c r="H866" s="174"/>
      <c r="J866" s="174"/>
      <c r="K866" s="173"/>
      <c r="L866" s="173"/>
      <c r="M866" s="174"/>
      <c r="N866" s="177"/>
      <c r="O866" s="176"/>
      <c r="P866" s="177"/>
      <c r="Q866" s="178"/>
      <c r="R866" s="179"/>
      <c r="S866" s="177"/>
      <c r="T866" s="180"/>
      <c r="U866" s="180"/>
      <c r="V866" s="177"/>
      <c r="W866" s="177"/>
      <c r="X866" s="67"/>
    </row>
    <row r="867" spans="1:24" ht="12.75" x14ac:dyDescent="0.2">
      <c r="A867" s="34"/>
      <c r="B867" s="173"/>
      <c r="C867" s="173"/>
      <c r="D867" s="174"/>
      <c r="E867" s="173"/>
      <c r="F867" s="173"/>
      <c r="G867" s="176"/>
      <c r="H867" s="174"/>
      <c r="J867" s="174"/>
      <c r="K867" s="173"/>
      <c r="L867" s="173"/>
      <c r="M867" s="174"/>
      <c r="N867" s="177"/>
      <c r="O867" s="176"/>
      <c r="P867" s="177"/>
      <c r="Q867" s="178"/>
      <c r="R867" s="179"/>
      <c r="S867" s="177"/>
      <c r="T867" s="180"/>
      <c r="U867" s="180"/>
      <c r="V867" s="177"/>
      <c r="W867" s="177"/>
      <c r="X867" s="67"/>
    </row>
    <row r="868" spans="1:24" ht="12.75" x14ac:dyDescent="0.2">
      <c r="A868" s="34"/>
      <c r="B868" s="173"/>
      <c r="C868" s="173"/>
      <c r="D868" s="174"/>
      <c r="E868" s="173"/>
      <c r="F868" s="173"/>
      <c r="G868" s="176"/>
      <c r="H868" s="174"/>
      <c r="J868" s="174"/>
      <c r="K868" s="173"/>
      <c r="L868" s="173"/>
      <c r="M868" s="174"/>
      <c r="N868" s="177"/>
      <c r="O868" s="176"/>
      <c r="P868" s="177"/>
      <c r="Q868" s="178"/>
      <c r="R868" s="179"/>
      <c r="S868" s="177"/>
      <c r="T868" s="180"/>
      <c r="U868" s="180"/>
      <c r="V868" s="177"/>
      <c r="W868" s="177"/>
      <c r="X868" s="67"/>
    </row>
    <row r="869" spans="1:24" ht="12.75" x14ac:dyDescent="0.2">
      <c r="A869" s="34"/>
      <c r="B869" s="173"/>
      <c r="C869" s="173"/>
      <c r="D869" s="174"/>
      <c r="E869" s="173"/>
      <c r="F869" s="173"/>
      <c r="G869" s="176"/>
      <c r="H869" s="174"/>
      <c r="J869" s="174"/>
      <c r="K869" s="173"/>
      <c r="L869" s="173"/>
      <c r="M869" s="174"/>
      <c r="N869" s="177"/>
      <c r="O869" s="176"/>
      <c r="P869" s="177"/>
      <c r="Q869" s="178"/>
      <c r="R869" s="179"/>
      <c r="S869" s="177"/>
      <c r="T869" s="180"/>
      <c r="U869" s="180"/>
      <c r="V869" s="177"/>
      <c r="W869" s="177"/>
      <c r="X869" s="67"/>
    </row>
    <row r="870" spans="1:24" ht="12.75" x14ac:dyDescent="0.2">
      <c r="A870" s="34"/>
      <c r="B870" s="173"/>
      <c r="C870" s="173"/>
      <c r="D870" s="174"/>
      <c r="E870" s="173"/>
      <c r="F870" s="173"/>
      <c r="G870" s="176"/>
      <c r="H870" s="174"/>
      <c r="J870" s="174"/>
      <c r="K870" s="173"/>
      <c r="L870" s="173"/>
      <c r="M870" s="174"/>
      <c r="N870" s="177"/>
      <c r="O870" s="176"/>
      <c r="P870" s="177"/>
      <c r="Q870" s="178"/>
      <c r="R870" s="179"/>
      <c r="S870" s="177"/>
      <c r="T870" s="180"/>
      <c r="U870" s="180"/>
      <c r="V870" s="177"/>
      <c r="W870" s="177"/>
      <c r="X870" s="67"/>
    </row>
    <row r="871" spans="1:24" ht="12.75" x14ac:dyDescent="0.2">
      <c r="A871" s="34"/>
      <c r="B871" s="173"/>
      <c r="C871" s="173"/>
      <c r="D871" s="174"/>
      <c r="E871" s="173"/>
      <c r="F871" s="173"/>
      <c r="G871" s="176"/>
      <c r="H871" s="174"/>
      <c r="J871" s="174"/>
      <c r="K871" s="173"/>
      <c r="L871" s="173"/>
      <c r="M871" s="174"/>
      <c r="N871" s="177"/>
      <c r="O871" s="176"/>
      <c r="P871" s="177"/>
      <c r="Q871" s="178"/>
      <c r="R871" s="179"/>
      <c r="S871" s="177"/>
      <c r="T871" s="180"/>
      <c r="U871" s="180"/>
      <c r="V871" s="177"/>
      <c r="W871" s="177"/>
      <c r="X871" s="67"/>
    </row>
    <row r="872" spans="1:24" ht="12.75" x14ac:dyDescent="0.2">
      <c r="A872" s="34"/>
      <c r="B872" s="173"/>
      <c r="C872" s="173"/>
      <c r="D872" s="174"/>
      <c r="E872" s="173"/>
      <c r="F872" s="173"/>
      <c r="G872" s="176"/>
      <c r="H872" s="174"/>
      <c r="J872" s="174"/>
      <c r="K872" s="173"/>
      <c r="L872" s="173"/>
      <c r="M872" s="174"/>
      <c r="N872" s="177"/>
      <c r="O872" s="176"/>
      <c r="P872" s="177"/>
      <c r="Q872" s="178"/>
      <c r="R872" s="179"/>
      <c r="S872" s="177"/>
      <c r="T872" s="180"/>
      <c r="U872" s="180"/>
      <c r="V872" s="177"/>
      <c r="W872" s="177"/>
      <c r="X872" s="67"/>
    </row>
    <row r="873" spans="1:24" ht="12.75" x14ac:dyDescent="0.2">
      <c r="A873" s="34"/>
      <c r="B873" s="173"/>
      <c r="C873" s="173"/>
      <c r="D873" s="174"/>
      <c r="E873" s="173"/>
      <c r="F873" s="173"/>
      <c r="G873" s="176"/>
      <c r="H873" s="174"/>
      <c r="J873" s="174"/>
      <c r="K873" s="173"/>
      <c r="L873" s="173"/>
      <c r="M873" s="174"/>
      <c r="N873" s="177"/>
      <c r="O873" s="176"/>
      <c r="P873" s="177"/>
      <c r="Q873" s="178"/>
      <c r="R873" s="179"/>
      <c r="S873" s="177"/>
      <c r="T873" s="180"/>
      <c r="U873" s="180"/>
      <c r="V873" s="177"/>
      <c r="W873" s="177"/>
      <c r="X873" s="67"/>
    </row>
    <row r="874" spans="1:24" ht="12.75" x14ac:dyDescent="0.2">
      <c r="A874" s="34"/>
      <c r="B874" s="173"/>
      <c r="C874" s="173"/>
      <c r="D874" s="174"/>
      <c r="E874" s="173"/>
      <c r="F874" s="173"/>
      <c r="G874" s="176"/>
      <c r="H874" s="174"/>
      <c r="J874" s="174"/>
      <c r="K874" s="173"/>
      <c r="L874" s="173"/>
      <c r="M874" s="174"/>
      <c r="N874" s="177"/>
      <c r="O874" s="176"/>
      <c r="P874" s="177"/>
      <c r="Q874" s="178"/>
      <c r="R874" s="179"/>
      <c r="S874" s="177"/>
      <c r="T874" s="180"/>
      <c r="U874" s="180"/>
      <c r="V874" s="177"/>
      <c r="W874" s="177"/>
      <c r="X874" s="67"/>
    </row>
    <row r="875" spans="1:24" ht="12.75" x14ac:dyDescent="0.2">
      <c r="A875" s="34"/>
      <c r="B875" s="173"/>
      <c r="C875" s="173"/>
      <c r="D875" s="174"/>
      <c r="E875" s="173"/>
      <c r="F875" s="173"/>
      <c r="G875" s="176"/>
      <c r="H875" s="174"/>
      <c r="J875" s="174"/>
      <c r="K875" s="173"/>
      <c r="L875" s="173"/>
      <c r="M875" s="174"/>
      <c r="N875" s="177"/>
      <c r="O875" s="176"/>
      <c r="P875" s="177"/>
      <c r="Q875" s="178"/>
      <c r="R875" s="179"/>
      <c r="S875" s="177"/>
      <c r="T875" s="180"/>
      <c r="U875" s="180"/>
      <c r="V875" s="177"/>
      <c r="W875" s="177"/>
      <c r="X875" s="67"/>
    </row>
    <row r="876" spans="1:24" ht="12.75" x14ac:dyDescent="0.2">
      <c r="A876" s="34"/>
      <c r="B876" s="173"/>
      <c r="C876" s="173"/>
      <c r="D876" s="174"/>
      <c r="E876" s="173"/>
      <c r="F876" s="173"/>
      <c r="G876" s="176"/>
      <c r="H876" s="174"/>
      <c r="J876" s="174"/>
      <c r="K876" s="173"/>
      <c r="L876" s="173"/>
      <c r="M876" s="174"/>
      <c r="N876" s="177"/>
      <c r="O876" s="176"/>
      <c r="P876" s="177"/>
      <c r="Q876" s="178"/>
      <c r="R876" s="179"/>
      <c r="S876" s="177"/>
      <c r="T876" s="180"/>
      <c r="U876" s="180"/>
      <c r="V876" s="177"/>
      <c r="W876" s="177"/>
      <c r="X876" s="67"/>
    </row>
    <row r="877" spans="1:24" ht="12.75" x14ac:dyDescent="0.2">
      <c r="A877" s="34"/>
      <c r="B877" s="173"/>
      <c r="C877" s="173"/>
      <c r="D877" s="174"/>
      <c r="E877" s="173"/>
      <c r="F877" s="173"/>
      <c r="G877" s="176"/>
      <c r="H877" s="174"/>
      <c r="J877" s="174"/>
      <c r="K877" s="173"/>
      <c r="L877" s="173"/>
      <c r="M877" s="174"/>
      <c r="N877" s="177"/>
      <c r="O877" s="176"/>
      <c r="P877" s="177"/>
      <c r="Q877" s="178"/>
      <c r="R877" s="179"/>
      <c r="S877" s="177"/>
      <c r="T877" s="180"/>
      <c r="U877" s="180"/>
      <c r="V877" s="177"/>
      <c r="W877" s="177"/>
      <c r="X877" s="67"/>
    </row>
    <row r="878" spans="1:24" ht="12.75" x14ac:dyDescent="0.2">
      <c r="A878" s="34"/>
      <c r="B878" s="173"/>
      <c r="C878" s="173"/>
      <c r="D878" s="174"/>
      <c r="E878" s="173"/>
      <c r="F878" s="173"/>
      <c r="G878" s="176"/>
      <c r="H878" s="174"/>
      <c r="J878" s="174"/>
      <c r="K878" s="173"/>
      <c r="L878" s="173"/>
      <c r="M878" s="174"/>
      <c r="N878" s="177"/>
      <c r="O878" s="176"/>
      <c r="P878" s="177"/>
      <c r="Q878" s="178"/>
      <c r="R878" s="179"/>
      <c r="S878" s="177"/>
      <c r="T878" s="180"/>
      <c r="U878" s="180"/>
      <c r="V878" s="177"/>
      <c r="W878" s="177"/>
      <c r="X878" s="67"/>
    </row>
    <row r="879" spans="1:24" ht="12.75" x14ac:dyDescent="0.2">
      <c r="A879" s="34"/>
      <c r="B879" s="173"/>
      <c r="C879" s="173"/>
      <c r="D879" s="174"/>
      <c r="E879" s="173"/>
      <c r="F879" s="173"/>
      <c r="G879" s="176"/>
      <c r="H879" s="174"/>
      <c r="J879" s="174"/>
      <c r="K879" s="173"/>
      <c r="L879" s="173"/>
      <c r="M879" s="174"/>
      <c r="N879" s="177"/>
      <c r="O879" s="176"/>
      <c r="P879" s="177"/>
      <c r="Q879" s="178"/>
      <c r="R879" s="179"/>
      <c r="S879" s="177"/>
      <c r="T879" s="180"/>
      <c r="U879" s="180"/>
      <c r="V879" s="177"/>
      <c r="W879" s="177"/>
      <c r="X879" s="67"/>
    </row>
    <row r="880" spans="1:24" ht="12.75" x14ac:dyDescent="0.2">
      <c r="A880" s="34"/>
      <c r="B880" s="173"/>
      <c r="C880" s="173"/>
      <c r="D880" s="174"/>
      <c r="E880" s="173"/>
      <c r="F880" s="173"/>
      <c r="G880" s="176"/>
      <c r="H880" s="174"/>
      <c r="J880" s="174"/>
      <c r="K880" s="173"/>
      <c r="L880" s="173"/>
      <c r="M880" s="174"/>
      <c r="N880" s="177"/>
      <c r="O880" s="176"/>
      <c r="P880" s="177"/>
      <c r="Q880" s="178"/>
      <c r="R880" s="179"/>
      <c r="S880" s="177"/>
      <c r="T880" s="180"/>
      <c r="U880" s="180"/>
      <c r="V880" s="177"/>
      <c r="W880" s="177"/>
      <c r="X880" s="67"/>
    </row>
    <row r="881" spans="1:24" ht="12.75" x14ac:dyDescent="0.2">
      <c r="A881" s="34"/>
      <c r="B881" s="173"/>
      <c r="C881" s="173"/>
      <c r="D881" s="174"/>
      <c r="E881" s="173"/>
      <c r="F881" s="173"/>
      <c r="G881" s="176"/>
      <c r="H881" s="174"/>
      <c r="J881" s="174"/>
      <c r="K881" s="173"/>
      <c r="L881" s="173"/>
      <c r="M881" s="174"/>
      <c r="N881" s="177"/>
      <c r="O881" s="176"/>
      <c r="P881" s="177"/>
      <c r="Q881" s="178"/>
      <c r="R881" s="179"/>
      <c r="S881" s="177"/>
      <c r="T881" s="180"/>
      <c r="U881" s="180"/>
      <c r="V881" s="177"/>
      <c r="W881" s="177"/>
      <c r="X881" s="67"/>
    </row>
    <row r="882" spans="1:24" ht="12.75" x14ac:dyDescent="0.2">
      <c r="A882" s="34"/>
      <c r="B882" s="173"/>
      <c r="C882" s="173"/>
      <c r="D882" s="174"/>
      <c r="E882" s="173"/>
      <c r="F882" s="173"/>
      <c r="G882" s="176"/>
      <c r="H882" s="174"/>
      <c r="J882" s="174"/>
      <c r="K882" s="173"/>
      <c r="L882" s="173"/>
      <c r="M882" s="174"/>
      <c r="N882" s="177"/>
      <c r="O882" s="176"/>
      <c r="P882" s="177"/>
      <c r="Q882" s="178"/>
      <c r="R882" s="179"/>
      <c r="S882" s="177"/>
      <c r="T882" s="180"/>
      <c r="U882" s="180"/>
      <c r="V882" s="177"/>
      <c r="W882" s="177"/>
      <c r="X882" s="67"/>
    </row>
    <row r="883" spans="1:24" ht="12.75" x14ac:dyDescent="0.2">
      <c r="A883" s="34"/>
      <c r="B883" s="173"/>
      <c r="C883" s="173"/>
      <c r="D883" s="174"/>
      <c r="E883" s="173"/>
      <c r="F883" s="173"/>
      <c r="G883" s="176"/>
      <c r="H883" s="174"/>
      <c r="J883" s="174"/>
      <c r="K883" s="173"/>
      <c r="L883" s="173"/>
      <c r="M883" s="174"/>
      <c r="N883" s="177"/>
      <c r="O883" s="176"/>
      <c r="P883" s="177"/>
      <c r="Q883" s="178"/>
      <c r="R883" s="179"/>
      <c r="S883" s="177"/>
      <c r="T883" s="180"/>
      <c r="U883" s="180"/>
      <c r="V883" s="177"/>
      <c r="W883" s="177"/>
      <c r="X883" s="67"/>
    </row>
    <row r="884" spans="1:24" ht="12.75" x14ac:dyDescent="0.2">
      <c r="A884" s="34"/>
      <c r="B884" s="173"/>
      <c r="C884" s="173"/>
      <c r="D884" s="174"/>
      <c r="E884" s="173"/>
      <c r="F884" s="173"/>
      <c r="G884" s="176"/>
      <c r="H884" s="174"/>
      <c r="J884" s="174"/>
      <c r="K884" s="173"/>
      <c r="L884" s="173"/>
      <c r="M884" s="174"/>
      <c r="N884" s="177"/>
      <c r="O884" s="176"/>
      <c r="P884" s="177"/>
      <c r="Q884" s="178"/>
      <c r="R884" s="179"/>
      <c r="S884" s="177"/>
      <c r="T884" s="180"/>
      <c r="U884" s="180"/>
      <c r="V884" s="177"/>
      <c r="W884" s="177"/>
      <c r="X884" s="67"/>
    </row>
    <row r="885" spans="1:24" ht="12.75" x14ac:dyDescent="0.2">
      <c r="A885" s="34"/>
      <c r="B885" s="173"/>
      <c r="C885" s="173"/>
      <c r="D885" s="174"/>
      <c r="E885" s="173"/>
      <c r="F885" s="173"/>
      <c r="G885" s="176"/>
      <c r="H885" s="174"/>
      <c r="J885" s="174"/>
      <c r="K885" s="173"/>
      <c r="L885" s="173"/>
      <c r="M885" s="174"/>
      <c r="N885" s="177"/>
      <c r="O885" s="176"/>
      <c r="P885" s="177"/>
      <c r="Q885" s="178"/>
      <c r="R885" s="179"/>
      <c r="S885" s="177"/>
      <c r="T885" s="180"/>
      <c r="U885" s="180"/>
      <c r="V885" s="177"/>
      <c r="W885" s="177"/>
      <c r="X885" s="67"/>
    </row>
    <row r="886" spans="1:24" ht="12.75" x14ac:dyDescent="0.2">
      <c r="A886" s="34"/>
      <c r="B886" s="173"/>
      <c r="C886" s="173"/>
      <c r="D886" s="174"/>
      <c r="E886" s="173"/>
      <c r="F886" s="173"/>
      <c r="G886" s="176"/>
      <c r="H886" s="174"/>
      <c r="J886" s="174"/>
      <c r="K886" s="173"/>
      <c r="L886" s="173"/>
      <c r="M886" s="174"/>
      <c r="N886" s="177"/>
      <c r="O886" s="176"/>
      <c r="P886" s="177"/>
      <c r="Q886" s="178"/>
      <c r="R886" s="179"/>
      <c r="S886" s="177"/>
      <c r="T886" s="180"/>
      <c r="U886" s="180"/>
      <c r="V886" s="177"/>
      <c r="W886" s="177"/>
      <c r="X886" s="67"/>
    </row>
    <row r="887" spans="1:24" ht="12.75" x14ac:dyDescent="0.2">
      <c r="A887" s="34"/>
      <c r="B887" s="173"/>
      <c r="C887" s="173"/>
      <c r="D887" s="174"/>
      <c r="E887" s="173"/>
      <c r="F887" s="173"/>
      <c r="G887" s="176"/>
      <c r="H887" s="174"/>
      <c r="J887" s="174"/>
      <c r="K887" s="173"/>
      <c r="L887" s="173"/>
      <c r="M887" s="174"/>
      <c r="N887" s="177"/>
      <c r="O887" s="176"/>
      <c r="P887" s="177"/>
      <c r="Q887" s="178"/>
      <c r="R887" s="179"/>
      <c r="S887" s="177"/>
      <c r="T887" s="180"/>
      <c r="U887" s="180"/>
      <c r="V887" s="177"/>
      <c r="W887" s="177"/>
      <c r="X887" s="67"/>
    </row>
    <row r="888" spans="1:24" ht="12.75" x14ac:dyDescent="0.2">
      <c r="A888" s="34"/>
      <c r="B888" s="173"/>
      <c r="C888" s="173"/>
      <c r="D888" s="174"/>
      <c r="E888" s="173"/>
      <c r="F888" s="173"/>
      <c r="G888" s="176"/>
      <c r="H888" s="174"/>
      <c r="J888" s="174"/>
      <c r="K888" s="173"/>
      <c r="L888" s="173"/>
      <c r="M888" s="174"/>
      <c r="N888" s="177"/>
      <c r="O888" s="176"/>
      <c r="P888" s="177"/>
      <c r="Q888" s="178"/>
      <c r="R888" s="179"/>
      <c r="S888" s="177"/>
      <c r="T888" s="180"/>
      <c r="U888" s="180"/>
      <c r="V888" s="177"/>
      <c r="W888" s="177"/>
      <c r="X888" s="67"/>
    </row>
    <row r="889" spans="1:24" ht="12.75" x14ac:dyDescent="0.2">
      <c r="A889" s="34"/>
      <c r="B889" s="173"/>
      <c r="C889" s="173"/>
      <c r="D889" s="174"/>
      <c r="E889" s="173"/>
      <c r="F889" s="173"/>
      <c r="G889" s="176"/>
      <c r="H889" s="174"/>
      <c r="J889" s="174"/>
      <c r="K889" s="173"/>
      <c r="L889" s="173"/>
      <c r="M889" s="174"/>
      <c r="N889" s="177"/>
      <c r="O889" s="176"/>
      <c r="P889" s="177"/>
      <c r="Q889" s="178"/>
      <c r="R889" s="179"/>
      <c r="S889" s="177"/>
      <c r="T889" s="180"/>
      <c r="U889" s="180"/>
      <c r="V889" s="177"/>
      <c r="W889" s="177"/>
      <c r="X889" s="67"/>
    </row>
    <row r="890" spans="1:24" ht="12.75" x14ac:dyDescent="0.2">
      <c r="A890" s="34"/>
      <c r="B890" s="173"/>
      <c r="C890" s="173"/>
      <c r="D890" s="174"/>
      <c r="E890" s="173"/>
      <c r="F890" s="173"/>
      <c r="G890" s="176"/>
      <c r="H890" s="174"/>
      <c r="J890" s="174"/>
      <c r="K890" s="173"/>
      <c r="L890" s="173"/>
      <c r="M890" s="174"/>
      <c r="N890" s="177"/>
      <c r="O890" s="176"/>
      <c r="P890" s="177"/>
      <c r="Q890" s="178"/>
      <c r="R890" s="179"/>
      <c r="S890" s="177"/>
      <c r="T890" s="180"/>
      <c r="U890" s="180"/>
      <c r="V890" s="177"/>
      <c r="W890" s="177"/>
      <c r="X890" s="67"/>
    </row>
    <row r="891" spans="1:24" ht="12.75" x14ac:dyDescent="0.2">
      <c r="A891" s="34"/>
      <c r="B891" s="173"/>
      <c r="C891" s="173"/>
      <c r="D891" s="174"/>
      <c r="E891" s="173"/>
      <c r="F891" s="173"/>
      <c r="G891" s="176"/>
      <c r="H891" s="174"/>
      <c r="J891" s="174"/>
      <c r="K891" s="173"/>
      <c r="L891" s="173"/>
      <c r="M891" s="174"/>
      <c r="N891" s="177"/>
      <c r="O891" s="176"/>
      <c r="P891" s="177"/>
      <c r="Q891" s="178"/>
      <c r="R891" s="179"/>
      <c r="S891" s="177"/>
      <c r="T891" s="180"/>
      <c r="U891" s="180"/>
      <c r="V891" s="177"/>
      <c r="W891" s="177"/>
      <c r="X891" s="67"/>
    </row>
    <row r="892" spans="1:24" ht="12.75" x14ac:dyDescent="0.2">
      <c r="A892" s="34"/>
      <c r="B892" s="173"/>
      <c r="C892" s="173"/>
      <c r="D892" s="174"/>
      <c r="E892" s="173"/>
      <c r="F892" s="173"/>
      <c r="G892" s="176"/>
      <c r="H892" s="174"/>
      <c r="J892" s="174"/>
      <c r="K892" s="173"/>
      <c r="L892" s="173"/>
      <c r="M892" s="174"/>
      <c r="N892" s="177"/>
      <c r="O892" s="176"/>
      <c r="P892" s="177"/>
      <c r="Q892" s="178"/>
      <c r="R892" s="179"/>
      <c r="S892" s="177"/>
      <c r="T892" s="180"/>
      <c r="U892" s="180"/>
      <c r="V892" s="177"/>
      <c r="W892" s="177"/>
      <c r="X892" s="67"/>
    </row>
    <row r="893" spans="1:24" ht="12.75" x14ac:dyDescent="0.2">
      <c r="A893" s="34"/>
      <c r="B893" s="173"/>
      <c r="C893" s="173"/>
      <c r="D893" s="174"/>
      <c r="E893" s="173"/>
      <c r="F893" s="173"/>
      <c r="G893" s="176"/>
      <c r="H893" s="174"/>
      <c r="J893" s="174"/>
      <c r="K893" s="173"/>
      <c r="L893" s="173"/>
      <c r="M893" s="174"/>
      <c r="N893" s="177"/>
      <c r="O893" s="176"/>
      <c r="P893" s="177"/>
      <c r="Q893" s="178"/>
      <c r="R893" s="179"/>
      <c r="S893" s="177"/>
      <c r="T893" s="180"/>
      <c r="U893" s="180"/>
      <c r="V893" s="177"/>
      <c r="W893" s="177"/>
      <c r="X893" s="67"/>
    </row>
    <row r="894" spans="1:24" ht="12.75" x14ac:dyDescent="0.2">
      <c r="A894" s="34"/>
      <c r="B894" s="173"/>
      <c r="C894" s="173"/>
      <c r="D894" s="174"/>
      <c r="E894" s="173"/>
      <c r="F894" s="173"/>
      <c r="G894" s="176"/>
      <c r="H894" s="174"/>
      <c r="J894" s="174"/>
      <c r="K894" s="173"/>
      <c r="L894" s="173"/>
      <c r="M894" s="174"/>
      <c r="N894" s="177"/>
      <c r="O894" s="176"/>
      <c r="P894" s="177"/>
      <c r="Q894" s="178"/>
      <c r="R894" s="179"/>
      <c r="S894" s="177"/>
      <c r="T894" s="180"/>
      <c r="U894" s="180"/>
      <c r="V894" s="177"/>
      <c r="W894" s="177"/>
      <c r="X894" s="67"/>
    </row>
    <row r="895" spans="1:24" ht="12.75" x14ac:dyDescent="0.2">
      <c r="A895" s="34"/>
      <c r="B895" s="173"/>
      <c r="C895" s="173"/>
      <c r="D895" s="174"/>
      <c r="E895" s="173"/>
      <c r="F895" s="173"/>
      <c r="G895" s="176"/>
      <c r="H895" s="174"/>
      <c r="J895" s="174"/>
      <c r="K895" s="173"/>
      <c r="L895" s="173"/>
      <c r="M895" s="174"/>
      <c r="N895" s="177"/>
      <c r="O895" s="176"/>
      <c r="P895" s="177"/>
      <c r="Q895" s="178"/>
      <c r="R895" s="179"/>
      <c r="S895" s="177"/>
      <c r="T895" s="180"/>
      <c r="U895" s="180"/>
      <c r="V895" s="177"/>
      <c r="W895" s="177"/>
      <c r="X895" s="67"/>
    </row>
    <row r="896" spans="1:24" ht="12.75" x14ac:dyDescent="0.2">
      <c r="A896" s="34"/>
      <c r="B896" s="173"/>
      <c r="C896" s="173"/>
      <c r="D896" s="174"/>
      <c r="E896" s="173"/>
      <c r="F896" s="173"/>
      <c r="G896" s="176"/>
      <c r="H896" s="174"/>
      <c r="J896" s="174"/>
      <c r="K896" s="173"/>
      <c r="L896" s="173"/>
      <c r="M896" s="174"/>
      <c r="N896" s="177"/>
      <c r="O896" s="176"/>
      <c r="P896" s="177"/>
      <c r="Q896" s="178"/>
      <c r="R896" s="179"/>
      <c r="S896" s="177"/>
      <c r="T896" s="180"/>
      <c r="U896" s="180"/>
      <c r="V896" s="177"/>
      <c r="W896" s="177"/>
      <c r="X896" s="67"/>
    </row>
    <row r="897" spans="1:24" ht="12.75" x14ac:dyDescent="0.2">
      <c r="A897" s="34"/>
      <c r="B897" s="173"/>
      <c r="C897" s="173"/>
      <c r="D897" s="174"/>
      <c r="E897" s="173"/>
      <c r="F897" s="173"/>
      <c r="G897" s="176"/>
      <c r="H897" s="174"/>
      <c r="J897" s="174"/>
      <c r="K897" s="173"/>
      <c r="L897" s="173"/>
      <c r="M897" s="174"/>
      <c r="N897" s="177"/>
      <c r="O897" s="176"/>
      <c r="P897" s="177"/>
      <c r="Q897" s="178"/>
      <c r="R897" s="179"/>
      <c r="S897" s="177"/>
      <c r="T897" s="180"/>
      <c r="U897" s="180"/>
      <c r="V897" s="177"/>
      <c r="W897" s="177"/>
      <c r="X897" s="67"/>
    </row>
    <row r="898" spans="1:24" ht="12.75" x14ac:dyDescent="0.2">
      <c r="A898" s="34"/>
      <c r="B898" s="173"/>
      <c r="C898" s="173"/>
      <c r="D898" s="174"/>
      <c r="E898" s="173"/>
      <c r="F898" s="173"/>
      <c r="G898" s="176"/>
      <c r="H898" s="174"/>
      <c r="J898" s="174"/>
      <c r="K898" s="173"/>
      <c r="L898" s="173"/>
      <c r="M898" s="174"/>
      <c r="N898" s="177"/>
      <c r="O898" s="176"/>
      <c r="P898" s="177"/>
      <c r="Q898" s="178"/>
      <c r="R898" s="179"/>
      <c r="S898" s="177"/>
      <c r="T898" s="180"/>
      <c r="U898" s="180"/>
      <c r="V898" s="177"/>
      <c r="W898" s="177"/>
      <c r="X898" s="67"/>
    </row>
    <row r="899" spans="1:24" ht="12.75" x14ac:dyDescent="0.2">
      <c r="A899" s="34"/>
      <c r="B899" s="173"/>
      <c r="C899" s="173"/>
      <c r="D899" s="174"/>
      <c r="E899" s="173"/>
      <c r="F899" s="173"/>
      <c r="G899" s="176"/>
      <c r="H899" s="174"/>
      <c r="J899" s="174"/>
      <c r="K899" s="173"/>
      <c r="L899" s="173"/>
      <c r="M899" s="174"/>
      <c r="N899" s="177"/>
      <c r="O899" s="176"/>
      <c r="P899" s="177"/>
      <c r="Q899" s="178"/>
      <c r="R899" s="179"/>
      <c r="S899" s="177"/>
      <c r="T899" s="180"/>
      <c r="U899" s="180"/>
      <c r="V899" s="177"/>
      <c r="W899" s="177"/>
      <c r="X899" s="67"/>
    </row>
    <row r="900" spans="1:24" ht="12.75" x14ac:dyDescent="0.2">
      <c r="A900" s="34"/>
      <c r="B900" s="173"/>
      <c r="C900" s="173"/>
      <c r="D900" s="174"/>
      <c r="E900" s="173"/>
      <c r="F900" s="173"/>
      <c r="G900" s="176"/>
      <c r="H900" s="174"/>
      <c r="J900" s="174"/>
      <c r="K900" s="173"/>
      <c r="L900" s="173"/>
      <c r="M900" s="174"/>
      <c r="N900" s="177"/>
      <c r="O900" s="176"/>
      <c r="P900" s="177"/>
      <c r="Q900" s="178"/>
      <c r="R900" s="179"/>
      <c r="S900" s="177"/>
      <c r="T900" s="180"/>
      <c r="U900" s="180"/>
      <c r="V900" s="177"/>
      <c r="W900" s="177"/>
      <c r="X900" s="67"/>
    </row>
    <row r="901" spans="1:24" ht="12.75" x14ac:dyDescent="0.2">
      <c r="A901" s="34"/>
      <c r="B901" s="173"/>
      <c r="C901" s="173"/>
      <c r="D901" s="174"/>
      <c r="E901" s="173"/>
      <c r="F901" s="173"/>
      <c r="G901" s="176"/>
      <c r="H901" s="174"/>
      <c r="J901" s="174"/>
      <c r="K901" s="173"/>
      <c r="L901" s="173"/>
      <c r="M901" s="174"/>
      <c r="N901" s="177"/>
      <c r="O901" s="176"/>
      <c r="P901" s="177"/>
      <c r="Q901" s="178"/>
      <c r="R901" s="179"/>
      <c r="S901" s="177"/>
      <c r="T901" s="180"/>
      <c r="U901" s="180"/>
      <c r="V901" s="177"/>
      <c r="W901" s="177"/>
      <c r="X901" s="67"/>
    </row>
    <row r="902" spans="1:24" ht="12.75" x14ac:dyDescent="0.2">
      <c r="A902" s="34"/>
      <c r="B902" s="173"/>
      <c r="C902" s="173"/>
      <c r="D902" s="174"/>
      <c r="E902" s="173"/>
      <c r="F902" s="173"/>
      <c r="G902" s="176"/>
      <c r="H902" s="174"/>
      <c r="J902" s="174"/>
      <c r="K902" s="173"/>
      <c r="L902" s="173"/>
      <c r="M902" s="174"/>
      <c r="N902" s="177"/>
      <c r="O902" s="176"/>
      <c r="P902" s="177"/>
      <c r="Q902" s="178"/>
      <c r="R902" s="179"/>
      <c r="S902" s="177"/>
      <c r="T902" s="180"/>
      <c r="U902" s="180"/>
      <c r="V902" s="177"/>
      <c r="W902" s="177"/>
      <c r="X902" s="67"/>
    </row>
    <row r="903" spans="1:24" ht="12.75" x14ac:dyDescent="0.2">
      <c r="A903" s="34"/>
      <c r="B903" s="173"/>
      <c r="C903" s="173"/>
      <c r="D903" s="174"/>
      <c r="E903" s="173"/>
      <c r="F903" s="173"/>
      <c r="G903" s="176"/>
      <c r="H903" s="174"/>
      <c r="J903" s="174"/>
      <c r="K903" s="173"/>
      <c r="L903" s="173"/>
      <c r="M903" s="174"/>
      <c r="N903" s="177"/>
      <c r="O903" s="176"/>
      <c r="P903" s="177"/>
      <c r="Q903" s="178"/>
      <c r="R903" s="179"/>
      <c r="S903" s="177"/>
      <c r="T903" s="180"/>
      <c r="U903" s="180"/>
      <c r="V903" s="177"/>
      <c r="W903" s="177"/>
      <c r="X903" s="67"/>
    </row>
    <row r="904" spans="1:24" ht="12.75" x14ac:dyDescent="0.2">
      <c r="A904" s="34"/>
      <c r="B904" s="173"/>
      <c r="C904" s="173"/>
      <c r="D904" s="174"/>
      <c r="E904" s="173"/>
      <c r="F904" s="173"/>
      <c r="G904" s="176"/>
      <c r="H904" s="174"/>
      <c r="J904" s="174"/>
      <c r="K904" s="173"/>
      <c r="L904" s="173"/>
      <c r="M904" s="174"/>
      <c r="N904" s="177"/>
      <c r="O904" s="176"/>
      <c r="P904" s="177"/>
      <c r="Q904" s="178"/>
      <c r="R904" s="179"/>
      <c r="S904" s="177"/>
      <c r="T904" s="180"/>
      <c r="U904" s="180"/>
      <c r="V904" s="177"/>
      <c r="W904" s="177"/>
      <c r="X904" s="67"/>
    </row>
    <row r="905" spans="1:24" ht="12.75" x14ac:dyDescent="0.2">
      <c r="A905" s="34"/>
      <c r="B905" s="173"/>
      <c r="C905" s="173"/>
      <c r="D905" s="174"/>
      <c r="E905" s="173"/>
      <c r="F905" s="173"/>
      <c r="G905" s="176"/>
      <c r="H905" s="174"/>
      <c r="J905" s="174"/>
      <c r="K905" s="173"/>
      <c r="L905" s="173"/>
      <c r="M905" s="174"/>
      <c r="N905" s="177"/>
      <c r="O905" s="176"/>
      <c r="P905" s="177"/>
      <c r="Q905" s="178"/>
      <c r="R905" s="179"/>
      <c r="S905" s="177"/>
      <c r="T905" s="180"/>
      <c r="U905" s="180"/>
      <c r="V905" s="177"/>
      <c r="W905" s="177"/>
      <c r="X905" s="67"/>
    </row>
    <row r="906" spans="1:24" ht="12.75" x14ac:dyDescent="0.2">
      <c r="A906" s="34"/>
      <c r="B906" s="173"/>
      <c r="C906" s="173"/>
      <c r="D906" s="174"/>
      <c r="E906" s="173"/>
      <c r="F906" s="173"/>
      <c r="G906" s="176"/>
      <c r="H906" s="174"/>
      <c r="J906" s="174"/>
      <c r="K906" s="173"/>
      <c r="L906" s="173"/>
      <c r="M906" s="174"/>
      <c r="N906" s="177"/>
      <c r="O906" s="176"/>
      <c r="P906" s="177"/>
      <c r="Q906" s="178"/>
      <c r="R906" s="179"/>
      <c r="S906" s="177"/>
      <c r="T906" s="180"/>
      <c r="U906" s="180"/>
      <c r="V906" s="177"/>
      <c r="W906" s="177"/>
      <c r="X906" s="67"/>
    </row>
    <row r="907" spans="1:24" ht="12.75" x14ac:dyDescent="0.2">
      <c r="A907" s="34"/>
      <c r="B907" s="173"/>
      <c r="C907" s="173"/>
      <c r="D907" s="174"/>
      <c r="E907" s="173"/>
      <c r="F907" s="173"/>
      <c r="G907" s="176"/>
      <c r="H907" s="174"/>
      <c r="J907" s="174"/>
      <c r="K907" s="173"/>
      <c r="L907" s="173"/>
      <c r="M907" s="174"/>
      <c r="N907" s="177"/>
      <c r="O907" s="176"/>
      <c r="P907" s="177"/>
      <c r="Q907" s="178"/>
      <c r="R907" s="179"/>
      <c r="S907" s="177"/>
      <c r="T907" s="180"/>
      <c r="U907" s="180"/>
      <c r="V907" s="177"/>
      <c r="W907" s="177"/>
      <c r="X907" s="67"/>
    </row>
    <row r="908" spans="1:24" ht="12.75" x14ac:dyDescent="0.2">
      <c r="A908" s="34"/>
      <c r="B908" s="173"/>
      <c r="C908" s="173"/>
      <c r="D908" s="174"/>
      <c r="E908" s="173"/>
      <c r="F908" s="173"/>
      <c r="G908" s="176"/>
      <c r="H908" s="174"/>
      <c r="J908" s="174"/>
      <c r="K908" s="173"/>
      <c r="L908" s="173"/>
      <c r="M908" s="174"/>
      <c r="N908" s="177"/>
      <c r="O908" s="176"/>
      <c r="P908" s="177"/>
      <c r="Q908" s="178"/>
      <c r="R908" s="179"/>
      <c r="S908" s="177"/>
      <c r="T908" s="180"/>
      <c r="U908" s="180"/>
      <c r="V908" s="177"/>
      <c r="W908" s="177"/>
      <c r="X908" s="67"/>
    </row>
    <row r="909" spans="1:24" ht="12.75" x14ac:dyDescent="0.2">
      <c r="A909" s="34"/>
      <c r="B909" s="173"/>
      <c r="C909" s="173"/>
      <c r="D909" s="174"/>
      <c r="E909" s="173"/>
      <c r="F909" s="173"/>
      <c r="G909" s="176"/>
      <c r="H909" s="174"/>
      <c r="J909" s="174"/>
      <c r="K909" s="173"/>
      <c r="L909" s="173"/>
      <c r="M909" s="174"/>
      <c r="N909" s="177"/>
      <c r="O909" s="176"/>
      <c r="P909" s="177"/>
      <c r="Q909" s="178"/>
      <c r="R909" s="179"/>
      <c r="S909" s="177"/>
      <c r="T909" s="180"/>
      <c r="U909" s="180"/>
      <c r="V909" s="177"/>
      <c r="W909" s="177"/>
      <c r="X909" s="67"/>
    </row>
    <row r="910" spans="1:24" ht="12.75" x14ac:dyDescent="0.2">
      <c r="A910" s="34"/>
      <c r="B910" s="173"/>
      <c r="C910" s="173"/>
      <c r="D910" s="174"/>
      <c r="E910" s="173"/>
      <c r="F910" s="173"/>
      <c r="G910" s="176"/>
      <c r="H910" s="174"/>
      <c r="J910" s="174"/>
      <c r="K910" s="173"/>
      <c r="L910" s="173"/>
      <c r="M910" s="174"/>
      <c r="N910" s="177"/>
      <c r="O910" s="176"/>
      <c r="P910" s="177"/>
      <c r="Q910" s="178"/>
      <c r="R910" s="179"/>
      <c r="S910" s="177"/>
      <c r="T910" s="180"/>
      <c r="U910" s="180"/>
      <c r="V910" s="177"/>
      <c r="W910" s="177"/>
      <c r="X910" s="67"/>
    </row>
    <row r="911" spans="1:24" ht="12.75" x14ac:dyDescent="0.2">
      <c r="A911" s="34"/>
      <c r="B911" s="173"/>
      <c r="C911" s="173"/>
      <c r="D911" s="174"/>
      <c r="E911" s="173"/>
      <c r="F911" s="173"/>
      <c r="G911" s="176"/>
      <c r="H911" s="174"/>
      <c r="J911" s="174"/>
      <c r="K911" s="173"/>
      <c r="L911" s="173"/>
      <c r="M911" s="174"/>
      <c r="N911" s="177"/>
      <c r="O911" s="176"/>
      <c r="P911" s="177"/>
      <c r="Q911" s="178"/>
      <c r="R911" s="179"/>
      <c r="S911" s="177"/>
      <c r="T911" s="180"/>
      <c r="U911" s="180"/>
      <c r="V911" s="177"/>
      <c r="W911" s="177"/>
      <c r="X911" s="67"/>
    </row>
    <row r="912" spans="1:24" ht="12.75" x14ac:dyDescent="0.2">
      <c r="A912" s="34"/>
      <c r="B912" s="173"/>
      <c r="C912" s="173"/>
      <c r="D912" s="174"/>
      <c r="E912" s="173"/>
      <c r="F912" s="173"/>
      <c r="G912" s="176"/>
      <c r="H912" s="174"/>
      <c r="J912" s="174"/>
      <c r="K912" s="173"/>
      <c r="L912" s="173"/>
      <c r="M912" s="174"/>
      <c r="N912" s="177"/>
      <c r="O912" s="176"/>
      <c r="P912" s="177"/>
      <c r="Q912" s="178"/>
      <c r="R912" s="179"/>
      <c r="S912" s="177"/>
      <c r="T912" s="180"/>
      <c r="U912" s="180"/>
      <c r="V912" s="177"/>
      <c r="W912" s="177"/>
      <c r="X912" s="67"/>
    </row>
    <row r="913" spans="1:24" ht="12.75" x14ac:dyDescent="0.2">
      <c r="A913" s="34"/>
      <c r="B913" s="173"/>
      <c r="C913" s="173"/>
      <c r="D913" s="174"/>
      <c r="E913" s="173"/>
      <c r="F913" s="173"/>
      <c r="G913" s="176"/>
      <c r="H913" s="174"/>
      <c r="J913" s="174"/>
      <c r="K913" s="173"/>
      <c r="L913" s="173"/>
      <c r="M913" s="174"/>
      <c r="N913" s="177"/>
      <c r="O913" s="176"/>
      <c r="P913" s="177"/>
      <c r="Q913" s="178"/>
      <c r="R913" s="179"/>
      <c r="S913" s="177"/>
      <c r="T913" s="180"/>
      <c r="U913" s="180"/>
      <c r="V913" s="177"/>
      <c r="W913" s="177"/>
      <c r="X913" s="67"/>
    </row>
    <row r="914" spans="1:24" ht="12.75" x14ac:dyDescent="0.2">
      <c r="A914" s="34"/>
      <c r="B914" s="173"/>
      <c r="C914" s="173"/>
      <c r="D914" s="174"/>
      <c r="E914" s="173"/>
      <c r="F914" s="173"/>
      <c r="G914" s="176"/>
      <c r="H914" s="174"/>
      <c r="J914" s="174"/>
      <c r="K914" s="173"/>
      <c r="L914" s="173"/>
      <c r="M914" s="174"/>
      <c r="N914" s="177"/>
      <c r="O914" s="176"/>
      <c r="P914" s="177"/>
      <c r="Q914" s="178"/>
      <c r="R914" s="179"/>
      <c r="S914" s="177"/>
      <c r="T914" s="180"/>
      <c r="U914" s="180"/>
      <c r="V914" s="177"/>
      <c r="W914" s="177"/>
      <c r="X914" s="67"/>
    </row>
    <row r="915" spans="1:24" ht="12.75" x14ac:dyDescent="0.2">
      <c r="A915" s="34"/>
      <c r="B915" s="173"/>
      <c r="C915" s="173"/>
      <c r="D915" s="174"/>
      <c r="E915" s="173"/>
      <c r="F915" s="173"/>
      <c r="G915" s="176"/>
      <c r="H915" s="174"/>
      <c r="J915" s="174"/>
      <c r="K915" s="173"/>
      <c r="L915" s="173"/>
      <c r="M915" s="174"/>
      <c r="N915" s="177"/>
      <c r="O915" s="176"/>
      <c r="P915" s="177"/>
      <c r="Q915" s="178"/>
      <c r="R915" s="179"/>
      <c r="S915" s="177"/>
      <c r="T915" s="180"/>
      <c r="U915" s="180"/>
      <c r="V915" s="177"/>
      <c r="W915" s="177"/>
      <c r="X915" s="67"/>
    </row>
    <row r="916" spans="1:24" ht="12.75" x14ac:dyDescent="0.2">
      <c r="A916" s="34"/>
      <c r="B916" s="173"/>
      <c r="C916" s="173"/>
      <c r="D916" s="174"/>
      <c r="E916" s="173"/>
      <c r="F916" s="173"/>
      <c r="G916" s="176"/>
      <c r="H916" s="174"/>
      <c r="J916" s="174"/>
      <c r="K916" s="173"/>
      <c r="L916" s="173"/>
      <c r="M916" s="174"/>
      <c r="N916" s="177"/>
      <c r="O916" s="176"/>
      <c r="P916" s="177"/>
      <c r="Q916" s="178"/>
      <c r="R916" s="179"/>
      <c r="S916" s="177"/>
      <c r="T916" s="180"/>
      <c r="U916" s="180"/>
      <c r="V916" s="177"/>
      <c r="W916" s="177"/>
      <c r="X916" s="67"/>
    </row>
    <row r="917" spans="1:24" ht="12.75" x14ac:dyDescent="0.2">
      <c r="A917" s="34"/>
      <c r="B917" s="173"/>
      <c r="C917" s="173"/>
      <c r="D917" s="174"/>
      <c r="E917" s="173"/>
      <c r="F917" s="173"/>
      <c r="G917" s="176"/>
      <c r="H917" s="174"/>
      <c r="J917" s="174"/>
      <c r="K917" s="173"/>
      <c r="L917" s="173"/>
      <c r="M917" s="174"/>
      <c r="N917" s="177"/>
      <c r="O917" s="176"/>
      <c r="P917" s="177"/>
      <c r="Q917" s="178"/>
      <c r="R917" s="179"/>
      <c r="S917" s="177"/>
      <c r="T917" s="180"/>
      <c r="U917" s="180"/>
      <c r="V917" s="177"/>
      <c r="W917" s="177"/>
      <c r="X917" s="67"/>
    </row>
    <row r="918" spans="1:24" ht="12.75" x14ac:dyDescent="0.2">
      <c r="A918" s="34"/>
      <c r="B918" s="173"/>
      <c r="C918" s="173"/>
      <c r="D918" s="174"/>
      <c r="E918" s="173"/>
      <c r="F918" s="173"/>
      <c r="G918" s="176"/>
      <c r="H918" s="174"/>
      <c r="J918" s="174"/>
      <c r="K918" s="173"/>
      <c r="L918" s="173"/>
      <c r="M918" s="174"/>
      <c r="N918" s="177"/>
      <c r="O918" s="176"/>
      <c r="P918" s="177"/>
      <c r="Q918" s="178"/>
      <c r="R918" s="179"/>
      <c r="S918" s="177"/>
      <c r="T918" s="180"/>
      <c r="U918" s="180"/>
      <c r="V918" s="177"/>
      <c r="W918" s="177"/>
      <c r="X918" s="67"/>
    </row>
    <row r="919" spans="1:24" ht="12.75" x14ac:dyDescent="0.2">
      <c r="A919" s="34"/>
      <c r="B919" s="173"/>
      <c r="C919" s="173"/>
      <c r="D919" s="174"/>
      <c r="E919" s="173"/>
      <c r="F919" s="173"/>
      <c r="G919" s="176"/>
      <c r="H919" s="174"/>
      <c r="J919" s="174"/>
      <c r="K919" s="173"/>
      <c r="L919" s="173"/>
      <c r="M919" s="174"/>
      <c r="N919" s="177"/>
      <c r="O919" s="176"/>
      <c r="P919" s="177"/>
      <c r="Q919" s="178"/>
      <c r="R919" s="179"/>
      <c r="S919" s="177"/>
      <c r="T919" s="180"/>
      <c r="U919" s="180"/>
      <c r="V919" s="177"/>
      <c r="W919" s="177"/>
      <c r="X919" s="67"/>
    </row>
    <row r="920" spans="1:24" ht="12.75" x14ac:dyDescent="0.2">
      <c r="A920" s="34"/>
      <c r="B920" s="173"/>
      <c r="C920" s="173"/>
      <c r="D920" s="174"/>
      <c r="E920" s="173"/>
      <c r="F920" s="173"/>
      <c r="G920" s="176"/>
      <c r="H920" s="174"/>
      <c r="J920" s="174"/>
      <c r="K920" s="173"/>
      <c r="L920" s="173"/>
      <c r="M920" s="174"/>
      <c r="N920" s="177"/>
      <c r="O920" s="176"/>
      <c r="P920" s="177"/>
      <c r="Q920" s="178"/>
      <c r="R920" s="179"/>
      <c r="S920" s="177"/>
      <c r="T920" s="180"/>
      <c r="U920" s="180"/>
      <c r="V920" s="177"/>
      <c r="W920" s="177"/>
      <c r="X920" s="67"/>
    </row>
    <row r="921" spans="1:24" ht="12.75" x14ac:dyDescent="0.2">
      <c r="A921" s="34"/>
      <c r="B921" s="173"/>
      <c r="C921" s="173"/>
      <c r="D921" s="174"/>
      <c r="E921" s="173"/>
      <c r="F921" s="173"/>
      <c r="G921" s="176"/>
      <c r="H921" s="174"/>
      <c r="J921" s="174"/>
      <c r="K921" s="173"/>
      <c r="L921" s="173"/>
      <c r="M921" s="174"/>
      <c r="N921" s="177"/>
      <c r="O921" s="176"/>
      <c r="P921" s="177"/>
      <c r="Q921" s="178"/>
      <c r="R921" s="179"/>
      <c r="S921" s="177"/>
      <c r="T921" s="180"/>
      <c r="U921" s="180"/>
      <c r="V921" s="177"/>
      <c r="W921" s="177"/>
      <c r="X921" s="67"/>
    </row>
    <row r="922" spans="1:24" ht="12.75" x14ac:dyDescent="0.2">
      <c r="A922" s="34"/>
      <c r="B922" s="173"/>
      <c r="C922" s="173"/>
      <c r="D922" s="174"/>
      <c r="E922" s="173"/>
      <c r="F922" s="173"/>
      <c r="G922" s="176"/>
      <c r="H922" s="174"/>
      <c r="J922" s="174"/>
      <c r="K922" s="173"/>
      <c r="L922" s="173"/>
      <c r="M922" s="174"/>
      <c r="N922" s="177"/>
      <c r="O922" s="176"/>
      <c r="P922" s="177"/>
      <c r="Q922" s="178"/>
      <c r="R922" s="179"/>
      <c r="S922" s="177"/>
      <c r="T922" s="180"/>
      <c r="U922" s="180"/>
      <c r="V922" s="177"/>
      <c r="W922" s="177"/>
      <c r="X922" s="67"/>
    </row>
    <row r="923" spans="1:24" ht="12.75" x14ac:dyDescent="0.2">
      <c r="A923" s="34"/>
      <c r="B923" s="173"/>
      <c r="C923" s="173"/>
      <c r="D923" s="174"/>
      <c r="E923" s="173"/>
      <c r="F923" s="173"/>
      <c r="G923" s="176"/>
      <c r="H923" s="174"/>
      <c r="J923" s="174"/>
      <c r="K923" s="173"/>
      <c r="L923" s="173"/>
      <c r="M923" s="174"/>
      <c r="N923" s="177"/>
      <c r="O923" s="176"/>
      <c r="P923" s="177"/>
      <c r="Q923" s="178"/>
      <c r="R923" s="179"/>
      <c r="S923" s="177"/>
      <c r="T923" s="180"/>
      <c r="U923" s="180"/>
      <c r="V923" s="177"/>
      <c r="W923" s="177"/>
      <c r="X923" s="67"/>
    </row>
    <row r="924" spans="1:24" ht="12.75" x14ac:dyDescent="0.2">
      <c r="A924" s="34"/>
      <c r="B924" s="173"/>
      <c r="C924" s="173"/>
      <c r="D924" s="174"/>
      <c r="E924" s="173"/>
      <c r="F924" s="173"/>
      <c r="G924" s="176"/>
      <c r="H924" s="174"/>
      <c r="J924" s="174"/>
      <c r="K924" s="173"/>
      <c r="L924" s="173"/>
      <c r="M924" s="174"/>
      <c r="N924" s="177"/>
      <c r="O924" s="176"/>
      <c r="P924" s="177"/>
      <c r="Q924" s="178"/>
      <c r="R924" s="179"/>
      <c r="S924" s="177"/>
      <c r="T924" s="180"/>
      <c r="U924" s="180"/>
      <c r="V924" s="177"/>
      <c r="W924" s="177"/>
      <c r="X924" s="67"/>
    </row>
    <row r="925" spans="1:24" ht="12.75" x14ac:dyDescent="0.2">
      <c r="A925" s="34"/>
      <c r="B925" s="173"/>
      <c r="C925" s="173"/>
      <c r="D925" s="174"/>
      <c r="E925" s="173"/>
      <c r="F925" s="173"/>
      <c r="G925" s="176"/>
      <c r="H925" s="174"/>
      <c r="J925" s="174"/>
      <c r="K925" s="173"/>
      <c r="L925" s="173"/>
      <c r="M925" s="174"/>
      <c r="N925" s="177"/>
      <c r="O925" s="176"/>
      <c r="P925" s="177"/>
      <c r="Q925" s="178"/>
      <c r="R925" s="179"/>
      <c r="S925" s="177"/>
      <c r="T925" s="180"/>
      <c r="U925" s="180"/>
      <c r="V925" s="177"/>
      <c r="W925" s="177"/>
      <c r="X925" s="67"/>
    </row>
    <row r="926" spans="1:24" ht="12.75" x14ac:dyDescent="0.2">
      <c r="A926" s="34"/>
      <c r="B926" s="173"/>
      <c r="C926" s="173"/>
      <c r="D926" s="174"/>
      <c r="E926" s="173"/>
      <c r="F926" s="173"/>
      <c r="G926" s="176"/>
      <c r="H926" s="174"/>
      <c r="J926" s="174"/>
      <c r="K926" s="173"/>
      <c r="L926" s="173"/>
      <c r="M926" s="174"/>
      <c r="N926" s="177"/>
      <c r="O926" s="176"/>
      <c r="P926" s="177"/>
      <c r="Q926" s="178"/>
      <c r="R926" s="179"/>
      <c r="S926" s="177"/>
      <c r="T926" s="180"/>
      <c r="U926" s="180"/>
      <c r="V926" s="177"/>
      <c r="W926" s="177"/>
      <c r="X926" s="67"/>
    </row>
    <row r="927" spans="1:24" ht="12.75" x14ac:dyDescent="0.2">
      <c r="A927" s="34"/>
      <c r="B927" s="173"/>
      <c r="C927" s="173"/>
      <c r="D927" s="174"/>
      <c r="E927" s="173"/>
      <c r="F927" s="173"/>
      <c r="G927" s="176"/>
      <c r="H927" s="174"/>
      <c r="J927" s="174"/>
      <c r="K927" s="173"/>
      <c r="L927" s="173"/>
      <c r="M927" s="174"/>
      <c r="N927" s="177"/>
      <c r="O927" s="176"/>
      <c r="P927" s="177"/>
      <c r="Q927" s="178"/>
      <c r="R927" s="179"/>
      <c r="S927" s="177"/>
      <c r="T927" s="180"/>
      <c r="U927" s="180"/>
      <c r="V927" s="177"/>
      <c r="W927" s="177"/>
      <c r="X927" s="67"/>
    </row>
    <row r="928" spans="1:24" ht="12.75" x14ac:dyDescent="0.2">
      <c r="A928" s="34"/>
      <c r="B928" s="173"/>
      <c r="C928" s="173"/>
      <c r="D928" s="174"/>
      <c r="E928" s="173"/>
      <c r="F928" s="173"/>
      <c r="G928" s="176"/>
      <c r="H928" s="174"/>
      <c r="J928" s="174"/>
      <c r="K928" s="173"/>
      <c r="L928" s="173"/>
      <c r="M928" s="174"/>
      <c r="N928" s="177"/>
      <c r="O928" s="176"/>
      <c r="P928" s="177"/>
      <c r="Q928" s="178"/>
      <c r="R928" s="179"/>
      <c r="S928" s="177"/>
      <c r="T928" s="180"/>
      <c r="U928" s="180"/>
      <c r="V928" s="177"/>
      <c r="W928" s="177"/>
      <c r="X928" s="67"/>
    </row>
    <row r="929" spans="1:24" ht="12.75" x14ac:dyDescent="0.2">
      <c r="A929" s="34"/>
      <c r="B929" s="173"/>
      <c r="C929" s="173"/>
      <c r="D929" s="174"/>
      <c r="E929" s="173"/>
      <c r="F929" s="173"/>
      <c r="G929" s="176"/>
      <c r="H929" s="174"/>
      <c r="J929" s="174"/>
      <c r="K929" s="173"/>
      <c r="L929" s="173"/>
      <c r="M929" s="174"/>
      <c r="N929" s="177"/>
      <c r="O929" s="176"/>
      <c r="P929" s="177"/>
      <c r="Q929" s="178"/>
      <c r="R929" s="179"/>
      <c r="S929" s="177"/>
      <c r="T929" s="180"/>
      <c r="U929" s="180"/>
      <c r="V929" s="177"/>
      <c r="W929" s="177"/>
      <c r="X929" s="67"/>
    </row>
    <row r="930" spans="1:24" ht="12.75" x14ac:dyDescent="0.2">
      <c r="A930" s="34"/>
      <c r="B930" s="173"/>
      <c r="C930" s="173"/>
      <c r="D930" s="174"/>
      <c r="E930" s="173"/>
      <c r="F930" s="173"/>
      <c r="G930" s="176"/>
      <c r="H930" s="174"/>
      <c r="J930" s="174"/>
      <c r="K930" s="173"/>
      <c r="L930" s="173"/>
      <c r="M930" s="174"/>
      <c r="N930" s="177"/>
      <c r="O930" s="176"/>
      <c r="P930" s="177"/>
      <c r="Q930" s="178"/>
      <c r="R930" s="179"/>
      <c r="S930" s="177"/>
      <c r="T930" s="180"/>
      <c r="U930" s="180"/>
      <c r="V930" s="177"/>
      <c r="W930" s="177"/>
      <c r="X930" s="67"/>
    </row>
    <row r="931" spans="1:24" ht="12.75" x14ac:dyDescent="0.2">
      <c r="A931" s="34"/>
      <c r="B931" s="173"/>
      <c r="C931" s="173"/>
      <c r="D931" s="174"/>
      <c r="E931" s="173"/>
      <c r="F931" s="173"/>
      <c r="G931" s="176"/>
      <c r="H931" s="174"/>
      <c r="J931" s="174"/>
      <c r="K931" s="173"/>
      <c r="L931" s="173"/>
      <c r="M931" s="174"/>
      <c r="N931" s="177"/>
      <c r="O931" s="176"/>
      <c r="P931" s="177"/>
      <c r="Q931" s="178"/>
      <c r="R931" s="179"/>
      <c r="S931" s="177"/>
      <c r="T931" s="180"/>
      <c r="U931" s="180"/>
      <c r="V931" s="177"/>
      <c r="W931" s="177"/>
      <c r="X931" s="67"/>
    </row>
    <row r="932" spans="1:24" ht="12.75" x14ac:dyDescent="0.2">
      <c r="A932" s="34"/>
      <c r="B932" s="173"/>
      <c r="C932" s="173"/>
      <c r="D932" s="174"/>
      <c r="E932" s="173"/>
      <c r="F932" s="173"/>
      <c r="G932" s="176"/>
      <c r="H932" s="174"/>
      <c r="J932" s="174"/>
      <c r="K932" s="173"/>
      <c r="L932" s="173"/>
      <c r="M932" s="174"/>
      <c r="N932" s="177"/>
      <c r="O932" s="176"/>
      <c r="P932" s="177"/>
      <c r="Q932" s="178"/>
      <c r="R932" s="179"/>
      <c r="S932" s="177"/>
      <c r="T932" s="180"/>
      <c r="U932" s="180"/>
      <c r="V932" s="177"/>
      <c r="W932" s="177"/>
      <c r="X932" s="67"/>
    </row>
    <row r="933" spans="1:24" ht="12.75" x14ac:dyDescent="0.2">
      <c r="A933" s="34"/>
      <c r="B933" s="173"/>
      <c r="C933" s="173"/>
      <c r="D933" s="174"/>
      <c r="E933" s="173"/>
      <c r="F933" s="173"/>
      <c r="G933" s="176"/>
      <c r="H933" s="174"/>
      <c r="J933" s="174"/>
      <c r="K933" s="173"/>
      <c r="L933" s="173"/>
      <c r="M933" s="174"/>
      <c r="N933" s="177"/>
      <c r="O933" s="176"/>
      <c r="P933" s="177"/>
      <c r="Q933" s="178"/>
      <c r="R933" s="179"/>
      <c r="S933" s="177"/>
      <c r="T933" s="180"/>
      <c r="U933" s="180"/>
      <c r="V933" s="177"/>
      <c r="W933" s="177"/>
      <c r="X933" s="67"/>
    </row>
    <row r="934" spans="1:24" ht="12.75" x14ac:dyDescent="0.2">
      <c r="A934" s="34"/>
      <c r="B934" s="173"/>
      <c r="C934" s="173"/>
      <c r="D934" s="174"/>
      <c r="E934" s="173"/>
      <c r="F934" s="173"/>
      <c r="G934" s="176"/>
      <c r="H934" s="174"/>
      <c r="J934" s="174"/>
      <c r="K934" s="173"/>
      <c r="L934" s="173"/>
      <c r="M934" s="174"/>
      <c r="N934" s="177"/>
      <c r="O934" s="176"/>
      <c r="P934" s="177"/>
      <c r="Q934" s="178"/>
      <c r="R934" s="179"/>
      <c r="S934" s="177"/>
      <c r="T934" s="180"/>
      <c r="U934" s="180"/>
      <c r="V934" s="177"/>
      <c r="W934" s="177"/>
      <c r="X934" s="67"/>
    </row>
    <row r="935" spans="1:24" ht="12.75" x14ac:dyDescent="0.2">
      <c r="A935" s="34"/>
      <c r="B935" s="173"/>
      <c r="C935" s="173"/>
      <c r="D935" s="174"/>
      <c r="E935" s="173"/>
      <c r="F935" s="173"/>
      <c r="G935" s="176"/>
      <c r="H935" s="174"/>
      <c r="J935" s="174"/>
      <c r="K935" s="173"/>
      <c r="L935" s="173"/>
      <c r="M935" s="174"/>
      <c r="N935" s="177"/>
      <c r="O935" s="176"/>
      <c r="P935" s="177"/>
      <c r="Q935" s="178"/>
      <c r="R935" s="179"/>
      <c r="S935" s="177"/>
      <c r="T935" s="180"/>
      <c r="U935" s="180"/>
      <c r="V935" s="177"/>
      <c r="W935" s="177"/>
      <c r="X935" s="67"/>
    </row>
    <row r="936" spans="1:24" ht="12.75" x14ac:dyDescent="0.2">
      <c r="A936" s="34"/>
      <c r="B936" s="173"/>
      <c r="C936" s="173"/>
      <c r="D936" s="174"/>
      <c r="E936" s="173"/>
      <c r="F936" s="173"/>
      <c r="G936" s="176"/>
      <c r="H936" s="174"/>
      <c r="J936" s="174"/>
      <c r="K936" s="173"/>
      <c r="L936" s="173"/>
      <c r="M936" s="174"/>
      <c r="N936" s="177"/>
      <c r="O936" s="176"/>
      <c r="P936" s="177"/>
      <c r="Q936" s="178"/>
      <c r="R936" s="179"/>
      <c r="S936" s="177"/>
      <c r="T936" s="180"/>
      <c r="U936" s="180"/>
      <c r="V936" s="177"/>
      <c r="W936" s="177"/>
      <c r="X936" s="67"/>
    </row>
    <row r="937" spans="1:24" ht="12.75" x14ac:dyDescent="0.2">
      <c r="A937" s="34"/>
      <c r="B937" s="173"/>
      <c r="C937" s="173"/>
      <c r="D937" s="174"/>
      <c r="E937" s="173"/>
      <c r="F937" s="173"/>
      <c r="G937" s="176"/>
      <c r="H937" s="174"/>
      <c r="J937" s="174"/>
      <c r="K937" s="173"/>
      <c r="L937" s="173"/>
      <c r="M937" s="174"/>
      <c r="N937" s="177"/>
      <c r="O937" s="176"/>
      <c r="P937" s="177"/>
      <c r="Q937" s="178"/>
      <c r="R937" s="179"/>
      <c r="S937" s="177"/>
      <c r="T937" s="180"/>
      <c r="U937" s="180"/>
      <c r="V937" s="177"/>
      <c r="W937" s="177"/>
      <c r="X937" s="67"/>
    </row>
    <row r="938" spans="1:24" ht="12.75" x14ac:dyDescent="0.2">
      <c r="A938" s="34"/>
      <c r="B938" s="173"/>
      <c r="C938" s="173"/>
      <c r="D938" s="174"/>
      <c r="E938" s="173"/>
      <c r="F938" s="173"/>
      <c r="G938" s="176"/>
      <c r="H938" s="174"/>
      <c r="J938" s="174"/>
      <c r="K938" s="173"/>
      <c r="L938" s="173"/>
      <c r="M938" s="174"/>
      <c r="N938" s="177"/>
      <c r="O938" s="176"/>
      <c r="P938" s="177"/>
      <c r="Q938" s="178"/>
      <c r="R938" s="179"/>
      <c r="S938" s="177"/>
      <c r="T938" s="180"/>
      <c r="U938" s="180"/>
      <c r="V938" s="177"/>
      <c r="W938" s="177"/>
      <c r="X938" s="67"/>
    </row>
    <row r="939" spans="1:24" ht="12.75" x14ac:dyDescent="0.2">
      <c r="A939" s="34"/>
      <c r="B939" s="173"/>
      <c r="C939" s="173"/>
      <c r="D939" s="174"/>
      <c r="E939" s="173"/>
      <c r="F939" s="173"/>
      <c r="G939" s="176"/>
      <c r="H939" s="174"/>
      <c r="J939" s="174"/>
      <c r="K939" s="173"/>
      <c r="L939" s="173"/>
      <c r="M939" s="174"/>
      <c r="N939" s="177"/>
      <c r="O939" s="176"/>
      <c r="P939" s="177"/>
      <c r="Q939" s="178"/>
      <c r="R939" s="179"/>
      <c r="S939" s="177"/>
      <c r="T939" s="180"/>
      <c r="U939" s="180"/>
      <c r="V939" s="177"/>
      <c r="W939" s="177"/>
      <c r="X939" s="67"/>
    </row>
    <row r="940" spans="1:24" ht="12.75" x14ac:dyDescent="0.2">
      <c r="A940" s="34"/>
      <c r="B940" s="173"/>
      <c r="C940" s="173"/>
      <c r="D940" s="174"/>
      <c r="E940" s="173"/>
      <c r="F940" s="173"/>
      <c r="G940" s="176"/>
      <c r="H940" s="174"/>
      <c r="J940" s="174"/>
      <c r="K940" s="173"/>
      <c r="L940" s="173"/>
      <c r="M940" s="174"/>
      <c r="N940" s="177"/>
      <c r="O940" s="176"/>
      <c r="P940" s="177"/>
      <c r="Q940" s="178"/>
      <c r="R940" s="179"/>
      <c r="S940" s="177"/>
      <c r="T940" s="180"/>
      <c r="U940" s="180"/>
      <c r="V940" s="177"/>
      <c r="W940" s="177"/>
      <c r="X940" s="67"/>
    </row>
    <row r="941" spans="1:24" ht="12.75" x14ac:dyDescent="0.2">
      <c r="A941" s="34"/>
      <c r="B941" s="173"/>
      <c r="C941" s="173"/>
      <c r="D941" s="174"/>
      <c r="E941" s="173"/>
      <c r="F941" s="173"/>
      <c r="G941" s="176"/>
      <c r="H941" s="174"/>
      <c r="J941" s="174"/>
      <c r="K941" s="173"/>
      <c r="L941" s="173"/>
      <c r="M941" s="174"/>
      <c r="N941" s="177"/>
      <c r="O941" s="176"/>
      <c r="P941" s="177"/>
      <c r="Q941" s="178"/>
      <c r="R941" s="179"/>
      <c r="S941" s="177"/>
      <c r="T941" s="180"/>
      <c r="U941" s="180"/>
      <c r="V941" s="177"/>
      <c r="W941" s="177"/>
      <c r="X941" s="67"/>
    </row>
    <row r="942" spans="1:24" ht="12.75" x14ac:dyDescent="0.2">
      <c r="A942" s="34"/>
      <c r="B942" s="173"/>
      <c r="C942" s="173"/>
      <c r="D942" s="174"/>
      <c r="E942" s="173"/>
      <c r="F942" s="173"/>
      <c r="G942" s="176"/>
      <c r="H942" s="174"/>
      <c r="J942" s="174"/>
      <c r="K942" s="173"/>
      <c r="L942" s="173"/>
      <c r="M942" s="174"/>
      <c r="N942" s="177"/>
      <c r="O942" s="176"/>
      <c r="P942" s="177"/>
      <c r="Q942" s="178"/>
      <c r="R942" s="179"/>
      <c r="S942" s="177"/>
      <c r="T942" s="180"/>
      <c r="U942" s="180"/>
      <c r="V942" s="177"/>
      <c r="W942" s="177"/>
      <c r="X942" s="67"/>
    </row>
    <row r="943" spans="1:24" ht="12.75" x14ac:dyDescent="0.2">
      <c r="A943" s="34"/>
      <c r="B943" s="173"/>
      <c r="C943" s="173"/>
      <c r="D943" s="174"/>
      <c r="E943" s="173"/>
      <c r="F943" s="173"/>
      <c r="G943" s="176"/>
      <c r="H943" s="174"/>
      <c r="J943" s="174"/>
      <c r="K943" s="173"/>
      <c r="L943" s="173"/>
      <c r="M943" s="174"/>
      <c r="N943" s="177"/>
      <c r="O943" s="176"/>
      <c r="P943" s="177"/>
      <c r="Q943" s="178"/>
      <c r="R943" s="179"/>
      <c r="S943" s="177"/>
      <c r="T943" s="180"/>
      <c r="U943" s="180"/>
      <c r="V943" s="177"/>
      <c r="W943" s="177"/>
      <c r="X943" s="67"/>
    </row>
    <row r="944" spans="1:24" ht="12.75" x14ac:dyDescent="0.2">
      <c r="A944" s="34"/>
      <c r="B944" s="173"/>
      <c r="C944" s="173"/>
      <c r="D944" s="174"/>
      <c r="E944" s="173"/>
      <c r="F944" s="173"/>
      <c r="G944" s="176"/>
      <c r="H944" s="174"/>
      <c r="J944" s="174"/>
      <c r="K944" s="173"/>
      <c r="L944" s="173"/>
      <c r="M944" s="174"/>
      <c r="N944" s="177"/>
      <c r="O944" s="176"/>
      <c r="P944" s="177"/>
      <c r="Q944" s="178"/>
      <c r="R944" s="179"/>
      <c r="S944" s="177"/>
      <c r="T944" s="180"/>
      <c r="U944" s="180"/>
      <c r="V944" s="177"/>
      <c r="W944" s="177"/>
      <c r="X944" s="67"/>
    </row>
    <row r="945" spans="1:24" ht="12.75" x14ac:dyDescent="0.2">
      <c r="A945" s="34"/>
      <c r="B945" s="173"/>
      <c r="C945" s="173"/>
      <c r="D945" s="174"/>
      <c r="E945" s="173"/>
      <c r="F945" s="173"/>
      <c r="G945" s="176"/>
      <c r="H945" s="174"/>
      <c r="J945" s="174"/>
      <c r="K945" s="173"/>
      <c r="L945" s="173"/>
      <c r="M945" s="174"/>
      <c r="N945" s="177"/>
      <c r="O945" s="176"/>
      <c r="P945" s="177"/>
      <c r="Q945" s="178"/>
      <c r="R945" s="179"/>
      <c r="S945" s="177"/>
      <c r="T945" s="180"/>
      <c r="U945" s="180"/>
      <c r="V945" s="177"/>
      <c r="W945" s="177"/>
      <c r="X945" s="67"/>
    </row>
    <row r="946" spans="1:24" ht="12.75" x14ac:dyDescent="0.2">
      <c r="A946" s="34"/>
      <c r="B946" s="173"/>
      <c r="C946" s="173"/>
      <c r="D946" s="174"/>
      <c r="E946" s="173"/>
      <c r="F946" s="173"/>
      <c r="G946" s="176"/>
      <c r="H946" s="174"/>
      <c r="J946" s="174"/>
      <c r="K946" s="173"/>
      <c r="L946" s="173"/>
      <c r="M946" s="174"/>
      <c r="N946" s="177"/>
      <c r="O946" s="176"/>
      <c r="P946" s="177"/>
      <c r="Q946" s="178"/>
      <c r="R946" s="179"/>
      <c r="S946" s="177"/>
      <c r="T946" s="180"/>
      <c r="U946" s="180"/>
      <c r="V946" s="177"/>
      <c r="W946" s="177"/>
      <c r="X946" s="67"/>
    </row>
    <row r="947" spans="1:24" ht="12.75" x14ac:dyDescent="0.2">
      <c r="A947" s="34"/>
      <c r="B947" s="173"/>
      <c r="C947" s="173"/>
      <c r="D947" s="174"/>
      <c r="E947" s="173"/>
      <c r="F947" s="173"/>
      <c r="G947" s="176"/>
      <c r="H947" s="174"/>
      <c r="J947" s="174"/>
      <c r="K947" s="173"/>
      <c r="L947" s="173"/>
      <c r="M947" s="174"/>
      <c r="N947" s="177"/>
      <c r="O947" s="176"/>
      <c r="P947" s="177"/>
      <c r="Q947" s="178"/>
      <c r="R947" s="179"/>
      <c r="S947" s="177"/>
      <c r="T947" s="180"/>
      <c r="U947" s="180"/>
      <c r="V947" s="177"/>
      <c r="W947" s="177"/>
      <c r="X947" s="67"/>
    </row>
    <row r="948" spans="1:24" ht="12.75" x14ac:dyDescent="0.2">
      <c r="A948" s="34"/>
      <c r="B948" s="173"/>
      <c r="C948" s="173"/>
      <c r="D948" s="174"/>
      <c r="E948" s="173"/>
      <c r="F948" s="173"/>
      <c r="G948" s="176"/>
      <c r="H948" s="174"/>
      <c r="J948" s="174"/>
      <c r="K948" s="173"/>
      <c r="L948" s="173"/>
      <c r="M948" s="174"/>
      <c r="N948" s="177"/>
      <c r="O948" s="176"/>
      <c r="P948" s="177"/>
      <c r="Q948" s="178"/>
      <c r="R948" s="179"/>
      <c r="S948" s="177"/>
      <c r="T948" s="180"/>
      <c r="U948" s="180"/>
      <c r="V948" s="177"/>
      <c r="W948" s="177"/>
      <c r="X948" s="67"/>
    </row>
    <row r="949" spans="1:24" ht="12.75" x14ac:dyDescent="0.2">
      <c r="A949" s="34"/>
      <c r="B949" s="173"/>
      <c r="C949" s="173"/>
      <c r="D949" s="174"/>
      <c r="E949" s="173"/>
      <c r="F949" s="173"/>
      <c r="G949" s="176"/>
      <c r="H949" s="174"/>
      <c r="J949" s="174"/>
      <c r="K949" s="173"/>
      <c r="L949" s="173"/>
      <c r="M949" s="174"/>
      <c r="N949" s="177"/>
      <c r="O949" s="176"/>
      <c r="P949" s="177"/>
      <c r="Q949" s="178"/>
      <c r="R949" s="179"/>
      <c r="S949" s="177"/>
      <c r="T949" s="180"/>
      <c r="U949" s="180"/>
      <c r="V949" s="177"/>
      <c r="W949" s="177"/>
      <c r="X949" s="67"/>
    </row>
    <row r="950" spans="1:24" ht="12.75" x14ac:dyDescent="0.2">
      <c r="A950" s="34"/>
      <c r="B950" s="173"/>
      <c r="C950" s="173"/>
      <c r="D950" s="174"/>
      <c r="E950" s="173"/>
      <c r="F950" s="173"/>
      <c r="G950" s="176"/>
      <c r="H950" s="174"/>
      <c r="J950" s="174"/>
      <c r="K950" s="173"/>
      <c r="L950" s="173"/>
      <c r="M950" s="174"/>
      <c r="N950" s="177"/>
      <c r="O950" s="176"/>
      <c r="P950" s="177"/>
      <c r="Q950" s="178"/>
      <c r="R950" s="179"/>
      <c r="S950" s="177"/>
      <c r="T950" s="180"/>
      <c r="U950" s="180"/>
      <c r="V950" s="177"/>
      <c r="W950" s="177"/>
      <c r="X950" s="67"/>
    </row>
    <row r="951" spans="1:24" ht="12.75" x14ac:dyDescent="0.2">
      <c r="A951" s="34"/>
      <c r="B951" s="173"/>
      <c r="C951" s="173"/>
      <c r="D951" s="174"/>
      <c r="E951" s="173"/>
      <c r="F951" s="173"/>
      <c r="G951" s="176"/>
      <c r="H951" s="174"/>
      <c r="J951" s="174"/>
      <c r="K951" s="173"/>
      <c r="L951" s="173"/>
      <c r="M951" s="174"/>
      <c r="N951" s="177"/>
      <c r="O951" s="176"/>
      <c r="P951" s="177"/>
      <c r="Q951" s="178"/>
      <c r="R951" s="179"/>
      <c r="S951" s="177"/>
      <c r="T951" s="180"/>
      <c r="U951" s="180"/>
      <c r="V951" s="177"/>
      <c r="W951" s="177"/>
      <c r="X951" s="67"/>
    </row>
    <row r="952" spans="1:24" ht="12.75" x14ac:dyDescent="0.2">
      <c r="A952" s="34"/>
      <c r="B952" s="173"/>
      <c r="C952" s="173"/>
      <c r="D952" s="174"/>
      <c r="E952" s="173"/>
      <c r="F952" s="173"/>
      <c r="G952" s="176"/>
      <c r="H952" s="174"/>
      <c r="J952" s="174"/>
      <c r="K952" s="173"/>
      <c r="L952" s="173"/>
      <c r="M952" s="174"/>
      <c r="N952" s="177"/>
      <c r="O952" s="176"/>
      <c r="P952" s="177"/>
      <c r="Q952" s="178"/>
      <c r="R952" s="179"/>
      <c r="S952" s="177"/>
      <c r="T952" s="180"/>
      <c r="U952" s="180"/>
      <c r="V952" s="177"/>
      <c r="W952" s="177"/>
      <c r="X952" s="67"/>
    </row>
    <row r="953" spans="1:24" ht="12.75" x14ac:dyDescent="0.2">
      <c r="A953" s="34"/>
      <c r="B953" s="173"/>
      <c r="C953" s="173"/>
      <c r="D953" s="174"/>
      <c r="E953" s="173"/>
      <c r="F953" s="173"/>
      <c r="G953" s="176"/>
      <c r="H953" s="174"/>
      <c r="J953" s="174"/>
      <c r="K953" s="173"/>
      <c r="L953" s="173"/>
      <c r="M953" s="174"/>
      <c r="N953" s="177"/>
      <c r="O953" s="176"/>
      <c r="P953" s="177"/>
      <c r="Q953" s="178"/>
      <c r="R953" s="179"/>
      <c r="S953" s="177"/>
      <c r="T953" s="180"/>
      <c r="U953" s="180"/>
      <c r="V953" s="177"/>
      <c r="W953" s="177"/>
      <c r="X953" s="67"/>
    </row>
    <row r="954" spans="1:24" ht="12.75" x14ac:dyDescent="0.2">
      <c r="A954" s="34"/>
      <c r="B954" s="173"/>
      <c r="C954" s="173"/>
      <c r="D954" s="174"/>
      <c r="E954" s="173"/>
      <c r="F954" s="173"/>
      <c r="G954" s="176"/>
      <c r="H954" s="174"/>
      <c r="J954" s="174"/>
      <c r="K954" s="173"/>
      <c r="L954" s="173"/>
      <c r="M954" s="174"/>
      <c r="N954" s="177"/>
      <c r="O954" s="176"/>
      <c r="P954" s="177"/>
      <c r="Q954" s="178"/>
      <c r="R954" s="179"/>
      <c r="S954" s="177"/>
      <c r="T954" s="180"/>
      <c r="U954" s="180"/>
      <c r="V954" s="177"/>
      <c r="W954" s="177"/>
      <c r="X954" s="67"/>
    </row>
    <row r="955" spans="1:24" ht="12.75" x14ac:dyDescent="0.2">
      <c r="A955" s="34"/>
      <c r="B955" s="173"/>
      <c r="C955" s="173"/>
      <c r="D955" s="174"/>
      <c r="E955" s="173"/>
      <c r="F955" s="173"/>
      <c r="G955" s="176"/>
      <c r="H955" s="174"/>
      <c r="J955" s="174"/>
      <c r="K955" s="173"/>
      <c r="L955" s="173"/>
      <c r="M955" s="174"/>
      <c r="N955" s="177"/>
      <c r="O955" s="176"/>
      <c r="P955" s="177"/>
      <c r="Q955" s="178"/>
      <c r="R955" s="179"/>
      <c r="S955" s="177"/>
      <c r="T955" s="180"/>
      <c r="U955" s="180"/>
      <c r="V955" s="177"/>
      <c r="W955" s="177"/>
      <c r="X955" s="67"/>
    </row>
    <row r="956" spans="1:24" ht="12.75" x14ac:dyDescent="0.2">
      <c r="A956" s="34"/>
      <c r="B956" s="173"/>
      <c r="C956" s="173"/>
      <c r="D956" s="174"/>
      <c r="E956" s="173"/>
      <c r="F956" s="173"/>
      <c r="G956" s="176"/>
      <c r="H956" s="174"/>
      <c r="J956" s="174"/>
      <c r="K956" s="173"/>
      <c r="L956" s="173"/>
      <c r="M956" s="174"/>
      <c r="N956" s="177"/>
      <c r="O956" s="176"/>
      <c r="P956" s="177"/>
      <c r="Q956" s="178"/>
      <c r="R956" s="179"/>
      <c r="S956" s="177"/>
      <c r="T956" s="180"/>
      <c r="U956" s="180"/>
      <c r="V956" s="177"/>
      <c r="W956" s="177"/>
      <c r="X956" s="67"/>
    </row>
    <row r="957" spans="1:24" ht="12.75" x14ac:dyDescent="0.2">
      <c r="A957" s="34"/>
      <c r="B957" s="173"/>
      <c r="C957" s="173"/>
      <c r="D957" s="174"/>
      <c r="E957" s="173"/>
      <c r="F957" s="173"/>
      <c r="G957" s="176"/>
      <c r="H957" s="174"/>
      <c r="J957" s="174"/>
      <c r="K957" s="173"/>
      <c r="L957" s="173"/>
      <c r="M957" s="174"/>
      <c r="N957" s="177"/>
      <c r="O957" s="176"/>
      <c r="P957" s="177"/>
      <c r="Q957" s="178"/>
      <c r="R957" s="179"/>
      <c r="S957" s="177"/>
      <c r="T957" s="180"/>
      <c r="U957" s="180"/>
      <c r="V957" s="177"/>
      <c r="W957" s="177"/>
      <c r="X957" s="67"/>
    </row>
    <row r="958" spans="1:24" ht="12.75" x14ac:dyDescent="0.2">
      <c r="A958" s="34"/>
      <c r="B958" s="173"/>
      <c r="C958" s="173"/>
      <c r="D958" s="174"/>
      <c r="E958" s="173"/>
      <c r="F958" s="173"/>
      <c r="G958" s="176"/>
      <c r="H958" s="174"/>
      <c r="J958" s="174"/>
      <c r="K958" s="173"/>
      <c r="L958" s="173"/>
      <c r="M958" s="174"/>
      <c r="N958" s="177"/>
      <c r="O958" s="176"/>
      <c r="P958" s="177"/>
      <c r="Q958" s="178"/>
      <c r="R958" s="179"/>
      <c r="S958" s="177"/>
      <c r="T958" s="180"/>
      <c r="U958" s="180"/>
      <c r="V958" s="177"/>
      <c r="W958" s="177"/>
      <c r="X958" s="67"/>
    </row>
    <row r="959" spans="1:24" ht="12.75" x14ac:dyDescent="0.2">
      <c r="A959" s="34"/>
      <c r="B959" s="173"/>
      <c r="C959" s="173"/>
      <c r="D959" s="174"/>
      <c r="E959" s="173"/>
      <c r="F959" s="173"/>
      <c r="G959" s="176"/>
      <c r="H959" s="174"/>
      <c r="J959" s="174"/>
      <c r="K959" s="173"/>
      <c r="L959" s="173"/>
      <c r="M959" s="174"/>
      <c r="N959" s="177"/>
      <c r="O959" s="176"/>
      <c r="P959" s="177"/>
      <c r="Q959" s="178"/>
      <c r="R959" s="179"/>
      <c r="S959" s="177"/>
      <c r="T959" s="180"/>
      <c r="U959" s="180"/>
      <c r="V959" s="177"/>
      <c r="W959" s="177"/>
      <c r="X959" s="67"/>
    </row>
    <row r="960" spans="1:24" ht="12.75" x14ac:dyDescent="0.2">
      <c r="A960" s="34"/>
      <c r="B960" s="173"/>
      <c r="C960" s="173"/>
      <c r="D960" s="174"/>
      <c r="E960" s="173"/>
      <c r="F960" s="173"/>
      <c r="G960" s="176"/>
      <c r="H960" s="174"/>
      <c r="J960" s="174"/>
      <c r="K960" s="173"/>
      <c r="L960" s="173"/>
      <c r="M960" s="174"/>
      <c r="N960" s="177"/>
      <c r="O960" s="176"/>
      <c r="P960" s="177"/>
      <c r="Q960" s="178"/>
      <c r="R960" s="179"/>
      <c r="S960" s="177"/>
      <c r="T960" s="180"/>
      <c r="U960" s="180"/>
      <c r="V960" s="177"/>
      <c r="W960" s="177"/>
      <c r="X960" s="67"/>
    </row>
    <row r="961" spans="1:24" ht="12.75" x14ac:dyDescent="0.2">
      <c r="A961" s="34"/>
      <c r="B961" s="173"/>
      <c r="C961" s="173"/>
      <c r="D961" s="174"/>
      <c r="E961" s="173"/>
      <c r="F961" s="173"/>
      <c r="G961" s="176"/>
      <c r="H961" s="174"/>
      <c r="J961" s="174"/>
      <c r="K961" s="173"/>
      <c r="L961" s="173"/>
      <c r="M961" s="174"/>
      <c r="N961" s="177"/>
      <c r="O961" s="176"/>
      <c r="P961" s="177"/>
      <c r="Q961" s="178"/>
      <c r="R961" s="179"/>
      <c r="S961" s="177"/>
      <c r="T961" s="180"/>
      <c r="U961" s="180"/>
      <c r="V961" s="177"/>
      <c r="W961" s="177"/>
      <c r="X961" s="67"/>
    </row>
    <row r="962" spans="1:24" ht="12.75" x14ac:dyDescent="0.2">
      <c r="A962" s="34"/>
      <c r="B962" s="173"/>
      <c r="C962" s="173"/>
      <c r="D962" s="174"/>
      <c r="E962" s="173"/>
      <c r="F962" s="173"/>
      <c r="G962" s="176"/>
      <c r="H962" s="174"/>
      <c r="J962" s="174"/>
      <c r="K962" s="173"/>
      <c r="L962" s="173"/>
      <c r="M962" s="174"/>
      <c r="N962" s="177"/>
      <c r="O962" s="176"/>
      <c r="P962" s="177"/>
      <c r="Q962" s="178"/>
      <c r="R962" s="179"/>
      <c r="S962" s="177"/>
      <c r="T962" s="180"/>
      <c r="U962" s="180"/>
      <c r="V962" s="177"/>
      <c r="W962" s="177"/>
      <c r="X962" s="67"/>
    </row>
    <row r="963" spans="1:24" ht="12.75" x14ac:dyDescent="0.2">
      <c r="A963" s="34"/>
      <c r="B963" s="173"/>
      <c r="C963" s="173"/>
      <c r="D963" s="174"/>
      <c r="E963" s="173"/>
      <c r="F963" s="173"/>
      <c r="G963" s="176"/>
      <c r="H963" s="174"/>
      <c r="J963" s="174"/>
      <c r="K963" s="173"/>
      <c r="L963" s="173"/>
      <c r="M963" s="174"/>
      <c r="N963" s="177"/>
      <c r="O963" s="176"/>
      <c r="P963" s="177"/>
      <c r="Q963" s="178"/>
      <c r="R963" s="179"/>
      <c r="S963" s="177"/>
      <c r="T963" s="180"/>
      <c r="U963" s="180"/>
      <c r="V963" s="177"/>
      <c r="W963" s="177"/>
      <c r="X963" s="67"/>
    </row>
    <row r="964" spans="1:24" ht="12.75" x14ac:dyDescent="0.2">
      <c r="A964" s="34"/>
      <c r="B964" s="173"/>
      <c r="C964" s="173"/>
      <c r="D964" s="174"/>
      <c r="E964" s="173"/>
      <c r="F964" s="173"/>
      <c r="G964" s="176"/>
      <c r="H964" s="174"/>
      <c r="J964" s="174"/>
      <c r="K964" s="173"/>
      <c r="L964" s="173"/>
      <c r="M964" s="174"/>
      <c r="N964" s="177"/>
      <c r="O964" s="176"/>
      <c r="P964" s="177"/>
      <c r="Q964" s="178"/>
      <c r="R964" s="179"/>
      <c r="S964" s="177"/>
      <c r="T964" s="180"/>
      <c r="U964" s="180"/>
      <c r="V964" s="177"/>
      <c r="W964" s="177"/>
      <c r="X964" s="67"/>
    </row>
    <row r="965" spans="1:24" ht="12.75" x14ac:dyDescent="0.2">
      <c r="A965" s="34"/>
      <c r="B965" s="173"/>
      <c r="C965" s="173"/>
      <c r="D965" s="174"/>
      <c r="E965" s="173"/>
      <c r="F965" s="173"/>
      <c r="G965" s="176"/>
      <c r="H965" s="174"/>
      <c r="J965" s="174"/>
      <c r="K965" s="173"/>
      <c r="L965" s="173"/>
      <c r="M965" s="174"/>
      <c r="N965" s="177"/>
      <c r="O965" s="176"/>
      <c r="P965" s="177"/>
      <c r="Q965" s="178"/>
      <c r="R965" s="179"/>
      <c r="S965" s="177"/>
      <c r="T965" s="180"/>
      <c r="U965" s="180"/>
      <c r="V965" s="177"/>
      <c r="W965" s="177"/>
      <c r="X965" s="67"/>
    </row>
    <row r="966" spans="1:24" ht="12.75" x14ac:dyDescent="0.2">
      <c r="A966" s="34"/>
      <c r="B966" s="173"/>
      <c r="C966" s="173"/>
      <c r="D966" s="174"/>
      <c r="E966" s="173"/>
      <c r="F966" s="173"/>
      <c r="G966" s="176"/>
      <c r="H966" s="174"/>
      <c r="J966" s="174"/>
      <c r="K966" s="173"/>
      <c r="L966" s="173"/>
      <c r="M966" s="174"/>
      <c r="N966" s="177"/>
      <c r="O966" s="176"/>
      <c r="P966" s="177"/>
      <c r="Q966" s="178"/>
      <c r="R966" s="179"/>
      <c r="S966" s="177"/>
      <c r="T966" s="180"/>
      <c r="U966" s="180"/>
      <c r="V966" s="177"/>
      <c r="W966" s="177"/>
      <c r="X966" s="67"/>
    </row>
    <row r="967" spans="1:24" ht="12.75" x14ac:dyDescent="0.2">
      <c r="A967" s="34"/>
      <c r="B967" s="173"/>
      <c r="C967" s="173"/>
      <c r="D967" s="174"/>
      <c r="E967" s="173"/>
      <c r="F967" s="173"/>
      <c r="G967" s="176"/>
      <c r="H967" s="174"/>
      <c r="J967" s="174"/>
      <c r="K967" s="173"/>
      <c r="L967" s="173"/>
      <c r="M967" s="174"/>
      <c r="N967" s="177"/>
      <c r="O967" s="176"/>
      <c r="P967" s="177"/>
      <c r="Q967" s="178"/>
      <c r="R967" s="179"/>
      <c r="S967" s="177"/>
      <c r="T967" s="180"/>
      <c r="U967" s="180"/>
      <c r="V967" s="177"/>
      <c r="W967" s="177"/>
      <c r="X967" s="67"/>
    </row>
    <row r="968" spans="1:24" ht="12.75" x14ac:dyDescent="0.2">
      <c r="A968" s="34"/>
      <c r="B968" s="173"/>
      <c r="C968" s="173"/>
      <c r="D968" s="174"/>
      <c r="E968" s="173"/>
      <c r="F968" s="173"/>
      <c r="G968" s="176"/>
      <c r="H968" s="174"/>
      <c r="J968" s="174"/>
      <c r="K968" s="173"/>
      <c r="L968" s="173"/>
      <c r="M968" s="174"/>
      <c r="N968" s="177"/>
      <c r="O968" s="176"/>
      <c r="P968" s="177"/>
      <c r="Q968" s="178"/>
      <c r="R968" s="179"/>
      <c r="S968" s="177"/>
      <c r="T968" s="180"/>
      <c r="U968" s="180"/>
      <c r="V968" s="177"/>
      <c r="W968" s="177"/>
      <c r="X968" s="67"/>
    </row>
    <row r="969" spans="1:24" ht="12.75" x14ac:dyDescent="0.2">
      <c r="A969" s="34"/>
      <c r="B969" s="173"/>
      <c r="C969" s="173"/>
      <c r="D969" s="174"/>
      <c r="E969" s="173"/>
      <c r="F969" s="173"/>
      <c r="G969" s="176"/>
      <c r="H969" s="174"/>
      <c r="J969" s="174"/>
      <c r="K969" s="173"/>
      <c r="L969" s="173"/>
      <c r="M969" s="174"/>
      <c r="N969" s="177"/>
      <c r="O969" s="176"/>
      <c r="P969" s="177"/>
      <c r="Q969" s="178"/>
      <c r="R969" s="179"/>
      <c r="S969" s="177"/>
      <c r="T969" s="180"/>
      <c r="U969" s="180"/>
      <c r="V969" s="177"/>
      <c r="W969" s="177"/>
      <c r="X969" s="67"/>
    </row>
    <row r="970" spans="1:24" ht="12.75" x14ac:dyDescent="0.2">
      <c r="A970" s="34"/>
      <c r="B970" s="173"/>
      <c r="C970" s="173"/>
      <c r="D970" s="174"/>
      <c r="E970" s="173"/>
      <c r="F970" s="173"/>
      <c r="G970" s="176"/>
      <c r="H970" s="174"/>
      <c r="J970" s="174"/>
      <c r="K970" s="173"/>
      <c r="L970" s="173"/>
      <c r="M970" s="174"/>
      <c r="N970" s="177"/>
      <c r="O970" s="176"/>
      <c r="P970" s="177"/>
      <c r="Q970" s="178"/>
      <c r="R970" s="179"/>
      <c r="S970" s="177"/>
      <c r="T970" s="180"/>
      <c r="U970" s="180"/>
      <c r="V970" s="177"/>
      <c r="W970" s="177"/>
      <c r="X970" s="67"/>
    </row>
    <row r="971" spans="1:24" ht="12.75" x14ac:dyDescent="0.2">
      <c r="A971" s="34"/>
      <c r="B971" s="173"/>
      <c r="C971" s="173"/>
      <c r="D971" s="174"/>
      <c r="E971" s="173"/>
      <c r="F971" s="173"/>
      <c r="G971" s="176"/>
      <c r="H971" s="174"/>
      <c r="J971" s="174"/>
      <c r="K971" s="173"/>
      <c r="L971" s="173"/>
      <c r="M971" s="174"/>
      <c r="N971" s="177"/>
      <c r="O971" s="176"/>
      <c r="P971" s="177"/>
      <c r="Q971" s="178"/>
      <c r="R971" s="179"/>
      <c r="S971" s="177"/>
      <c r="T971" s="180"/>
      <c r="U971" s="180"/>
      <c r="V971" s="177"/>
      <c r="W971" s="177"/>
      <c r="X971" s="67"/>
    </row>
    <row r="972" spans="1:24" ht="12.75" x14ac:dyDescent="0.2">
      <c r="A972" s="34"/>
      <c r="B972" s="173"/>
      <c r="C972" s="173"/>
      <c r="D972" s="174"/>
      <c r="E972" s="173"/>
      <c r="F972" s="173"/>
      <c r="G972" s="176"/>
      <c r="H972" s="174"/>
      <c r="J972" s="174"/>
      <c r="K972" s="173"/>
      <c r="L972" s="173"/>
      <c r="M972" s="174"/>
      <c r="N972" s="177"/>
      <c r="O972" s="176"/>
      <c r="P972" s="177"/>
      <c r="Q972" s="178"/>
      <c r="R972" s="179"/>
      <c r="S972" s="177"/>
      <c r="T972" s="180"/>
      <c r="U972" s="180"/>
      <c r="V972" s="177"/>
      <c r="W972" s="177"/>
      <c r="X972" s="67"/>
    </row>
    <row r="973" spans="1:24" ht="12.75" x14ac:dyDescent="0.2">
      <c r="A973" s="34"/>
      <c r="B973" s="173"/>
      <c r="C973" s="173"/>
      <c r="D973" s="174"/>
      <c r="E973" s="173"/>
      <c r="F973" s="173"/>
      <c r="G973" s="176"/>
      <c r="H973" s="174"/>
      <c r="J973" s="174"/>
      <c r="K973" s="173"/>
      <c r="L973" s="173"/>
      <c r="M973" s="174"/>
      <c r="N973" s="177"/>
      <c r="O973" s="176"/>
      <c r="P973" s="177"/>
      <c r="Q973" s="178"/>
      <c r="R973" s="179"/>
      <c r="S973" s="177"/>
      <c r="T973" s="180"/>
      <c r="U973" s="180"/>
      <c r="V973" s="177"/>
      <c r="W973" s="177"/>
      <c r="X973" s="67"/>
    </row>
    <row r="974" spans="1:24" ht="12.75" x14ac:dyDescent="0.2">
      <c r="A974" s="34"/>
      <c r="B974" s="173"/>
      <c r="C974" s="173"/>
      <c r="D974" s="174"/>
      <c r="E974" s="173"/>
      <c r="F974" s="173"/>
      <c r="G974" s="176"/>
      <c r="H974" s="174"/>
      <c r="J974" s="174"/>
      <c r="K974" s="173"/>
      <c r="L974" s="173"/>
      <c r="M974" s="174"/>
      <c r="N974" s="177"/>
      <c r="O974" s="176"/>
      <c r="P974" s="177"/>
      <c r="Q974" s="178"/>
      <c r="R974" s="179"/>
      <c r="S974" s="177"/>
      <c r="T974" s="180"/>
      <c r="U974" s="180"/>
      <c r="V974" s="177"/>
      <c r="W974" s="177"/>
      <c r="X974" s="67"/>
    </row>
    <row r="975" spans="1:24" ht="12.75" x14ac:dyDescent="0.2">
      <c r="A975" s="34"/>
      <c r="B975" s="173"/>
      <c r="C975" s="173"/>
      <c r="D975" s="174"/>
      <c r="E975" s="173"/>
      <c r="F975" s="173"/>
      <c r="G975" s="176"/>
      <c r="H975" s="174"/>
      <c r="J975" s="174"/>
      <c r="K975" s="173"/>
      <c r="L975" s="173"/>
      <c r="M975" s="174"/>
      <c r="N975" s="177"/>
      <c r="O975" s="176"/>
      <c r="P975" s="177"/>
      <c r="Q975" s="178"/>
      <c r="R975" s="179"/>
      <c r="S975" s="177"/>
      <c r="T975" s="180"/>
      <c r="U975" s="180"/>
      <c r="V975" s="177"/>
      <c r="W975" s="177"/>
      <c r="X975" s="67"/>
    </row>
    <row r="976" spans="1:24" ht="12.75" x14ac:dyDescent="0.2">
      <c r="A976" s="34"/>
      <c r="B976" s="173"/>
      <c r="C976" s="173"/>
      <c r="D976" s="174"/>
      <c r="E976" s="173"/>
      <c r="F976" s="173"/>
      <c r="G976" s="176"/>
      <c r="H976" s="174"/>
      <c r="J976" s="174"/>
      <c r="K976" s="173"/>
      <c r="L976" s="173"/>
      <c r="M976" s="174"/>
      <c r="N976" s="177"/>
      <c r="O976" s="176"/>
      <c r="P976" s="177"/>
      <c r="Q976" s="178"/>
      <c r="R976" s="179"/>
      <c r="S976" s="177"/>
      <c r="T976" s="180"/>
      <c r="U976" s="180"/>
      <c r="V976" s="177"/>
      <c r="W976" s="177"/>
      <c r="X976" s="67"/>
    </row>
    <row r="977" spans="1:24" ht="12.75" x14ac:dyDescent="0.2">
      <c r="A977" s="34"/>
      <c r="B977" s="173"/>
      <c r="C977" s="173"/>
      <c r="D977" s="174"/>
      <c r="E977" s="173"/>
      <c r="F977" s="173"/>
      <c r="G977" s="176"/>
      <c r="H977" s="174"/>
      <c r="J977" s="174"/>
      <c r="K977" s="173"/>
      <c r="L977" s="173"/>
      <c r="M977" s="174"/>
      <c r="N977" s="177"/>
      <c r="O977" s="176"/>
      <c r="P977" s="177"/>
      <c r="Q977" s="178"/>
      <c r="R977" s="179"/>
      <c r="S977" s="177"/>
      <c r="T977" s="180"/>
      <c r="U977" s="180"/>
      <c r="V977" s="177"/>
      <c r="W977" s="177"/>
      <c r="X977" s="67"/>
    </row>
    <row r="978" spans="1:24" ht="12.75" x14ac:dyDescent="0.2">
      <c r="A978" s="34"/>
      <c r="B978" s="173"/>
      <c r="C978" s="173"/>
      <c r="D978" s="174"/>
      <c r="E978" s="173"/>
      <c r="F978" s="173"/>
      <c r="G978" s="176"/>
      <c r="H978" s="174"/>
      <c r="J978" s="174"/>
      <c r="K978" s="173"/>
      <c r="L978" s="173"/>
      <c r="M978" s="174"/>
      <c r="N978" s="177"/>
      <c r="O978" s="176"/>
      <c r="P978" s="177"/>
      <c r="Q978" s="178"/>
      <c r="R978" s="179"/>
      <c r="S978" s="177"/>
      <c r="T978" s="180"/>
      <c r="U978" s="180"/>
      <c r="V978" s="177"/>
      <c r="W978" s="177"/>
      <c r="X978" s="67"/>
    </row>
    <row r="979" spans="1:24" ht="12.75" x14ac:dyDescent="0.2">
      <c r="A979" s="34"/>
      <c r="B979" s="173"/>
      <c r="C979" s="173"/>
      <c r="D979" s="174"/>
      <c r="E979" s="173"/>
      <c r="F979" s="173"/>
      <c r="G979" s="176"/>
      <c r="H979" s="174"/>
      <c r="J979" s="174"/>
      <c r="K979" s="173"/>
      <c r="L979" s="173"/>
      <c r="M979" s="174"/>
      <c r="N979" s="177"/>
      <c r="O979" s="176"/>
      <c r="P979" s="177"/>
      <c r="Q979" s="178"/>
      <c r="R979" s="179"/>
      <c r="S979" s="177"/>
      <c r="T979" s="180"/>
      <c r="U979" s="180"/>
      <c r="V979" s="177"/>
      <c r="W979" s="177"/>
      <c r="X979" s="67"/>
    </row>
    <row r="980" spans="1:24" ht="12.75" x14ac:dyDescent="0.2">
      <c r="A980" s="34"/>
      <c r="B980" s="173"/>
      <c r="C980" s="173"/>
      <c r="D980" s="174"/>
      <c r="E980" s="173"/>
      <c r="F980" s="173"/>
      <c r="G980" s="176"/>
      <c r="H980" s="174"/>
      <c r="J980" s="174"/>
      <c r="K980" s="173"/>
      <c r="L980" s="173"/>
      <c r="M980" s="174"/>
      <c r="N980" s="177"/>
      <c r="O980" s="176"/>
      <c r="P980" s="177"/>
      <c r="Q980" s="178"/>
      <c r="R980" s="179"/>
      <c r="S980" s="177"/>
      <c r="T980" s="180"/>
      <c r="U980" s="180"/>
      <c r="V980" s="177"/>
      <c r="W980" s="177"/>
      <c r="X980" s="67"/>
    </row>
    <row r="981" spans="1:24" ht="12.75" x14ac:dyDescent="0.2">
      <c r="A981" s="34"/>
      <c r="B981" s="173"/>
      <c r="C981" s="173"/>
      <c r="D981" s="174"/>
      <c r="E981" s="173"/>
      <c r="F981" s="173"/>
      <c r="G981" s="176"/>
      <c r="H981" s="174"/>
      <c r="J981" s="174"/>
      <c r="K981" s="173"/>
      <c r="L981" s="173"/>
      <c r="M981" s="174"/>
      <c r="N981" s="177"/>
      <c r="O981" s="176"/>
      <c r="P981" s="177"/>
      <c r="Q981" s="178"/>
      <c r="R981" s="179"/>
      <c r="S981" s="177"/>
      <c r="T981" s="180"/>
      <c r="U981" s="180"/>
      <c r="V981" s="177"/>
      <c r="W981" s="177"/>
      <c r="X981" s="67"/>
    </row>
    <row r="982" spans="1:24" ht="12.75" x14ac:dyDescent="0.2">
      <c r="A982" s="34"/>
      <c r="B982" s="173"/>
      <c r="C982" s="173"/>
      <c r="D982" s="174"/>
      <c r="E982" s="173"/>
      <c r="F982" s="173"/>
      <c r="G982" s="176"/>
      <c r="H982" s="174"/>
      <c r="J982" s="174"/>
      <c r="K982" s="173"/>
      <c r="L982" s="173"/>
      <c r="M982" s="174"/>
      <c r="N982" s="177"/>
      <c r="O982" s="176"/>
      <c r="P982" s="177"/>
      <c r="Q982" s="178"/>
      <c r="R982" s="179"/>
      <c r="S982" s="177"/>
      <c r="T982" s="180"/>
      <c r="U982" s="180"/>
      <c r="V982" s="177"/>
      <c r="W982" s="177"/>
      <c r="X982" s="67"/>
    </row>
    <row r="983" spans="1:24" ht="12.75" x14ac:dyDescent="0.2">
      <c r="A983" s="34"/>
      <c r="B983" s="173"/>
      <c r="C983" s="173"/>
      <c r="D983" s="174"/>
      <c r="E983" s="173"/>
      <c r="F983" s="173"/>
      <c r="G983" s="176"/>
      <c r="H983" s="174"/>
      <c r="J983" s="174"/>
      <c r="K983" s="173"/>
      <c r="L983" s="173"/>
      <c r="M983" s="174"/>
      <c r="N983" s="177"/>
      <c r="O983" s="176"/>
      <c r="P983" s="177"/>
      <c r="Q983" s="178"/>
      <c r="R983" s="179"/>
      <c r="S983" s="177"/>
      <c r="T983" s="180"/>
      <c r="U983" s="180"/>
      <c r="V983" s="177"/>
      <c r="W983" s="177"/>
      <c r="X983" s="67"/>
    </row>
    <row r="984" spans="1:24" ht="12.75" x14ac:dyDescent="0.2">
      <c r="A984" s="34"/>
      <c r="B984" s="173"/>
      <c r="C984" s="173"/>
      <c r="D984" s="174"/>
      <c r="E984" s="173"/>
      <c r="F984" s="173"/>
      <c r="G984" s="176"/>
      <c r="H984" s="174"/>
      <c r="J984" s="174"/>
      <c r="K984" s="173"/>
      <c r="L984" s="173"/>
      <c r="M984" s="174"/>
      <c r="N984" s="177"/>
      <c r="O984" s="176"/>
      <c r="P984" s="177"/>
      <c r="Q984" s="178"/>
      <c r="R984" s="179"/>
      <c r="S984" s="177"/>
      <c r="T984" s="180"/>
      <c r="U984" s="180"/>
      <c r="V984" s="177"/>
      <c r="W984" s="177"/>
      <c r="X984" s="67"/>
    </row>
    <row r="985" spans="1:24" ht="12.75" x14ac:dyDescent="0.2">
      <c r="A985" s="34"/>
      <c r="B985" s="173"/>
      <c r="C985" s="173"/>
      <c r="D985" s="174"/>
      <c r="E985" s="173"/>
      <c r="F985" s="173"/>
      <c r="G985" s="176"/>
      <c r="H985" s="174"/>
      <c r="J985" s="174"/>
      <c r="K985" s="173"/>
      <c r="L985" s="173"/>
      <c r="M985" s="174"/>
      <c r="N985" s="177"/>
      <c r="O985" s="176"/>
      <c r="P985" s="177"/>
      <c r="Q985" s="178"/>
      <c r="R985" s="179"/>
      <c r="S985" s="177"/>
      <c r="T985" s="180"/>
      <c r="U985" s="180"/>
      <c r="V985" s="177"/>
      <c r="W985" s="177"/>
      <c r="X985" s="67"/>
    </row>
    <row r="986" spans="1:24" ht="12.75" x14ac:dyDescent="0.2">
      <c r="A986" s="34"/>
      <c r="B986" s="173"/>
      <c r="C986" s="173"/>
      <c r="D986" s="174"/>
      <c r="E986" s="173"/>
      <c r="F986" s="173"/>
      <c r="G986" s="176"/>
      <c r="H986" s="174"/>
      <c r="J986" s="174"/>
      <c r="K986" s="173"/>
      <c r="L986" s="173"/>
      <c r="M986" s="174"/>
      <c r="N986" s="177"/>
      <c r="O986" s="176"/>
      <c r="P986" s="177"/>
      <c r="Q986" s="178"/>
      <c r="R986" s="179"/>
      <c r="S986" s="177"/>
      <c r="T986" s="180"/>
      <c r="U986" s="180"/>
      <c r="V986" s="177"/>
      <c r="W986" s="177"/>
      <c r="X986" s="67"/>
    </row>
    <row r="987" spans="1:24" ht="12.75" x14ac:dyDescent="0.2">
      <c r="A987" s="34"/>
      <c r="B987" s="173"/>
      <c r="C987" s="173"/>
      <c r="D987" s="174"/>
      <c r="E987" s="173"/>
      <c r="F987" s="173"/>
      <c r="G987" s="176"/>
      <c r="H987" s="174"/>
      <c r="J987" s="174"/>
      <c r="K987" s="173"/>
      <c r="L987" s="173"/>
      <c r="M987" s="174"/>
      <c r="N987" s="177"/>
      <c r="O987" s="176"/>
      <c r="P987" s="177"/>
      <c r="Q987" s="178"/>
      <c r="R987" s="179"/>
      <c r="S987" s="177"/>
      <c r="T987" s="180"/>
      <c r="U987" s="180"/>
      <c r="V987" s="177"/>
      <c r="W987" s="177"/>
      <c r="X987" s="67"/>
    </row>
    <row r="988" spans="1:24" ht="12.75" x14ac:dyDescent="0.2">
      <c r="A988" s="34"/>
      <c r="B988" s="173"/>
      <c r="C988" s="173"/>
      <c r="D988" s="174"/>
      <c r="E988" s="173"/>
      <c r="F988" s="173"/>
      <c r="G988" s="176"/>
      <c r="H988" s="174"/>
      <c r="J988" s="174"/>
      <c r="K988" s="173"/>
      <c r="L988" s="173"/>
      <c r="M988" s="174"/>
      <c r="N988" s="177"/>
      <c r="O988" s="176"/>
      <c r="P988" s="177"/>
      <c r="Q988" s="178"/>
      <c r="R988" s="179"/>
      <c r="S988" s="177"/>
      <c r="T988" s="180"/>
      <c r="U988" s="180"/>
      <c r="V988" s="177"/>
      <c r="W988" s="177"/>
      <c r="X988" s="67"/>
    </row>
    <row r="989" spans="1:24" ht="12.75" x14ac:dyDescent="0.2">
      <c r="A989" s="34"/>
      <c r="B989" s="173"/>
      <c r="C989" s="173"/>
      <c r="D989" s="174"/>
      <c r="E989" s="173"/>
      <c r="F989" s="173"/>
      <c r="G989" s="176"/>
      <c r="H989" s="174"/>
      <c r="J989" s="174"/>
      <c r="K989" s="173"/>
      <c r="L989" s="173"/>
      <c r="M989" s="174"/>
      <c r="N989" s="177"/>
      <c r="O989" s="176"/>
      <c r="P989" s="177"/>
      <c r="Q989" s="178"/>
      <c r="R989" s="179"/>
      <c r="S989" s="177"/>
      <c r="T989" s="180"/>
      <c r="U989" s="180"/>
      <c r="V989" s="177"/>
      <c r="W989" s="177"/>
      <c r="X989" s="67"/>
    </row>
    <row r="990" spans="1:24" ht="12.75" x14ac:dyDescent="0.2">
      <c r="A990" s="34"/>
      <c r="B990" s="173"/>
      <c r="C990" s="173"/>
      <c r="D990" s="174"/>
      <c r="E990" s="173"/>
      <c r="F990" s="173"/>
      <c r="G990" s="176"/>
      <c r="H990" s="174"/>
      <c r="J990" s="174"/>
      <c r="K990" s="173"/>
      <c r="L990" s="173"/>
      <c r="M990" s="174"/>
      <c r="N990" s="177"/>
      <c r="O990" s="176"/>
      <c r="P990" s="177"/>
      <c r="Q990" s="178"/>
      <c r="R990" s="179"/>
      <c r="S990" s="177"/>
      <c r="T990" s="180"/>
      <c r="U990" s="180"/>
      <c r="V990" s="177"/>
      <c r="W990" s="177"/>
      <c r="X990" s="67"/>
    </row>
    <row r="991" spans="1:24" ht="12.75" x14ac:dyDescent="0.2">
      <c r="A991" s="34"/>
      <c r="B991" s="173"/>
      <c r="C991" s="173"/>
      <c r="D991" s="174"/>
      <c r="E991" s="173"/>
      <c r="F991" s="173"/>
      <c r="G991" s="176"/>
      <c r="H991" s="174"/>
      <c r="J991" s="174"/>
      <c r="K991" s="173"/>
      <c r="L991" s="173"/>
      <c r="M991" s="174"/>
      <c r="N991" s="177"/>
      <c r="O991" s="176"/>
      <c r="P991" s="177"/>
      <c r="Q991" s="178"/>
      <c r="R991" s="179"/>
      <c r="S991" s="177"/>
      <c r="T991" s="180"/>
      <c r="U991" s="180"/>
      <c r="V991" s="177"/>
      <c r="W991" s="177"/>
      <c r="X991" s="67"/>
    </row>
    <row r="992" spans="1:24" ht="12.75" x14ac:dyDescent="0.2">
      <c r="A992" s="34"/>
      <c r="B992" s="173"/>
      <c r="C992" s="173"/>
      <c r="D992" s="174"/>
      <c r="E992" s="173"/>
      <c r="F992" s="173"/>
      <c r="G992" s="176"/>
      <c r="H992" s="174"/>
      <c r="J992" s="174"/>
      <c r="K992" s="173"/>
      <c r="L992" s="173"/>
      <c r="M992" s="174"/>
      <c r="N992" s="177"/>
      <c r="O992" s="176"/>
      <c r="P992" s="177"/>
      <c r="Q992" s="178"/>
      <c r="R992" s="179"/>
      <c r="S992" s="177"/>
      <c r="T992" s="180"/>
      <c r="U992" s="180"/>
      <c r="V992" s="177"/>
      <c r="W992" s="177"/>
      <c r="X992" s="67"/>
    </row>
    <row r="993" spans="1:24" ht="12.75" x14ac:dyDescent="0.2">
      <c r="A993" s="34"/>
      <c r="B993" s="173"/>
      <c r="C993" s="173"/>
      <c r="D993" s="174"/>
      <c r="E993" s="173"/>
      <c r="F993" s="173"/>
      <c r="G993" s="176"/>
      <c r="H993" s="174"/>
      <c r="J993" s="174"/>
      <c r="K993" s="173"/>
      <c r="L993" s="173"/>
      <c r="M993" s="174"/>
      <c r="N993" s="177"/>
      <c r="O993" s="176"/>
      <c r="P993" s="177"/>
      <c r="Q993" s="178"/>
      <c r="R993" s="179"/>
      <c r="S993" s="177"/>
      <c r="T993" s="180"/>
      <c r="U993" s="180"/>
      <c r="V993" s="177"/>
      <c r="W993" s="177"/>
      <c r="X993" s="67"/>
    </row>
    <row r="994" spans="1:24" ht="12.75" x14ac:dyDescent="0.2">
      <c r="A994" s="34"/>
      <c r="B994" s="173"/>
      <c r="C994" s="173"/>
      <c r="D994" s="174"/>
      <c r="E994" s="173"/>
      <c r="F994" s="173"/>
      <c r="G994" s="176"/>
      <c r="H994" s="174"/>
      <c r="J994" s="174"/>
      <c r="K994" s="173"/>
      <c r="L994" s="173"/>
      <c r="M994" s="174"/>
      <c r="N994" s="177"/>
      <c r="O994" s="176"/>
      <c r="P994" s="177"/>
      <c r="Q994" s="178"/>
      <c r="R994" s="179"/>
      <c r="S994" s="177"/>
      <c r="T994" s="180"/>
      <c r="U994" s="180"/>
      <c r="V994" s="177"/>
      <c r="W994" s="177"/>
      <c r="X994" s="67"/>
    </row>
    <row r="995" spans="1:24" ht="12.75" x14ac:dyDescent="0.2">
      <c r="A995" s="34"/>
      <c r="B995" s="173"/>
      <c r="C995" s="173"/>
      <c r="D995" s="174"/>
      <c r="E995" s="173"/>
      <c r="F995" s="173"/>
      <c r="G995" s="176"/>
      <c r="H995" s="174"/>
      <c r="J995" s="174"/>
      <c r="K995" s="173"/>
      <c r="L995" s="173"/>
      <c r="M995" s="174"/>
      <c r="N995" s="177"/>
      <c r="O995" s="176"/>
      <c r="P995" s="177"/>
      <c r="Q995" s="178"/>
      <c r="R995" s="179"/>
      <c r="S995" s="177"/>
      <c r="T995" s="180"/>
      <c r="U995" s="180"/>
      <c r="V995" s="177"/>
      <c r="W995" s="177"/>
      <c r="X995" s="67"/>
    </row>
    <row r="996" spans="1:24" ht="12.75" x14ac:dyDescent="0.2">
      <c r="A996" s="34"/>
      <c r="B996" s="173"/>
      <c r="C996" s="173"/>
      <c r="D996" s="174"/>
      <c r="E996" s="173"/>
      <c r="F996" s="173"/>
      <c r="G996" s="176"/>
      <c r="H996" s="174"/>
      <c r="J996" s="174"/>
      <c r="K996" s="173"/>
      <c r="L996" s="173"/>
      <c r="M996" s="174"/>
      <c r="N996" s="177"/>
      <c r="O996" s="176"/>
      <c r="P996" s="177"/>
      <c r="Q996" s="178"/>
      <c r="R996" s="179"/>
      <c r="S996" s="177"/>
      <c r="T996" s="180"/>
      <c r="U996" s="180"/>
      <c r="V996" s="177"/>
      <c r="W996" s="177"/>
      <c r="X996" s="67"/>
    </row>
    <row r="997" spans="1:24" ht="12.75" x14ac:dyDescent="0.2">
      <c r="A997" s="34"/>
      <c r="B997" s="173"/>
      <c r="C997" s="173"/>
      <c r="D997" s="174"/>
      <c r="E997" s="173"/>
      <c r="F997" s="173"/>
      <c r="G997" s="176"/>
      <c r="H997" s="174"/>
      <c r="J997" s="174"/>
      <c r="K997" s="173"/>
      <c r="L997" s="173"/>
      <c r="M997" s="174"/>
      <c r="N997" s="177"/>
      <c r="O997" s="176"/>
      <c r="P997" s="177"/>
      <c r="Q997" s="178"/>
      <c r="R997" s="179"/>
      <c r="S997" s="177"/>
      <c r="T997" s="180"/>
      <c r="U997" s="180"/>
      <c r="V997" s="177"/>
      <c r="W997" s="177"/>
      <c r="X997" s="67"/>
    </row>
    <row r="998" spans="1:24" ht="12.75" x14ac:dyDescent="0.2">
      <c r="A998" s="34"/>
      <c r="B998" s="173"/>
      <c r="C998" s="173"/>
      <c r="D998" s="174"/>
      <c r="E998" s="173"/>
      <c r="F998" s="173"/>
      <c r="G998" s="176"/>
      <c r="H998" s="174"/>
      <c r="J998" s="174"/>
      <c r="K998" s="173"/>
      <c r="L998" s="173"/>
      <c r="M998" s="174"/>
      <c r="N998" s="177"/>
      <c r="O998" s="176"/>
      <c r="P998" s="177"/>
      <c r="Q998" s="178"/>
      <c r="R998" s="179"/>
      <c r="S998" s="177"/>
      <c r="T998" s="180"/>
      <c r="U998" s="180"/>
      <c r="V998" s="177"/>
      <c r="W998" s="177"/>
      <c r="X998" s="67"/>
    </row>
    <row r="999" spans="1:24" ht="12.75" x14ac:dyDescent="0.2">
      <c r="A999" s="34"/>
      <c r="B999" s="173"/>
      <c r="C999" s="173"/>
      <c r="D999" s="174"/>
      <c r="E999" s="173"/>
      <c r="F999" s="173"/>
      <c r="G999" s="176"/>
      <c r="H999" s="174"/>
      <c r="J999" s="174"/>
      <c r="K999" s="173"/>
      <c r="L999" s="173"/>
      <c r="M999" s="174"/>
      <c r="N999" s="177"/>
      <c r="O999" s="176"/>
      <c r="P999" s="177"/>
      <c r="Q999" s="178"/>
      <c r="R999" s="179"/>
      <c r="S999" s="177"/>
      <c r="T999" s="180"/>
      <c r="U999" s="180"/>
      <c r="V999" s="177"/>
      <c r="W999" s="177"/>
      <c r="X999" s="67"/>
    </row>
    <row r="1000" spans="1:24" ht="12.75" x14ac:dyDescent="0.2">
      <c r="A1000" s="34"/>
      <c r="B1000" s="173"/>
      <c r="C1000" s="173"/>
      <c r="D1000" s="174"/>
      <c r="E1000" s="173"/>
      <c r="F1000" s="173"/>
      <c r="G1000" s="176"/>
      <c r="H1000" s="174"/>
      <c r="J1000" s="174"/>
      <c r="K1000" s="173"/>
      <c r="L1000" s="173"/>
      <c r="M1000" s="174"/>
      <c r="N1000" s="177"/>
      <c r="O1000" s="176"/>
      <c r="P1000" s="177"/>
      <c r="Q1000" s="178"/>
      <c r="R1000" s="179"/>
      <c r="S1000" s="177"/>
      <c r="T1000" s="180"/>
      <c r="U1000" s="180"/>
      <c r="V1000" s="177"/>
      <c r="W1000" s="177"/>
      <c r="X1000" s="67"/>
    </row>
    <row r="1001" spans="1:24" ht="12.75" x14ac:dyDescent="0.2">
      <c r="A1001" s="34"/>
      <c r="B1001" s="173"/>
      <c r="C1001" s="173"/>
      <c r="D1001" s="174"/>
      <c r="E1001" s="173"/>
      <c r="F1001" s="173"/>
      <c r="G1001" s="176"/>
      <c r="H1001" s="174"/>
      <c r="J1001" s="174"/>
      <c r="K1001" s="173"/>
      <c r="L1001" s="173"/>
      <c r="M1001" s="174"/>
      <c r="N1001" s="177"/>
      <c r="O1001" s="176"/>
      <c r="P1001" s="177"/>
      <c r="Q1001" s="178"/>
      <c r="R1001" s="179"/>
      <c r="S1001" s="177"/>
      <c r="T1001" s="180"/>
      <c r="U1001" s="180"/>
      <c r="V1001" s="177"/>
      <c r="W1001" s="177"/>
      <c r="X1001" s="67"/>
    </row>
    <row r="1002" spans="1:24" ht="12.75" x14ac:dyDescent="0.2">
      <c r="A1002" s="34"/>
      <c r="B1002" s="173"/>
      <c r="C1002" s="173"/>
      <c r="D1002" s="174"/>
      <c r="E1002" s="173"/>
      <c r="F1002" s="173"/>
      <c r="G1002" s="176"/>
      <c r="H1002" s="174"/>
      <c r="J1002" s="174"/>
      <c r="K1002" s="173"/>
      <c r="L1002" s="173"/>
      <c r="M1002" s="174"/>
      <c r="N1002" s="177"/>
      <c r="O1002" s="176"/>
      <c r="P1002" s="177"/>
      <c r="Q1002" s="178"/>
      <c r="R1002" s="179"/>
      <c r="S1002" s="177"/>
      <c r="T1002" s="180"/>
      <c r="U1002" s="180"/>
      <c r="V1002" s="177"/>
      <c r="W1002" s="177"/>
      <c r="X1002" s="67"/>
    </row>
    <row r="1003" spans="1:24" ht="12.75" x14ac:dyDescent="0.2">
      <c r="A1003" s="34"/>
      <c r="B1003" s="173"/>
      <c r="C1003" s="173"/>
      <c r="D1003" s="174"/>
      <c r="E1003" s="173"/>
      <c r="F1003" s="173"/>
      <c r="G1003" s="176"/>
      <c r="H1003" s="174"/>
      <c r="J1003" s="174"/>
      <c r="K1003" s="173"/>
      <c r="L1003" s="173"/>
      <c r="M1003" s="174"/>
      <c r="N1003" s="177"/>
      <c r="O1003" s="176"/>
      <c r="P1003" s="177"/>
      <c r="Q1003" s="178"/>
      <c r="R1003" s="179"/>
      <c r="S1003" s="177"/>
      <c r="T1003" s="180"/>
      <c r="U1003" s="180"/>
      <c r="V1003" s="177"/>
      <c r="W1003" s="177"/>
      <c r="X1003" s="67"/>
    </row>
    <row r="1004" spans="1:24" ht="12.75" x14ac:dyDescent="0.2">
      <c r="A1004" s="34"/>
      <c r="B1004" s="173"/>
      <c r="C1004" s="173"/>
      <c r="D1004" s="174"/>
      <c r="E1004" s="173"/>
      <c r="F1004" s="173"/>
      <c r="G1004" s="176"/>
      <c r="H1004" s="174"/>
      <c r="J1004" s="174"/>
      <c r="K1004" s="173"/>
      <c r="L1004" s="173"/>
      <c r="M1004" s="174"/>
      <c r="N1004" s="177"/>
      <c r="O1004" s="176"/>
      <c r="P1004" s="177"/>
      <c r="Q1004" s="178"/>
      <c r="R1004" s="179"/>
      <c r="S1004" s="177"/>
      <c r="T1004" s="180"/>
      <c r="U1004" s="180"/>
      <c r="V1004" s="177"/>
      <c r="W1004" s="177"/>
      <c r="X1004" s="67"/>
    </row>
    <row r="1005" spans="1:24" ht="12.75" x14ac:dyDescent="0.2">
      <c r="A1005" s="34"/>
      <c r="B1005" s="173"/>
      <c r="C1005" s="173"/>
      <c r="D1005" s="174"/>
      <c r="E1005" s="173"/>
      <c r="F1005" s="173"/>
      <c r="G1005" s="176"/>
      <c r="H1005" s="174"/>
      <c r="J1005" s="174"/>
      <c r="K1005" s="173"/>
      <c r="L1005" s="173"/>
      <c r="M1005" s="174"/>
      <c r="N1005" s="177"/>
      <c r="O1005" s="176"/>
      <c r="P1005" s="177"/>
      <c r="Q1005" s="178"/>
      <c r="R1005" s="179"/>
      <c r="S1005" s="177"/>
      <c r="T1005" s="180"/>
      <c r="U1005" s="180"/>
      <c r="V1005" s="177"/>
      <c r="W1005" s="177"/>
      <c r="X1005" s="67"/>
    </row>
    <row r="1006" spans="1:24" ht="12.75" x14ac:dyDescent="0.2">
      <c r="A1006" s="34"/>
      <c r="B1006" s="173"/>
      <c r="C1006" s="173"/>
      <c r="D1006" s="174"/>
      <c r="E1006" s="173"/>
      <c r="F1006" s="173"/>
      <c r="G1006" s="176"/>
      <c r="H1006" s="174"/>
      <c r="J1006" s="174"/>
      <c r="K1006" s="173"/>
      <c r="L1006" s="173"/>
      <c r="M1006" s="174"/>
      <c r="N1006" s="177"/>
      <c r="O1006" s="176"/>
      <c r="P1006" s="177"/>
      <c r="Q1006" s="178"/>
      <c r="R1006" s="179"/>
      <c r="S1006" s="177"/>
      <c r="T1006" s="180"/>
      <c r="U1006" s="180"/>
      <c r="V1006" s="177"/>
      <c r="W1006" s="177"/>
      <c r="X1006" s="67"/>
    </row>
    <row r="1007" spans="1:24" ht="12.75" x14ac:dyDescent="0.2">
      <c r="A1007" s="34"/>
      <c r="B1007" s="173"/>
      <c r="C1007" s="173"/>
      <c r="D1007" s="174"/>
      <c r="E1007" s="173"/>
      <c r="F1007" s="173"/>
      <c r="G1007" s="176"/>
      <c r="H1007" s="174"/>
      <c r="J1007" s="174"/>
      <c r="K1007" s="173"/>
      <c r="L1007" s="173"/>
      <c r="M1007" s="174"/>
      <c r="N1007" s="177"/>
      <c r="O1007" s="176"/>
      <c r="P1007" s="177"/>
      <c r="Q1007" s="178"/>
      <c r="R1007" s="179"/>
      <c r="S1007" s="177"/>
      <c r="T1007" s="180"/>
      <c r="U1007" s="180"/>
      <c r="V1007" s="177"/>
      <c r="W1007" s="177"/>
      <c r="X1007" s="67"/>
    </row>
    <row r="1008" spans="1:24" ht="12.75" x14ac:dyDescent="0.2">
      <c r="A1008" s="34"/>
      <c r="B1008" s="173"/>
      <c r="C1008" s="173"/>
      <c r="D1008" s="174"/>
      <c r="E1008" s="173"/>
      <c r="F1008" s="173"/>
      <c r="G1008" s="176"/>
      <c r="H1008" s="174"/>
      <c r="J1008" s="174"/>
      <c r="K1008" s="173"/>
      <c r="L1008" s="173"/>
      <c r="M1008" s="174"/>
      <c r="N1008" s="177"/>
      <c r="O1008" s="176"/>
      <c r="P1008" s="177"/>
      <c r="Q1008" s="178"/>
      <c r="R1008" s="179"/>
      <c r="S1008" s="177"/>
      <c r="T1008" s="180"/>
      <c r="U1008" s="180"/>
      <c r="V1008" s="177"/>
      <c r="W1008" s="177"/>
      <c r="X1008" s="67"/>
    </row>
    <row r="1009" spans="1:24" ht="12.75" x14ac:dyDescent="0.2">
      <c r="A1009" s="34"/>
      <c r="B1009" s="173"/>
      <c r="C1009" s="173"/>
      <c r="D1009" s="174"/>
      <c r="E1009" s="173"/>
      <c r="F1009" s="173"/>
      <c r="G1009" s="176"/>
      <c r="H1009" s="174"/>
      <c r="J1009" s="174"/>
      <c r="K1009" s="173"/>
      <c r="L1009" s="173"/>
      <c r="M1009" s="174"/>
      <c r="N1009" s="177"/>
      <c r="O1009" s="176"/>
      <c r="P1009" s="177"/>
      <c r="Q1009" s="178"/>
      <c r="R1009" s="179"/>
      <c r="S1009" s="177"/>
      <c r="T1009" s="180"/>
      <c r="U1009" s="180"/>
      <c r="V1009" s="177"/>
      <c r="W1009" s="177"/>
      <c r="X1009" s="67"/>
    </row>
    <row r="1010" spans="1:24" ht="12.75" x14ac:dyDescent="0.2">
      <c r="A1010" s="34"/>
      <c r="B1010" s="173"/>
      <c r="C1010" s="173"/>
      <c r="D1010" s="174"/>
      <c r="E1010" s="173"/>
      <c r="F1010" s="173"/>
      <c r="G1010" s="176"/>
      <c r="H1010" s="174"/>
      <c r="J1010" s="174"/>
      <c r="K1010" s="173"/>
      <c r="L1010" s="173"/>
      <c r="M1010" s="174"/>
      <c r="N1010" s="177"/>
      <c r="O1010" s="176"/>
      <c r="P1010" s="177"/>
      <c r="Q1010" s="178"/>
      <c r="R1010" s="179"/>
      <c r="S1010" s="177"/>
      <c r="T1010" s="180"/>
      <c r="U1010" s="180"/>
      <c r="V1010" s="177"/>
      <c r="W1010" s="177"/>
      <c r="X1010" s="67"/>
    </row>
    <row r="1011" spans="1:24" ht="12.75" x14ac:dyDescent="0.2">
      <c r="A1011" s="34"/>
      <c r="B1011" s="173"/>
      <c r="C1011" s="173"/>
      <c r="D1011" s="174"/>
      <c r="E1011" s="173"/>
      <c r="F1011" s="173"/>
      <c r="G1011" s="176"/>
      <c r="H1011" s="174"/>
      <c r="J1011" s="174"/>
      <c r="K1011" s="173"/>
      <c r="L1011" s="173"/>
      <c r="M1011" s="174"/>
      <c r="N1011" s="177"/>
      <c r="O1011" s="176"/>
      <c r="P1011" s="177"/>
      <c r="Q1011" s="178"/>
      <c r="R1011" s="179"/>
      <c r="S1011" s="177"/>
      <c r="T1011" s="180"/>
      <c r="U1011" s="180"/>
      <c r="V1011" s="177"/>
      <c r="W1011" s="177"/>
      <c r="X1011" s="67"/>
    </row>
    <row r="1012" spans="1:24" ht="12.75" x14ac:dyDescent="0.2">
      <c r="A1012" s="34"/>
      <c r="B1012" s="173"/>
      <c r="C1012" s="173"/>
      <c r="D1012" s="174"/>
      <c r="E1012" s="173"/>
      <c r="F1012" s="173"/>
      <c r="G1012" s="176"/>
      <c r="H1012" s="174"/>
      <c r="J1012" s="174"/>
      <c r="K1012" s="173"/>
      <c r="L1012" s="173"/>
      <c r="M1012" s="174"/>
      <c r="N1012" s="177"/>
      <c r="O1012" s="176"/>
      <c r="P1012" s="177"/>
      <c r="Q1012" s="178"/>
      <c r="R1012" s="179"/>
      <c r="S1012" s="177"/>
      <c r="T1012" s="180"/>
      <c r="U1012" s="180"/>
      <c r="V1012" s="177"/>
      <c r="W1012" s="177"/>
      <c r="X1012" s="67"/>
    </row>
    <row r="1013" spans="1:24" ht="12.75" x14ac:dyDescent="0.2">
      <c r="A1013" s="34"/>
      <c r="B1013" s="173"/>
      <c r="C1013" s="173"/>
      <c r="D1013" s="174"/>
      <c r="E1013" s="173"/>
      <c r="F1013" s="173"/>
      <c r="G1013" s="176"/>
      <c r="H1013" s="174"/>
      <c r="J1013" s="174"/>
      <c r="K1013" s="173"/>
      <c r="L1013" s="173"/>
      <c r="M1013" s="174"/>
      <c r="N1013" s="177"/>
      <c r="O1013" s="176"/>
      <c r="P1013" s="177"/>
      <c r="Q1013" s="178"/>
      <c r="R1013" s="179"/>
      <c r="S1013" s="177"/>
      <c r="T1013" s="180"/>
      <c r="U1013" s="180"/>
      <c r="V1013" s="177"/>
      <c r="W1013" s="177"/>
      <c r="X1013" s="67"/>
    </row>
    <row r="1014" spans="1:24" ht="12.75" x14ac:dyDescent="0.2">
      <c r="A1014" s="34"/>
      <c r="B1014" s="173"/>
      <c r="C1014" s="173"/>
      <c r="D1014" s="174"/>
      <c r="E1014" s="173"/>
      <c r="F1014" s="173"/>
      <c r="G1014" s="176"/>
      <c r="H1014" s="174"/>
      <c r="J1014" s="174"/>
      <c r="K1014" s="173"/>
      <c r="L1014" s="173"/>
      <c r="M1014" s="174"/>
      <c r="N1014" s="177"/>
      <c r="O1014" s="176"/>
      <c r="P1014" s="177"/>
      <c r="Q1014" s="178"/>
      <c r="R1014" s="179"/>
      <c r="S1014" s="177"/>
      <c r="T1014" s="180"/>
      <c r="U1014" s="180"/>
      <c r="V1014" s="177"/>
      <c r="W1014" s="177"/>
      <c r="X1014" s="67"/>
    </row>
    <row r="1015" spans="1:24" ht="12.75" x14ac:dyDescent="0.2">
      <c r="A1015" s="34"/>
      <c r="B1015" s="173"/>
      <c r="C1015" s="173"/>
      <c r="D1015" s="174"/>
      <c r="E1015" s="173"/>
      <c r="F1015" s="173"/>
      <c r="G1015" s="176"/>
      <c r="H1015" s="174"/>
      <c r="J1015" s="174"/>
      <c r="K1015" s="173"/>
      <c r="L1015" s="173"/>
      <c r="M1015" s="174"/>
      <c r="N1015" s="177"/>
      <c r="O1015" s="176"/>
      <c r="P1015" s="177"/>
      <c r="Q1015" s="178"/>
      <c r="R1015" s="179"/>
      <c r="S1015" s="177"/>
      <c r="T1015" s="180"/>
      <c r="U1015" s="180"/>
      <c r="V1015" s="177"/>
      <c r="W1015" s="177"/>
      <c r="X1015" s="67"/>
    </row>
    <row r="1016" spans="1:24" ht="12.75" x14ac:dyDescent="0.2">
      <c r="A1016" s="34"/>
      <c r="B1016" s="173"/>
      <c r="C1016" s="173"/>
      <c r="D1016" s="174"/>
      <c r="E1016" s="173"/>
      <c r="F1016" s="173"/>
      <c r="G1016" s="176"/>
      <c r="H1016" s="174"/>
      <c r="J1016" s="174"/>
      <c r="K1016" s="173"/>
      <c r="L1016" s="173"/>
      <c r="M1016" s="174"/>
      <c r="N1016" s="177"/>
      <c r="O1016" s="176"/>
      <c r="P1016" s="177"/>
      <c r="Q1016" s="178"/>
      <c r="R1016" s="179"/>
      <c r="S1016" s="177"/>
      <c r="T1016" s="180"/>
      <c r="U1016" s="180"/>
      <c r="V1016" s="177"/>
      <c r="W1016" s="177"/>
      <c r="X1016" s="67"/>
    </row>
    <row r="1017" spans="1:24" ht="12.75" x14ac:dyDescent="0.2">
      <c r="A1017" s="34"/>
      <c r="B1017" s="173"/>
      <c r="C1017" s="173"/>
      <c r="D1017" s="174"/>
      <c r="E1017" s="173"/>
      <c r="F1017" s="173"/>
      <c r="G1017" s="176"/>
      <c r="H1017" s="174"/>
      <c r="J1017" s="174"/>
      <c r="K1017" s="173"/>
      <c r="L1017" s="173"/>
      <c r="M1017" s="174"/>
      <c r="N1017" s="177"/>
      <c r="O1017" s="176"/>
      <c r="P1017" s="177"/>
      <c r="Q1017" s="178"/>
      <c r="R1017" s="179"/>
      <c r="S1017" s="177"/>
      <c r="T1017" s="180"/>
      <c r="U1017" s="180"/>
      <c r="V1017" s="177"/>
      <c r="W1017" s="177"/>
      <c r="X1017" s="67"/>
    </row>
    <row r="1018" spans="1:24" ht="12.75" x14ac:dyDescent="0.2">
      <c r="A1018" s="34"/>
      <c r="B1018" s="173"/>
      <c r="C1018" s="173"/>
      <c r="D1018" s="174"/>
      <c r="E1018" s="173"/>
      <c r="F1018" s="173"/>
      <c r="G1018" s="176"/>
      <c r="H1018" s="174"/>
      <c r="J1018" s="174"/>
      <c r="K1018" s="173"/>
      <c r="L1018" s="173"/>
      <c r="M1018" s="174"/>
      <c r="N1018" s="177"/>
      <c r="O1018" s="176"/>
      <c r="P1018" s="177"/>
      <c r="Q1018" s="178"/>
      <c r="R1018" s="179"/>
      <c r="S1018" s="177"/>
      <c r="T1018" s="180"/>
      <c r="U1018" s="180"/>
      <c r="V1018" s="177"/>
      <c r="W1018" s="177"/>
      <c r="X1018" s="67"/>
    </row>
    <row r="1019" spans="1:24" ht="12.75" x14ac:dyDescent="0.2">
      <c r="A1019" s="34"/>
      <c r="B1019" s="173"/>
      <c r="C1019" s="173"/>
      <c r="D1019" s="174"/>
      <c r="E1019" s="173"/>
      <c r="F1019" s="173"/>
      <c r="G1019" s="176"/>
      <c r="H1019" s="174"/>
      <c r="J1019" s="174"/>
      <c r="K1019" s="173"/>
      <c r="L1019" s="173"/>
      <c r="M1019" s="174"/>
      <c r="N1019" s="177"/>
      <c r="O1019" s="176"/>
      <c r="P1019" s="177"/>
      <c r="Q1019" s="178"/>
      <c r="R1019" s="179"/>
      <c r="S1019" s="177"/>
      <c r="T1019" s="180"/>
      <c r="U1019" s="180"/>
      <c r="V1019" s="177"/>
      <c r="W1019" s="177"/>
      <c r="X1019" s="67"/>
    </row>
    <row r="1020" spans="1:24" ht="12.75" x14ac:dyDescent="0.2">
      <c r="A1020" s="34"/>
      <c r="B1020" s="173"/>
      <c r="C1020" s="173"/>
      <c r="D1020" s="174"/>
      <c r="E1020" s="173"/>
      <c r="F1020" s="173"/>
      <c r="G1020" s="176"/>
      <c r="H1020" s="174"/>
      <c r="J1020" s="174"/>
      <c r="K1020" s="173"/>
      <c r="L1020" s="173"/>
      <c r="M1020" s="174"/>
      <c r="N1020" s="177"/>
      <c r="O1020" s="176"/>
      <c r="P1020" s="177"/>
      <c r="Q1020" s="178"/>
      <c r="R1020" s="179"/>
      <c r="S1020" s="177"/>
      <c r="T1020" s="180"/>
      <c r="U1020" s="180"/>
      <c r="V1020" s="177"/>
      <c r="W1020" s="177"/>
      <c r="X1020" s="67"/>
    </row>
    <row r="1021" spans="1:24" ht="12.75" x14ac:dyDescent="0.2">
      <c r="A1021" s="34"/>
      <c r="B1021" s="173"/>
      <c r="C1021" s="173"/>
      <c r="D1021" s="174"/>
      <c r="E1021" s="173"/>
      <c r="F1021" s="173"/>
      <c r="G1021" s="176"/>
      <c r="H1021" s="174"/>
      <c r="J1021" s="174"/>
      <c r="K1021" s="173"/>
      <c r="L1021" s="173"/>
      <c r="M1021" s="174"/>
      <c r="N1021" s="177"/>
      <c r="O1021" s="176"/>
      <c r="P1021" s="177"/>
      <c r="Q1021" s="178"/>
      <c r="R1021" s="179"/>
      <c r="S1021" s="177"/>
      <c r="T1021" s="180"/>
      <c r="U1021" s="180"/>
      <c r="V1021" s="177"/>
      <c r="W1021" s="177"/>
      <c r="X1021" s="67"/>
    </row>
    <row r="1022" spans="1:24" ht="12.75" x14ac:dyDescent="0.2">
      <c r="A1022" s="34"/>
      <c r="B1022" s="173"/>
      <c r="C1022" s="173"/>
      <c r="D1022" s="174"/>
      <c r="E1022" s="173"/>
      <c r="F1022" s="173"/>
      <c r="G1022" s="176"/>
      <c r="H1022" s="174"/>
      <c r="J1022" s="174"/>
      <c r="K1022" s="173"/>
      <c r="L1022" s="173"/>
      <c r="M1022" s="174"/>
      <c r="N1022" s="177"/>
      <c r="O1022" s="176"/>
      <c r="P1022" s="177"/>
      <c r="Q1022" s="178"/>
      <c r="R1022" s="179"/>
      <c r="S1022" s="177"/>
      <c r="T1022" s="180"/>
      <c r="U1022" s="180"/>
      <c r="V1022" s="177"/>
      <c r="W1022" s="177"/>
      <c r="X1022" s="67"/>
    </row>
    <row r="1023" spans="1:24" ht="12.75" x14ac:dyDescent="0.2">
      <c r="A1023" s="34"/>
      <c r="B1023" s="173"/>
      <c r="C1023" s="173"/>
      <c r="D1023" s="174"/>
      <c r="E1023" s="173"/>
      <c r="F1023" s="173"/>
      <c r="G1023" s="176"/>
      <c r="H1023" s="174"/>
      <c r="J1023" s="174"/>
      <c r="K1023" s="173"/>
      <c r="L1023" s="173"/>
      <c r="M1023" s="174"/>
      <c r="N1023" s="177"/>
      <c r="O1023" s="176"/>
      <c r="P1023" s="177"/>
      <c r="Q1023" s="178"/>
      <c r="R1023" s="179"/>
      <c r="S1023" s="177"/>
      <c r="T1023" s="180"/>
      <c r="U1023" s="180"/>
      <c r="V1023" s="177"/>
      <c r="W1023" s="177"/>
      <c r="X1023" s="67"/>
    </row>
    <row r="1024" spans="1:24" ht="12.75" x14ac:dyDescent="0.2">
      <c r="A1024" s="34"/>
      <c r="B1024" s="173"/>
      <c r="C1024" s="173"/>
      <c r="D1024" s="174"/>
      <c r="E1024" s="173"/>
      <c r="F1024" s="173"/>
      <c r="G1024" s="176"/>
      <c r="H1024" s="174"/>
      <c r="J1024" s="174"/>
      <c r="K1024" s="173"/>
      <c r="L1024" s="173"/>
      <c r="M1024" s="174"/>
      <c r="N1024" s="177"/>
      <c r="O1024" s="176"/>
      <c r="P1024" s="177"/>
      <c r="Q1024" s="178"/>
      <c r="R1024" s="179"/>
      <c r="S1024" s="177"/>
      <c r="T1024" s="180"/>
      <c r="U1024" s="180"/>
      <c r="V1024" s="177"/>
      <c r="W1024" s="177"/>
      <c r="X1024" s="67"/>
    </row>
    <row r="1025" spans="1:24" ht="12.75" x14ac:dyDescent="0.2">
      <c r="A1025" s="34"/>
      <c r="B1025" s="173"/>
      <c r="C1025" s="173"/>
      <c r="D1025" s="174"/>
      <c r="E1025" s="173"/>
      <c r="F1025" s="173"/>
      <c r="G1025" s="176"/>
      <c r="H1025" s="174"/>
      <c r="J1025" s="174"/>
      <c r="K1025" s="173"/>
      <c r="L1025" s="173"/>
      <c r="M1025" s="174"/>
      <c r="N1025" s="177"/>
      <c r="O1025" s="176"/>
      <c r="P1025" s="177"/>
      <c r="Q1025" s="178"/>
      <c r="R1025" s="179"/>
      <c r="S1025" s="177"/>
      <c r="T1025" s="180"/>
      <c r="U1025" s="180"/>
      <c r="V1025" s="177"/>
      <c r="W1025" s="177"/>
      <c r="X1025" s="67"/>
    </row>
    <row r="1026" spans="1:24" ht="12.75" x14ac:dyDescent="0.2">
      <c r="A1026" s="34"/>
      <c r="B1026" s="173"/>
      <c r="C1026" s="173"/>
      <c r="D1026" s="174"/>
      <c r="E1026" s="173"/>
      <c r="F1026" s="173"/>
      <c r="G1026" s="176"/>
      <c r="H1026" s="174"/>
      <c r="J1026" s="174"/>
      <c r="K1026" s="173"/>
      <c r="L1026" s="173"/>
      <c r="M1026" s="174"/>
      <c r="N1026" s="177"/>
      <c r="O1026" s="176"/>
      <c r="P1026" s="177"/>
      <c r="Q1026" s="178"/>
      <c r="R1026" s="179"/>
      <c r="S1026" s="177"/>
      <c r="T1026" s="180"/>
      <c r="U1026" s="180"/>
      <c r="V1026" s="177"/>
      <c r="W1026" s="177"/>
      <c r="X1026" s="67"/>
    </row>
    <row r="1027" spans="1:24" ht="12.75" x14ac:dyDescent="0.2">
      <c r="A1027" s="34"/>
      <c r="B1027" s="173"/>
      <c r="C1027" s="173"/>
      <c r="D1027" s="174"/>
      <c r="E1027" s="173"/>
      <c r="F1027" s="173"/>
      <c r="G1027" s="176"/>
      <c r="H1027" s="174"/>
      <c r="J1027" s="174"/>
      <c r="K1027" s="173"/>
      <c r="L1027" s="173"/>
      <c r="M1027" s="174"/>
      <c r="N1027" s="177"/>
      <c r="O1027" s="176"/>
      <c r="P1027" s="177"/>
      <c r="Q1027" s="178"/>
      <c r="R1027" s="179"/>
      <c r="S1027" s="177"/>
      <c r="T1027" s="180"/>
      <c r="U1027" s="180"/>
      <c r="V1027" s="177"/>
      <c r="W1027" s="177"/>
      <c r="X1027" s="67"/>
    </row>
    <row r="1028" spans="1:24" ht="12.75" x14ac:dyDescent="0.2">
      <c r="A1028" s="34"/>
      <c r="B1028" s="173"/>
      <c r="C1028" s="173"/>
      <c r="D1028" s="174"/>
      <c r="E1028" s="173"/>
      <c r="F1028" s="173"/>
      <c r="G1028" s="176"/>
      <c r="H1028" s="174"/>
      <c r="J1028" s="174"/>
      <c r="K1028" s="173"/>
      <c r="L1028" s="173"/>
      <c r="M1028" s="174"/>
      <c r="N1028" s="177"/>
      <c r="O1028" s="176"/>
      <c r="P1028" s="177"/>
      <c r="Q1028" s="178"/>
      <c r="R1028" s="179"/>
      <c r="S1028" s="177"/>
      <c r="T1028" s="180"/>
      <c r="U1028" s="180"/>
      <c r="V1028" s="177"/>
      <c r="W1028" s="177"/>
      <c r="X1028" s="67"/>
    </row>
    <row r="1029" spans="1:24" ht="12.75" x14ac:dyDescent="0.2">
      <c r="A1029" s="34"/>
      <c r="B1029" s="173"/>
      <c r="C1029" s="173"/>
      <c r="D1029" s="174"/>
      <c r="E1029" s="173"/>
      <c r="F1029" s="173"/>
      <c r="G1029" s="176"/>
      <c r="H1029" s="174"/>
      <c r="J1029" s="174"/>
      <c r="K1029" s="173"/>
      <c r="L1029" s="173"/>
      <c r="M1029" s="174"/>
      <c r="N1029" s="177"/>
      <c r="O1029" s="176"/>
      <c r="P1029" s="177"/>
      <c r="Q1029" s="178"/>
      <c r="R1029" s="179"/>
      <c r="S1029" s="177"/>
      <c r="T1029" s="180"/>
      <c r="U1029" s="180"/>
      <c r="V1029" s="177"/>
      <c r="W1029" s="177"/>
      <c r="X1029" s="67"/>
    </row>
    <row r="1030" spans="1:24" ht="12.75" x14ac:dyDescent="0.2">
      <c r="A1030" s="34"/>
      <c r="B1030" s="173"/>
      <c r="C1030" s="173"/>
      <c r="D1030" s="174"/>
      <c r="E1030" s="173"/>
      <c r="F1030" s="173"/>
      <c r="G1030" s="176"/>
      <c r="H1030" s="174"/>
      <c r="J1030" s="174"/>
      <c r="K1030" s="173"/>
      <c r="L1030" s="173"/>
      <c r="M1030" s="174"/>
      <c r="N1030" s="177"/>
      <c r="O1030" s="176"/>
      <c r="P1030" s="177"/>
      <c r="Q1030" s="178"/>
      <c r="R1030" s="179"/>
      <c r="S1030" s="177"/>
      <c r="T1030" s="180"/>
      <c r="U1030" s="180"/>
      <c r="V1030" s="177"/>
      <c r="W1030" s="177"/>
      <c r="X1030" s="67"/>
    </row>
    <row r="1031" spans="1:24" ht="12.75" x14ac:dyDescent="0.2">
      <c r="A1031" s="34"/>
      <c r="B1031" s="173"/>
      <c r="C1031" s="173"/>
      <c r="D1031" s="174"/>
      <c r="E1031" s="173"/>
      <c r="F1031" s="173"/>
      <c r="G1031" s="176"/>
      <c r="H1031" s="174"/>
      <c r="J1031" s="174"/>
      <c r="K1031" s="173"/>
      <c r="L1031" s="173"/>
      <c r="M1031" s="174"/>
      <c r="N1031" s="177"/>
      <c r="O1031" s="176"/>
      <c r="P1031" s="177"/>
      <c r="Q1031" s="178"/>
      <c r="R1031" s="179"/>
      <c r="S1031" s="177"/>
      <c r="T1031" s="180"/>
      <c r="U1031" s="180"/>
      <c r="V1031" s="177"/>
      <c r="W1031" s="177"/>
      <c r="X1031" s="67"/>
    </row>
    <row r="1032" spans="1:24" ht="12.75" x14ac:dyDescent="0.2">
      <c r="A1032" s="34"/>
      <c r="B1032" s="173"/>
      <c r="C1032" s="173"/>
      <c r="D1032" s="174"/>
      <c r="E1032" s="173"/>
      <c r="F1032" s="173"/>
      <c r="G1032" s="176"/>
      <c r="H1032" s="174"/>
      <c r="J1032" s="174"/>
      <c r="K1032" s="173"/>
      <c r="L1032" s="173"/>
      <c r="M1032" s="174"/>
      <c r="N1032" s="177"/>
      <c r="O1032" s="176"/>
      <c r="P1032" s="177"/>
      <c r="Q1032" s="178"/>
      <c r="R1032" s="179"/>
      <c r="S1032" s="177"/>
      <c r="T1032" s="180"/>
      <c r="U1032" s="180"/>
      <c r="V1032" s="177"/>
      <c r="W1032" s="177"/>
      <c r="X1032" s="67"/>
    </row>
    <row r="1033" spans="1:24" ht="12.75" x14ac:dyDescent="0.2">
      <c r="A1033" s="34"/>
      <c r="B1033" s="173"/>
      <c r="C1033" s="173"/>
      <c r="D1033" s="174"/>
      <c r="E1033" s="173"/>
      <c r="F1033" s="173"/>
      <c r="G1033" s="176"/>
      <c r="H1033" s="174"/>
      <c r="J1033" s="174"/>
      <c r="K1033" s="173"/>
      <c r="L1033" s="173"/>
      <c r="M1033" s="174"/>
      <c r="N1033" s="177"/>
      <c r="O1033" s="176"/>
      <c r="P1033" s="177"/>
      <c r="Q1033" s="178"/>
      <c r="R1033" s="179"/>
      <c r="S1033" s="177"/>
      <c r="T1033" s="180"/>
      <c r="U1033" s="180"/>
      <c r="V1033" s="177"/>
      <c r="W1033" s="177"/>
      <c r="X1033" s="67"/>
    </row>
    <row r="1034" spans="1:24" ht="12.75" x14ac:dyDescent="0.2">
      <c r="A1034" s="34"/>
      <c r="B1034" s="173"/>
      <c r="C1034" s="173"/>
      <c r="D1034" s="174"/>
      <c r="E1034" s="173"/>
      <c r="F1034" s="173"/>
      <c r="G1034" s="176"/>
      <c r="H1034" s="174"/>
      <c r="J1034" s="174"/>
      <c r="K1034" s="173"/>
      <c r="L1034" s="173"/>
      <c r="M1034" s="174"/>
      <c r="N1034" s="177"/>
      <c r="O1034" s="176"/>
      <c r="P1034" s="177"/>
      <c r="Q1034" s="178"/>
      <c r="R1034" s="179"/>
      <c r="S1034" s="177"/>
      <c r="T1034" s="180"/>
      <c r="U1034" s="180"/>
      <c r="V1034" s="177"/>
      <c r="W1034" s="177"/>
      <c r="X1034" s="67"/>
    </row>
    <row r="1035" spans="1:24" ht="12.75" x14ac:dyDescent="0.2">
      <c r="A1035" s="34"/>
      <c r="B1035" s="173"/>
      <c r="C1035" s="173"/>
      <c r="D1035" s="174"/>
      <c r="E1035" s="173"/>
      <c r="F1035" s="173"/>
      <c r="G1035" s="176"/>
      <c r="H1035" s="174"/>
      <c r="J1035" s="174"/>
      <c r="K1035" s="173"/>
      <c r="L1035" s="173"/>
      <c r="M1035" s="174"/>
      <c r="N1035" s="177"/>
      <c r="O1035" s="176"/>
      <c r="P1035" s="177"/>
      <c r="Q1035" s="178"/>
      <c r="R1035" s="179"/>
      <c r="S1035" s="177"/>
      <c r="T1035" s="180"/>
      <c r="U1035" s="180"/>
      <c r="V1035" s="177"/>
      <c r="W1035" s="177"/>
      <c r="X1035" s="67"/>
    </row>
    <row r="1036" spans="1:24" ht="12.75" x14ac:dyDescent="0.2">
      <c r="A1036" s="34"/>
      <c r="B1036" s="173"/>
      <c r="C1036" s="173"/>
      <c r="D1036" s="174"/>
      <c r="E1036" s="173"/>
      <c r="F1036" s="173"/>
      <c r="G1036" s="176"/>
      <c r="H1036" s="174"/>
      <c r="J1036" s="174"/>
      <c r="K1036" s="173"/>
      <c r="L1036" s="173"/>
      <c r="M1036" s="174"/>
      <c r="N1036" s="177"/>
      <c r="O1036" s="176"/>
      <c r="P1036" s="177"/>
      <c r="Q1036" s="178"/>
      <c r="R1036" s="179"/>
      <c r="S1036" s="177"/>
      <c r="T1036" s="180"/>
      <c r="U1036" s="180"/>
      <c r="V1036" s="177"/>
      <c r="W1036" s="177"/>
      <c r="X1036" s="67"/>
    </row>
    <row r="1037" spans="1:24" ht="12.75" x14ac:dyDescent="0.2">
      <c r="A1037" s="34"/>
      <c r="B1037" s="173"/>
      <c r="C1037" s="173"/>
      <c r="D1037" s="174"/>
      <c r="E1037" s="173"/>
      <c r="F1037" s="173"/>
      <c r="G1037" s="176"/>
      <c r="H1037" s="174"/>
      <c r="J1037" s="174"/>
      <c r="K1037" s="173"/>
      <c r="L1037" s="173"/>
      <c r="M1037" s="174"/>
      <c r="N1037" s="177"/>
      <c r="O1037" s="176"/>
      <c r="P1037" s="177"/>
      <c r="Q1037" s="178"/>
      <c r="R1037" s="179"/>
      <c r="S1037" s="177"/>
      <c r="T1037" s="180"/>
      <c r="U1037" s="180"/>
      <c r="V1037" s="177"/>
      <c r="W1037" s="177"/>
      <c r="X1037" s="67"/>
    </row>
    <row r="1038" spans="1:24" ht="12.75" x14ac:dyDescent="0.2">
      <c r="A1038" s="34"/>
      <c r="B1038" s="173"/>
      <c r="C1038" s="173"/>
      <c r="D1038" s="174"/>
      <c r="E1038" s="173"/>
      <c r="F1038" s="173"/>
      <c r="G1038" s="176"/>
      <c r="H1038" s="174"/>
      <c r="J1038" s="174"/>
      <c r="K1038" s="173"/>
      <c r="L1038" s="173"/>
      <c r="M1038" s="174"/>
      <c r="N1038" s="177"/>
      <c r="O1038" s="176"/>
      <c r="P1038" s="177"/>
      <c r="Q1038" s="178"/>
      <c r="R1038" s="179"/>
      <c r="S1038" s="177"/>
      <c r="T1038" s="180"/>
      <c r="U1038" s="180"/>
      <c r="V1038" s="177"/>
      <c r="W1038" s="177"/>
      <c r="X1038" s="67"/>
    </row>
    <row r="1039" spans="1:24" ht="12.75" x14ac:dyDescent="0.2">
      <c r="A1039" s="34"/>
      <c r="B1039" s="173"/>
      <c r="C1039" s="173"/>
      <c r="D1039" s="174"/>
      <c r="E1039" s="173"/>
      <c r="F1039" s="173"/>
      <c r="G1039" s="176"/>
      <c r="H1039" s="174"/>
      <c r="J1039" s="174"/>
      <c r="K1039" s="173"/>
      <c r="L1039" s="173"/>
      <c r="M1039" s="174"/>
      <c r="N1039" s="177"/>
      <c r="O1039" s="176"/>
      <c r="P1039" s="177"/>
      <c r="Q1039" s="178"/>
      <c r="R1039" s="179"/>
      <c r="S1039" s="177"/>
      <c r="T1039" s="180"/>
      <c r="U1039" s="180"/>
      <c r="V1039" s="177"/>
      <c r="W1039" s="177"/>
      <c r="X1039" s="67"/>
    </row>
    <row r="1040" spans="1:24" ht="12.75" x14ac:dyDescent="0.2">
      <c r="A1040" s="34"/>
      <c r="B1040" s="173"/>
      <c r="C1040" s="173"/>
      <c r="D1040" s="174"/>
      <c r="E1040" s="173"/>
      <c r="F1040" s="173"/>
      <c r="G1040" s="176"/>
      <c r="H1040" s="174"/>
      <c r="J1040" s="174"/>
      <c r="K1040" s="173"/>
      <c r="L1040" s="173"/>
      <c r="M1040" s="174"/>
      <c r="N1040" s="177"/>
      <c r="O1040" s="176"/>
      <c r="P1040" s="177"/>
      <c r="Q1040" s="178"/>
      <c r="R1040" s="179"/>
      <c r="S1040" s="177"/>
      <c r="T1040" s="180"/>
      <c r="U1040" s="180"/>
      <c r="V1040" s="177"/>
      <c r="W1040" s="177"/>
      <c r="X1040" s="67"/>
    </row>
    <row r="1041" spans="1:24" ht="12.75" x14ac:dyDescent="0.2">
      <c r="A1041" s="34"/>
      <c r="B1041" s="173"/>
      <c r="C1041" s="173"/>
      <c r="D1041" s="174"/>
      <c r="E1041" s="173"/>
      <c r="F1041" s="173"/>
      <c r="G1041" s="176"/>
      <c r="H1041" s="174"/>
      <c r="J1041" s="174"/>
      <c r="K1041" s="173"/>
      <c r="L1041" s="173"/>
      <c r="M1041" s="174"/>
      <c r="N1041" s="177"/>
      <c r="O1041" s="176"/>
      <c r="P1041" s="177"/>
      <c r="Q1041" s="178"/>
      <c r="R1041" s="179"/>
      <c r="S1041" s="177"/>
      <c r="T1041" s="180"/>
      <c r="U1041" s="180"/>
      <c r="V1041" s="177"/>
      <c r="W1041" s="177"/>
      <c r="X1041" s="67"/>
    </row>
    <row r="1042" spans="1:24" ht="12.75" x14ac:dyDescent="0.2">
      <c r="A1042" s="34"/>
      <c r="B1042" s="173"/>
      <c r="C1042" s="173"/>
      <c r="D1042" s="174"/>
      <c r="E1042" s="173"/>
      <c r="F1042" s="173"/>
      <c r="G1042" s="176"/>
      <c r="H1042" s="174"/>
      <c r="J1042" s="174"/>
      <c r="K1042" s="173"/>
      <c r="L1042" s="173"/>
      <c r="M1042" s="174"/>
      <c r="N1042" s="177"/>
      <c r="O1042" s="176"/>
      <c r="P1042" s="177"/>
      <c r="Q1042" s="178"/>
      <c r="R1042" s="179"/>
      <c r="S1042" s="177"/>
      <c r="T1042" s="180"/>
      <c r="U1042" s="180"/>
      <c r="V1042" s="177"/>
      <c r="W1042" s="177"/>
      <c r="X1042" s="67"/>
    </row>
    <row r="1043" spans="1:24" ht="12.75" x14ac:dyDescent="0.2">
      <c r="A1043" s="34"/>
      <c r="B1043" s="173"/>
      <c r="C1043" s="173"/>
      <c r="D1043" s="174"/>
      <c r="E1043" s="173"/>
      <c r="F1043" s="173"/>
      <c r="G1043" s="176"/>
      <c r="H1043" s="174"/>
      <c r="J1043" s="174"/>
      <c r="K1043" s="173"/>
      <c r="L1043" s="173"/>
      <c r="M1043" s="174"/>
      <c r="N1043" s="177"/>
      <c r="O1043" s="176"/>
      <c r="P1043" s="177"/>
      <c r="Q1043" s="178"/>
      <c r="R1043" s="179"/>
      <c r="S1043" s="177"/>
      <c r="T1043" s="180"/>
      <c r="U1043" s="180"/>
      <c r="V1043" s="177"/>
      <c r="W1043" s="177"/>
      <c r="X1043" s="67"/>
    </row>
    <row r="1044" spans="1:24" ht="12.75" x14ac:dyDescent="0.2">
      <c r="A1044" s="34"/>
      <c r="B1044" s="173"/>
      <c r="C1044" s="173"/>
      <c r="D1044" s="174"/>
      <c r="E1044" s="173"/>
      <c r="F1044" s="173"/>
      <c r="G1044" s="176"/>
      <c r="H1044" s="174"/>
      <c r="J1044" s="174"/>
      <c r="K1044" s="173"/>
      <c r="L1044" s="173"/>
      <c r="M1044" s="174"/>
      <c r="N1044" s="177"/>
      <c r="O1044" s="176"/>
      <c r="P1044" s="177"/>
      <c r="Q1044" s="178"/>
      <c r="R1044" s="179"/>
      <c r="S1044" s="177"/>
      <c r="T1044" s="180"/>
      <c r="U1044" s="180"/>
      <c r="V1044" s="177"/>
      <c r="W1044" s="177"/>
      <c r="X1044" s="67"/>
    </row>
    <row r="1045" spans="1:24" ht="12.75" x14ac:dyDescent="0.2">
      <c r="A1045" s="34"/>
      <c r="B1045" s="173"/>
      <c r="C1045" s="173"/>
      <c r="D1045" s="174"/>
      <c r="E1045" s="173"/>
      <c r="F1045" s="173"/>
      <c r="G1045" s="176"/>
      <c r="H1045" s="174"/>
      <c r="J1045" s="174"/>
      <c r="K1045" s="173"/>
      <c r="L1045" s="173"/>
      <c r="M1045" s="174"/>
      <c r="N1045" s="177"/>
      <c r="O1045" s="176"/>
      <c r="P1045" s="177"/>
      <c r="Q1045" s="178"/>
      <c r="R1045" s="179"/>
      <c r="S1045" s="177"/>
      <c r="T1045" s="180"/>
      <c r="U1045" s="180"/>
      <c r="V1045" s="177"/>
      <c r="W1045" s="177"/>
      <c r="X1045" s="67"/>
    </row>
    <row r="1046" spans="1:24" ht="12.75" x14ac:dyDescent="0.2">
      <c r="A1046" s="34"/>
      <c r="B1046" s="173"/>
      <c r="C1046" s="173"/>
      <c r="D1046" s="174"/>
      <c r="E1046" s="173"/>
      <c r="F1046" s="173"/>
      <c r="G1046" s="176"/>
      <c r="H1046" s="174"/>
      <c r="J1046" s="174"/>
      <c r="K1046" s="173"/>
      <c r="L1046" s="173"/>
      <c r="M1046" s="174"/>
      <c r="N1046" s="177"/>
      <c r="O1046" s="176"/>
      <c r="P1046" s="177"/>
      <c r="Q1046" s="178"/>
      <c r="R1046" s="179"/>
      <c r="S1046" s="177"/>
      <c r="T1046" s="180"/>
      <c r="U1046" s="180"/>
      <c r="V1046" s="177"/>
      <c r="W1046" s="177"/>
      <c r="X1046" s="67"/>
    </row>
    <row r="1047" spans="1:24" ht="12.75" x14ac:dyDescent="0.2">
      <c r="A1047" s="34"/>
      <c r="B1047" s="173"/>
      <c r="C1047" s="173"/>
      <c r="D1047" s="174"/>
      <c r="E1047" s="173"/>
      <c r="F1047" s="173"/>
      <c r="G1047" s="176"/>
      <c r="H1047" s="174"/>
      <c r="J1047" s="174"/>
      <c r="K1047" s="173"/>
      <c r="L1047" s="173"/>
      <c r="M1047" s="174"/>
      <c r="N1047" s="177"/>
      <c r="O1047" s="176"/>
      <c r="P1047" s="177"/>
      <c r="Q1047" s="178"/>
      <c r="R1047" s="179"/>
      <c r="S1047" s="177"/>
      <c r="T1047" s="180"/>
      <c r="U1047" s="180"/>
      <c r="V1047" s="177"/>
      <c r="W1047" s="177"/>
      <c r="X1047" s="67"/>
    </row>
    <row r="1048" spans="1:24" ht="12.75" x14ac:dyDescent="0.2">
      <c r="A1048" s="34"/>
      <c r="B1048" s="173"/>
      <c r="C1048" s="173"/>
      <c r="D1048" s="174"/>
      <c r="E1048" s="173"/>
      <c r="F1048" s="173"/>
      <c r="G1048" s="176"/>
      <c r="H1048" s="174"/>
      <c r="J1048" s="174"/>
      <c r="K1048" s="173"/>
      <c r="L1048" s="173"/>
      <c r="M1048" s="174"/>
      <c r="N1048" s="177"/>
      <c r="O1048" s="176"/>
      <c r="P1048" s="177"/>
      <c r="Q1048" s="178"/>
      <c r="R1048" s="179"/>
      <c r="S1048" s="177"/>
      <c r="T1048" s="180"/>
      <c r="U1048" s="180"/>
      <c r="V1048" s="177"/>
      <c r="W1048" s="177"/>
      <c r="X1048" s="67"/>
    </row>
    <row r="1049" spans="1:24" ht="12.75" x14ac:dyDescent="0.2">
      <c r="A1049" s="34"/>
      <c r="B1049" s="173"/>
      <c r="C1049" s="173"/>
      <c r="D1049" s="174"/>
      <c r="E1049" s="173"/>
      <c r="F1049" s="173"/>
      <c r="G1049" s="176"/>
      <c r="H1049" s="174"/>
      <c r="J1049" s="174"/>
      <c r="K1049" s="173"/>
      <c r="L1049" s="173"/>
      <c r="M1049" s="174"/>
      <c r="N1049" s="177"/>
      <c r="O1049" s="176"/>
      <c r="P1049" s="177"/>
      <c r="Q1049" s="178"/>
      <c r="R1049" s="179"/>
      <c r="S1049" s="177"/>
      <c r="T1049" s="180"/>
      <c r="U1049" s="180"/>
      <c r="V1049" s="177"/>
      <c r="W1049" s="177"/>
      <c r="X1049" s="67"/>
    </row>
    <row r="1050" spans="1:24" ht="12.75" x14ac:dyDescent="0.2">
      <c r="A1050" s="34"/>
      <c r="B1050" s="173"/>
      <c r="C1050" s="173"/>
      <c r="D1050" s="174"/>
      <c r="E1050" s="173"/>
      <c r="F1050" s="173"/>
      <c r="G1050" s="176"/>
      <c r="H1050" s="174"/>
      <c r="J1050" s="174"/>
      <c r="K1050" s="173"/>
      <c r="L1050" s="173"/>
      <c r="M1050" s="174"/>
      <c r="N1050" s="177"/>
      <c r="O1050" s="176"/>
      <c r="P1050" s="177"/>
      <c r="Q1050" s="178"/>
      <c r="R1050" s="179"/>
      <c r="S1050" s="177"/>
      <c r="T1050" s="180"/>
      <c r="U1050" s="180"/>
      <c r="V1050" s="177"/>
      <c r="W1050" s="177"/>
      <c r="X1050" s="67"/>
    </row>
    <row r="1051" spans="1:24" ht="12.75" x14ac:dyDescent="0.2">
      <c r="A1051" s="34"/>
      <c r="B1051" s="173"/>
      <c r="C1051" s="173"/>
      <c r="D1051" s="174"/>
      <c r="E1051" s="173"/>
      <c r="F1051" s="173"/>
      <c r="G1051" s="176"/>
      <c r="H1051" s="174"/>
      <c r="J1051" s="174"/>
      <c r="K1051" s="173"/>
      <c r="L1051" s="173"/>
      <c r="M1051" s="174"/>
      <c r="N1051" s="177"/>
      <c r="O1051" s="176"/>
      <c r="P1051" s="177"/>
      <c r="Q1051" s="178"/>
      <c r="R1051" s="179"/>
      <c r="S1051" s="177"/>
      <c r="T1051" s="180"/>
      <c r="U1051" s="180"/>
      <c r="V1051" s="177"/>
      <c r="W1051" s="177"/>
      <c r="X1051" s="67"/>
    </row>
    <row r="1052" spans="1:24" ht="12.75" x14ac:dyDescent="0.2">
      <c r="A1052" s="34"/>
      <c r="B1052" s="173"/>
      <c r="C1052" s="173"/>
      <c r="D1052" s="174"/>
      <c r="E1052" s="173"/>
      <c r="F1052" s="173"/>
      <c r="G1052" s="176"/>
      <c r="H1052" s="174"/>
      <c r="J1052" s="174"/>
      <c r="K1052" s="173"/>
      <c r="L1052" s="173"/>
      <c r="M1052" s="174"/>
      <c r="N1052" s="177"/>
      <c r="O1052" s="176"/>
      <c r="P1052" s="177"/>
      <c r="Q1052" s="178"/>
      <c r="R1052" s="179"/>
      <c r="S1052" s="177"/>
      <c r="T1052" s="180"/>
      <c r="U1052" s="180"/>
      <c r="V1052" s="177"/>
      <c r="W1052" s="177"/>
      <c r="X1052" s="67"/>
    </row>
    <row r="1053" spans="1:24" ht="12.75" x14ac:dyDescent="0.2">
      <c r="A1053" s="34"/>
      <c r="B1053" s="173"/>
      <c r="C1053" s="173"/>
      <c r="D1053" s="174"/>
      <c r="E1053" s="173"/>
      <c r="F1053" s="173"/>
      <c r="G1053" s="176"/>
      <c r="H1053" s="174"/>
      <c r="J1053" s="174"/>
      <c r="K1053" s="173"/>
      <c r="L1053" s="173"/>
      <c r="M1053" s="174"/>
      <c r="N1053" s="177"/>
      <c r="O1053" s="176"/>
      <c r="P1053" s="177"/>
      <c r="Q1053" s="178"/>
      <c r="R1053" s="179"/>
      <c r="S1053" s="177"/>
      <c r="T1053" s="180"/>
      <c r="U1053" s="180"/>
      <c r="V1053" s="177"/>
      <c r="W1053" s="177"/>
      <c r="X1053" s="67"/>
    </row>
    <row r="1054" spans="1:24" ht="12.75" x14ac:dyDescent="0.2">
      <c r="A1054" s="34"/>
      <c r="B1054" s="173"/>
      <c r="C1054" s="173"/>
      <c r="D1054" s="174"/>
      <c r="E1054" s="173"/>
      <c r="F1054" s="173"/>
      <c r="G1054" s="176"/>
      <c r="H1054" s="174"/>
      <c r="J1054" s="174"/>
      <c r="K1054" s="173"/>
      <c r="L1054" s="173"/>
      <c r="M1054" s="174"/>
      <c r="N1054" s="177"/>
      <c r="O1054" s="176"/>
      <c r="P1054" s="177"/>
      <c r="Q1054" s="178"/>
      <c r="R1054" s="179"/>
      <c r="S1054" s="177"/>
      <c r="T1054" s="180"/>
      <c r="U1054" s="180"/>
      <c r="V1054" s="177"/>
      <c r="W1054" s="177"/>
      <c r="X1054" s="67"/>
    </row>
    <row r="1055" spans="1:24" ht="12.75" x14ac:dyDescent="0.2">
      <c r="A1055" s="34"/>
      <c r="B1055" s="173"/>
      <c r="C1055" s="173"/>
      <c r="D1055" s="174"/>
      <c r="E1055" s="173"/>
      <c r="F1055" s="173"/>
      <c r="G1055" s="176"/>
      <c r="H1055" s="174"/>
      <c r="J1055" s="174"/>
      <c r="K1055" s="173"/>
      <c r="L1055" s="173"/>
      <c r="M1055" s="174"/>
      <c r="N1055" s="177"/>
      <c r="O1055" s="176"/>
      <c r="P1055" s="177"/>
      <c r="Q1055" s="178"/>
      <c r="R1055" s="179"/>
      <c r="S1055" s="177"/>
      <c r="T1055" s="180"/>
      <c r="U1055" s="180"/>
      <c r="V1055" s="177"/>
      <c r="W1055" s="177"/>
      <c r="X1055" s="67"/>
    </row>
    <row r="1056" spans="1:24" ht="12.75" x14ac:dyDescent="0.2">
      <c r="A1056" s="34"/>
      <c r="B1056" s="173"/>
      <c r="C1056" s="173"/>
      <c r="D1056" s="174"/>
      <c r="E1056" s="173"/>
      <c r="F1056" s="173"/>
      <c r="G1056" s="176"/>
      <c r="H1056" s="174"/>
      <c r="J1056" s="174"/>
      <c r="K1056" s="173"/>
      <c r="L1056" s="173"/>
      <c r="M1056" s="174"/>
      <c r="N1056" s="177"/>
      <c r="O1056" s="176"/>
      <c r="P1056" s="177"/>
      <c r="Q1056" s="178"/>
      <c r="R1056" s="179"/>
      <c r="S1056" s="177"/>
      <c r="T1056" s="180"/>
      <c r="U1056" s="180"/>
      <c r="V1056" s="177"/>
      <c r="W1056" s="177"/>
      <c r="X1056" s="67"/>
    </row>
    <row r="1057" spans="1:24" ht="12.75" x14ac:dyDescent="0.2">
      <c r="A1057" s="34"/>
      <c r="B1057" s="173"/>
      <c r="C1057" s="173"/>
      <c r="D1057" s="174"/>
      <c r="E1057" s="173"/>
      <c r="F1057" s="173"/>
      <c r="G1057" s="176"/>
      <c r="H1057" s="174"/>
      <c r="J1057" s="174"/>
      <c r="K1057" s="173"/>
      <c r="L1057" s="173"/>
      <c r="M1057" s="174"/>
      <c r="N1057" s="177"/>
      <c r="O1057" s="176"/>
      <c r="P1057" s="177"/>
      <c r="Q1057" s="178"/>
      <c r="R1057" s="179"/>
      <c r="S1057" s="177"/>
      <c r="T1057" s="180"/>
      <c r="U1057" s="180"/>
      <c r="V1057" s="177"/>
      <c r="W1057" s="177"/>
      <c r="X1057" s="67"/>
    </row>
    <row r="1058" spans="1:24" ht="12.75" x14ac:dyDescent="0.2">
      <c r="A1058" s="34"/>
      <c r="B1058" s="173"/>
      <c r="C1058" s="173"/>
      <c r="D1058" s="174"/>
      <c r="E1058" s="173"/>
      <c r="F1058" s="173"/>
      <c r="G1058" s="176"/>
      <c r="H1058" s="174"/>
      <c r="J1058" s="174"/>
      <c r="K1058" s="173"/>
      <c r="L1058" s="173"/>
      <c r="M1058" s="174"/>
      <c r="N1058" s="177"/>
      <c r="O1058" s="176"/>
      <c r="P1058" s="177"/>
      <c r="Q1058" s="178"/>
      <c r="R1058" s="179"/>
      <c r="S1058" s="177"/>
      <c r="T1058" s="180"/>
      <c r="U1058" s="180"/>
      <c r="V1058" s="177"/>
      <c r="W1058" s="177"/>
      <c r="X1058" s="67"/>
    </row>
    <row r="1059" spans="1:24" ht="12.75" x14ac:dyDescent="0.2">
      <c r="A1059" s="34"/>
      <c r="B1059" s="173"/>
      <c r="C1059" s="173"/>
      <c r="D1059" s="174"/>
      <c r="E1059" s="173"/>
      <c r="F1059" s="173"/>
      <c r="G1059" s="176"/>
      <c r="H1059" s="174"/>
      <c r="J1059" s="174"/>
      <c r="K1059" s="173"/>
      <c r="L1059" s="173"/>
      <c r="M1059" s="174"/>
      <c r="N1059" s="177"/>
      <c r="O1059" s="176"/>
      <c r="P1059" s="177"/>
      <c r="Q1059" s="178"/>
      <c r="R1059" s="179"/>
      <c r="S1059" s="177"/>
      <c r="T1059" s="180"/>
      <c r="U1059" s="180"/>
      <c r="V1059" s="177"/>
      <c r="W1059" s="177"/>
      <c r="X1059" s="67"/>
    </row>
    <row r="1060" spans="1:24" ht="12.75" x14ac:dyDescent="0.2">
      <c r="A1060" s="34"/>
      <c r="B1060" s="173"/>
      <c r="C1060" s="173"/>
      <c r="D1060" s="174"/>
      <c r="E1060" s="173"/>
      <c r="F1060" s="173"/>
      <c r="G1060" s="176"/>
      <c r="H1060" s="174"/>
      <c r="J1060" s="174"/>
      <c r="K1060" s="173"/>
      <c r="L1060" s="173"/>
      <c r="M1060" s="174"/>
      <c r="N1060" s="177"/>
      <c r="O1060" s="176"/>
      <c r="P1060" s="177"/>
      <c r="Q1060" s="178"/>
      <c r="R1060" s="179"/>
      <c r="S1060" s="177"/>
      <c r="T1060" s="180"/>
      <c r="U1060" s="180"/>
      <c r="V1060" s="177"/>
      <c r="W1060" s="177"/>
      <c r="X1060" s="67"/>
    </row>
    <row r="1061" spans="1:24" ht="12.75" x14ac:dyDescent="0.2">
      <c r="A1061" s="34"/>
      <c r="B1061" s="173"/>
      <c r="C1061" s="173"/>
      <c r="D1061" s="174"/>
      <c r="E1061" s="173"/>
      <c r="F1061" s="173"/>
      <c r="G1061" s="176"/>
      <c r="H1061" s="174"/>
      <c r="J1061" s="174"/>
      <c r="K1061" s="173"/>
      <c r="L1061" s="173"/>
      <c r="M1061" s="174"/>
      <c r="N1061" s="177"/>
      <c r="O1061" s="176"/>
      <c r="P1061" s="177"/>
      <c r="Q1061" s="178"/>
      <c r="R1061" s="179"/>
      <c r="S1061" s="177"/>
      <c r="T1061" s="180"/>
      <c r="U1061" s="180"/>
      <c r="V1061" s="177"/>
      <c r="W1061" s="177"/>
      <c r="X1061" s="67"/>
    </row>
    <row r="1062" spans="1:24" ht="12.75" x14ac:dyDescent="0.2">
      <c r="A1062" s="34"/>
      <c r="B1062" s="173"/>
      <c r="C1062" s="173"/>
      <c r="D1062" s="174"/>
      <c r="E1062" s="173"/>
      <c r="F1062" s="173"/>
      <c r="G1062" s="176"/>
      <c r="H1062" s="174"/>
      <c r="J1062" s="174"/>
      <c r="K1062" s="173"/>
      <c r="L1062" s="173"/>
      <c r="M1062" s="174"/>
      <c r="N1062" s="177"/>
      <c r="O1062" s="176"/>
      <c r="P1062" s="177"/>
      <c r="Q1062" s="178"/>
      <c r="R1062" s="179"/>
      <c r="S1062" s="177"/>
      <c r="T1062" s="180"/>
      <c r="U1062" s="180"/>
      <c r="V1062" s="177"/>
      <c r="W1062" s="177"/>
      <c r="X1062" s="67"/>
    </row>
    <row r="1063" spans="1:24" ht="12.75" x14ac:dyDescent="0.2">
      <c r="A1063" s="34"/>
      <c r="B1063" s="173"/>
      <c r="C1063" s="173"/>
      <c r="D1063" s="174"/>
      <c r="E1063" s="173"/>
      <c r="F1063" s="173"/>
      <c r="G1063" s="176"/>
      <c r="H1063" s="174"/>
      <c r="J1063" s="174"/>
      <c r="K1063" s="173"/>
      <c r="L1063" s="173"/>
      <c r="M1063" s="174"/>
      <c r="N1063" s="177"/>
      <c r="O1063" s="176"/>
      <c r="P1063" s="177"/>
      <c r="Q1063" s="178"/>
      <c r="R1063" s="179"/>
      <c r="S1063" s="177"/>
      <c r="T1063" s="180"/>
      <c r="U1063" s="180"/>
      <c r="V1063" s="177"/>
      <c r="W1063" s="177"/>
      <c r="X1063" s="67"/>
    </row>
    <row r="1064" spans="1:24" ht="12.75" x14ac:dyDescent="0.2">
      <c r="A1064" s="34"/>
      <c r="B1064" s="173"/>
      <c r="C1064" s="173"/>
      <c r="D1064" s="174"/>
      <c r="E1064" s="173"/>
      <c r="F1064" s="173"/>
      <c r="G1064" s="176"/>
      <c r="H1064" s="174"/>
      <c r="J1064" s="174"/>
      <c r="K1064" s="173"/>
      <c r="L1064" s="173"/>
      <c r="M1064" s="174"/>
      <c r="N1064" s="177"/>
      <c r="O1064" s="176"/>
      <c r="P1064" s="177"/>
      <c r="Q1064" s="178"/>
      <c r="R1064" s="179"/>
      <c r="S1064" s="177"/>
      <c r="T1064" s="180"/>
      <c r="U1064" s="180"/>
      <c r="V1064" s="177"/>
      <c r="W1064" s="177"/>
      <c r="X1064" s="67"/>
    </row>
    <row r="1065" spans="1:24" ht="12.75" x14ac:dyDescent="0.2">
      <c r="A1065" s="34"/>
      <c r="B1065" s="173"/>
      <c r="C1065" s="173"/>
      <c r="D1065" s="174"/>
      <c r="E1065" s="173"/>
      <c r="F1065" s="173"/>
      <c r="G1065" s="176"/>
      <c r="H1065" s="174"/>
      <c r="J1065" s="174"/>
      <c r="K1065" s="173"/>
      <c r="L1065" s="173"/>
      <c r="M1065" s="174"/>
      <c r="N1065" s="177"/>
      <c r="O1065" s="176"/>
      <c r="P1065" s="177"/>
      <c r="Q1065" s="178"/>
      <c r="R1065" s="179"/>
      <c r="S1065" s="177"/>
      <c r="T1065" s="180"/>
      <c r="U1065" s="180"/>
      <c r="V1065" s="177"/>
      <c r="W1065" s="177"/>
      <c r="X1065" s="67"/>
    </row>
    <row r="1066" spans="1:24" ht="12.75" x14ac:dyDescent="0.2">
      <c r="A1066" s="34"/>
      <c r="B1066" s="173"/>
      <c r="C1066" s="173"/>
      <c r="D1066" s="174"/>
      <c r="E1066" s="173"/>
      <c r="F1066" s="173"/>
      <c r="G1066" s="176"/>
      <c r="H1066" s="174"/>
      <c r="J1066" s="174"/>
      <c r="K1066" s="173"/>
      <c r="L1066" s="173"/>
      <c r="M1066" s="174"/>
      <c r="N1066" s="177"/>
      <c r="O1066" s="176"/>
      <c r="P1066" s="177"/>
      <c r="Q1066" s="178"/>
      <c r="R1066" s="179"/>
      <c r="S1066" s="177"/>
      <c r="T1066" s="180"/>
      <c r="U1066" s="180"/>
      <c r="V1066" s="177"/>
      <c r="W1066" s="177"/>
      <c r="X1066" s="67"/>
    </row>
    <row r="1067" spans="1:24" ht="12.75" x14ac:dyDescent="0.2">
      <c r="A1067" s="34"/>
      <c r="B1067" s="173"/>
      <c r="C1067" s="173"/>
      <c r="D1067" s="174"/>
      <c r="E1067" s="173"/>
      <c r="F1067" s="173"/>
      <c r="G1067" s="176"/>
      <c r="H1067" s="174"/>
      <c r="J1067" s="174"/>
      <c r="K1067" s="173"/>
      <c r="L1067" s="173"/>
      <c r="M1067" s="174"/>
      <c r="N1067" s="177"/>
      <c r="O1067" s="176"/>
      <c r="P1067" s="177"/>
      <c r="Q1067" s="178"/>
      <c r="R1067" s="179"/>
      <c r="S1067" s="177"/>
      <c r="T1067" s="180"/>
      <c r="U1067" s="180"/>
      <c r="V1067" s="177"/>
      <c r="W1067" s="177"/>
      <c r="X1067" s="67"/>
    </row>
    <row r="1068" spans="1:24" ht="12.75" x14ac:dyDescent="0.2">
      <c r="A1068" s="34"/>
      <c r="B1068" s="173"/>
      <c r="C1068" s="173"/>
      <c r="D1068" s="174"/>
      <c r="E1068" s="173"/>
      <c r="F1068" s="173"/>
      <c r="G1068" s="176"/>
      <c r="H1068" s="174"/>
      <c r="J1068" s="174"/>
      <c r="K1068" s="173"/>
      <c r="L1068" s="173"/>
      <c r="M1068" s="174"/>
      <c r="N1068" s="177"/>
      <c r="O1068" s="176"/>
      <c r="P1068" s="177"/>
      <c r="Q1068" s="178"/>
      <c r="R1068" s="179"/>
      <c r="S1068" s="177"/>
      <c r="T1068" s="180"/>
      <c r="U1068" s="180"/>
      <c r="V1068" s="177"/>
      <c r="W1068" s="177"/>
      <c r="X1068" s="67"/>
    </row>
    <row r="1069" spans="1:24" ht="12.75" x14ac:dyDescent="0.2">
      <c r="A1069" s="34"/>
      <c r="B1069" s="173"/>
      <c r="C1069" s="173"/>
      <c r="D1069" s="174"/>
      <c r="E1069" s="173"/>
      <c r="F1069" s="173"/>
      <c r="G1069" s="176"/>
      <c r="H1069" s="174"/>
      <c r="J1069" s="174"/>
      <c r="K1069" s="173"/>
      <c r="L1069" s="173"/>
      <c r="M1069" s="174"/>
      <c r="N1069" s="177"/>
      <c r="O1069" s="176"/>
      <c r="P1069" s="177"/>
      <c r="Q1069" s="178"/>
      <c r="R1069" s="179"/>
      <c r="S1069" s="177"/>
      <c r="T1069" s="180"/>
      <c r="U1069" s="180"/>
      <c r="V1069" s="177"/>
      <c r="W1069" s="177"/>
      <c r="X1069" s="67"/>
    </row>
    <row r="1070" spans="1:24" ht="12.75" x14ac:dyDescent="0.2">
      <c r="A1070" s="34"/>
      <c r="B1070" s="173"/>
      <c r="C1070" s="173"/>
      <c r="D1070" s="174"/>
      <c r="E1070" s="173"/>
      <c r="F1070" s="173"/>
      <c r="G1070" s="176"/>
      <c r="H1070" s="174"/>
      <c r="J1070" s="174"/>
      <c r="K1070" s="173"/>
      <c r="L1070" s="173"/>
      <c r="M1070" s="174"/>
      <c r="N1070" s="177"/>
      <c r="O1070" s="176"/>
      <c r="P1070" s="177"/>
      <c r="Q1070" s="178"/>
      <c r="R1070" s="179"/>
      <c r="S1070" s="177"/>
      <c r="T1070" s="180"/>
      <c r="U1070" s="180"/>
      <c r="V1070" s="177"/>
      <c r="W1070" s="177"/>
      <c r="X1070" s="67"/>
    </row>
    <row r="1071" spans="1:24" ht="12.75" x14ac:dyDescent="0.2">
      <c r="A1071" s="34"/>
      <c r="B1071" s="173"/>
      <c r="C1071" s="173"/>
      <c r="D1071" s="174"/>
      <c r="E1071" s="173"/>
      <c r="F1071" s="173"/>
      <c r="G1071" s="176"/>
      <c r="H1071" s="174"/>
      <c r="J1071" s="174"/>
      <c r="K1071" s="173"/>
      <c r="L1071" s="173"/>
      <c r="M1071" s="174"/>
      <c r="N1071" s="177"/>
      <c r="O1071" s="176"/>
      <c r="P1071" s="177"/>
      <c r="Q1071" s="178"/>
      <c r="R1071" s="179"/>
      <c r="S1071" s="177"/>
      <c r="T1071" s="180"/>
      <c r="U1071" s="180"/>
      <c r="V1071" s="177"/>
      <c r="W1071" s="177"/>
      <c r="X1071" s="67"/>
    </row>
    <row r="1072" spans="1:24" ht="12.75" x14ac:dyDescent="0.2">
      <c r="A1072" s="34"/>
      <c r="B1072" s="173"/>
      <c r="C1072" s="173"/>
      <c r="D1072" s="174"/>
      <c r="E1072" s="173"/>
      <c r="F1072" s="173"/>
      <c r="G1072" s="176"/>
      <c r="H1072" s="174"/>
      <c r="J1072" s="174"/>
      <c r="K1072" s="173"/>
      <c r="L1072" s="173"/>
      <c r="M1072" s="174"/>
      <c r="N1072" s="177"/>
      <c r="O1072" s="176"/>
      <c r="P1072" s="177"/>
      <c r="Q1072" s="178"/>
      <c r="R1072" s="179"/>
      <c r="S1072" s="177"/>
      <c r="T1072" s="180"/>
      <c r="U1072" s="180"/>
      <c r="V1072" s="177"/>
      <c r="W1072" s="177"/>
      <c r="X1072" s="67"/>
    </row>
    <row r="1073" spans="1:24" ht="12.75" x14ac:dyDescent="0.2">
      <c r="A1073" s="34"/>
      <c r="B1073" s="173"/>
      <c r="C1073" s="173"/>
      <c r="D1073" s="174"/>
      <c r="E1073" s="173"/>
      <c r="F1073" s="173"/>
      <c r="G1073" s="176"/>
      <c r="H1073" s="174"/>
      <c r="J1073" s="174"/>
      <c r="K1073" s="173"/>
      <c r="L1073" s="173"/>
      <c r="M1073" s="174"/>
      <c r="N1073" s="177"/>
      <c r="O1073" s="176"/>
      <c r="P1073" s="177"/>
      <c r="Q1073" s="178"/>
      <c r="R1073" s="179"/>
      <c r="S1073" s="177"/>
      <c r="T1073" s="180"/>
      <c r="U1073" s="180"/>
      <c r="V1073" s="177"/>
      <c r="W1073" s="177"/>
      <c r="X1073" s="67"/>
    </row>
    <row r="1074" spans="1:24" ht="12.75" x14ac:dyDescent="0.2">
      <c r="A1074" s="34"/>
      <c r="B1074" s="173"/>
      <c r="C1074" s="173"/>
      <c r="D1074" s="174"/>
      <c r="E1074" s="173"/>
      <c r="F1074" s="173"/>
      <c r="G1074" s="176"/>
      <c r="H1074" s="174"/>
      <c r="J1074" s="174"/>
      <c r="K1074" s="173"/>
      <c r="L1074" s="173"/>
      <c r="M1074" s="174"/>
      <c r="N1074" s="177"/>
      <c r="O1074" s="176"/>
      <c r="P1074" s="177"/>
      <c r="Q1074" s="178"/>
      <c r="R1074" s="179"/>
      <c r="S1074" s="177"/>
      <c r="T1074" s="180"/>
      <c r="U1074" s="180"/>
      <c r="V1074" s="177"/>
      <c r="W1074" s="177"/>
      <c r="X1074" s="67"/>
    </row>
    <row r="1075" spans="1:24" ht="12.75" x14ac:dyDescent="0.2">
      <c r="A1075" s="34"/>
      <c r="B1075" s="173"/>
      <c r="C1075" s="173"/>
      <c r="D1075" s="174"/>
      <c r="E1075" s="173"/>
      <c r="F1075" s="173"/>
      <c r="G1075" s="176"/>
      <c r="H1075" s="174"/>
      <c r="J1075" s="174"/>
      <c r="K1075" s="173"/>
      <c r="L1075" s="173"/>
      <c r="M1075" s="174"/>
      <c r="N1075" s="177"/>
      <c r="O1075" s="176"/>
      <c r="P1075" s="177"/>
      <c r="Q1075" s="178"/>
      <c r="R1075" s="179"/>
      <c r="S1075" s="177"/>
      <c r="T1075" s="180"/>
      <c r="U1075" s="180"/>
      <c r="V1075" s="177"/>
      <c r="W1075" s="177"/>
      <c r="X1075" s="67"/>
    </row>
    <row r="1076" spans="1:24" ht="12.75" x14ac:dyDescent="0.2">
      <c r="A1076" s="34"/>
      <c r="B1076" s="173"/>
      <c r="C1076" s="173"/>
      <c r="D1076" s="174"/>
      <c r="E1076" s="173"/>
      <c r="F1076" s="173"/>
      <c r="G1076" s="176"/>
      <c r="H1076" s="174"/>
      <c r="J1076" s="174"/>
      <c r="K1076" s="173"/>
      <c r="L1076" s="173"/>
      <c r="M1076" s="174"/>
      <c r="N1076" s="177"/>
      <c r="O1076" s="176"/>
      <c r="P1076" s="177"/>
      <c r="Q1076" s="178"/>
      <c r="R1076" s="179"/>
      <c r="S1076" s="177"/>
      <c r="T1076" s="180"/>
      <c r="U1076" s="180"/>
      <c r="V1076" s="177"/>
      <c r="W1076" s="177"/>
      <c r="X1076" s="67"/>
    </row>
    <row r="1077" spans="1:24" ht="12.75" x14ac:dyDescent="0.2">
      <c r="A1077" s="34"/>
      <c r="B1077" s="173"/>
      <c r="C1077" s="173"/>
      <c r="D1077" s="174"/>
      <c r="E1077" s="173"/>
      <c r="F1077" s="173"/>
      <c r="G1077" s="176"/>
      <c r="H1077" s="174"/>
      <c r="J1077" s="174"/>
      <c r="K1077" s="173"/>
      <c r="L1077" s="173"/>
      <c r="M1077" s="174"/>
      <c r="N1077" s="177"/>
      <c r="O1077" s="176"/>
      <c r="P1077" s="177"/>
      <c r="Q1077" s="178"/>
      <c r="R1077" s="179"/>
      <c r="S1077" s="177"/>
      <c r="T1077" s="180"/>
      <c r="U1077" s="180"/>
      <c r="V1077" s="177"/>
      <c r="W1077" s="177"/>
      <c r="X1077" s="67"/>
    </row>
    <row r="1078" spans="1:24" ht="12.75" x14ac:dyDescent="0.2">
      <c r="A1078" s="34"/>
      <c r="B1078" s="173"/>
      <c r="C1078" s="173"/>
      <c r="D1078" s="174"/>
      <c r="E1078" s="173"/>
      <c r="F1078" s="173"/>
      <c r="G1078" s="176"/>
      <c r="H1078" s="174"/>
      <c r="J1078" s="174"/>
      <c r="K1078" s="173"/>
      <c r="L1078" s="173"/>
      <c r="M1078" s="174"/>
      <c r="N1078" s="177"/>
      <c r="O1078" s="176"/>
      <c r="P1078" s="177"/>
      <c r="Q1078" s="178"/>
      <c r="R1078" s="179"/>
      <c r="S1078" s="177"/>
      <c r="T1078" s="180"/>
      <c r="U1078" s="180"/>
      <c r="V1078" s="177"/>
      <c r="W1078" s="177"/>
      <c r="X1078" s="67"/>
    </row>
    <row r="1079" spans="1:24" ht="12.75" x14ac:dyDescent="0.2">
      <c r="A1079" s="34"/>
      <c r="B1079" s="173"/>
      <c r="C1079" s="173"/>
      <c r="D1079" s="174"/>
      <c r="E1079" s="173"/>
      <c r="F1079" s="173"/>
      <c r="G1079" s="176"/>
      <c r="H1079" s="174"/>
      <c r="J1079" s="174"/>
      <c r="K1079" s="173"/>
      <c r="L1079" s="173"/>
      <c r="M1079" s="174"/>
      <c r="N1079" s="177"/>
      <c r="O1079" s="176"/>
      <c r="P1079" s="177"/>
      <c r="Q1079" s="178"/>
      <c r="R1079" s="179"/>
      <c r="S1079" s="177"/>
      <c r="T1079" s="180"/>
      <c r="U1079" s="180"/>
      <c r="V1079" s="177"/>
      <c r="W1079" s="177"/>
      <c r="X1079" s="67"/>
    </row>
    <row r="1080" spans="1:24" ht="12.75" x14ac:dyDescent="0.2">
      <c r="A1080" s="34"/>
      <c r="B1080" s="173"/>
      <c r="C1080" s="173"/>
      <c r="D1080" s="174"/>
      <c r="E1080" s="173"/>
      <c r="F1080" s="173"/>
      <c r="G1080" s="176"/>
      <c r="H1080" s="174"/>
      <c r="J1080" s="174"/>
      <c r="K1080" s="173"/>
      <c r="L1080" s="173"/>
      <c r="M1080" s="174"/>
      <c r="N1080" s="177"/>
      <c r="O1080" s="176"/>
      <c r="P1080" s="177"/>
      <c r="Q1080" s="178"/>
      <c r="R1080" s="179"/>
      <c r="S1080" s="177"/>
      <c r="T1080" s="180"/>
      <c r="U1080" s="180"/>
      <c r="V1080" s="177"/>
      <c r="W1080" s="177"/>
      <c r="X1080" s="67"/>
    </row>
    <row r="1081" spans="1:24" ht="12.75" x14ac:dyDescent="0.2">
      <c r="A1081" s="34"/>
      <c r="B1081" s="173"/>
      <c r="C1081" s="173"/>
      <c r="D1081" s="174"/>
      <c r="E1081" s="173"/>
      <c r="F1081" s="173"/>
      <c r="G1081" s="176"/>
      <c r="H1081" s="174"/>
      <c r="J1081" s="174"/>
      <c r="K1081" s="173"/>
      <c r="L1081" s="173"/>
      <c r="M1081" s="174"/>
      <c r="N1081" s="177"/>
      <c r="O1081" s="176"/>
      <c r="P1081" s="177"/>
      <c r="Q1081" s="178"/>
      <c r="R1081" s="179"/>
      <c r="S1081" s="177"/>
      <c r="T1081" s="180"/>
      <c r="U1081" s="180"/>
      <c r="V1081" s="177"/>
      <c r="W1081" s="177"/>
      <c r="X1081" s="67"/>
    </row>
    <row r="1082" spans="1:24" ht="12.75" x14ac:dyDescent="0.2">
      <c r="A1082" s="34"/>
      <c r="B1082" s="173"/>
      <c r="C1082" s="173"/>
      <c r="D1082" s="174"/>
      <c r="E1082" s="173"/>
      <c r="F1082" s="173"/>
      <c r="G1082" s="176"/>
      <c r="H1082" s="174"/>
      <c r="J1082" s="174"/>
      <c r="K1082" s="173"/>
      <c r="L1082" s="173"/>
      <c r="M1082" s="174"/>
      <c r="N1082" s="177"/>
      <c r="O1082" s="176"/>
      <c r="P1082" s="177"/>
      <c r="Q1082" s="178"/>
      <c r="R1082" s="179"/>
      <c r="S1082" s="177"/>
      <c r="T1082" s="180"/>
      <c r="U1082" s="180"/>
      <c r="V1082" s="177"/>
      <c r="W1082" s="177"/>
      <c r="X1082" s="67"/>
    </row>
    <row r="1083" spans="1:24" ht="12.75" x14ac:dyDescent="0.2">
      <c r="A1083" s="34"/>
      <c r="B1083" s="173"/>
      <c r="C1083" s="173"/>
      <c r="D1083" s="174"/>
      <c r="E1083" s="173"/>
      <c r="F1083" s="173"/>
      <c r="G1083" s="176"/>
      <c r="H1083" s="174"/>
      <c r="J1083" s="174"/>
      <c r="K1083" s="173"/>
      <c r="L1083" s="173"/>
      <c r="M1083" s="174"/>
      <c r="N1083" s="177"/>
      <c r="O1083" s="176"/>
      <c r="P1083" s="177"/>
      <c r="Q1083" s="178"/>
      <c r="R1083" s="179"/>
      <c r="S1083" s="177"/>
      <c r="T1083" s="180"/>
      <c r="U1083" s="180"/>
      <c r="V1083" s="177"/>
      <c r="W1083" s="177"/>
      <c r="X1083" s="67"/>
    </row>
    <row r="1084" spans="1:24" ht="12.75" x14ac:dyDescent="0.2">
      <c r="A1084" s="34"/>
      <c r="B1084" s="173"/>
      <c r="C1084" s="173"/>
      <c r="D1084" s="174"/>
      <c r="E1084" s="173"/>
      <c r="F1084" s="173"/>
      <c r="G1084" s="176"/>
      <c r="H1084" s="174"/>
      <c r="J1084" s="174"/>
      <c r="K1084" s="173"/>
      <c r="L1084" s="173"/>
      <c r="M1084" s="174"/>
      <c r="N1084" s="177"/>
      <c r="O1084" s="176"/>
      <c r="P1084" s="177"/>
      <c r="Q1084" s="178"/>
      <c r="R1084" s="179"/>
      <c r="S1084" s="177"/>
      <c r="T1084" s="180"/>
      <c r="U1084" s="180"/>
      <c r="V1084" s="177"/>
      <c r="W1084" s="177"/>
      <c r="X1084" s="67"/>
    </row>
    <row r="1085" spans="1:24" ht="12.75" x14ac:dyDescent="0.2">
      <c r="A1085" s="34"/>
      <c r="B1085" s="173"/>
      <c r="C1085" s="173"/>
      <c r="D1085" s="174"/>
      <c r="E1085" s="173"/>
      <c r="F1085" s="173"/>
      <c r="G1085" s="176"/>
      <c r="H1085" s="174"/>
      <c r="J1085" s="174"/>
      <c r="K1085" s="173"/>
      <c r="L1085" s="173"/>
      <c r="M1085" s="174"/>
      <c r="N1085" s="177"/>
      <c r="O1085" s="176"/>
      <c r="P1085" s="177"/>
      <c r="Q1085" s="178"/>
      <c r="R1085" s="179"/>
      <c r="S1085" s="177"/>
      <c r="T1085" s="180"/>
      <c r="U1085" s="180"/>
      <c r="V1085" s="177"/>
      <c r="W1085" s="177"/>
      <c r="X1085" s="67"/>
    </row>
    <row r="1086" spans="1:24" ht="12.75" x14ac:dyDescent="0.2">
      <c r="A1086" s="34"/>
      <c r="B1086" s="173"/>
      <c r="C1086" s="173"/>
      <c r="D1086" s="174"/>
      <c r="E1086" s="173"/>
      <c r="F1086" s="173"/>
      <c r="G1086" s="176"/>
      <c r="H1086" s="174"/>
      <c r="J1086" s="174"/>
      <c r="K1086" s="173"/>
      <c r="L1086" s="173"/>
      <c r="M1086" s="174"/>
      <c r="N1086" s="177"/>
      <c r="O1086" s="176"/>
      <c r="P1086" s="177"/>
      <c r="Q1086" s="178"/>
      <c r="R1086" s="179"/>
      <c r="S1086" s="177"/>
      <c r="T1086" s="180"/>
      <c r="U1086" s="180"/>
      <c r="V1086" s="177"/>
      <c r="W1086" s="177"/>
      <c r="X1086" s="67"/>
    </row>
    <row r="1087" spans="1:24" ht="12.75" x14ac:dyDescent="0.2">
      <c r="A1087" s="34"/>
      <c r="B1087" s="173"/>
      <c r="C1087" s="173"/>
      <c r="D1087" s="174"/>
      <c r="E1087" s="173"/>
      <c r="F1087" s="173"/>
      <c r="G1087" s="176"/>
      <c r="H1087" s="174"/>
      <c r="J1087" s="174"/>
      <c r="K1087" s="173"/>
      <c r="L1087" s="173"/>
      <c r="M1087" s="174"/>
      <c r="N1087" s="177"/>
      <c r="O1087" s="176"/>
      <c r="P1087" s="177"/>
      <c r="Q1087" s="178"/>
      <c r="R1087" s="179"/>
      <c r="S1087" s="177"/>
      <c r="T1087" s="180"/>
      <c r="U1087" s="180"/>
      <c r="V1087" s="177"/>
      <c r="W1087" s="177"/>
      <c r="X1087" s="67"/>
    </row>
    <row r="1088" spans="1:24" ht="12.75" x14ac:dyDescent="0.2">
      <c r="A1088" s="34"/>
      <c r="B1088" s="173"/>
      <c r="C1088" s="173"/>
      <c r="D1088" s="174"/>
      <c r="E1088" s="173"/>
      <c r="F1088" s="173"/>
      <c r="G1088" s="176"/>
      <c r="H1088" s="174"/>
      <c r="J1088" s="174"/>
      <c r="K1088" s="173"/>
      <c r="L1088" s="173"/>
      <c r="M1088" s="174"/>
      <c r="N1088" s="177"/>
      <c r="O1088" s="176"/>
      <c r="P1088" s="177"/>
      <c r="Q1088" s="178"/>
      <c r="R1088" s="179"/>
      <c r="S1088" s="177"/>
      <c r="T1088" s="180"/>
      <c r="U1088" s="180"/>
      <c r="V1088" s="177"/>
      <c r="W1088" s="177"/>
      <c r="X1088" s="67"/>
    </row>
    <row r="1089" spans="1:24" ht="12.75" x14ac:dyDescent="0.2">
      <c r="A1089" s="34"/>
      <c r="B1089" s="173"/>
      <c r="C1089" s="173"/>
      <c r="D1089" s="174"/>
      <c r="E1089" s="173"/>
      <c r="F1089" s="173"/>
      <c r="G1089" s="176"/>
      <c r="H1089" s="174"/>
      <c r="J1089" s="174"/>
      <c r="K1089" s="173"/>
      <c r="L1089" s="173"/>
      <c r="M1089" s="174"/>
      <c r="N1089" s="177"/>
      <c r="O1089" s="176"/>
      <c r="P1089" s="177"/>
      <c r="Q1089" s="178"/>
      <c r="R1089" s="179"/>
      <c r="S1089" s="177"/>
      <c r="T1089" s="180"/>
      <c r="U1089" s="180"/>
      <c r="V1089" s="177"/>
      <c r="W1089" s="177"/>
      <c r="X1089" s="67"/>
    </row>
    <row r="1090" spans="1:24" ht="12.75" x14ac:dyDescent="0.2">
      <c r="A1090" s="34"/>
      <c r="B1090" s="173"/>
      <c r="C1090" s="173"/>
      <c r="D1090" s="174"/>
      <c r="E1090" s="173"/>
      <c r="F1090" s="173"/>
      <c r="G1090" s="176"/>
      <c r="H1090" s="174"/>
      <c r="J1090" s="174"/>
      <c r="K1090" s="173"/>
      <c r="L1090" s="173"/>
      <c r="M1090" s="174"/>
      <c r="N1090" s="177"/>
      <c r="O1090" s="176"/>
      <c r="P1090" s="177"/>
      <c r="Q1090" s="178"/>
      <c r="R1090" s="179"/>
      <c r="S1090" s="177"/>
      <c r="T1090" s="180"/>
      <c r="U1090" s="180"/>
      <c r="V1090" s="177"/>
      <c r="W1090" s="177"/>
      <c r="X1090" s="67"/>
    </row>
    <row r="1091" spans="1:24" ht="12.75" x14ac:dyDescent="0.2">
      <c r="A1091" s="34"/>
      <c r="B1091" s="173"/>
      <c r="C1091" s="173"/>
      <c r="D1091" s="174"/>
      <c r="E1091" s="173"/>
      <c r="F1091" s="173"/>
      <c r="G1091" s="176"/>
      <c r="H1091" s="174"/>
      <c r="J1091" s="174"/>
      <c r="K1091" s="173"/>
      <c r="L1091" s="173"/>
      <c r="M1091" s="174"/>
      <c r="N1091" s="177"/>
      <c r="O1091" s="176"/>
      <c r="P1091" s="177"/>
      <c r="Q1091" s="178"/>
      <c r="R1091" s="179"/>
      <c r="S1091" s="177"/>
      <c r="T1091" s="180"/>
      <c r="U1091" s="180"/>
      <c r="V1091" s="177"/>
      <c r="W1091" s="177"/>
      <c r="X1091" s="67"/>
    </row>
    <row r="1092" spans="1:24" ht="12.75" x14ac:dyDescent="0.2">
      <c r="A1092" s="34"/>
      <c r="B1092" s="173"/>
      <c r="C1092" s="173"/>
      <c r="D1092" s="174"/>
      <c r="E1092" s="173"/>
      <c r="F1092" s="173"/>
      <c r="G1092" s="176"/>
      <c r="H1092" s="174"/>
      <c r="J1092" s="174"/>
      <c r="K1092" s="173"/>
      <c r="L1092" s="173"/>
      <c r="M1092" s="174"/>
      <c r="N1092" s="177"/>
      <c r="O1092" s="176"/>
      <c r="P1092" s="177"/>
      <c r="Q1092" s="178"/>
      <c r="R1092" s="179"/>
      <c r="S1092" s="177"/>
      <c r="T1092" s="180"/>
      <c r="U1092" s="180"/>
      <c r="V1092" s="177"/>
      <c r="W1092" s="177"/>
      <c r="X1092" s="67"/>
    </row>
    <row r="1093" spans="1:24" ht="12.75" x14ac:dyDescent="0.2">
      <c r="A1093" s="34"/>
      <c r="B1093" s="173"/>
      <c r="C1093" s="173"/>
      <c r="D1093" s="174"/>
      <c r="E1093" s="173"/>
      <c r="F1093" s="173"/>
      <c r="G1093" s="176"/>
      <c r="H1093" s="174"/>
      <c r="J1093" s="174"/>
      <c r="K1093" s="173"/>
      <c r="L1093" s="173"/>
      <c r="M1093" s="174"/>
      <c r="N1093" s="177"/>
      <c r="O1093" s="176"/>
      <c r="P1093" s="177"/>
      <c r="Q1093" s="178"/>
      <c r="R1093" s="179"/>
      <c r="S1093" s="177"/>
      <c r="T1093" s="180"/>
      <c r="U1093" s="180"/>
      <c r="V1093" s="177"/>
      <c r="W1093" s="177"/>
      <c r="X1093" s="67"/>
    </row>
    <row r="1094" spans="1:24" ht="12.75" x14ac:dyDescent="0.2">
      <c r="A1094" s="34"/>
      <c r="B1094" s="173"/>
      <c r="C1094" s="173"/>
      <c r="D1094" s="174"/>
      <c r="E1094" s="173"/>
      <c r="F1094" s="173"/>
      <c r="G1094" s="176"/>
      <c r="H1094" s="174"/>
      <c r="J1094" s="174"/>
      <c r="K1094" s="173"/>
      <c r="L1094" s="173"/>
      <c r="M1094" s="174"/>
      <c r="N1094" s="177"/>
      <c r="O1094" s="176"/>
      <c r="P1094" s="177"/>
      <c r="Q1094" s="178"/>
      <c r="R1094" s="179"/>
      <c r="S1094" s="177"/>
      <c r="T1094" s="180"/>
      <c r="U1094" s="180"/>
      <c r="V1094" s="177"/>
      <c r="W1094" s="177"/>
      <c r="X1094" s="67"/>
    </row>
    <row r="1095" spans="1:24" ht="12.75" x14ac:dyDescent="0.2">
      <c r="A1095" s="34"/>
      <c r="B1095" s="173"/>
      <c r="C1095" s="173"/>
      <c r="D1095" s="174"/>
      <c r="E1095" s="173"/>
      <c r="F1095" s="173"/>
      <c r="G1095" s="176"/>
      <c r="H1095" s="174"/>
      <c r="J1095" s="174"/>
      <c r="K1095" s="173"/>
      <c r="L1095" s="173"/>
      <c r="M1095" s="174"/>
      <c r="N1095" s="177"/>
      <c r="O1095" s="176"/>
      <c r="P1095" s="177"/>
      <c r="Q1095" s="178"/>
      <c r="R1095" s="179"/>
      <c r="S1095" s="177"/>
      <c r="T1095" s="180"/>
      <c r="U1095" s="180"/>
      <c r="V1095" s="177"/>
      <c r="W1095" s="177"/>
      <c r="X1095" s="67"/>
    </row>
    <row r="1096" spans="1:24" ht="12.75" x14ac:dyDescent="0.2">
      <c r="A1096" s="34"/>
      <c r="B1096" s="173"/>
      <c r="C1096" s="173"/>
      <c r="D1096" s="174"/>
      <c r="E1096" s="173"/>
      <c r="F1096" s="173"/>
      <c r="G1096" s="176"/>
      <c r="H1096" s="174"/>
      <c r="J1096" s="174"/>
      <c r="K1096" s="173"/>
      <c r="L1096" s="173"/>
      <c r="M1096" s="174"/>
      <c r="N1096" s="177"/>
      <c r="O1096" s="176"/>
      <c r="P1096" s="177"/>
      <c r="Q1096" s="178"/>
      <c r="R1096" s="179"/>
      <c r="S1096" s="177"/>
      <c r="T1096" s="180"/>
      <c r="U1096" s="180"/>
      <c r="V1096" s="177"/>
      <c r="W1096" s="177"/>
      <c r="X1096" s="67"/>
    </row>
    <row r="1097" spans="1:24" ht="12.75" x14ac:dyDescent="0.2">
      <c r="A1097" s="34"/>
      <c r="B1097" s="173"/>
      <c r="C1097" s="173"/>
      <c r="D1097" s="174"/>
      <c r="E1097" s="173"/>
      <c r="F1097" s="173"/>
      <c r="G1097" s="176"/>
      <c r="H1097" s="174"/>
      <c r="J1097" s="174"/>
      <c r="K1097" s="173"/>
      <c r="L1097" s="173"/>
      <c r="M1097" s="174"/>
      <c r="N1097" s="177"/>
      <c r="O1097" s="176"/>
      <c r="P1097" s="177"/>
      <c r="Q1097" s="178"/>
      <c r="R1097" s="179"/>
      <c r="S1097" s="177"/>
      <c r="T1097" s="180"/>
      <c r="U1097" s="180"/>
      <c r="V1097" s="177"/>
      <c r="W1097" s="177"/>
      <c r="X1097" s="67"/>
    </row>
    <row r="1098" spans="1:24" ht="12.75" x14ac:dyDescent="0.2">
      <c r="A1098" s="34"/>
      <c r="B1098" s="173"/>
      <c r="C1098" s="173"/>
      <c r="D1098" s="174"/>
      <c r="E1098" s="173"/>
      <c r="F1098" s="173"/>
      <c r="G1098" s="176"/>
      <c r="H1098" s="174"/>
      <c r="J1098" s="174"/>
      <c r="K1098" s="173"/>
      <c r="L1098" s="173"/>
      <c r="M1098" s="174"/>
      <c r="N1098" s="177"/>
      <c r="O1098" s="176"/>
      <c r="P1098" s="177"/>
      <c r="Q1098" s="178"/>
      <c r="R1098" s="179"/>
      <c r="S1098" s="177"/>
      <c r="T1098" s="180"/>
      <c r="U1098" s="180"/>
      <c r="V1098" s="177"/>
      <c r="W1098" s="177"/>
      <c r="X1098" s="67"/>
    </row>
    <row r="1099" spans="1:24" ht="12.75" x14ac:dyDescent="0.2">
      <c r="A1099" s="34"/>
      <c r="B1099" s="173"/>
      <c r="C1099" s="173"/>
      <c r="D1099" s="174"/>
      <c r="E1099" s="173"/>
      <c r="F1099" s="173"/>
      <c r="G1099" s="176"/>
      <c r="H1099" s="174"/>
      <c r="J1099" s="174"/>
      <c r="K1099" s="173"/>
      <c r="L1099" s="173"/>
      <c r="M1099" s="174"/>
      <c r="N1099" s="177"/>
      <c r="O1099" s="176"/>
      <c r="P1099" s="177"/>
      <c r="Q1099" s="178"/>
      <c r="R1099" s="179"/>
      <c r="S1099" s="177"/>
      <c r="T1099" s="180"/>
      <c r="U1099" s="180"/>
      <c r="V1099" s="177"/>
      <c r="W1099" s="177"/>
      <c r="X1099" s="67"/>
    </row>
    <row r="1100" spans="1:24" ht="12.75" x14ac:dyDescent="0.2">
      <c r="A1100" s="34"/>
      <c r="B1100" s="173"/>
      <c r="C1100" s="173"/>
      <c r="D1100" s="174"/>
      <c r="E1100" s="173"/>
      <c r="F1100" s="173"/>
      <c r="G1100" s="176"/>
      <c r="H1100" s="174"/>
      <c r="J1100" s="174"/>
      <c r="K1100" s="173"/>
      <c r="L1100" s="173"/>
      <c r="M1100" s="174"/>
      <c r="N1100" s="177"/>
      <c r="O1100" s="176"/>
      <c r="P1100" s="177"/>
      <c r="Q1100" s="178"/>
      <c r="R1100" s="179"/>
      <c r="S1100" s="177"/>
      <c r="T1100" s="180"/>
      <c r="U1100" s="180"/>
      <c r="V1100" s="177"/>
      <c r="W1100" s="177"/>
      <c r="X1100" s="67"/>
    </row>
    <row r="1101" spans="1:24" ht="12.75" x14ac:dyDescent="0.2">
      <c r="A1101" s="34"/>
      <c r="B1101" s="173"/>
      <c r="C1101" s="173"/>
      <c r="D1101" s="174"/>
      <c r="E1101" s="173"/>
      <c r="F1101" s="173"/>
      <c r="G1101" s="176"/>
      <c r="H1101" s="174"/>
      <c r="J1101" s="174"/>
      <c r="K1101" s="173"/>
      <c r="L1101" s="173"/>
      <c r="M1101" s="174"/>
      <c r="N1101" s="177"/>
      <c r="O1101" s="176"/>
      <c r="P1101" s="177"/>
      <c r="Q1101" s="178"/>
      <c r="R1101" s="179"/>
      <c r="S1101" s="177"/>
      <c r="T1101" s="180"/>
      <c r="U1101" s="180"/>
      <c r="V1101" s="177"/>
      <c r="W1101" s="177"/>
      <c r="X1101" s="67"/>
    </row>
    <row r="1102" spans="1:24" ht="12.75" x14ac:dyDescent="0.2">
      <c r="A1102" s="34"/>
      <c r="B1102" s="173"/>
      <c r="C1102" s="173"/>
      <c r="D1102" s="174"/>
      <c r="E1102" s="173"/>
      <c r="F1102" s="173"/>
      <c r="G1102" s="176"/>
      <c r="H1102" s="174"/>
      <c r="J1102" s="174"/>
      <c r="K1102" s="173"/>
      <c r="L1102" s="173"/>
      <c r="M1102" s="174"/>
      <c r="N1102" s="177"/>
      <c r="O1102" s="176"/>
      <c r="P1102" s="177"/>
      <c r="Q1102" s="178"/>
      <c r="R1102" s="179"/>
      <c r="S1102" s="177"/>
      <c r="T1102" s="180"/>
      <c r="U1102" s="180"/>
      <c r="V1102" s="177"/>
      <c r="W1102" s="177"/>
      <c r="X1102" s="67"/>
    </row>
    <row r="1103" spans="1:24" ht="12.75" x14ac:dyDescent="0.2">
      <c r="A1103" s="34"/>
      <c r="B1103" s="173"/>
      <c r="C1103" s="173"/>
      <c r="D1103" s="174"/>
      <c r="E1103" s="173"/>
      <c r="F1103" s="173"/>
      <c r="G1103" s="176"/>
      <c r="H1103" s="174"/>
      <c r="J1103" s="174"/>
      <c r="K1103" s="173"/>
      <c r="L1103" s="173"/>
      <c r="M1103" s="174"/>
      <c r="N1103" s="177"/>
      <c r="O1103" s="176"/>
      <c r="P1103" s="177"/>
      <c r="Q1103" s="178"/>
      <c r="R1103" s="179"/>
      <c r="S1103" s="177"/>
      <c r="T1103" s="180"/>
      <c r="U1103" s="180"/>
      <c r="V1103" s="177"/>
      <c r="W1103" s="177"/>
      <c r="X1103" s="67"/>
    </row>
    <row r="1104" spans="1:24" ht="12.75" x14ac:dyDescent="0.2">
      <c r="A1104" s="34"/>
      <c r="B1104" s="173"/>
      <c r="C1104" s="173"/>
      <c r="D1104" s="174"/>
      <c r="E1104" s="173"/>
      <c r="F1104" s="173"/>
      <c r="G1104" s="176"/>
      <c r="H1104" s="174"/>
      <c r="J1104" s="174"/>
      <c r="K1104" s="173"/>
      <c r="L1104" s="173"/>
      <c r="M1104" s="174"/>
      <c r="N1104" s="177"/>
      <c r="O1104" s="176"/>
      <c r="P1104" s="177"/>
      <c r="Q1104" s="178"/>
      <c r="R1104" s="179"/>
      <c r="S1104" s="177"/>
      <c r="T1104" s="180"/>
      <c r="U1104" s="180"/>
      <c r="V1104" s="177"/>
      <c r="W1104" s="177"/>
      <c r="X1104" s="67"/>
    </row>
    <row r="1105" spans="1:24" ht="12.75" x14ac:dyDescent="0.2">
      <c r="A1105" s="34"/>
      <c r="B1105" s="173"/>
      <c r="C1105" s="173"/>
      <c r="D1105" s="174"/>
      <c r="E1105" s="173"/>
      <c r="F1105" s="173"/>
      <c r="G1105" s="176"/>
      <c r="H1105" s="174"/>
      <c r="J1105" s="174"/>
      <c r="K1105" s="173"/>
      <c r="L1105" s="173"/>
      <c r="M1105" s="174"/>
      <c r="N1105" s="177"/>
      <c r="O1105" s="176"/>
      <c r="P1105" s="177"/>
      <c r="Q1105" s="178"/>
      <c r="R1105" s="179"/>
      <c r="S1105" s="177"/>
      <c r="T1105" s="180"/>
      <c r="U1105" s="180"/>
      <c r="V1105" s="177"/>
      <c r="W1105" s="177"/>
      <c r="X1105" s="67"/>
    </row>
    <row r="1106" spans="1:24" ht="12.75" x14ac:dyDescent="0.2">
      <c r="A1106" s="34"/>
      <c r="B1106" s="173"/>
      <c r="C1106" s="173"/>
      <c r="D1106" s="174"/>
      <c r="E1106" s="173"/>
      <c r="F1106" s="173"/>
      <c r="G1106" s="176"/>
      <c r="H1106" s="174"/>
      <c r="J1106" s="174"/>
      <c r="K1106" s="173"/>
      <c r="L1106" s="173"/>
      <c r="M1106" s="174"/>
      <c r="N1106" s="177"/>
      <c r="O1106" s="176"/>
      <c r="P1106" s="177"/>
      <c r="Q1106" s="178"/>
      <c r="R1106" s="179"/>
      <c r="S1106" s="177"/>
      <c r="T1106" s="180"/>
      <c r="U1106" s="180"/>
      <c r="V1106" s="177"/>
      <c r="W1106" s="177"/>
      <c r="X1106" s="67"/>
    </row>
    <row r="1107" spans="1:24" ht="12.75" x14ac:dyDescent="0.2">
      <c r="A1107" s="34"/>
      <c r="B1107" s="173"/>
      <c r="C1107" s="173"/>
      <c r="D1107" s="174"/>
      <c r="E1107" s="173"/>
      <c r="F1107" s="173"/>
      <c r="G1107" s="176"/>
      <c r="H1107" s="174"/>
      <c r="J1107" s="174"/>
      <c r="K1107" s="173"/>
      <c r="L1107" s="173"/>
      <c r="M1107" s="174"/>
      <c r="N1107" s="177"/>
      <c r="O1107" s="176"/>
      <c r="P1107" s="177"/>
      <c r="Q1107" s="178"/>
      <c r="R1107" s="179"/>
      <c r="S1107" s="177"/>
      <c r="T1107" s="180"/>
      <c r="U1107" s="180"/>
      <c r="V1107" s="177"/>
      <c r="W1107" s="177"/>
      <c r="X1107" s="67"/>
    </row>
    <row r="1108" spans="1:24" ht="12.75" x14ac:dyDescent="0.2">
      <c r="A1108" s="34"/>
      <c r="B1108" s="173"/>
      <c r="C1108" s="173"/>
      <c r="D1108" s="174"/>
      <c r="E1108" s="173"/>
      <c r="F1108" s="173"/>
      <c r="G1108" s="176"/>
      <c r="H1108" s="174"/>
      <c r="J1108" s="174"/>
      <c r="K1108" s="173"/>
      <c r="L1108" s="173"/>
      <c r="M1108" s="174"/>
      <c r="N1108" s="177"/>
      <c r="O1108" s="176"/>
      <c r="P1108" s="177"/>
      <c r="Q1108" s="178"/>
      <c r="R1108" s="179"/>
      <c r="S1108" s="177"/>
      <c r="T1108" s="180"/>
      <c r="U1108" s="180"/>
      <c r="V1108" s="177"/>
      <c r="W1108" s="177"/>
      <c r="X1108" s="67"/>
    </row>
    <row r="1109" spans="1:24" ht="12.75" x14ac:dyDescent="0.2">
      <c r="A1109" s="34"/>
      <c r="B1109" s="173"/>
      <c r="C1109" s="173"/>
      <c r="D1109" s="174"/>
      <c r="E1109" s="173"/>
      <c r="F1109" s="173"/>
      <c r="G1109" s="176"/>
      <c r="H1109" s="174"/>
      <c r="J1109" s="174"/>
      <c r="K1109" s="173"/>
      <c r="L1109" s="173"/>
      <c r="M1109" s="174"/>
      <c r="N1109" s="177"/>
      <c r="O1109" s="176"/>
      <c r="P1109" s="177"/>
      <c r="Q1109" s="178"/>
      <c r="R1109" s="179"/>
      <c r="S1109" s="177"/>
      <c r="T1109" s="180"/>
      <c r="U1109" s="180"/>
      <c r="V1109" s="177"/>
      <c r="W1109" s="177"/>
      <c r="X1109" s="67"/>
    </row>
    <row r="1110" spans="1:24" ht="12.75" x14ac:dyDescent="0.2">
      <c r="A1110" s="34"/>
      <c r="B1110" s="173"/>
      <c r="C1110" s="173"/>
      <c r="D1110" s="174"/>
      <c r="E1110" s="173"/>
      <c r="F1110" s="173"/>
      <c r="G1110" s="176"/>
      <c r="H1110" s="174"/>
      <c r="J1110" s="174"/>
      <c r="K1110" s="173"/>
      <c r="L1110" s="173"/>
      <c r="M1110" s="174"/>
      <c r="N1110" s="177"/>
      <c r="O1110" s="176"/>
      <c r="P1110" s="177"/>
      <c r="Q1110" s="178"/>
      <c r="R1110" s="179"/>
      <c r="S1110" s="177"/>
      <c r="T1110" s="180"/>
      <c r="U1110" s="180"/>
      <c r="V1110" s="177"/>
      <c r="W1110" s="177"/>
      <c r="X1110" s="67"/>
    </row>
    <row r="1111" spans="1:24" ht="12.75" x14ac:dyDescent="0.2">
      <c r="A1111" s="34"/>
      <c r="B1111" s="173"/>
      <c r="C1111" s="173"/>
      <c r="D1111" s="174"/>
      <c r="E1111" s="173"/>
      <c r="F1111" s="173"/>
      <c r="G1111" s="176"/>
      <c r="H1111" s="174"/>
      <c r="J1111" s="174"/>
      <c r="K1111" s="173"/>
      <c r="L1111" s="173"/>
      <c r="M1111" s="174"/>
      <c r="N1111" s="177"/>
      <c r="O1111" s="176"/>
      <c r="P1111" s="177"/>
      <c r="Q1111" s="178"/>
      <c r="R1111" s="179"/>
      <c r="S1111" s="177"/>
      <c r="T1111" s="180"/>
      <c r="U1111" s="180"/>
      <c r="V1111" s="177"/>
      <c r="W1111" s="177"/>
      <c r="X1111" s="67"/>
    </row>
    <row r="1112" spans="1:24" ht="12.75" x14ac:dyDescent="0.2">
      <c r="A1112" s="34"/>
      <c r="B1112" s="173"/>
      <c r="C1112" s="173"/>
      <c r="D1112" s="174"/>
      <c r="E1112" s="173"/>
      <c r="F1112" s="173"/>
      <c r="G1112" s="176"/>
      <c r="H1112" s="174"/>
      <c r="J1112" s="174"/>
      <c r="K1112" s="173"/>
      <c r="L1112" s="173"/>
      <c r="M1112" s="174"/>
      <c r="N1112" s="177"/>
      <c r="O1112" s="176"/>
      <c r="P1112" s="177"/>
      <c r="Q1112" s="178"/>
      <c r="R1112" s="179"/>
      <c r="S1112" s="177"/>
      <c r="T1112" s="180"/>
      <c r="U1112" s="180"/>
      <c r="V1112" s="177"/>
      <c r="W1112" s="177"/>
      <c r="X1112" s="67"/>
    </row>
    <row r="1113" spans="1:24" ht="12.75" x14ac:dyDescent="0.2">
      <c r="A1113" s="34"/>
      <c r="B1113" s="173"/>
      <c r="C1113" s="173"/>
      <c r="D1113" s="174"/>
      <c r="E1113" s="173"/>
      <c r="F1113" s="173"/>
      <c r="G1113" s="176"/>
      <c r="H1113" s="174"/>
      <c r="J1113" s="174"/>
      <c r="K1113" s="173"/>
      <c r="L1113" s="173"/>
      <c r="M1113" s="174"/>
      <c r="N1113" s="177"/>
      <c r="O1113" s="176"/>
      <c r="P1113" s="177"/>
      <c r="Q1113" s="178"/>
      <c r="R1113" s="179"/>
      <c r="S1113" s="177"/>
      <c r="T1113" s="180"/>
      <c r="U1113" s="180"/>
      <c r="V1113" s="177"/>
      <c r="W1113" s="177"/>
      <c r="X1113" s="67"/>
    </row>
    <row r="1114" spans="1:24" ht="12.75" x14ac:dyDescent="0.2">
      <c r="A1114" s="34"/>
      <c r="B1114" s="173"/>
      <c r="C1114" s="173"/>
      <c r="D1114" s="174"/>
      <c r="E1114" s="173"/>
      <c r="F1114" s="173"/>
      <c r="G1114" s="176"/>
      <c r="H1114" s="174"/>
      <c r="J1114" s="174"/>
      <c r="K1114" s="173"/>
      <c r="L1114" s="173"/>
      <c r="M1114" s="174"/>
      <c r="N1114" s="177"/>
      <c r="O1114" s="176"/>
      <c r="P1114" s="177"/>
      <c r="Q1114" s="178"/>
      <c r="R1114" s="179"/>
      <c r="S1114" s="177"/>
      <c r="T1114" s="180"/>
      <c r="U1114" s="180"/>
      <c r="V1114" s="177"/>
      <c r="W1114" s="177"/>
      <c r="X1114" s="67"/>
    </row>
    <row r="1115" spans="1:24" ht="12.75" x14ac:dyDescent="0.2">
      <c r="A1115" s="34"/>
      <c r="B1115" s="173"/>
      <c r="C1115" s="173"/>
      <c r="D1115" s="174"/>
      <c r="E1115" s="173"/>
      <c r="F1115" s="173"/>
      <c r="G1115" s="176"/>
      <c r="H1115" s="174"/>
      <c r="J1115" s="174"/>
      <c r="K1115" s="173"/>
      <c r="L1115" s="173"/>
      <c r="M1115" s="174"/>
      <c r="N1115" s="177"/>
      <c r="O1115" s="176"/>
      <c r="P1115" s="177"/>
      <c r="Q1115" s="178"/>
      <c r="R1115" s="179"/>
      <c r="S1115" s="177"/>
      <c r="T1115" s="180"/>
      <c r="U1115" s="180"/>
      <c r="V1115" s="177"/>
      <c r="W1115" s="177"/>
      <c r="X1115" s="67"/>
    </row>
    <row r="1116" spans="1:24" ht="12.75" x14ac:dyDescent="0.2">
      <c r="A1116" s="34"/>
      <c r="B1116" s="173"/>
      <c r="C1116" s="173"/>
      <c r="D1116" s="174"/>
      <c r="E1116" s="173"/>
      <c r="F1116" s="173"/>
      <c r="G1116" s="176"/>
      <c r="H1116" s="174"/>
      <c r="J1116" s="174"/>
      <c r="K1116" s="173"/>
      <c r="L1116" s="173"/>
      <c r="M1116" s="174"/>
      <c r="N1116" s="177"/>
      <c r="O1116" s="176"/>
      <c r="P1116" s="177"/>
      <c r="Q1116" s="178"/>
      <c r="R1116" s="179"/>
      <c r="S1116" s="177"/>
      <c r="T1116" s="180"/>
      <c r="U1116" s="180"/>
      <c r="V1116" s="177"/>
      <c r="W1116" s="177"/>
      <c r="X1116" s="67"/>
    </row>
    <row r="1117" spans="1:24" ht="12.75" x14ac:dyDescent="0.2">
      <c r="A1117" s="34"/>
      <c r="B1117" s="173"/>
      <c r="C1117" s="173"/>
      <c r="D1117" s="174"/>
      <c r="E1117" s="173"/>
      <c r="F1117" s="173"/>
      <c r="G1117" s="176"/>
      <c r="H1117" s="174"/>
      <c r="J1117" s="174"/>
      <c r="K1117" s="173"/>
      <c r="L1117" s="173"/>
      <c r="M1117" s="174"/>
      <c r="N1117" s="177"/>
      <c r="O1117" s="176"/>
      <c r="P1117" s="177"/>
      <c r="Q1117" s="178"/>
      <c r="R1117" s="179"/>
      <c r="S1117" s="177"/>
      <c r="T1117" s="180"/>
      <c r="U1117" s="180"/>
      <c r="V1117" s="177"/>
      <c r="W1117" s="177"/>
      <c r="X1117" s="67"/>
    </row>
    <row r="1118" spans="1:24" ht="12.75" x14ac:dyDescent="0.2">
      <c r="A1118" s="34"/>
      <c r="B1118" s="173"/>
      <c r="C1118" s="173"/>
      <c r="D1118" s="174"/>
      <c r="E1118" s="173"/>
      <c r="F1118" s="173"/>
      <c r="G1118" s="176"/>
      <c r="H1118" s="174"/>
      <c r="J1118" s="174"/>
      <c r="K1118" s="173"/>
      <c r="L1118" s="173"/>
      <c r="M1118" s="174"/>
      <c r="N1118" s="177"/>
      <c r="O1118" s="176"/>
      <c r="P1118" s="177"/>
      <c r="Q1118" s="178"/>
      <c r="R1118" s="179"/>
      <c r="S1118" s="177"/>
      <c r="T1118" s="180"/>
      <c r="U1118" s="180"/>
      <c r="V1118" s="177"/>
      <c r="W1118" s="177"/>
      <c r="X1118" s="67"/>
    </row>
    <row r="1119" spans="1:24" ht="12.75" x14ac:dyDescent="0.2">
      <c r="A1119" s="34"/>
      <c r="B1119" s="173"/>
      <c r="C1119" s="173"/>
      <c r="D1119" s="174"/>
      <c r="E1119" s="173"/>
      <c r="F1119" s="173"/>
      <c r="G1119" s="176"/>
      <c r="H1119" s="174"/>
      <c r="J1119" s="174"/>
      <c r="K1119" s="173"/>
      <c r="L1119" s="173"/>
      <c r="M1119" s="174"/>
      <c r="N1119" s="177"/>
      <c r="O1119" s="176"/>
      <c r="P1119" s="177"/>
      <c r="Q1119" s="178"/>
      <c r="R1119" s="179"/>
      <c r="S1119" s="177"/>
      <c r="T1119" s="180"/>
      <c r="U1119" s="180"/>
      <c r="V1119" s="177"/>
      <c r="W1119" s="177"/>
      <c r="X1119" s="67"/>
    </row>
    <row r="1120" spans="1:24" ht="12.75" x14ac:dyDescent="0.2">
      <c r="A1120" s="34"/>
      <c r="B1120" s="173"/>
      <c r="C1120" s="173"/>
      <c r="D1120" s="174"/>
      <c r="E1120" s="173"/>
      <c r="F1120" s="173"/>
      <c r="G1120" s="176"/>
      <c r="H1120" s="174"/>
      <c r="J1120" s="174"/>
      <c r="K1120" s="173"/>
      <c r="L1120" s="173"/>
      <c r="M1120" s="174"/>
      <c r="N1120" s="177"/>
      <c r="O1120" s="176"/>
      <c r="P1120" s="177"/>
      <c r="Q1120" s="178"/>
      <c r="R1120" s="179"/>
      <c r="S1120" s="177"/>
      <c r="T1120" s="180"/>
      <c r="U1120" s="180"/>
      <c r="V1120" s="177"/>
      <c r="W1120" s="177"/>
      <c r="X1120" s="67"/>
    </row>
    <row r="1121" spans="1:24" ht="12.75" x14ac:dyDescent="0.2">
      <c r="A1121" s="34"/>
      <c r="B1121" s="173"/>
      <c r="C1121" s="173"/>
      <c r="D1121" s="174"/>
      <c r="E1121" s="173"/>
      <c r="F1121" s="173"/>
      <c r="G1121" s="176"/>
      <c r="H1121" s="174"/>
      <c r="J1121" s="174"/>
      <c r="K1121" s="173"/>
      <c r="L1121" s="173"/>
      <c r="M1121" s="174"/>
      <c r="N1121" s="177"/>
      <c r="O1121" s="176"/>
      <c r="P1121" s="177"/>
      <c r="Q1121" s="178"/>
      <c r="R1121" s="179"/>
      <c r="S1121" s="177"/>
      <c r="T1121" s="180"/>
      <c r="U1121" s="180"/>
      <c r="V1121" s="177"/>
      <c r="W1121" s="177"/>
      <c r="X1121" s="67"/>
    </row>
    <row r="1122" spans="1:24" ht="12.75" x14ac:dyDescent="0.2">
      <c r="A1122" s="34"/>
      <c r="B1122" s="173"/>
      <c r="C1122" s="173"/>
      <c r="D1122" s="174"/>
      <c r="E1122" s="173"/>
      <c r="F1122" s="173"/>
      <c r="G1122" s="176"/>
      <c r="H1122" s="174"/>
      <c r="J1122" s="174"/>
      <c r="K1122" s="173"/>
      <c r="L1122" s="173"/>
      <c r="M1122" s="174"/>
      <c r="N1122" s="177"/>
      <c r="O1122" s="176"/>
      <c r="P1122" s="177"/>
      <c r="Q1122" s="178"/>
      <c r="R1122" s="179"/>
      <c r="S1122" s="177"/>
      <c r="T1122" s="180"/>
      <c r="U1122" s="180"/>
      <c r="V1122" s="177"/>
      <c r="W1122" s="177"/>
      <c r="X1122" s="67"/>
    </row>
    <row r="1123" spans="1:24" ht="12.75" x14ac:dyDescent="0.2">
      <c r="A1123" s="34"/>
      <c r="B1123" s="173"/>
      <c r="C1123" s="173"/>
      <c r="D1123" s="174"/>
      <c r="E1123" s="173"/>
      <c r="F1123" s="173"/>
      <c r="G1123" s="176"/>
      <c r="H1123" s="174"/>
      <c r="J1123" s="174"/>
      <c r="K1123" s="173"/>
      <c r="L1123" s="173"/>
      <c r="M1123" s="174"/>
      <c r="N1123" s="177"/>
      <c r="O1123" s="176"/>
      <c r="P1123" s="177"/>
      <c r="Q1123" s="178"/>
      <c r="R1123" s="179"/>
      <c r="S1123" s="177"/>
      <c r="T1123" s="180"/>
      <c r="U1123" s="180"/>
      <c r="V1123" s="177"/>
      <c r="W1123" s="177"/>
      <c r="X1123" s="67"/>
    </row>
    <row r="1124" spans="1:24" ht="12.75" x14ac:dyDescent="0.2">
      <c r="A1124" s="34"/>
      <c r="B1124" s="173"/>
      <c r="C1124" s="173"/>
      <c r="D1124" s="174"/>
      <c r="E1124" s="173"/>
      <c r="F1124" s="173"/>
      <c r="G1124" s="176"/>
      <c r="H1124" s="174"/>
      <c r="J1124" s="174"/>
      <c r="K1124" s="173"/>
      <c r="L1124" s="173"/>
      <c r="M1124" s="174"/>
      <c r="N1124" s="177"/>
      <c r="O1124" s="176"/>
      <c r="P1124" s="177"/>
      <c r="Q1124" s="178"/>
      <c r="R1124" s="179"/>
      <c r="S1124" s="177"/>
      <c r="T1124" s="180"/>
      <c r="U1124" s="180"/>
      <c r="V1124" s="177"/>
      <c r="W1124" s="177"/>
      <c r="X1124" s="67"/>
    </row>
    <row r="1125" spans="1:24" ht="12.75" x14ac:dyDescent="0.2">
      <c r="A1125" s="34"/>
      <c r="B1125" s="173"/>
      <c r="C1125" s="173"/>
      <c r="D1125" s="174"/>
      <c r="E1125" s="173"/>
      <c r="F1125" s="173"/>
      <c r="G1125" s="176"/>
      <c r="H1125" s="174"/>
      <c r="J1125" s="174"/>
      <c r="K1125" s="173"/>
      <c r="L1125" s="173"/>
      <c r="M1125" s="174"/>
      <c r="N1125" s="177"/>
      <c r="O1125" s="176"/>
      <c r="P1125" s="177"/>
      <c r="Q1125" s="178"/>
      <c r="R1125" s="179"/>
      <c r="S1125" s="177"/>
      <c r="T1125" s="180"/>
      <c r="U1125" s="180"/>
      <c r="V1125" s="177"/>
      <c r="W1125" s="177"/>
      <c r="X1125" s="67"/>
    </row>
    <row r="1126" spans="1:24" ht="12.75" x14ac:dyDescent="0.2">
      <c r="A1126" s="34"/>
      <c r="B1126" s="173"/>
      <c r="C1126" s="173"/>
      <c r="D1126" s="174"/>
      <c r="E1126" s="173"/>
      <c r="F1126" s="173"/>
      <c r="G1126" s="176"/>
      <c r="H1126" s="174"/>
      <c r="J1126" s="174"/>
      <c r="K1126" s="173"/>
      <c r="L1126" s="173"/>
      <c r="M1126" s="174"/>
      <c r="N1126" s="177"/>
      <c r="O1126" s="176"/>
      <c r="P1126" s="177"/>
      <c r="Q1126" s="178"/>
      <c r="R1126" s="179"/>
      <c r="S1126" s="177"/>
      <c r="T1126" s="180"/>
      <c r="U1126" s="180"/>
      <c r="V1126" s="177"/>
      <c r="W1126" s="177"/>
      <c r="X1126" s="67"/>
    </row>
    <row r="1127" spans="1:24" ht="12.75" x14ac:dyDescent="0.2">
      <c r="A1127" s="34"/>
      <c r="B1127" s="173"/>
      <c r="C1127" s="173"/>
      <c r="D1127" s="174"/>
      <c r="E1127" s="173"/>
      <c r="F1127" s="173"/>
      <c r="G1127" s="176"/>
      <c r="H1127" s="174"/>
      <c r="J1127" s="174"/>
      <c r="K1127" s="173"/>
      <c r="L1127" s="173"/>
      <c r="M1127" s="174"/>
      <c r="N1127" s="177"/>
      <c r="O1127" s="176"/>
      <c r="P1127" s="177"/>
      <c r="Q1127" s="178"/>
      <c r="R1127" s="179"/>
      <c r="S1127" s="177"/>
      <c r="T1127" s="180"/>
      <c r="U1127" s="180"/>
      <c r="V1127" s="177"/>
      <c r="W1127" s="177"/>
      <c r="X1127" s="67"/>
    </row>
    <row r="1128" spans="1:24" ht="12.75" x14ac:dyDescent="0.2">
      <c r="A1128" s="34"/>
      <c r="B1128" s="173"/>
      <c r="C1128" s="173"/>
      <c r="D1128" s="174"/>
      <c r="E1128" s="173"/>
      <c r="F1128" s="173"/>
      <c r="G1128" s="176"/>
      <c r="H1128" s="174"/>
      <c r="J1128" s="174"/>
      <c r="K1128" s="173"/>
      <c r="L1128" s="173"/>
      <c r="M1128" s="174"/>
      <c r="N1128" s="177"/>
      <c r="O1128" s="176"/>
      <c r="P1128" s="177"/>
      <c r="Q1128" s="178"/>
      <c r="R1128" s="179"/>
      <c r="S1128" s="177"/>
      <c r="T1128" s="180"/>
      <c r="U1128" s="180"/>
      <c r="V1128" s="177"/>
      <c r="W1128" s="177"/>
      <c r="X1128" s="67"/>
    </row>
    <row r="1129" spans="1:24" ht="12.75" x14ac:dyDescent="0.2">
      <c r="A1129" s="34"/>
      <c r="B1129" s="173"/>
      <c r="C1129" s="173"/>
      <c r="D1129" s="174"/>
      <c r="E1129" s="173"/>
      <c r="F1129" s="173"/>
      <c r="G1129" s="176"/>
      <c r="H1129" s="174"/>
      <c r="J1129" s="174"/>
      <c r="K1129" s="173"/>
      <c r="L1129" s="173"/>
      <c r="M1129" s="174"/>
      <c r="N1129" s="177"/>
      <c r="O1129" s="176"/>
      <c r="P1129" s="177"/>
      <c r="Q1129" s="178"/>
      <c r="R1129" s="179"/>
      <c r="S1129" s="177"/>
      <c r="T1129" s="180"/>
      <c r="U1129" s="180"/>
      <c r="V1129" s="177"/>
      <c r="W1129" s="177"/>
      <c r="X1129" s="67"/>
    </row>
    <row r="1130" spans="1:24" ht="12.75" x14ac:dyDescent="0.2">
      <c r="A1130" s="34"/>
      <c r="B1130" s="173"/>
      <c r="C1130" s="173"/>
      <c r="D1130" s="174"/>
      <c r="E1130" s="173"/>
      <c r="F1130" s="173"/>
      <c r="G1130" s="176"/>
      <c r="H1130" s="174"/>
      <c r="J1130" s="174"/>
      <c r="K1130" s="173"/>
      <c r="L1130" s="173"/>
      <c r="M1130" s="174"/>
      <c r="N1130" s="177"/>
      <c r="O1130" s="176"/>
      <c r="P1130" s="177"/>
      <c r="Q1130" s="178"/>
      <c r="R1130" s="179"/>
      <c r="S1130" s="177"/>
      <c r="T1130" s="180"/>
      <c r="U1130" s="180"/>
      <c r="V1130" s="177"/>
      <c r="W1130" s="177"/>
      <c r="X1130" s="67"/>
    </row>
    <row r="1131" spans="1:24" ht="12.75" x14ac:dyDescent="0.2">
      <c r="A1131" s="34"/>
      <c r="B1131" s="173"/>
      <c r="C1131" s="173"/>
      <c r="D1131" s="174"/>
      <c r="E1131" s="173"/>
      <c r="F1131" s="173"/>
      <c r="G1131" s="176"/>
      <c r="H1131" s="174"/>
      <c r="J1131" s="174"/>
      <c r="K1131" s="173"/>
      <c r="L1131" s="173"/>
      <c r="M1131" s="174"/>
      <c r="N1131" s="177"/>
      <c r="O1131" s="176"/>
      <c r="P1131" s="177"/>
      <c r="Q1131" s="178"/>
      <c r="R1131" s="179"/>
      <c r="S1131" s="177"/>
      <c r="T1131" s="180"/>
      <c r="U1131" s="180"/>
      <c r="V1131" s="177"/>
      <c r="W1131" s="177"/>
      <c r="X1131" s="67"/>
    </row>
    <row r="1132" spans="1:24" ht="12.75" x14ac:dyDescent="0.2">
      <c r="A1132" s="34"/>
      <c r="B1132" s="173"/>
      <c r="C1132" s="173"/>
      <c r="D1132" s="174"/>
      <c r="E1132" s="173"/>
      <c r="F1132" s="173"/>
      <c r="G1132" s="176"/>
      <c r="H1132" s="174"/>
      <c r="J1132" s="174"/>
      <c r="K1132" s="173"/>
      <c r="L1132" s="173"/>
      <c r="M1132" s="174"/>
      <c r="N1132" s="177"/>
      <c r="O1132" s="176"/>
      <c r="P1132" s="177"/>
      <c r="Q1132" s="178"/>
      <c r="R1132" s="179"/>
      <c r="S1132" s="177"/>
      <c r="T1132" s="180"/>
      <c r="U1132" s="180"/>
      <c r="V1132" s="177"/>
      <c r="W1132" s="177"/>
      <c r="X1132" s="67"/>
    </row>
    <row r="1133" spans="1:24" ht="12.75" x14ac:dyDescent="0.2">
      <c r="A1133" s="34"/>
      <c r="B1133" s="173"/>
      <c r="C1133" s="173"/>
      <c r="D1133" s="174"/>
      <c r="E1133" s="173"/>
      <c r="F1133" s="173"/>
      <c r="G1133" s="176"/>
      <c r="H1133" s="174"/>
      <c r="J1133" s="174"/>
      <c r="K1133" s="173"/>
      <c r="L1133" s="173"/>
      <c r="M1133" s="174"/>
      <c r="N1133" s="177"/>
      <c r="O1133" s="176"/>
      <c r="P1133" s="177"/>
      <c r="Q1133" s="178"/>
      <c r="R1133" s="179"/>
      <c r="S1133" s="177"/>
      <c r="T1133" s="180"/>
      <c r="U1133" s="180"/>
      <c r="V1133" s="177"/>
      <c r="W1133" s="177"/>
      <c r="X1133" s="67"/>
    </row>
    <row r="1134" spans="1:24" ht="12.75" x14ac:dyDescent="0.2">
      <c r="A1134" s="34"/>
      <c r="B1134" s="173"/>
      <c r="C1134" s="173"/>
      <c r="D1134" s="174"/>
      <c r="E1134" s="173"/>
      <c r="F1134" s="173"/>
      <c r="G1134" s="176"/>
      <c r="H1134" s="174"/>
      <c r="J1134" s="174"/>
      <c r="K1134" s="173"/>
      <c r="L1134" s="173"/>
      <c r="M1134" s="174"/>
      <c r="N1134" s="177"/>
      <c r="O1134" s="176"/>
      <c r="P1134" s="177"/>
      <c r="Q1134" s="178"/>
      <c r="R1134" s="179"/>
      <c r="S1134" s="177"/>
      <c r="T1134" s="180"/>
      <c r="U1134" s="180"/>
      <c r="V1134" s="177"/>
      <c r="W1134" s="177"/>
      <c r="X1134" s="67"/>
    </row>
    <row r="1135" spans="1:24" ht="12.75" x14ac:dyDescent="0.2">
      <c r="A1135" s="34"/>
      <c r="B1135" s="173"/>
      <c r="C1135" s="173"/>
      <c r="D1135" s="174"/>
      <c r="E1135" s="173"/>
      <c r="F1135" s="173"/>
      <c r="G1135" s="176"/>
      <c r="H1135" s="174"/>
      <c r="J1135" s="174"/>
      <c r="K1135" s="173"/>
      <c r="L1135" s="173"/>
      <c r="M1135" s="174"/>
      <c r="N1135" s="177"/>
      <c r="O1135" s="176"/>
      <c r="P1135" s="177"/>
      <c r="Q1135" s="178"/>
      <c r="R1135" s="179"/>
      <c r="S1135" s="177"/>
      <c r="T1135" s="180"/>
      <c r="U1135" s="180"/>
      <c r="V1135" s="177"/>
      <c r="W1135" s="177"/>
      <c r="X1135" s="67"/>
    </row>
    <row r="1136" spans="1:24" ht="12.75" x14ac:dyDescent="0.2">
      <c r="A1136" s="34"/>
      <c r="B1136" s="173"/>
      <c r="C1136" s="173"/>
      <c r="D1136" s="174"/>
      <c r="E1136" s="173"/>
      <c r="F1136" s="173"/>
      <c r="G1136" s="176"/>
      <c r="H1136" s="174"/>
      <c r="J1136" s="174"/>
      <c r="K1136" s="173"/>
      <c r="L1136" s="173"/>
      <c r="M1136" s="174"/>
      <c r="N1136" s="177"/>
      <c r="O1136" s="176"/>
      <c r="P1136" s="177"/>
      <c r="Q1136" s="178"/>
      <c r="R1136" s="179"/>
      <c r="S1136" s="177"/>
      <c r="T1136" s="180"/>
      <c r="U1136" s="180"/>
      <c r="V1136" s="177"/>
      <c r="W1136" s="177"/>
      <c r="X1136" s="67"/>
    </row>
    <row r="1137" spans="1:24" ht="12.75" x14ac:dyDescent="0.2">
      <c r="A1137" s="34"/>
      <c r="B1137" s="173"/>
      <c r="C1137" s="173"/>
      <c r="D1137" s="174"/>
      <c r="E1137" s="173"/>
      <c r="F1137" s="173"/>
      <c r="G1137" s="176"/>
      <c r="H1137" s="174"/>
      <c r="J1137" s="174"/>
      <c r="K1137" s="173"/>
      <c r="L1137" s="173"/>
      <c r="M1137" s="174"/>
      <c r="N1137" s="177"/>
      <c r="O1137" s="176"/>
      <c r="P1137" s="177"/>
      <c r="Q1137" s="178"/>
      <c r="R1137" s="179"/>
      <c r="S1137" s="177"/>
      <c r="T1137" s="180"/>
      <c r="U1137" s="180"/>
      <c r="V1137" s="177"/>
      <c r="W1137" s="177"/>
      <c r="X1137" s="67"/>
    </row>
    <row r="1138" spans="1:24" ht="12.75" x14ac:dyDescent="0.2">
      <c r="A1138" s="34"/>
      <c r="B1138" s="173"/>
      <c r="C1138" s="173"/>
      <c r="D1138" s="174"/>
      <c r="E1138" s="173"/>
      <c r="F1138" s="173"/>
      <c r="G1138" s="176"/>
      <c r="H1138" s="174"/>
      <c r="J1138" s="174"/>
      <c r="K1138" s="173"/>
      <c r="L1138" s="173"/>
      <c r="M1138" s="174"/>
      <c r="N1138" s="177"/>
      <c r="O1138" s="176"/>
      <c r="P1138" s="177"/>
      <c r="Q1138" s="178"/>
      <c r="R1138" s="179"/>
      <c r="S1138" s="177"/>
      <c r="T1138" s="180"/>
      <c r="U1138" s="180"/>
      <c r="V1138" s="177"/>
      <c r="W1138" s="177"/>
      <c r="X1138" s="67"/>
    </row>
    <row r="1139" spans="1:24" ht="12.75" x14ac:dyDescent="0.2">
      <c r="A1139" s="34"/>
      <c r="B1139" s="173"/>
      <c r="C1139" s="173"/>
      <c r="D1139" s="174"/>
      <c r="E1139" s="173"/>
      <c r="F1139" s="173"/>
      <c r="G1139" s="176"/>
      <c r="H1139" s="174"/>
      <c r="J1139" s="174"/>
      <c r="K1139" s="173"/>
      <c r="L1139" s="173"/>
      <c r="M1139" s="174"/>
      <c r="N1139" s="177"/>
      <c r="O1139" s="176"/>
      <c r="P1139" s="177"/>
      <c r="Q1139" s="178"/>
      <c r="R1139" s="179"/>
      <c r="S1139" s="177"/>
      <c r="T1139" s="180"/>
      <c r="U1139" s="180"/>
      <c r="V1139" s="177"/>
      <c r="W1139" s="177"/>
      <c r="X1139" s="67"/>
    </row>
    <row r="1140" spans="1:24" ht="12.75" x14ac:dyDescent="0.2">
      <c r="A1140" s="34"/>
      <c r="B1140" s="173"/>
      <c r="C1140" s="173"/>
      <c r="D1140" s="174"/>
      <c r="E1140" s="173"/>
      <c r="F1140" s="173"/>
      <c r="G1140" s="176"/>
      <c r="H1140" s="174"/>
      <c r="J1140" s="174"/>
      <c r="K1140" s="173"/>
      <c r="L1140" s="173"/>
      <c r="M1140" s="174"/>
      <c r="N1140" s="177"/>
      <c r="O1140" s="176"/>
      <c r="P1140" s="177"/>
      <c r="Q1140" s="178"/>
      <c r="R1140" s="179"/>
      <c r="S1140" s="177"/>
      <c r="T1140" s="180"/>
      <c r="U1140" s="180"/>
      <c r="V1140" s="177"/>
      <c r="W1140" s="177"/>
      <c r="X1140" s="67"/>
    </row>
    <row r="1141" spans="1:24" ht="12.75" x14ac:dyDescent="0.2">
      <c r="A1141" s="34"/>
      <c r="B1141" s="173"/>
      <c r="C1141" s="173"/>
      <c r="D1141" s="174"/>
      <c r="E1141" s="173"/>
      <c r="F1141" s="173"/>
      <c r="G1141" s="176"/>
      <c r="H1141" s="174"/>
      <c r="J1141" s="174"/>
      <c r="K1141" s="173"/>
      <c r="L1141" s="173"/>
      <c r="M1141" s="174"/>
      <c r="N1141" s="177"/>
      <c r="O1141" s="176"/>
      <c r="P1141" s="177"/>
      <c r="Q1141" s="178"/>
      <c r="R1141" s="179"/>
      <c r="S1141" s="177"/>
      <c r="T1141" s="180"/>
      <c r="U1141" s="180"/>
      <c r="V1141" s="177"/>
      <c r="W1141" s="177"/>
      <c r="X1141" s="67"/>
    </row>
    <row r="1142" spans="1:24" ht="12.75" x14ac:dyDescent="0.2">
      <c r="A1142" s="34"/>
      <c r="B1142" s="173"/>
      <c r="C1142" s="173"/>
      <c r="D1142" s="174"/>
      <c r="E1142" s="173"/>
      <c r="F1142" s="173"/>
      <c r="G1142" s="176"/>
      <c r="H1142" s="174"/>
      <c r="J1142" s="174"/>
      <c r="K1142" s="173"/>
      <c r="L1142" s="173"/>
      <c r="M1142" s="174"/>
      <c r="N1142" s="177"/>
      <c r="O1142" s="176"/>
      <c r="P1142" s="177"/>
      <c r="Q1142" s="178"/>
      <c r="R1142" s="179"/>
      <c r="S1142" s="177"/>
      <c r="T1142" s="180"/>
      <c r="U1142" s="180"/>
      <c r="V1142" s="177"/>
      <c r="W1142" s="177"/>
      <c r="X1142" s="67"/>
    </row>
    <row r="1143" spans="1:24" ht="12.75" x14ac:dyDescent="0.2">
      <c r="A1143" s="34"/>
      <c r="B1143" s="173"/>
      <c r="C1143" s="173"/>
      <c r="D1143" s="174"/>
      <c r="E1143" s="173"/>
      <c r="F1143" s="173"/>
      <c r="G1143" s="176"/>
      <c r="H1143" s="174"/>
      <c r="J1143" s="174"/>
      <c r="K1143" s="173"/>
      <c r="L1143" s="173"/>
      <c r="M1143" s="174"/>
      <c r="N1143" s="177"/>
      <c r="O1143" s="176"/>
      <c r="P1143" s="177"/>
      <c r="Q1143" s="178"/>
      <c r="R1143" s="179"/>
      <c r="S1143" s="177"/>
      <c r="T1143" s="180"/>
      <c r="U1143" s="180"/>
      <c r="V1143" s="177"/>
      <c r="W1143" s="177"/>
      <c r="X1143" s="67"/>
    </row>
    <row r="1144" spans="1:24" ht="12.75" x14ac:dyDescent="0.2">
      <c r="A1144" s="34"/>
      <c r="B1144" s="173"/>
      <c r="C1144" s="173"/>
      <c r="D1144" s="174"/>
      <c r="E1144" s="173"/>
      <c r="F1144" s="173"/>
      <c r="G1144" s="176"/>
      <c r="H1144" s="174"/>
      <c r="J1144" s="174"/>
      <c r="K1144" s="173"/>
      <c r="L1144" s="173"/>
      <c r="M1144" s="174"/>
      <c r="N1144" s="177"/>
      <c r="O1144" s="176"/>
      <c r="P1144" s="177"/>
      <c r="Q1144" s="178"/>
      <c r="R1144" s="179"/>
      <c r="S1144" s="177"/>
      <c r="T1144" s="180"/>
      <c r="U1144" s="180"/>
      <c r="V1144" s="177"/>
      <c r="W1144" s="177"/>
      <c r="X1144" s="67"/>
    </row>
    <row r="1145" spans="1:24" ht="12.75" x14ac:dyDescent="0.2">
      <c r="A1145" s="34"/>
      <c r="B1145" s="173"/>
      <c r="C1145" s="173"/>
      <c r="D1145" s="174"/>
      <c r="E1145" s="173"/>
      <c r="F1145" s="173"/>
      <c r="G1145" s="176"/>
      <c r="H1145" s="174"/>
      <c r="J1145" s="174"/>
      <c r="K1145" s="173"/>
      <c r="L1145" s="173"/>
      <c r="M1145" s="174"/>
      <c r="N1145" s="177"/>
      <c r="O1145" s="176"/>
      <c r="P1145" s="177"/>
      <c r="Q1145" s="178"/>
      <c r="R1145" s="179"/>
      <c r="S1145" s="177"/>
      <c r="T1145" s="180"/>
      <c r="U1145" s="180"/>
      <c r="V1145" s="177"/>
      <c r="W1145" s="177"/>
      <c r="X1145" s="67"/>
    </row>
    <row r="1146" spans="1:24" ht="12.75" x14ac:dyDescent="0.2">
      <c r="A1146" s="34"/>
      <c r="B1146" s="173"/>
      <c r="C1146" s="173"/>
      <c r="D1146" s="174"/>
      <c r="E1146" s="173"/>
      <c r="F1146" s="173"/>
      <c r="G1146" s="176"/>
      <c r="H1146" s="174"/>
      <c r="J1146" s="174"/>
      <c r="K1146" s="173"/>
      <c r="L1146" s="173"/>
      <c r="M1146" s="174"/>
      <c r="N1146" s="177"/>
      <c r="O1146" s="176"/>
      <c r="P1146" s="177"/>
      <c r="Q1146" s="178"/>
      <c r="R1146" s="179"/>
      <c r="S1146" s="177"/>
      <c r="T1146" s="180"/>
      <c r="U1146" s="180"/>
      <c r="V1146" s="177"/>
      <c r="W1146" s="177"/>
      <c r="X1146" s="67"/>
    </row>
    <row r="1147" spans="1:24" ht="12.75" x14ac:dyDescent="0.2">
      <c r="A1147" s="34"/>
      <c r="B1147" s="173"/>
      <c r="C1147" s="173"/>
      <c r="D1147" s="174"/>
      <c r="E1147" s="173"/>
      <c r="F1147" s="173"/>
      <c r="G1147" s="176"/>
      <c r="H1147" s="174"/>
      <c r="J1147" s="174"/>
      <c r="K1147" s="173"/>
      <c r="L1147" s="173"/>
      <c r="M1147" s="174"/>
      <c r="N1147" s="177"/>
      <c r="O1147" s="176"/>
      <c r="P1147" s="177"/>
      <c r="Q1147" s="178"/>
      <c r="R1147" s="179"/>
      <c r="S1147" s="177"/>
      <c r="T1147" s="180"/>
      <c r="U1147" s="180"/>
      <c r="V1147" s="177"/>
      <c r="W1147" s="177"/>
      <c r="X1147" s="67"/>
    </row>
    <row r="1148" spans="1:24" ht="12.75" x14ac:dyDescent="0.2">
      <c r="A1148" s="34"/>
      <c r="B1148" s="173"/>
      <c r="C1148" s="173"/>
      <c r="D1148" s="174"/>
      <c r="E1148" s="173"/>
      <c r="F1148" s="173"/>
      <c r="G1148" s="176"/>
      <c r="H1148" s="174"/>
      <c r="J1148" s="174"/>
      <c r="K1148" s="173"/>
      <c r="L1148" s="173"/>
      <c r="M1148" s="174"/>
      <c r="N1148" s="177"/>
      <c r="O1148" s="176"/>
      <c r="P1148" s="177"/>
      <c r="Q1148" s="178"/>
      <c r="R1148" s="179"/>
      <c r="S1148" s="177"/>
      <c r="T1148" s="180"/>
      <c r="U1148" s="180"/>
      <c r="V1148" s="177"/>
      <c r="W1148" s="177"/>
      <c r="X1148" s="67"/>
    </row>
    <row r="1149" spans="1:24" ht="12.75" x14ac:dyDescent="0.2">
      <c r="A1149" s="34"/>
      <c r="B1149" s="173"/>
      <c r="C1149" s="173"/>
      <c r="D1149" s="174"/>
      <c r="E1149" s="173"/>
      <c r="F1149" s="173"/>
      <c r="G1149" s="176"/>
      <c r="H1149" s="174"/>
      <c r="J1149" s="174"/>
      <c r="K1149" s="173"/>
      <c r="L1149" s="173"/>
      <c r="M1149" s="174"/>
      <c r="N1149" s="177"/>
      <c r="O1149" s="176"/>
      <c r="P1149" s="177"/>
      <c r="Q1149" s="178"/>
      <c r="R1149" s="179"/>
      <c r="S1149" s="177"/>
      <c r="T1149" s="180"/>
      <c r="U1149" s="180"/>
      <c r="V1149" s="177"/>
      <c r="W1149" s="177"/>
      <c r="X1149" s="67"/>
    </row>
    <row r="1150" spans="1:24" ht="12.75" x14ac:dyDescent="0.2">
      <c r="A1150" s="34"/>
      <c r="B1150" s="173"/>
      <c r="C1150" s="173"/>
      <c r="D1150" s="174"/>
      <c r="E1150" s="173"/>
      <c r="F1150" s="173"/>
      <c r="G1150" s="176"/>
      <c r="H1150" s="174"/>
      <c r="J1150" s="174"/>
      <c r="K1150" s="173"/>
      <c r="L1150" s="173"/>
      <c r="M1150" s="174"/>
      <c r="N1150" s="177"/>
      <c r="O1150" s="176"/>
      <c r="P1150" s="177"/>
      <c r="Q1150" s="178"/>
      <c r="R1150" s="179"/>
      <c r="S1150" s="177"/>
      <c r="T1150" s="180"/>
      <c r="U1150" s="180"/>
      <c r="V1150" s="177"/>
      <c r="W1150" s="177"/>
      <c r="X1150" s="67"/>
    </row>
    <row r="1151" spans="1:24" ht="12.75" x14ac:dyDescent="0.2">
      <c r="A1151" s="34"/>
      <c r="B1151" s="173"/>
      <c r="C1151" s="173"/>
      <c r="D1151" s="174"/>
      <c r="E1151" s="173"/>
      <c r="F1151" s="173"/>
      <c r="G1151" s="176"/>
      <c r="H1151" s="174"/>
      <c r="J1151" s="174"/>
      <c r="K1151" s="173"/>
      <c r="L1151" s="173"/>
      <c r="M1151" s="174"/>
      <c r="N1151" s="177"/>
      <c r="O1151" s="176"/>
      <c r="P1151" s="177"/>
      <c r="Q1151" s="178"/>
      <c r="R1151" s="179"/>
      <c r="S1151" s="177"/>
      <c r="T1151" s="180"/>
      <c r="U1151" s="180"/>
      <c r="V1151" s="177"/>
      <c r="W1151" s="177"/>
      <c r="X1151" s="67"/>
    </row>
    <row r="1152" spans="1:24" ht="12.75" x14ac:dyDescent="0.2">
      <c r="A1152" s="34"/>
      <c r="B1152" s="173"/>
      <c r="C1152" s="173"/>
      <c r="D1152" s="174"/>
      <c r="E1152" s="173"/>
      <c r="F1152" s="173"/>
      <c r="G1152" s="176"/>
      <c r="H1152" s="174"/>
      <c r="J1152" s="174"/>
      <c r="K1152" s="173"/>
      <c r="L1152" s="173"/>
      <c r="M1152" s="174"/>
      <c r="N1152" s="177"/>
      <c r="O1152" s="176"/>
      <c r="P1152" s="177"/>
      <c r="Q1152" s="178"/>
      <c r="R1152" s="179"/>
      <c r="S1152" s="177"/>
      <c r="T1152" s="180"/>
      <c r="U1152" s="180"/>
      <c r="V1152" s="177"/>
      <c r="W1152" s="177"/>
      <c r="X1152" s="67"/>
    </row>
    <row r="1153" spans="1:24" ht="12.75" x14ac:dyDescent="0.2">
      <c r="A1153" s="34"/>
      <c r="B1153" s="173"/>
      <c r="C1153" s="173"/>
      <c r="D1153" s="174"/>
      <c r="E1153" s="173"/>
      <c r="F1153" s="173"/>
      <c r="G1153" s="176"/>
      <c r="H1153" s="174"/>
      <c r="J1153" s="174"/>
      <c r="K1153" s="173"/>
      <c r="L1153" s="173"/>
      <c r="M1153" s="174"/>
      <c r="N1153" s="177"/>
      <c r="O1153" s="176"/>
      <c r="P1153" s="177"/>
      <c r="Q1153" s="178"/>
      <c r="R1153" s="179"/>
      <c r="S1153" s="177"/>
      <c r="T1153" s="180"/>
      <c r="U1153" s="180"/>
      <c r="V1153" s="177"/>
      <c r="W1153" s="177"/>
      <c r="X1153" s="67"/>
    </row>
    <row r="1154" spans="1:24" ht="12.75" x14ac:dyDescent="0.2">
      <c r="A1154" s="34"/>
      <c r="B1154" s="173"/>
      <c r="C1154" s="173"/>
      <c r="D1154" s="174"/>
      <c r="E1154" s="173"/>
      <c r="F1154" s="173"/>
      <c r="G1154" s="176"/>
      <c r="H1154" s="174"/>
      <c r="J1154" s="174"/>
      <c r="K1154" s="173"/>
      <c r="L1154" s="173"/>
      <c r="M1154" s="174"/>
      <c r="N1154" s="177"/>
      <c r="O1154" s="176"/>
      <c r="P1154" s="177"/>
      <c r="Q1154" s="178"/>
      <c r="R1154" s="179"/>
      <c r="S1154" s="177"/>
      <c r="T1154" s="180"/>
      <c r="U1154" s="180"/>
      <c r="V1154" s="177"/>
      <c r="W1154" s="177"/>
      <c r="X1154" s="67"/>
    </row>
    <row r="1155" spans="1:24" ht="12.75" x14ac:dyDescent="0.2">
      <c r="A1155" s="34"/>
      <c r="B1155" s="173"/>
      <c r="C1155" s="173"/>
      <c r="D1155" s="174"/>
      <c r="E1155" s="173"/>
      <c r="F1155" s="173"/>
      <c r="G1155" s="176"/>
      <c r="H1155" s="174"/>
      <c r="J1155" s="174"/>
      <c r="K1155" s="173"/>
      <c r="L1155" s="173"/>
      <c r="M1155" s="174"/>
      <c r="N1155" s="177"/>
      <c r="O1155" s="176"/>
      <c r="P1155" s="177"/>
      <c r="Q1155" s="178"/>
      <c r="R1155" s="179"/>
      <c r="S1155" s="177"/>
      <c r="T1155" s="180"/>
      <c r="U1155" s="180"/>
      <c r="V1155" s="177"/>
      <c r="W1155" s="177"/>
      <c r="X1155" s="67"/>
    </row>
    <row r="1156" spans="1:24" ht="12.75" x14ac:dyDescent="0.2">
      <c r="A1156" s="34"/>
      <c r="B1156" s="173"/>
      <c r="C1156" s="173"/>
      <c r="D1156" s="174"/>
      <c r="E1156" s="173"/>
      <c r="F1156" s="173"/>
      <c r="G1156" s="176"/>
      <c r="H1156" s="174"/>
      <c r="J1156" s="174"/>
      <c r="K1156" s="173"/>
      <c r="L1156" s="173"/>
      <c r="M1156" s="174"/>
      <c r="N1156" s="177"/>
      <c r="O1156" s="176"/>
      <c r="P1156" s="177"/>
      <c r="Q1156" s="178"/>
      <c r="R1156" s="179"/>
      <c r="S1156" s="177"/>
      <c r="T1156" s="180"/>
      <c r="U1156" s="180"/>
      <c r="V1156" s="177"/>
      <c r="W1156" s="177"/>
      <c r="X1156" s="67"/>
    </row>
    <row r="1157" spans="1:24" ht="12.75" x14ac:dyDescent="0.2">
      <c r="A1157" s="34"/>
      <c r="B1157" s="173"/>
      <c r="C1157" s="173"/>
      <c r="D1157" s="174"/>
      <c r="E1157" s="173"/>
      <c r="F1157" s="173"/>
      <c r="G1157" s="176"/>
      <c r="H1157" s="174"/>
      <c r="J1157" s="174"/>
      <c r="K1157" s="173"/>
      <c r="L1157" s="173"/>
      <c r="M1157" s="174"/>
      <c r="N1157" s="177"/>
      <c r="O1157" s="176"/>
      <c r="P1157" s="177"/>
      <c r="Q1157" s="178"/>
      <c r="R1157" s="179"/>
      <c r="S1157" s="177"/>
      <c r="T1157" s="180"/>
      <c r="U1157" s="180"/>
      <c r="V1157" s="177"/>
      <c r="W1157" s="177"/>
      <c r="X1157" s="67"/>
    </row>
    <row r="1158" spans="1:24" ht="12.75" x14ac:dyDescent="0.2">
      <c r="A1158" s="34"/>
      <c r="B1158" s="173"/>
      <c r="C1158" s="173"/>
      <c r="D1158" s="174"/>
      <c r="E1158" s="173"/>
      <c r="F1158" s="173"/>
      <c r="G1158" s="176"/>
      <c r="H1158" s="174"/>
      <c r="J1158" s="174"/>
      <c r="K1158" s="173"/>
      <c r="L1158" s="173"/>
      <c r="M1158" s="174"/>
      <c r="N1158" s="177"/>
      <c r="O1158" s="176"/>
      <c r="P1158" s="177"/>
      <c r="Q1158" s="178"/>
      <c r="R1158" s="179"/>
      <c r="S1158" s="177"/>
      <c r="T1158" s="180"/>
      <c r="U1158" s="180"/>
      <c r="V1158" s="177"/>
      <c r="W1158" s="177"/>
      <c r="X1158" s="67"/>
    </row>
    <row r="1159" spans="1:24" ht="12.75" x14ac:dyDescent="0.2">
      <c r="A1159" s="34"/>
      <c r="B1159" s="173"/>
      <c r="C1159" s="173"/>
      <c r="D1159" s="174"/>
      <c r="E1159" s="173"/>
      <c r="F1159" s="173"/>
      <c r="G1159" s="176"/>
      <c r="H1159" s="174"/>
      <c r="J1159" s="174"/>
      <c r="K1159" s="173"/>
      <c r="L1159" s="173"/>
      <c r="M1159" s="174"/>
      <c r="N1159" s="177"/>
      <c r="O1159" s="176"/>
      <c r="P1159" s="177"/>
      <c r="Q1159" s="178"/>
      <c r="R1159" s="179"/>
      <c r="S1159" s="177"/>
      <c r="T1159" s="180"/>
      <c r="U1159" s="180"/>
      <c r="V1159" s="177"/>
      <c r="W1159" s="177"/>
      <c r="X1159" s="67"/>
    </row>
    <row r="1160" spans="1:24" ht="12.75" x14ac:dyDescent="0.2">
      <c r="A1160" s="34"/>
      <c r="B1160" s="173"/>
      <c r="C1160" s="173"/>
      <c r="D1160" s="174"/>
      <c r="E1160" s="173"/>
      <c r="F1160" s="173"/>
      <c r="G1160" s="176"/>
      <c r="H1160" s="174"/>
      <c r="J1160" s="174"/>
      <c r="K1160" s="173"/>
      <c r="L1160" s="173"/>
      <c r="M1160" s="174"/>
      <c r="N1160" s="177"/>
      <c r="O1160" s="176"/>
      <c r="P1160" s="177"/>
      <c r="Q1160" s="178"/>
      <c r="R1160" s="179"/>
      <c r="S1160" s="177"/>
      <c r="T1160" s="180"/>
      <c r="U1160" s="180"/>
      <c r="V1160" s="177"/>
      <c r="W1160" s="177"/>
      <c r="X1160" s="67"/>
    </row>
    <row r="1161" spans="1:24" ht="12.75" x14ac:dyDescent="0.2">
      <c r="A1161" s="34"/>
      <c r="B1161" s="173"/>
      <c r="C1161" s="173"/>
      <c r="D1161" s="174"/>
      <c r="E1161" s="173"/>
      <c r="F1161" s="173"/>
      <c r="G1161" s="176"/>
      <c r="H1161" s="174"/>
      <c r="J1161" s="174"/>
      <c r="K1161" s="173"/>
      <c r="L1161" s="173"/>
      <c r="M1161" s="174"/>
      <c r="N1161" s="177"/>
      <c r="O1161" s="176"/>
      <c r="P1161" s="177"/>
      <c r="Q1161" s="178"/>
      <c r="R1161" s="179"/>
      <c r="S1161" s="177"/>
      <c r="T1161" s="180"/>
      <c r="U1161" s="180"/>
      <c r="V1161" s="177"/>
      <c r="W1161" s="177"/>
      <c r="X1161" s="67"/>
    </row>
    <row r="1162" spans="1:24" ht="12.75" x14ac:dyDescent="0.2">
      <c r="A1162" s="34"/>
      <c r="B1162" s="173"/>
      <c r="C1162" s="173"/>
      <c r="D1162" s="174"/>
      <c r="E1162" s="173"/>
      <c r="F1162" s="173"/>
      <c r="G1162" s="176"/>
      <c r="H1162" s="174"/>
      <c r="J1162" s="174"/>
      <c r="K1162" s="173"/>
      <c r="L1162" s="173"/>
      <c r="M1162" s="174"/>
      <c r="N1162" s="177"/>
      <c r="O1162" s="176"/>
      <c r="P1162" s="177"/>
      <c r="Q1162" s="178"/>
      <c r="R1162" s="179"/>
      <c r="S1162" s="177"/>
      <c r="T1162" s="180"/>
      <c r="U1162" s="180"/>
      <c r="V1162" s="177"/>
      <c r="W1162" s="177"/>
      <c r="X1162" s="67"/>
    </row>
    <row r="1163" spans="1:24" ht="12.75" x14ac:dyDescent="0.2">
      <c r="A1163" s="34"/>
      <c r="B1163" s="173"/>
      <c r="C1163" s="173"/>
      <c r="D1163" s="174"/>
      <c r="E1163" s="173"/>
      <c r="F1163" s="173"/>
      <c r="G1163" s="176"/>
      <c r="H1163" s="174"/>
      <c r="J1163" s="174"/>
      <c r="K1163" s="173"/>
      <c r="L1163" s="173"/>
      <c r="M1163" s="174"/>
      <c r="N1163" s="177"/>
      <c r="O1163" s="176"/>
      <c r="P1163" s="177"/>
      <c r="Q1163" s="178"/>
      <c r="R1163" s="179"/>
      <c r="S1163" s="177"/>
      <c r="T1163" s="180"/>
      <c r="U1163" s="180"/>
      <c r="V1163" s="177"/>
      <c r="W1163" s="177"/>
      <c r="X1163" s="67"/>
    </row>
    <row r="1164" spans="1:24" ht="12.75" x14ac:dyDescent="0.2">
      <c r="A1164" s="34"/>
      <c r="B1164" s="173"/>
      <c r="C1164" s="173"/>
      <c r="D1164" s="174"/>
      <c r="E1164" s="173"/>
      <c r="F1164" s="173"/>
      <c r="G1164" s="176"/>
      <c r="H1164" s="174"/>
      <c r="J1164" s="174"/>
      <c r="K1164" s="173"/>
      <c r="L1164" s="173"/>
      <c r="M1164" s="174"/>
      <c r="N1164" s="177"/>
      <c r="O1164" s="176"/>
      <c r="P1164" s="177"/>
      <c r="Q1164" s="178"/>
      <c r="R1164" s="179"/>
      <c r="S1164" s="177"/>
      <c r="T1164" s="180"/>
      <c r="U1164" s="180"/>
      <c r="V1164" s="177"/>
      <c r="W1164" s="177"/>
      <c r="X1164" s="67"/>
    </row>
    <row r="1165" spans="1:24" ht="12.75" x14ac:dyDescent="0.2">
      <c r="A1165" s="34"/>
      <c r="B1165" s="173"/>
      <c r="C1165" s="173"/>
      <c r="D1165" s="174"/>
      <c r="E1165" s="173"/>
      <c r="F1165" s="173"/>
      <c r="G1165" s="176"/>
      <c r="H1165" s="174"/>
      <c r="J1165" s="174"/>
      <c r="K1165" s="173"/>
      <c r="L1165" s="173"/>
      <c r="M1165" s="174"/>
      <c r="N1165" s="177"/>
      <c r="O1165" s="176"/>
      <c r="P1165" s="177"/>
      <c r="Q1165" s="178"/>
      <c r="R1165" s="179"/>
      <c r="S1165" s="177"/>
      <c r="T1165" s="180"/>
      <c r="U1165" s="180"/>
      <c r="V1165" s="177"/>
      <c r="W1165" s="177"/>
      <c r="X1165" s="67"/>
    </row>
    <row r="1166" spans="1:24" ht="12.75" x14ac:dyDescent="0.2">
      <c r="A1166" s="34"/>
      <c r="B1166" s="173"/>
      <c r="C1166" s="173"/>
      <c r="D1166" s="174"/>
      <c r="E1166" s="173"/>
      <c r="F1166" s="173"/>
      <c r="G1166" s="176"/>
      <c r="H1166" s="174"/>
      <c r="J1166" s="174"/>
      <c r="K1166" s="173"/>
      <c r="L1166" s="173"/>
      <c r="M1166" s="174"/>
      <c r="N1166" s="177"/>
      <c r="O1166" s="176"/>
      <c r="P1166" s="177"/>
      <c r="Q1166" s="178"/>
      <c r="R1166" s="179"/>
      <c r="S1166" s="177"/>
      <c r="T1166" s="180"/>
      <c r="U1166" s="180"/>
      <c r="V1166" s="177"/>
      <c r="W1166" s="177"/>
      <c r="X1166" s="67"/>
    </row>
    <row r="1167" spans="1:24" ht="12.75" x14ac:dyDescent="0.2">
      <c r="A1167" s="34"/>
      <c r="B1167" s="173"/>
      <c r="C1167" s="173"/>
      <c r="D1167" s="174"/>
      <c r="E1167" s="173"/>
      <c r="F1167" s="173"/>
      <c r="G1167" s="176"/>
      <c r="H1167" s="174"/>
      <c r="J1167" s="174"/>
      <c r="K1167" s="173"/>
      <c r="L1167" s="173"/>
      <c r="M1167" s="174"/>
      <c r="N1167" s="177"/>
      <c r="O1167" s="176"/>
      <c r="P1167" s="177"/>
      <c r="Q1167" s="178"/>
      <c r="R1167" s="179"/>
      <c r="S1167" s="177"/>
      <c r="T1167" s="180"/>
      <c r="U1167" s="180"/>
      <c r="V1167" s="177"/>
      <c r="W1167" s="177"/>
      <c r="X1167" s="67"/>
    </row>
    <row r="1168" spans="1:24" ht="12.75" x14ac:dyDescent="0.2">
      <c r="A1168" s="34"/>
      <c r="B1168" s="173"/>
      <c r="C1168" s="173"/>
      <c r="D1168" s="174"/>
      <c r="E1168" s="173"/>
      <c r="F1168" s="173"/>
      <c r="G1168" s="176"/>
      <c r="H1168" s="174"/>
      <c r="J1168" s="174"/>
      <c r="K1168" s="173"/>
      <c r="L1168" s="173"/>
      <c r="M1168" s="174"/>
      <c r="N1168" s="177"/>
      <c r="O1168" s="176"/>
      <c r="P1168" s="177"/>
      <c r="Q1168" s="178"/>
      <c r="R1168" s="179"/>
      <c r="S1168" s="177"/>
      <c r="T1168" s="180"/>
      <c r="U1168" s="180"/>
      <c r="V1168" s="177"/>
      <c r="W1168" s="177"/>
      <c r="X1168" s="67"/>
    </row>
    <row r="1169" spans="1:24" ht="12.75" x14ac:dyDescent="0.2">
      <c r="A1169" s="34"/>
      <c r="B1169" s="173"/>
      <c r="C1169" s="173"/>
      <c r="D1169" s="174"/>
      <c r="E1169" s="173"/>
      <c r="F1169" s="173"/>
      <c r="G1169" s="176"/>
      <c r="H1169" s="174"/>
      <c r="J1169" s="174"/>
      <c r="K1169" s="173"/>
      <c r="L1169" s="173"/>
      <c r="M1169" s="174"/>
      <c r="N1169" s="177"/>
      <c r="O1169" s="176"/>
      <c r="P1169" s="177"/>
      <c r="Q1169" s="178"/>
      <c r="R1169" s="179"/>
      <c r="S1169" s="177"/>
      <c r="T1169" s="180"/>
      <c r="U1169" s="180"/>
      <c r="V1169" s="177"/>
      <c r="W1169" s="177"/>
      <c r="X1169" s="67"/>
    </row>
    <row r="1170" spans="1:24" ht="12.75" x14ac:dyDescent="0.2">
      <c r="A1170" s="34"/>
      <c r="B1170" s="173"/>
      <c r="C1170" s="173"/>
      <c r="D1170" s="174"/>
      <c r="E1170" s="173"/>
      <c r="F1170" s="173"/>
      <c r="G1170" s="176"/>
      <c r="H1170" s="174"/>
      <c r="J1170" s="174"/>
      <c r="K1170" s="173"/>
      <c r="L1170" s="173"/>
      <c r="M1170" s="174"/>
      <c r="N1170" s="177"/>
      <c r="O1170" s="176"/>
      <c r="P1170" s="177"/>
      <c r="Q1170" s="178"/>
      <c r="R1170" s="179"/>
      <c r="S1170" s="177"/>
      <c r="T1170" s="180"/>
      <c r="U1170" s="180"/>
      <c r="V1170" s="177"/>
      <c r="W1170" s="177"/>
      <c r="X1170" s="67"/>
    </row>
    <row r="1171" spans="1:24" ht="12.75" x14ac:dyDescent="0.2">
      <c r="A1171" s="34"/>
      <c r="B1171" s="173"/>
      <c r="C1171" s="173"/>
      <c r="D1171" s="174"/>
      <c r="E1171" s="173"/>
      <c r="F1171" s="173"/>
      <c r="G1171" s="176"/>
      <c r="H1171" s="174"/>
      <c r="J1171" s="174"/>
      <c r="K1171" s="173"/>
      <c r="L1171" s="173"/>
      <c r="M1171" s="174"/>
      <c r="N1171" s="177"/>
      <c r="O1171" s="176"/>
      <c r="P1171" s="177"/>
      <c r="Q1171" s="178"/>
      <c r="R1171" s="179"/>
      <c r="S1171" s="177"/>
      <c r="T1171" s="180"/>
      <c r="U1171" s="180"/>
      <c r="V1171" s="177"/>
      <c r="W1171" s="177"/>
      <c r="X1171" s="67"/>
    </row>
    <row r="1172" spans="1:24" ht="12.75" x14ac:dyDescent="0.2">
      <c r="A1172" s="34"/>
      <c r="B1172" s="173"/>
      <c r="C1172" s="173"/>
      <c r="D1172" s="174"/>
      <c r="E1172" s="173"/>
      <c r="F1172" s="173"/>
      <c r="G1172" s="176"/>
      <c r="H1172" s="174"/>
      <c r="J1172" s="174"/>
      <c r="K1172" s="173"/>
      <c r="L1172" s="173"/>
      <c r="M1172" s="174"/>
      <c r="N1172" s="177"/>
      <c r="O1172" s="176"/>
      <c r="P1172" s="177"/>
      <c r="Q1172" s="178"/>
      <c r="R1172" s="179"/>
      <c r="S1172" s="177"/>
      <c r="T1172" s="180"/>
      <c r="U1172" s="180"/>
      <c r="V1172" s="177"/>
      <c r="W1172" s="177"/>
      <c r="X1172" s="67"/>
    </row>
    <row r="1173" spans="1:24" ht="12.75" x14ac:dyDescent="0.2">
      <c r="A1173" s="34"/>
      <c r="B1173" s="173"/>
      <c r="C1173" s="173"/>
      <c r="D1173" s="174"/>
      <c r="E1173" s="173"/>
      <c r="F1173" s="173"/>
      <c r="G1173" s="176"/>
      <c r="H1173" s="174"/>
      <c r="J1173" s="174"/>
      <c r="K1173" s="173"/>
      <c r="L1173" s="173"/>
      <c r="M1173" s="174"/>
      <c r="N1173" s="177"/>
      <c r="O1173" s="176"/>
      <c r="P1173" s="177"/>
      <c r="Q1173" s="178"/>
      <c r="R1173" s="179"/>
      <c r="S1173" s="177"/>
      <c r="T1173" s="180"/>
      <c r="U1173" s="180"/>
      <c r="V1173" s="177"/>
      <c r="W1173" s="177"/>
      <c r="X1173" s="67"/>
    </row>
    <row r="1174" spans="1:24" ht="12.75" x14ac:dyDescent="0.2">
      <c r="A1174" s="34"/>
      <c r="B1174" s="173"/>
      <c r="C1174" s="173"/>
      <c r="D1174" s="174"/>
      <c r="E1174" s="173"/>
      <c r="F1174" s="173"/>
      <c r="G1174" s="176"/>
      <c r="H1174" s="174"/>
      <c r="J1174" s="174"/>
      <c r="K1174" s="173"/>
      <c r="L1174" s="173"/>
      <c r="M1174" s="174"/>
      <c r="N1174" s="177"/>
      <c r="O1174" s="176"/>
      <c r="P1174" s="177"/>
      <c r="Q1174" s="178"/>
      <c r="R1174" s="179"/>
      <c r="S1174" s="177"/>
      <c r="T1174" s="180"/>
      <c r="U1174" s="180"/>
      <c r="V1174" s="177"/>
      <c r="W1174" s="177"/>
      <c r="X1174" s="67"/>
    </row>
    <row r="1175" spans="1:24" ht="12.75" x14ac:dyDescent="0.2">
      <c r="A1175" s="34"/>
      <c r="B1175" s="173"/>
      <c r="C1175" s="173"/>
      <c r="D1175" s="174"/>
      <c r="E1175" s="173"/>
      <c r="F1175" s="173"/>
      <c r="G1175" s="176"/>
      <c r="H1175" s="174"/>
      <c r="J1175" s="174"/>
      <c r="K1175" s="173"/>
      <c r="L1175" s="173"/>
      <c r="M1175" s="174"/>
      <c r="N1175" s="177"/>
      <c r="O1175" s="176"/>
      <c r="P1175" s="177"/>
      <c r="Q1175" s="178"/>
      <c r="R1175" s="179"/>
      <c r="S1175" s="177"/>
      <c r="T1175" s="180"/>
      <c r="U1175" s="180"/>
      <c r="V1175" s="177"/>
      <c r="W1175" s="177"/>
      <c r="X1175" s="67"/>
    </row>
    <row r="1176" spans="1:24" ht="12.75" x14ac:dyDescent="0.2">
      <c r="A1176" s="34"/>
      <c r="B1176" s="173"/>
      <c r="C1176" s="173"/>
      <c r="D1176" s="174"/>
      <c r="E1176" s="173"/>
      <c r="F1176" s="173"/>
      <c r="G1176" s="176"/>
      <c r="H1176" s="174"/>
      <c r="J1176" s="174"/>
      <c r="K1176" s="173"/>
      <c r="L1176" s="173"/>
      <c r="M1176" s="174"/>
      <c r="N1176" s="177"/>
      <c r="O1176" s="176"/>
      <c r="P1176" s="177"/>
      <c r="Q1176" s="178"/>
      <c r="R1176" s="179"/>
      <c r="S1176" s="177"/>
      <c r="T1176" s="180"/>
      <c r="U1176" s="180"/>
      <c r="V1176" s="177"/>
      <c r="W1176" s="177"/>
      <c r="X1176" s="67"/>
    </row>
    <row r="1177" spans="1:24" ht="12.75" x14ac:dyDescent="0.2">
      <c r="A1177" s="34"/>
      <c r="B1177" s="173"/>
      <c r="C1177" s="173"/>
      <c r="D1177" s="174"/>
      <c r="E1177" s="173"/>
      <c r="F1177" s="173"/>
      <c r="G1177" s="176"/>
      <c r="H1177" s="174"/>
      <c r="J1177" s="174"/>
      <c r="K1177" s="173"/>
      <c r="L1177" s="173"/>
      <c r="M1177" s="174"/>
      <c r="N1177" s="177"/>
      <c r="O1177" s="176"/>
      <c r="P1177" s="177"/>
      <c r="Q1177" s="178"/>
      <c r="R1177" s="179"/>
      <c r="S1177" s="177"/>
      <c r="T1177" s="180"/>
      <c r="U1177" s="180"/>
      <c r="V1177" s="177"/>
      <c r="W1177" s="177"/>
      <c r="X1177" s="67"/>
    </row>
    <row r="1178" spans="1:24" ht="12.75" x14ac:dyDescent="0.2">
      <c r="A1178" s="34"/>
      <c r="B1178" s="173"/>
      <c r="C1178" s="173"/>
      <c r="D1178" s="174"/>
      <c r="E1178" s="173"/>
      <c r="F1178" s="173"/>
      <c r="G1178" s="176"/>
      <c r="H1178" s="174"/>
      <c r="J1178" s="174"/>
      <c r="K1178" s="173"/>
      <c r="L1178" s="173"/>
      <c r="M1178" s="174"/>
      <c r="N1178" s="177"/>
      <c r="O1178" s="176"/>
      <c r="P1178" s="177"/>
      <c r="Q1178" s="178"/>
      <c r="R1178" s="179"/>
      <c r="S1178" s="177"/>
      <c r="T1178" s="180"/>
      <c r="U1178" s="180"/>
      <c r="V1178" s="177"/>
      <c r="W1178" s="177"/>
      <c r="X1178" s="67"/>
    </row>
    <row r="1179" spans="1:24" ht="12.75" x14ac:dyDescent="0.2">
      <c r="A1179" s="34"/>
      <c r="B1179" s="173"/>
      <c r="C1179" s="173"/>
      <c r="D1179" s="174"/>
      <c r="E1179" s="173"/>
      <c r="F1179" s="173"/>
      <c r="G1179" s="176"/>
      <c r="H1179" s="174"/>
      <c r="J1179" s="174"/>
      <c r="K1179" s="173"/>
      <c r="L1179" s="173"/>
      <c r="M1179" s="174"/>
      <c r="N1179" s="177"/>
      <c r="O1179" s="176"/>
      <c r="P1179" s="177"/>
      <c r="Q1179" s="178"/>
      <c r="R1179" s="179"/>
      <c r="S1179" s="177"/>
      <c r="T1179" s="180"/>
      <c r="U1179" s="180"/>
      <c r="V1179" s="177"/>
      <c r="W1179" s="177"/>
      <c r="X1179" s="67"/>
    </row>
    <row r="1180" spans="1:24" ht="12.75" x14ac:dyDescent="0.2">
      <c r="A1180" s="34"/>
      <c r="B1180" s="173"/>
      <c r="C1180" s="173"/>
      <c r="D1180" s="174"/>
      <c r="E1180" s="173"/>
      <c r="F1180" s="173"/>
      <c r="G1180" s="176"/>
      <c r="H1180" s="174"/>
      <c r="J1180" s="174"/>
      <c r="K1180" s="173"/>
      <c r="L1180" s="173"/>
      <c r="M1180" s="174"/>
      <c r="N1180" s="177"/>
      <c r="O1180" s="176"/>
      <c r="P1180" s="177"/>
      <c r="Q1180" s="178"/>
      <c r="R1180" s="179"/>
      <c r="S1180" s="177"/>
      <c r="T1180" s="180"/>
      <c r="U1180" s="180"/>
      <c r="V1180" s="177"/>
      <c r="W1180" s="177"/>
      <c r="X1180" s="67"/>
    </row>
    <row r="1181" spans="1:24" ht="12.75" x14ac:dyDescent="0.2">
      <c r="A1181" s="34"/>
      <c r="B1181" s="173"/>
      <c r="C1181" s="173"/>
      <c r="D1181" s="174"/>
      <c r="E1181" s="173"/>
      <c r="F1181" s="173"/>
      <c r="G1181" s="176"/>
      <c r="H1181" s="174"/>
      <c r="J1181" s="174"/>
      <c r="K1181" s="173"/>
      <c r="L1181" s="173"/>
      <c r="M1181" s="174"/>
      <c r="N1181" s="177"/>
      <c r="O1181" s="176"/>
      <c r="P1181" s="177"/>
      <c r="Q1181" s="178"/>
      <c r="R1181" s="179"/>
      <c r="S1181" s="177"/>
      <c r="T1181" s="180"/>
      <c r="U1181" s="180"/>
      <c r="V1181" s="177"/>
      <c r="W1181" s="177"/>
      <c r="X1181" s="67"/>
    </row>
    <row r="1182" spans="1:24" ht="12.75" x14ac:dyDescent="0.2">
      <c r="A1182" s="34"/>
      <c r="B1182" s="173"/>
      <c r="C1182" s="173"/>
      <c r="D1182" s="174"/>
      <c r="E1182" s="173"/>
      <c r="F1182" s="173"/>
      <c r="G1182" s="176"/>
      <c r="H1182" s="174"/>
      <c r="J1182" s="174"/>
      <c r="K1182" s="173"/>
      <c r="L1182" s="173"/>
      <c r="M1182" s="174"/>
      <c r="N1182" s="177"/>
      <c r="O1182" s="176"/>
      <c r="P1182" s="177"/>
      <c r="Q1182" s="178"/>
      <c r="R1182" s="179"/>
      <c r="S1182" s="177"/>
      <c r="T1182" s="180"/>
      <c r="U1182" s="180"/>
      <c r="V1182" s="177"/>
      <c r="W1182" s="177"/>
      <c r="X1182" s="67"/>
    </row>
    <row r="1183" spans="1:24" ht="12.75" x14ac:dyDescent="0.2">
      <c r="A1183" s="34"/>
      <c r="B1183" s="173"/>
      <c r="C1183" s="173"/>
      <c r="D1183" s="174"/>
      <c r="E1183" s="173"/>
      <c r="F1183" s="173"/>
      <c r="G1183" s="176"/>
      <c r="H1183" s="174"/>
      <c r="J1183" s="174"/>
      <c r="K1183" s="173"/>
      <c r="L1183" s="173"/>
      <c r="M1183" s="174"/>
      <c r="N1183" s="177"/>
      <c r="O1183" s="176"/>
      <c r="P1183" s="177"/>
      <c r="Q1183" s="178"/>
      <c r="R1183" s="179"/>
      <c r="S1183" s="177"/>
      <c r="T1183" s="180"/>
      <c r="U1183" s="180"/>
      <c r="V1183" s="177"/>
      <c r="W1183" s="177"/>
      <c r="X1183" s="67"/>
    </row>
    <row r="1184" spans="1:24" ht="12.75" x14ac:dyDescent="0.2">
      <c r="A1184" s="34"/>
      <c r="B1184" s="173"/>
      <c r="C1184" s="173"/>
      <c r="D1184" s="174"/>
      <c r="E1184" s="173"/>
      <c r="F1184" s="173"/>
      <c r="G1184" s="176"/>
      <c r="H1184" s="174"/>
      <c r="J1184" s="174"/>
      <c r="K1184" s="173"/>
      <c r="L1184" s="173"/>
      <c r="M1184" s="174"/>
      <c r="N1184" s="177"/>
      <c r="O1184" s="176"/>
      <c r="P1184" s="177"/>
      <c r="Q1184" s="178"/>
      <c r="R1184" s="179"/>
      <c r="S1184" s="177"/>
      <c r="T1184" s="180"/>
      <c r="U1184" s="180"/>
      <c r="V1184" s="177"/>
      <c r="W1184" s="177"/>
      <c r="X1184" s="67"/>
    </row>
    <row r="1185" spans="1:24" ht="12.75" x14ac:dyDescent="0.2">
      <c r="A1185" s="34"/>
      <c r="B1185" s="173"/>
      <c r="C1185" s="173"/>
      <c r="D1185" s="174"/>
      <c r="E1185" s="173"/>
      <c r="F1185" s="173"/>
      <c r="G1185" s="176"/>
      <c r="H1185" s="174"/>
      <c r="J1185" s="174"/>
      <c r="K1185" s="173"/>
      <c r="L1185" s="173"/>
      <c r="M1185" s="174"/>
      <c r="N1185" s="177"/>
      <c r="O1185" s="176"/>
      <c r="P1185" s="177"/>
      <c r="Q1185" s="178"/>
      <c r="R1185" s="179"/>
      <c r="S1185" s="177"/>
      <c r="T1185" s="180"/>
      <c r="U1185" s="180"/>
      <c r="V1185" s="177"/>
      <c r="W1185" s="177"/>
      <c r="X1185" s="67"/>
    </row>
    <row r="1186" spans="1:24" ht="12.75" x14ac:dyDescent="0.2">
      <c r="A1186" s="34"/>
      <c r="B1186" s="173"/>
      <c r="C1186" s="173"/>
      <c r="D1186" s="174"/>
      <c r="E1186" s="173"/>
      <c r="F1186" s="173"/>
      <c r="G1186" s="176"/>
      <c r="H1186" s="174"/>
      <c r="J1186" s="174"/>
      <c r="K1186" s="173"/>
      <c r="L1186" s="173"/>
      <c r="M1186" s="174"/>
      <c r="N1186" s="177"/>
      <c r="O1186" s="176"/>
      <c r="P1186" s="177"/>
      <c r="Q1186" s="178"/>
      <c r="R1186" s="179"/>
      <c r="S1186" s="177"/>
      <c r="T1186" s="180"/>
      <c r="U1186" s="180"/>
      <c r="V1186" s="177"/>
      <c r="W1186" s="177"/>
      <c r="X1186" s="67"/>
    </row>
    <row r="1187" spans="1:24" ht="12.75" x14ac:dyDescent="0.2">
      <c r="A1187" s="34"/>
      <c r="B1187" s="173"/>
      <c r="C1187" s="173"/>
      <c r="D1187" s="174"/>
      <c r="E1187" s="173"/>
      <c r="F1187" s="173"/>
      <c r="G1187" s="176"/>
      <c r="H1187" s="174"/>
      <c r="J1187" s="174"/>
      <c r="K1187" s="173"/>
      <c r="L1187" s="173"/>
      <c r="M1187" s="174"/>
      <c r="N1187" s="177"/>
      <c r="O1187" s="176"/>
      <c r="P1187" s="177"/>
      <c r="Q1187" s="178"/>
      <c r="R1187" s="179"/>
      <c r="S1187" s="177"/>
      <c r="T1187" s="180"/>
      <c r="U1187" s="180"/>
      <c r="V1187" s="177"/>
      <c r="W1187" s="177"/>
      <c r="X1187" s="67"/>
    </row>
    <row r="1188" spans="1:24" ht="12.75" x14ac:dyDescent="0.2">
      <c r="A1188" s="34"/>
      <c r="B1188" s="173"/>
      <c r="C1188" s="173"/>
      <c r="D1188" s="174"/>
      <c r="E1188" s="173"/>
      <c r="F1188" s="173"/>
      <c r="G1188" s="176"/>
      <c r="H1188" s="174"/>
      <c r="J1188" s="174"/>
      <c r="K1188" s="173"/>
      <c r="L1188" s="173"/>
      <c r="M1188" s="174"/>
      <c r="N1188" s="177"/>
      <c r="O1188" s="176"/>
      <c r="P1188" s="177"/>
      <c r="Q1188" s="178"/>
      <c r="R1188" s="179"/>
      <c r="S1188" s="177"/>
      <c r="T1188" s="180"/>
      <c r="U1188" s="180"/>
      <c r="V1188" s="177"/>
      <c r="W1188" s="177"/>
      <c r="X1188" s="67"/>
    </row>
    <row r="1189" spans="1:24" ht="12.75" x14ac:dyDescent="0.2">
      <c r="A1189" s="34"/>
      <c r="B1189" s="173"/>
      <c r="C1189" s="173"/>
      <c r="D1189" s="174"/>
      <c r="E1189" s="173"/>
      <c r="F1189" s="173"/>
      <c r="G1189" s="176"/>
      <c r="H1189" s="174"/>
      <c r="J1189" s="174"/>
      <c r="K1189" s="173"/>
      <c r="L1189" s="173"/>
      <c r="M1189" s="174"/>
      <c r="N1189" s="177"/>
      <c r="O1189" s="176"/>
      <c r="P1189" s="177"/>
      <c r="Q1189" s="178"/>
      <c r="R1189" s="179"/>
      <c r="S1189" s="177"/>
      <c r="T1189" s="180"/>
      <c r="U1189" s="180"/>
      <c r="V1189" s="177"/>
      <c r="W1189" s="177"/>
      <c r="X1189" s="67"/>
    </row>
    <row r="1190" spans="1:24" ht="12.75" x14ac:dyDescent="0.2">
      <c r="A1190" s="34"/>
      <c r="B1190" s="173"/>
      <c r="C1190" s="173"/>
      <c r="D1190" s="174"/>
      <c r="E1190" s="173"/>
      <c r="F1190" s="173"/>
      <c r="G1190" s="176"/>
      <c r="H1190" s="174"/>
      <c r="J1190" s="174"/>
      <c r="K1190" s="173"/>
      <c r="L1190" s="173"/>
      <c r="M1190" s="174"/>
      <c r="N1190" s="177"/>
      <c r="O1190" s="176"/>
      <c r="P1190" s="177"/>
      <c r="Q1190" s="178"/>
      <c r="R1190" s="179"/>
      <c r="S1190" s="177"/>
      <c r="T1190" s="180"/>
      <c r="U1190" s="180"/>
      <c r="V1190" s="177"/>
      <c r="W1190" s="177"/>
      <c r="X1190" s="67"/>
    </row>
    <row r="1191" spans="1:24" ht="12.75" x14ac:dyDescent="0.2">
      <c r="A1191" s="34"/>
      <c r="B1191" s="173"/>
      <c r="C1191" s="173"/>
      <c r="D1191" s="174"/>
      <c r="E1191" s="173"/>
      <c r="F1191" s="173"/>
      <c r="G1191" s="176"/>
      <c r="H1191" s="174"/>
      <c r="J1191" s="174"/>
      <c r="K1191" s="173"/>
      <c r="L1191" s="173"/>
      <c r="M1191" s="174"/>
      <c r="N1191" s="177"/>
      <c r="O1191" s="176"/>
      <c r="P1191" s="177"/>
      <c r="Q1191" s="178"/>
      <c r="R1191" s="179"/>
      <c r="S1191" s="177"/>
      <c r="T1191" s="180"/>
      <c r="U1191" s="180"/>
      <c r="V1191" s="177"/>
      <c r="W1191" s="177"/>
      <c r="X1191" s="67"/>
    </row>
    <row r="1192" spans="1:24" ht="12.75" x14ac:dyDescent="0.2">
      <c r="A1192" s="34"/>
      <c r="B1192" s="173"/>
      <c r="C1192" s="173"/>
      <c r="D1192" s="174"/>
      <c r="E1192" s="173"/>
      <c r="F1192" s="173"/>
      <c r="G1192" s="176"/>
      <c r="H1192" s="174"/>
      <c r="J1192" s="174"/>
      <c r="K1192" s="173"/>
      <c r="L1192" s="173"/>
      <c r="M1192" s="174"/>
      <c r="N1192" s="177"/>
      <c r="O1192" s="176"/>
      <c r="P1192" s="177"/>
      <c r="Q1192" s="178"/>
      <c r="R1192" s="179"/>
      <c r="S1192" s="177"/>
      <c r="T1192" s="180"/>
      <c r="U1192" s="180"/>
      <c r="V1192" s="177"/>
      <c r="W1192" s="177"/>
      <c r="X1192" s="67"/>
    </row>
    <row r="1193" spans="1:24" ht="12.75" x14ac:dyDescent="0.2">
      <c r="A1193" s="34"/>
      <c r="B1193" s="173"/>
      <c r="C1193" s="173"/>
      <c r="D1193" s="174"/>
      <c r="E1193" s="173"/>
      <c r="F1193" s="173"/>
      <c r="G1193" s="176"/>
      <c r="H1193" s="174"/>
      <c r="J1193" s="174"/>
      <c r="K1193" s="173"/>
      <c r="L1193" s="173"/>
      <c r="M1193" s="174"/>
      <c r="N1193" s="177"/>
      <c r="O1193" s="176"/>
      <c r="P1193" s="177"/>
      <c r="Q1193" s="178"/>
      <c r="R1193" s="179"/>
      <c r="S1193" s="177"/>
      <c r="T1193" s="180"/>
      <c r="U1193" s="180"/>
      <c r="V1193" s="177"/>
      <c r="W1193" s="177"/>
      <c r="X1193" s="67"/>
    </row>
    <row r="1194" spans="1:24" ht="12.75" x14ac:dyDescent="0.2">
      <c r="A1194" s="34"/>
      <c r="B1194" s="173"/>
      <c r="C1194" s="173"/>
      <c r="D1194" s="174"/>
      <c r="E1194" s="173"/>
      <c r="F1194" s="173"/>
      <c r="G1194" s="176"/>
      <c r="H1194" s="174"/>
      <c r="J1194" s="174"/>
      <c r="K1194" s="173"/>
      <c r="L1194" s="173"/>
      <c r="M1194" s="174"/>
      <c r="N1194" s="177"/>
      <c r="O1194" s="176"/>
      <c r="P1194" s="177"/>
      <c r="Q1194" s="178"/>
      <c r="R1194" s="179"/>
      <c r="S1194" s="177"/>
      <c r="T1194" s="180"/>
      <c r="U1194" s="180"/>
      <c r="V1194" s="177"/>
      <c r="W1194" s="177"/>
      <c r="X1194" s="67"/>
    </row>
    <row r="1195" spans="1:24" ht="12.75" x14ac:dyDescent="0.2">
      <c r="A1195" s="34"/>
      <c r="B1195" s="173"/>
      <c r="C1195" s="173"/>
      <c r="D1195" s="174"/>
      <c r="E1195" s="173"/>
      <c r="F1195" s="173"/>
      <c r="G1195" s="176"/>
      <c r="H1195" s="174"/>
      <c r="J1195" s="174"/>
      <c r="K1195" s="173"/>
      <c r="L1195" s="173"/>
      <c r="M1195" s="174"/>
      <c r="N1195" s="177"/>
      <c r="O1195" s="176"/>
      <c r="P1195" s="177"/>
      <c r="Q1195" s="178"/>
      <c r="R1195" s="179"/>
      <c r="S1195" s="177"/>
      <c r="T1195" s="180"/>
      <c r="U1195" s="180"/>
      <c r="V1195" s="177"/>
      <c r="W1195" s="177"/>
      <c r="X1195" s="67"/>
    </row>
    <row r="1196" spans="1:24" ht="12.75" x14ac:dyDescent="0.2">
      <c r="A1196" s="34"/>
      <c r="B1196" s="173"/>
      <c r="C1196" s="173"/>
      <c r="D1196" s="174"/>
      <c r="E1196" s="173"/>
      <c r="F1196" s="173"/>
      <c r="G1196" s="176"/>
      <c r="H1196" s="174"/>
      <c r="J1196" s="174"/>
      <c r="K1196" s="173"/>
      <c r="L1196" s="173"/>
      <c r="M1196" s="174"/>
      <c r="N1196" s="177"/>
      <c r="O1196" s="176"/>
      <c r="P1196" s="177"/>
      <c r="Q1196" s="178"/>
      <c r="R1196" s="179"/>
      <c r="S1196" s="177"/>
      <c r="T1196" s="180"/>
      <c r="U1196" s="180"/>
      <c r="V1196" s="177"/>
      <c r="W1196" s="177"/>
      <c r="X1196" s="67"/>
    </row>
    <row r="1197" spans="1:24" ht="12.75" x14ac:dyDescent="0.2">
      <c r="A1197" s="34"/>
      <c r="B1197" s="173"/>
      <c r="C1197" s="173"/>
      <c r="D1197" s="174"/>
      <c r="E1197" s="173"/>
      <c r="F1197" s="173"/>
      <c r="G1197" s="176"/>
      <c r="H1197" s="174"/>
      <c r="J1197" s="174"/>
      <c r="K1197" s="173"/>
      <c r="L1197" s="173"/>
      <c r="M1197" s="174"/>
      <c r="N1197" s="177"/>
      <c r="O1197" s="176"/>
      <c r="P1197" s="177"/>
      <c r="Q1197" s="178"/>
      <c r="R1197" s="179"/>
      <c r="S1197" s="177"/>
      <c r="T1197" s="180"/>
      <c r="U1197" s="180"/>
      <c r="V1197" s="177"/>
      <c r="W1197" s="177"/>
      <c r="X1197" s="67"/>
    </row>
    <row r="1198" spans="1:24" ht="12.75" x14ac:dyDescent="0.2">
      <c r="A1198" s="34"/>
      <c r="B1198" s="173"/>
      <c r="C1198" s="173"/>
      <c r="D1198" s="174"/>
      <c r="E1198" s="173"/>
      <c r="F1198" s="173"/>
      <c r="G1198" s="176"/>
      <c r="H1198" s="174"/>
      <c r="J1198" s="174"/>
      <c r="K1198" s="173"/>
      <c r="L1198" s="173"/>
      <c r="M1198" s="174"/>
      <c r="N1198" s="177"/>
      <c r="O1198" s="176"/>
      <c r="P1198" s="177"/>
      <c r="Q1198" s="178"/>
      <c r="R1198" s="179"/>
      <c r="S1198" s="177"/>
      <c r="T1198" s="180"/>
      <c r="U1198" s="180"/>
      <c r="V1198" s="177"/>
      <c r="W1198" s="177"/>
      <c r="X1198" s="67"/>
    </row>
    <row r="1199" spans="1:24" ht="12.75" x14ac:dyDescent="0.2">
      <c r="A1199" s="34"/>
      <c r="B1199" s="173"/>
      <c r="C1199" s="173"/>
      <c r="D1199" s="174"/>
      <c r="E1199" s="173"/>
      <c r="F1199" s="173"/>
      <c r="G1199" s="176"/>
      <c r="H1199" s="174"/>
      <c r="J1199" s="174"/>
      <c r="K1199" s="173"/>
      <c r="L1199" s="173"/>
      <c r="M1199" s="174"/>
      <c r="N1199" s="177"/>
      <c r="O1199" s="176"/>
      <c r="P1199" s="177"/>
      <c r="Q1199" s="178"/>
      <c r="R1199" s="179"/>
      <c r="S1199" s="177"/>
      <c r="T1199" s="180"/>
      <c r="U1199" s="180"/>
      <c r="V1199" s="177"/>
      <c r="W1199" s="177"/>
      <c r="X1199" s="67"/>
    </row>
    <row r="1200" spans="1:24" ht="12.75" x14ac:dyDescent="0.2">
      <c r="A1200" s="34"/>
      <c r="B1200" s="173"/>
      <c r="C1200" s="173"/>
      <c r="D1200" s="174"/>
      <c r="E1200" s="173"/>
      <c r="F1200" s="173"/>
      <c r="G1200" s="176"/>
      <c r="H1200" s="174"/>
      <c r="J1200" s="174"/>
      <c r="K1200" s="173"/>
      <c r="L1200" s="173"/>
      <c r="M1200" s="174"/>
      <c r="N1200" s="177"/>
      <c r="O1200" s="176"/>
      <c r="P1200" s="177"/>
      <c r="Q1200" s="178"/>
      <c r="R1200" s="179"/>
      <c r="S1200" s="177"/>
      <c r="T1200" s="180"/>
      <c r="U1200" s="180"/>
      <c r="V1200" s="177"/>
      <c r="W1200" s="177"/>
      <c r="X1200" s="67"/>
    </row>
    <row r="1201" spans="1:24" ht="12.75" x14ac:dyDescent="0.2">
      <c r="A1201" s="34"/>
      <c r="B1201" s="173"/>
      <c r="C1201" s="173"/>
      <c r="D1201" s="174"/>
      <c r="E1201" s="173"/>
      <c r="F1201" s="173"/>
      <c r="G1201" s="176"/>
      <c r="H1201" s="174"/>
      <c r="J1201" s="174"/>
      <c r="K1201" s="173"/>
      <c r="L1201" s="173"/>
      <c r="M1201" s="174"/>
      <c r="N1201" s="177"/>
      <c r="O1201" s="176"/>
      <c r="P1201" s="177"/>
      <c r="Q1201" s="178"/>
      <c r="R1201" s="179"/>
      <c r="S1201" s="177"/>
      <c r="T1201" s="180"/>
      <c r="U1201" s="180"/>
      <c r="V1201" s="177"/>
      <c r="W1201" s="177"/>
      <c r="X1201" s="67"/>
    </row>
    <row r="1202" spans="1:24" ht="12.75" x14ac:dyDescent="0.2">
      <c r="A1202" s="34"/>
      <c r="B1202" s="173"/>
      <c r="C1202" s="173"/>
      <c r="D1202" s="174"/>
      <c r="E1202" s="173"/>
      <c r="F1202" s="173"/>
      <c r="G1202" s="176"/>
      <c r="H1202" s="174"/>
      <c r="J1202" s="174"/>
      <c r="K1202" s="173"/>
      <c r="L1202" s="173"/>
      <c r="M1202" s="174"/>
      <c r="N1202" s="177"/>
      <c r="O1202" s="176"/>
      <c r="P1202" s="177"/>
      <c r="Q1202" s="178"/>
      <c r="R1202" s="179"/>
      <c r="S1202" s="177"/>
      <c r="T1202" s="180"/>
      <c r="U1202" s="180"/>
      <c r="V1202" s="177"/>
      <c r="W1202" s="177"/>
      <c r="X1202" s="67"/>
    </row>
    <row r="1203" spans="1:24" ht="12.75" x14ac:dyDescent="0.2">
      <c r="A1203" s="34"/>
      <c r="B1203" s="173"/>
      <c r="C1203" s="173"/>
      <c r="D1203" s="174"/>
      <c r="E1203" s="173"/>
      <c r="F1203" s="173"/>
      <c r="G1203" s="176"/>
      <c r="H1203" s="174"/>
      <c r="J1203" s="174"/>
      <c r="K1203" s="173"/>
      <c r="L1203" s="173"/>
      <c r="M1203" s="174"/>
      <c r="N1203" s="177"/>
      <c r="O1203" s="176"/>
      <c r="P1203" s="177"/>
      <c r="Q1203" s="178"/>
      <c r="R1203" s="179"/>
      <c r="S1203" s="177"/>
      <c r="T1203" s="180"/>
      <c r="U1203" s="180"/>
      <c r="V1203" s="177"/>
      <c r="W1203" s="177"/>
      <c r="X1203" s="67"/>
    </row>
    <row r="1204" spans="1:24" ht="12.75" x14ac:dyDescent="0.2">
      <c r="A1204" s="34"/>
      <c r="B1204" s="173"/>
      <c r="C1204" s="173"/>
      <c r="D1204" s="174"/>
      <c r="E1204" s="173"/>
      <c r="F1204" s="173"/>
      <c r="G1204" s="176"/>
      <c r="H1204" s="174"/>
      <c r="J1204" s="174"/>
      <c r="K1204" s="173"/>
      <c r="L1204" s="173"/>
      <c r="M1204" s="174"/>
      <c r="N1204" s="177"/>
      <c r="O1204" s="176"/>
      <c r="P1204" s="177"/>
      <c r="Q1204" s="178"/>
      <c r="R1204" s="179"/>
      <c r="S1204" s="177"/>
      <c r="T1204" s="180"/>
      <c r="U1204" s="180"/>
      <c r="V1204" s="177"/>
      <c r="W1204" s="177"/>
      <c r="X1204" s="67"/>
    </row>
    <row r="1205" spans="1:24" ht="12.75" x14ac:dyDescent="0.2">
      <c r="A1205" s="34"/>
      <c r="B1205" s="173"/>
      <c r="C1205" s="173"/>
      <c r="D1205" s="174"/>
      <c r="E1205" s="173"/>
      <c r="F1205" s="173"/>
      <c r="G1205" s="176"/>
      <c r="H1205" s="174"/>
      <c r="J1205" s="174"/>
      <c r="K1205" s="173"/>
      <c r="L1205" s="173"/>
      <c r="M1205" s="174"/>
      <c r="N1205" s="177"/>
      <c r="O1205" s="176"/>
      <c r="P1205" s="177"/>
      <c r="Q1205" s="178"/>
      <c r="R1205" s="179"/>
      <c r="S1205" s="177"/>
      <c r="T1205" s="180"/>
      <c r="U1205" s="180"/>
      <c r="V1205" s="177"/>
      <c r="W1205" s="177"/>
      <c r="X1205" s="67"/>
    </row>
    <row r="1206" spans="1:24" ht="12.75" x14ac:dyDescent="0.2">
      <c r="A1206" s="34"/>
      <c r="B1206" s="173"/>
      <c r="C1206" s="173"/>
      <c r="D1206" s="174"/>
      <c r="E1206" s="173"/>
      <c r="F1206" s="173"/>
      <c r="G1206" s="176"/>
      <c r="H1206" s="174"/>
      <c r="J1206" s="174"/>
      <c r="K1206" s="173"/>
      <c r="L1206" s="173"/>
      <c r="M1206" s="174"/>
      <c r="N1206" s="177"/>
      <c r="O1206" s="176"/>
      <c r="P1206" s="177"/>
      <c r="Q1206" s="178"/>
      <c r="R1206" s="179"/>
      <c r="S1206" s="177"/>
      <c r="T1206" s="180"/>
      <c r="U1206" s="180"/>
      <c r="V1206" s="177"/>
      <c r="W1206" s="177"/>
      <c r="X1206" s="67"/>
    </row>
    <row r="1207" spans="1:24" ht="12.75" x14ac:dyDescent="0.2">
      <c r="A1207" s="34"/>
      <c r="B1207" s="173"/>
      <c r="C1207" s="173"/>
      <c r="D1207" s="174"/>
      <c r="E1207" s="173"/>
      <c r="F1207" s="173"/>
      <c r="G1207" s="176"/>
      <c r="H1207" s="174"/>
      <c r="J1207" s="174"/>
      <c r="K1207" s="173"/>
      <c r="L1207" s="173"/>
      <c r="M1207" s="174"/>
      <c r="N1207" s="177"/>
      <c r="O1207" s="176"/>
      <c r="P1207" s="177"/>
      <c r="Q1207" s="178"/>
      <c r="R1207" s="179"/>
      <c r="S1207" s="177"/>
      <c r="T1207" s="180"/>
      <c r="U1207" s="180"/>
      <c r="V1207" s="177"/>
      <c r="W1207" s="177"/>
      <c r="X1207" s="67"/>
    </row>
    <row r="1208" spans="1:24" ht="12.75" x14ac:dyDescent="0.2">
      <c r="A1208" s="34"/>
      <c r="B1208" s="173"/>
      <c r="C1208" s="173"/>
      <c r="D1208" s="174"/>
      <c r="E1208" s="173"/>
      <c r="F1208" s="173"/>
      <c r="G1208" s="176"/>
      <c r="H1208" s="174"/>
      <c r="J1208" s="174"/>
      <c r="K1208" s="173"/>
      <c r="L1208" s="173"/>
      <c r="M1208" s="174"/>
      <c r="N1208" s="177"/>
      <c r="O1208" s="176"/>
      <c r="P1208" s="177"/>
      <c r="Q1208" s="178"/>
      <c r="R1208" s="179"/>
      <c r="S1208" s="177"/>
      <c r="T1208" s="180"/>
      <c r="U1208" s="180"/>
      <c r="V1208" s="177"/>
      <c r="W1208" s="177"/>
      <c r="X1208" s="67"/>
    </row>
    <row r="1209" spans="1:24" ht="12.75" x14ac:dyDescent="0.2">
      <c r="A1209" s="34"/>
      <c r="B1209" s="173"/>
      <c r="C1209" s="173"/>
      <c r="D1209" s="174"/>
      <c r="E1209" s="173"/>
      <c r="F1209" s="173"/>
      <c r="G1209" s="176"/>
      <c r="H1209" s="174"/>
      <c r="J1209" s="174"/>
      <c r="K1209" s="173"/>
      <c r="L1209" s="173"/>
      <c r="M1209" s="174"/>
      <c r="N1209" s="177"/>
      <c r="O1209" s="176"/>
      <c r="P1209" s="177"/>
      <c r="Q1209" s="178"/>
      <c r="R1209" s="179"/>
      <c r="S1209" s="177"/>
      <c r="T1209" s="180"/>
      <c r="U1209" s="180"/>
      <c r="V1209" s="177"/>
      <c r="W1209" s="177"/>
      <c r="X1209" s="67"/>
    </row>
    <row r="1210" spans="1:24" ht="12.75" x14ac:dyDescent="0.2">
      <c r="A1210" s="34"/>
      <c r="B1210" s="173"/>
      <c r="C1210" s="173"/>
      <c r="D1210" s="174"/>
      <c r="E1210" s="173"/>
      <c r="F1210" s="173"/>
      <c r="G1210" s="176"/>
      <c r="H1210" s="174"/>
      <c r="J1210" s="174"/>
      <c r="K1210" s="173"/>
      <c r="L1210" s="173"/>
      <c r="M1210" s="174"/>
      <c r="N1210" s="177"/>
      <c r="O1210" s="176"/>
      <c r="P1210" s="177"/>
      <c r="Q1210" s="178"/>
      <c r="R1210" s="179"/>
      <c r="S1210" s="177"/>
      <c r="T1210" s="180"/>
      <c r="U1210" s="180"/>
      <c r="V1210" s="177"/>
      <c r="W1210" s="177"/>
      <c r="X1210" s="67"/>
    </row>
    <row r="1211" spans="1:24" ht="12.75" x14ac:dyDescent="0.2">
      <c r="A1211" s="34"/>
      <c r="B1211" s="173"/>
      <c r="C1211" s="173"/>
      <c r="D1211" s="174"/>
      <c r="E1211" s="173"/>
      <c r="F1211" s="173"/>
      <c r="G1211" s="176"/>
      <c r="H1211" s="174"/>
      <c r="J1211" s="174"/>
      <c r="K1211" s="173"/>
      <c r="L1211" s="173"/>
      <c r="M1211" s="174"/>
      <c r="N1211" s="177"/>
      <c r="O1211" s="176"/>
      <c r="P1211" s="177"/>
      <c r="Q1211" s="178"/>
      <c r="R1211" s="179"/>
      <c r="S1211" s="177"/>
      <c r="T1211" s="180"/>
      <c r="U1211" s="180"/>
      <c r="V1211" s="177"/>
      <c r="W1211" s="177"/>
      <c r="X1211" s="67"/>
    </row>
    <row r="1212" spans="1:24" ht="12.75" x14ac:dyDescent="0.2">
      <c r="A1212" s="34"/>
      <c r="B1212" s="173"/>
      <c r="C1212" s="173"/>
      <c r="D1212" s="174"/>
      <c r="E1212" s="173"/>
      <c r="F1212" s="173"/>
      <c r="G1212" s="176"/>
      <c r="H1212" s="174"/>
      <c r="J1212" s="174"/>
      <c r="K1212" s="173"/>
      <c r="L1212" s="173"/>
      <c r="M1212" s="174"/>
      <c r="N1212" s="177"/>
      <c r="O1212" s="176"/>
      <c r="P1212" s="177"/>
      <c r="Q1212" s="178"/>
      <c r="R1212" s="179"/>
      <c r="S1212" s="177"/>
      <c r="T1212" s="180"/>
      <c r="U1212" s="180"/>
      <c r="V1212" s="177"/>
      <c r="W1212" s="177"/>
      <c r="X1212" s="67"/>
    </row>
    <row r="1213" spans="1:24" ht="12.75" x14ac:dyDescent="0.2">
      <c r="A1213" s="34"/>
      <c r="B1213" s="173"/>
      <c r="C1213" s="173"/>
      <c r="D1213" s="174"/>
      <c r="E1213" s="173"/>
      <c r="F1213" s="173"/>
      <c r="G1213" s="176"/>
      <c r="H1213" s="174"/>
      <c r="J1213" s="174"/>
      <c r="K1213" s="173"/>
      <c r="L1213" s="173"/>
      <c r="M1213" s="174"/>
      <c r="N1213" s="177"/>
      <c r="O1213" s="176"/>
      <c r="P1213" s="177"/>
      <c r="Q1213" s="178"/>
      <c r="R1213" s="179"/>
      <c r="S1213" s="177"/>
      <c r="T1213" s="180"/>
      <c r="U1213" s="180"/>
      <c r="V1213" s="177"/>
      <c r="W1213" s="177"/>
      <c r="X1213" s="67"/>
    </row>
    <row r="1214" spans="1:24" ht="12.75" x14ac:dyDescent="0.2">
      <c r="A1214" s="34"/>
      <c r="B1214" s="173"/>
      <c r="C1214" s="173"/>
      <c r="D1214" s="174"/>
      <c r="E1214" s="173"/>
      <c r="F1214" s="173"/>
      <c r="G1214" s="176"/>
      <c r="H1214" s="174"/>
      <c r="J1214" s="174"/>
      <c r="K1214" s="173"/>
      <c r="L1214" s="173"/>
      <c r="M1214" s="174"/>
      <c r="N1214" s="177"/>
      <c r="O1214" s="176"/>
      <c r="P1214" s="177"/>
      <c r="Q1214" s="178"/>
      <c r="R1214" s="179"/>
      <c r="S1214" s="177"/>
      <c r="T1214" s="180"/>
      <c r="U1214" s="180"/>
      <c r="V1214" s="177"/>
      <c r="W1214" s="177"/>
      <c r="X1214" s="67"/>
    </row>
    <row r="1215" spans="1:24" ht="12.75" x14ac:dyDescent="0.2">
      <c r="A1215" s="34"/>
      <c r="B1215" s="173"/>
      <c r="C1215" s="173"/>
      <c r="D1215" s="174"/>
      <c r="E1215" s="173"/>
      <c r="F1215" s="173"/>
      <c r="G1215" s="176"/>
      <c r="H1215" s="174"/>
      <c r="J1215" s="174"/>
      <c r="K1215" s="173"/>
      <c r="L1215" s="173"/>
      <c r="M1215" s="174"/>
      <c r="N1215" s="177"/>
      <c r="O1215" s="176"/>
      <c r="P1215" s="177"/>
      <c r="Q1215" s="178"/>
      <c r="R1215" s="179"/>
      <c r="S1215" s="177"/>
      <c r="T1215" s="180"/>
      <c r="U1215" s="180"/>
      <c r="V1215" s="177"/>
      <c r="W1215" s="177"/>
      <c r="X1215" s="67"/>
    </row>
    <row r="1216" spans="1:24" ht="12.75" x14ac:dyDescent="0.2">
      <c r="A1216" s="34"/>
      <c r="B1216" s="173"/>
      <c r="C1216" s="173"/>
      <c r="D1216" s="174"/>
      <c r="E1216" s="173"/>
      <c r="F1216" s="173"/>
      <c r="G1216" s="176"/>
      <c r="H1216" s="174"/>
      <c r="J1216" s="174"/>
      <c r="K1216" s="173"/>
      <c r="L1216" s="173"/>
      <c r="M1216" s="174"/>
      <c r="N1216" s="177"/>
      <c r="O1216" s="176"/>
      <c r="P1216" s="177"/>
      <c r="Q1216" s="178"/>
      <c r="R1216" s="179"/>
      <c r="S1216" s="177"/>
      <c r="T1216" s="180"/>
      <c r="U1216" s="180"/>
      <c r="V1216" s="177"/>
      <c r="W1216" s="177"/>
      <c r="X1216" s="67"/>
    </row>
    <row r="1217" spans="1:24" ht="12.75" x14ac:dyDescent="0.2">
      <c r="A1217" s="34"/>
      <c r="B1217" s="173"/>
      <c r="C1217" s="173"/>
      <c r="D1217" s="174"/>
      <c r="E1217" s="173"/>
      <c r="F1217" s="173"/>
      <c r="G1217" s="176"/>
      <c r="H1217" s="174"/>
      <c r="J1217" s="174"/>
      <c r="K1217" s="173"/>
      <c r="L1217" s="173"/>
      <c r="M1217" s="174"/>
      <c r="N1217" s="177"/>
      <c r="O1217" s="176"/>
      <c r="P1217" s="177"/>
      <c r="Q1217" s="178"/>
      <c r="R1217" s="179"/>
      <c r="S1217" s="177"/>
      <c r="T1217" s="180"/>
      <c r="U1217" s="180"/>
      <c r="V1217" s="177"/>
      <c r="W1217" s="177"/>
      <c r="X1217" s="67"/>
    </row>
    <row r="1218" spans="1:24" ht="12.75" x14ac:dyDescent="0.2">
      <c r="A1218" s="34"/>
      <c r="B1218" s="173"/>
      <c r="C1218" s="173"/>
      <c r="D1218" s="174"/>
      <c r="E1218" s="173"/>
      <c r="F1218" s="173"/>
      <c r="G1218" s="176"/>
      <c r="H1218" s="174"/>
      <c r="J1218" s="174"/>
      <c r="K1218" s="173"/>
      <c r="L1218" s="173"/>
      <c r="M1218" s="174"/>
      <c r="N1218" s="177"/>
      <c r="O1218" s="176"/>
      <c r="P1218" s="177"/>
      <c r="Q1218" s="178"/>
      <c r="R1218" s="179"/>
      <c r="S1218" s="177"/>
      <c r="T1218" s="180"/>
      <c r="U1218" s="180"/>
      <c r="V1218" s="177"/>
      <c r="W1218" s="177"/>
      <c r="X1218" s="67"/>
    </row>
    <row r="1219" spans="1:24" ht="12.75" x14ac:dyDescent="0.2">
      <c r="A1219" s="34"/>
      <c r="B1219" s="173"/>
      <c r="C1219" s="173"/>
      <c r="D1219" s="174"/>
      <c r="E1219" s="173"/>
      <c r="F1219" s="173"/>
      <c r="G1219" s="176"/>
      <c r="H1219" s="174"/>
      <c r="J1219" s="174"/>
      <c r="K1219" s="173"/>
      <c r="L1219" s="173"/>
      <c r="M1219" s="174"/>
      <c r="N1219" s="177"/>
      <c r="O1219" s="176"/>
      <c r="P1219" s="177"/>
      <c r="Q1219" s="178"/>
      <c r="R1219" s="179"/>
      <c r="S1219" s="177"/>
      <c r="T1219" s="180"/>
      <c r="U1219" s="180"/>
      <c r="V1219" s="177"/>
      <c r="W1219" s="177"/>
      <c r="X1219" s="67"/>
    </row>
    <row r="1220" spans="1:24" ht="12.75" x14ac:dyDescent="0.2">
      <c r="A1220" s="34"/>
      <c r="B1220" s="173"/>
      <c r="C1220" s="173"/>
      <c r="D1220" s="174"/>
      <c r="E1220" s="173"/>
      <c r="F1220" s="173"/>
      <c r="G1220" s="176"/>
      <c r="H1220" s="174"/>
      <c r="J1220" s="174"/>
      <c r="K1220" s="173"/>
      <c r="L1220" s="173"/>
      <c r="M1220" s="174"/>
      <c r="N1220" s="177"/>
      <c r="O1220" s="176"/>
      <c r="P1220" s="177"/>
      <c r="Q1220" s="178"/>
      <c r="R1220" s="179"/>
      <c r="S1220" s="177"/>
      <c r="T1220" s="180"/>
      <c r="U1220" s="180"/>
      <c r="V1220" s="177"/>
      <c r="W1220" s="177"/>
      <c r="X1220" s="67"/>
    </row>
    <row r="1221" spans="1:24" ht="12.75" x14ac:dyDescent="0.2">
      <c r="A1221" s="34"/>
      <c r="B1221" s="173"/>
      <c r="C1221" s="173"/>
      <c r="D1221" s="174"/>
      <c r="E1221" s="173"/>
      <c r="F1221" s="173"/>
      <c r="G1221" s="176"/>
      <c r="H1221" s="174"/>
      <c r="J1221" s="174"/>
      <c r="K1221" s="173"/>
      <c r="L1221" s="173"/>
      <c r="M1221" s="174"/>
      <c r="N1221" s="177"/>
      <c r="O1221" s="176"/>
      <c r="P1221" s="177"/>
      <c r="Q1221" s="178"/>
      <c r="R1221" s="179"/>
      <c r="S1221" s="177"/>
      <c r="T1221" s="180"/>
      <c r="U1221" s="180"/>
      <c r="V1221" s="177"/>
      <c r="W1221" s="177"/>
      <c r="X1221" s="67"/>
    </row>
    <row r="1222" spans="1:24" ht="12.75" x14ac:dyDescent="0.2">
      <c r="A1222" s="34"/>
      <c r="B1222" s="173"/>
      <c r="C1222" s="173"/>
      <c r="D1222" s="174"/>
      <c r="E1222" s="173"/>
      <c r="F1222" s="173"/>
      <c r="G1222" s="176"/>
      <c r="H1222" s="174"/>
      <c r="J1222" s="174"/>
      <c r="K1222" s="173"/>
      <c r="L1222" s="173"/>
      <c r="M1222" s="174"/>
      <c r="N1222" s="177"/>
      <c r="O1222" s="176"/>
      <c r="P1222" s="177"/>
      <c r="Q1222" s="178"/>
      <c r="R1222" s="179"/>
      <c r="S1222" s="177"/>
      <c r="T1222" s="180"/>
      <c r="U1222" s="180"/>
      <c r="V1222" s="177"/>
      <c r="W1222" s="177"/>
      <c r="X1222" s="67"/>
    </row>
    <row r="1223" spans="1:24" ht="12.75" x14ac:dyDescent="0.2">
      <c r="A1223" s="34"/>
      <c r="B1223" s="173"/>
      <c r="C1223" s="173"/>
      <c r="D1223" s="174"/>
      <c r="E1223" s="173"/>
      <c r="F1223" s="173"/>
      <c r="G1223" s="176"/>
      <c r="H1223" s="174"/>
      <c r="J1223" s="174"/>
      <c r="K1223" s="173"/>
      <c r="L1223" s="173"/>
      <c r="M1223" s="174"/>
      <c r="N1223" s="177"/>
      <c r="O1223" s="176"/>
      <c r="P1223" s="177"/>
      <c r="Q1223" s="178"/>
      <c r="R1223" s="179"/>
      <c r="S1223" s="177"/>
      <c r="T1223" s="180"/>
      <c r="U1223" s="180"/>
      <c r="V1223" s="177"/>
      <c r="W1223" s="177"/>
      <c r="X1223" s="67"/>
    </row>
    <row r="1224" spans="1:24" ht="12.75" x14ac:dyDescent="0.2">
      <c r="A1224" s="34"/>
      <c r="B1224" s="173"/>
      <c r="C1224" s="173"/>
      <c r="D1224" s="174"/>
      <c r="E1224" s="173"/>
      <c r="F1224" s="173"/>
      <c r="G1224" s="176"/>
      <c r="H1224" s="174"/>
      <c r="J1224" s="174"/>
      <c r="K1224" s="173"/>
      <c r="L1224" s="173"/>
      <c r="M1224" s="174"/>
      <c r="N1224" s="177"/>
      <c r="O1224" s="176"/>
      <c r="P1224" s="177"/>
      <c r="Q1224" s="178"/>
      <c r="R1224" s="179"/>
      <c r="S1224" s="177"/>
      <c r="T1224" s="180"/>
      <c r="U1224" s="180"/>
      <c r="V1224" s="177"/>
      <c r="W1224" s="177"/>
      <c r="X1224" s="67"/>
    </row>
    <row r="1225" spans="1:24" ht="12.75" x14ac:dyDescent="0.2">
      <c r="A1225" s="34"/>
      <c r="B1225" s="173"/>
      <c r="C1225" s="173"/>
      <c r="D1225" s="174"/>
      <c r="E1225" s="173"/>
      <c r="F1225" s="173"/>
      <c r="G1225" s="176"/>
      <c r="H1225" s="174"/>
      <c r="J1225" s="174"/>
      <c r="K1225" s="173"/>
      <c r="L1225" s="173"/>
      <c r="M1225" s="174"/>
      <c r="N1225" s="177"/>
      <c r="O1225" s="176"/>
      <c r="P1225" s="177"/>
      <c r="Q1225" s="178"/>
      <c r="R1225" s="179"/>
      <c r="S1225" s="177"/>
      <c r="T1225" s="180"/>
      <c r="U1225" s="180"/>
      <c r="V1225" s="177"/>
      <c r="W1225" s="177"/>
      <c r="X1225" s="67"/>
    </row>
    <row r="1226" spans="1:24" ht="12.75" x14ac:dyDescent="0.2">
      <c r="A1226" s="34"/>
      <c r="B1226" s="173"/>
      <c r="C1226" s="173"/>
      <c r="D1226" s="174"/>
      <c r="E1226" s="173"/>
      <c r="F1226" s="173"/>
      <c r="G1226" s="176"/>
      <c r="H1226" s="174"/>
      <c r="J1226" s="174"/>
      <c r="K1226" s="173"/>
      <c r="L1226" s="173"/>
      <c r="M1226" s="174"/>
      <c r="N1226" s="177"/>
      <c r="O1226" s="176"/>
      <c r="P1226" s="177"/>
      <c r="Q1226" s="178"/>
      <c r="R1226" s="179"/>
      <c r="S1226" s="177"/>
      <c r="T1226" s="180"/>
      <c r="U1226" s="180"/>
      <c r="V1226" s="177"/>
      <c r="W1226" s="177"/>
      <c r="X1226" s="67"/>
    </row>
    <row r="1227" spans="1:24" ht="12.75" x14ac:dyDescent="0.2">
      <c r="A1227" s="34"/>
      <c r="B1227" s="173"/>
      <c r="C1227" s="173"/>
      <c r="D1227" s="174"/>
      <c r="E1227" s="173"/>
      <c r="F1227" s="173"/>
      <c r="G1227" s="176"/>
      <c r="H1227" s="174"/>
      <c r="J1227" s="174"/>
      <c r="K1227" s="173"/>
      <c r="L1227" s="173"/>
      <c r="M1227" s="174"/>
      <c r="N1227" s="177"/>
      <c r="O1227" s="176"/>
      <c r="P1227" s="177"/>
      <c r="Q1227" s="178"/>
      <c r="R1227" s="179"/>
      <c r="S1227" s="177"/>
      <c r="T1227" s="180"/>
      <c r="U1227" s="180"/>
      <c r="V1227" s="177"/>
      <c r="W1227" s="177"/>
      <c r="X1227" s="67"/>
    </row>
    <row r="1228" spans="1:24" ht="12.75" x14ac:dyDescent="0.2">
      <c r="A1228" s="34"/>
      <c r="B1228" s="173"/>
      <c r="C1228" s="173"/>
      <c r="D1228" s="174"/>
      <c r="E1228" s="173"/>
      <c r="F1228" s="173"/>
      <c r="G1228" s="176"/>
      <c r="H1228" s="174"/>
      <c r="J1228" s="174"/>
      <c r="K1228" s="173"/>
      <c r="L1228" s="173"/>
      <c r="M1228" s="174"/>
      <c r="N1228" s="177"/>
      <c r="O1228" s="176"/>
      <c r="P1228" s="177"/>
      <c r="Q1228" s="178"/>
      <c r="R1228" s="179"/>
      <c r="S1228" s="177"/>
      <c r="T1228" s="180"/>
      <c r="U1228" s="180"/>
      <c r="V1228" s="177"/>
      <c r="W1228" s="177"/>
      <c r="X1228" s="67"/>
    </row>
    <row r="1229" spans="1:24" ht="12.75" x14ac:dyDescent="0.2">
      <c r="A1229" s="34"/>
      <c r="B1229" s="173"/>
      <c r="C1229" s="173"/>
      <c r="D1229" s="174"/>
      <c r="E1229" s="173"/>
      <c r="F1229" s="173"/>
      <c r="G1229" s="176"/>
      <c r="H1229" s="174"/>
      <c r="J1229" s="174"/>
      <c r="K1229" s="173"/>
      <c r="L1229" s="173"/>
      <c r="M1229" s="174"/>
      <c r="N1229" s="177"/>
      <c r="O1229" s="176"/>
      <c r="P1229" s="177"/>
      <c r="Q1229" s="178"/>
      <c r="R1229" s="179"/>
      <c r="S1229" s="177"/>
      <c r="T1229" s="180"/>
      <c r="U1229" s="180"/>
      <c r="V1229" s="177"/>
      <c r="W1229" s="177"/>
      <c r="X1229" s="67"/>
    </row>
    <row r="1230" spans="1:24" ht="12.75" x14ac:dyDescent="0.2">
      <c r="A1230" s="34"/>
      <c r="B1230" s="173"/>
      <c r="C1230" s="173"/>
      <c r="D1230" s="174"/>
      <c r="E1230" s="173"/>
      <c r="F1230" s="173"/>
      <c r="G1230" s="176"/>
      <c r="H1230" s="174"/>
      <c r="J1230" s="174"/>
      <c r="K1230" s="173"/>
      <c r="L1230" s="173"/>
      <c r="M1230" s="174"/>
      <c r="N1230" s="177"/>
      <c r="O1230" s="176"/>
      <c r="P1230" s="177"/>
      <c r="Q1230" s="178"/>
      <c r="R1230" s="179"/>
      <c r="S1230" s="177"/>
      <c r="T1230" s="180"/>
      <c r="U1230" s="180"/>
      <c r="V1230" s="177"/>
      <c r="W1230" s="177"/>
      <c r="X1230" s="67"/>
    </row>
    <row r="1231" spans="1:24" ht="12.75" x14ac:dyDescent="0.2">
      <c r="A1231" s="34"/>
      <c r="B1231" s="173"/>
      <c r="C1231" s="173"/>
      <c r="D1231" s="174"/>
      <c r="E1231" s="173"/>
      <c r="F1231" s="173"/>
      <c r="G1231" s="176"/>
      <c r="H1231" s="174"/>
      <c r="J1231" s="174"/>
      <c r="K1231" s="173"/>
      <c r="L1231" s="173"/>
      <c r="M1231" s="174"/>
      <c r="N1231" s="177"/>
      <c r="O1231" s="176"/>
      <c r="P1231" s="177"/>
      <c r="Q1231" s="178"/>
      <c r="R1231" s="179"/>
      <c r="S1231" s="177"/>
      <c r="T1231" s="180"/>
      <c r="U1231" s="180"/>
      <c r="V1231" s="177"/>
      <c r="W1231" s="177"/>
      <c r="X1231" s="67"/>
    </row>
    <row r="1232" spans="1:24" ht="12.75" x14ac:dyDescent="0.2">
      <c r="A1232" s="34"/>
      <c r="B1232" s="173"/>
      <c r="C1232" s="173"/>
      <c r="D1232" s="174"/>
      <c r="E1232" s="173"/>
      <c r="F1232" s="173"/>
      <c r="G1232" s="176"/>
      <c r="H1232" s="174"/>
      <c r="J1232" s="174"/>
      <c r="K1232" s="173"/>
      <c r="L1232" s="173"/>
      <c r="M1232" s="174"/>
      <c r="N1232" s="177"/>
      <c r="O1232" s="176"/>
      <c r="P1232" s="177"/>
      <c r="Q1232" s="178"/>
      <c r="R1232" s="179"/>
      <c r="S1232" s="177"/>
      <c r="T1232" s="180"/>
      <c r="U1232" s="180"/>
      <c r="V1232" s="177"/>
      <c r="W1232" s="177"/>
      <c r="X1232" s="67"/>
    </row>
    <row r="1233" spans="1:24" ht="12.75" x14ac:dyDescent="0.2">
      <c r="A1233" s="34"/>
      <c r="B1233" s="173"/>
      <c r="C1233" s="173"/>
      <c r="D1233" s="174"/>
      <c r="E1233" s="173"/>
      <c r="F1233" s="173"/>
      <c r="G1233" s="176"/>
      <c r="H1233" s="174"/>
      <c r="J1233" s="174"/>
      <c r="K1233" s="173"/>
      <c r="L1233" s="173"/>
      <c r="M1233" s="174"/>
      <c r="N1233" s="177"/>
      <c r="O1233" s="176"/>
      <c r="P1233" s="177"/>
      <c r="Q1233" s="178"/>
      <c r="R1233" s="179"/>
      <c r="S1233" s="177"/>
      <c r="T1233" s="180"/>
      <c r="U1233" s="180"/>
      <c r="V1233" s="177"/>
      <c r="W1233" s="177"/>
      <c r="X1233" s="67"/>
    </row>
    <row r="1234" spans="1:24" ht="12.75" x14ac:dyDescent="0.2">
      <c r="A1234" s="34"/>
      <c r="B1234" s="173"/>
      <c r="C1234" s="173"/>
      <c r="D1234" s="174"/>
      <c r="E1234" s="173"/>
      <c r="F1234" s="173"/>
      <c r="G1234" s="176"/>
      <c r="H1234" s="174"/>
      <c r="J1234" s="174"/>
      <c r="K1234" s="173"/>
      <c r="L1234" s="173"/>
      <c r="M1234" s="174"/>
      <c r="N1234" s="177"/>
      <c r="O1234" s="176"/>
      <c r="P1234" s="177"/>
      <c r="Q1234" s="178"/>
      <c r="R1234" s="179"/>
      <c r="S1234" s="177"/>
      <c r="T1234" s="180"/>
      <c r="U1234" s="180"/>
      <c r="V1234" s="177"/>
      <c r="W1234" s="177"/>
      <c r="X1234" s="67"/>
    </row>
    <row r="1235" spans="1:24" ht="12.75" x14ac:dyDescent="0.2">
      <c r="A1235" s="34"/>
      <c r="B1235" s="173"/>
      <c r="C1235" s="173"/>
      <c r="D1235" s="174"/>
      <c r="E1235" s="173"/>
      <c r="F1235" s="173"/>
      <c r="G1235" s="176"/>
      <c r="H1235" s="174"/>
      <c r="J1235" s="174"/>
      <c r="K1235" s="173"/>
      <c r="L1235" s="173"/>
      <c r="M1235" s="174"/>
      <c r="N1235" s="177"/>
      <c r="O1235" s="176"/>
      <c r="P1235" s="177"/>
      <c r="Q1235" s="178"/>
      <c r="R1235" s="179"/>
      <c r="S1235" s="177"/>
      <c r="T1235" s="180"/>
      <c r="U1235" s="180"/>
      <c r="V1235" s="177"/>
      <c r="W1235" s="177"/>
      <c r="X1235" s="67"/>
    </row>
    <row r="1236" spans="1:24" ht="12.75" x14ac:dyDescent="0.2">
      <c r="A1236" s="34"/>
      <c r="B1236" s="173"/>
      <c r="C1236" s="173"/>
      <c r="D1236" s="174"/>
      <c r="E1236" s="173"/>
      <c r="F1236" s="173"/>
      <c r="G1236" s="176"/>
      <c r="H1236" s="174"/>
      <c r="J1236" s="174"/>
      <c r="K1236" s="173"/>
      <c r="L1236" s="173"/>
      <c r="M1236" s="174"/>
      <c r="N1236" s="177"/>
      <c r="O1236" s="176"/>
      <c r="P1236" s="177"/>
      <c r="Q1236" s="178"/>
      <c r="R1236" s="179"/>
      <c r="S1236" s="177"/>
      <c r="T1236" s="180"/>
      <c r="U1236" s="180"/>
      <c r="V1236" s="177"/>
      <c r="W1236" s="177"/>
      <c r="X1236" s="67"/>
    </row>
    <row r="1237" spans="1:24" ht="12.75" x14ac:dyDescent="0.2">
      <c r="A1237" s="34"/>
      <c r="B1237" s="173"/>
      <c r="C1237" s="173"/>
      <c r="D1237" s="174"/>
      <c r="E1237" s="173"/>
      <c r="F1237" s="173"/>
      <c r="G1237" s="176"/>
      <c r="H1237" s="174"/>
      <c r="J1237" s="174"/>
      <c r="K1237" s="173"/>
      <c r="L1237" s="173"/>
      <c r="M1237" s="174"/>
      <c r="N1237" s="177"/>
      <c r="O1237" s="176"/>
      <c r="P1237" s="177"/>
      <c r="Q1237" s="178"/>
      <c r="R1237" s="179"/>
      <c r="S1237" s="177"/>
      <c r="T1237" s="180"/>
      <c r="U1237" s="180"/>
      <c r="V1237" s="177"/>
      <c r="W1237" s="177"/>
      <c r="X1237" s="67"/>
    </row>
    <row r="1238" spans="1:24" ht="12.75" x14ac:dyDescent="0.2">
      <c r="A1238" s="34"/>
      <c r="B1238" s="173"/>
      <c r="C1238" s="173"/>
      <c r="D1238" s="174"/>
      <c r="E1238" s="173"/>
      <c r="F1238" s="173"/>
      <c r="G1238" s="176"/>
      <c r="H1238" s="174"/>
      <c r="J1238" s="174"/>
      <c r="K1238" s="173"/>
      <c r="L1238" s="173"/>
      <c r="M1238" s="174"/>
      <c r="N1238" s="177"/>
      <c r="O1238" s="176"/>
      <c r="P1238" s="177"/>
      <c r="Q1238" s="178"/>
      <c r="R1238" s="179"/>
      <c r="S1238" s="177"/>
      <c r="T1238" s="180"/>
      <c r="U1238" s="180"/>
      <c r="V1238" s="177"/>
      <c r="W1238" s="177"/>
      <c r="X1238" s="67"/>
    </row>
    <row r="1239" spans="1:24" ht="12.75" x14ac:dyDescent="0.2">
      <c r="A1239" s="34"/>
      <c r="B1239" s="173"/>
      <c r="C1239" s="173"/>
      <c r="D1239" s="174"/>
      <c r="E1239" s="173"/>
      <c r="F1239" s="173"/>
      <c r="G1239" s="176"/>
      <c r="H1239" s="174"/>
      <c r="J1239" s="174"/>
      <c r="K1239" s="173"/>
      <c r="L1239" s="173"/>
      <c r="M1239" s="174"/>
      <c r="N1239" s="177"/>
      <c r="O1239" s="176"/>
      <c r="P1239" s="177"/>
      <c r="Q1239" s="178"/>
      <c r="R1239" s="179"/>
      <c r="S1239" s="177"/>
      <c r="T1239" s="180"/>
      <c r="U1239" s="180"/>
      <c r="V1239" s="177"/>
      <c r="W1239" s="177"/>
      <c r="X1239" s="67"/>
    </row>
    <row r="1240" spans="1:24" ht="12.75" x14ac:dyDescent="0.2">
      <c r="A1240" s="34"/>
      <c r="B1240" s="173"/>
      <c r="C1240" s="173"/>
      <c r="D1240" s="174"/>
      <c r="E1240" s="173"/>
      <c r="F1240" s="173"/>
      <c r="G1240" s="176"/>
      <c r="H1240" s="174"/>
      <c r="J1240" s="174"/>
      <c r="K1240" s="173"/>
      <c r="L1240" s="173"/>
      <c r="M1240" s="174"/>
      <c r="N1240" s="177"/>
      <c r="O1240" s="176"/>
      <c r="P1240" s="177"/>
      <c r="Q1240" s="178"/>
      <c r="R1240" s="179"/>
      <c r="S1240" s="177"/>
      <c r="T1240" s="180"/>
      <c r="U1240" s="180"/>
      <c r="V1240" s="177"/>
      <c r="W1240" s="177"/>
      <c r="X1240" s="67"/>
    </row>
    <row r="1241" spans="1:24" ht="12.75" x14ac:dyDescent="0.2">
      <c r="A1241" s="34"/>
      <c r="B1241" s="173"/>
      <c r="C1241" s="173"/>
      <c r="D1241" s="174"/>
      <c r="E1241" s="173"/>
      <c r="F1241" s="173"/>
      <c r="G1241" s="176"/>
      <c r="H1241" s="174"/>
      <c r="J1241" s="174"/>
      <c r="K1241" s="173"/>
      <c r="L1241" s="173"/>
      <c r="M1241" s="174"/>
      <c r="N1241" s="177"/>
      <c r="O1241" s="176"/>
      <c r="P1241" s="177"/>
      <c r="Q1241" s="178"/>
      <c r="R1241" s="179"/>
      <c r="S1241" s="177"/>
      <c r="T1241" s="180"/>
      <c r="U1241" s="180"/>
      <c r="V1241" s="177"/>
      <c r="W1241" s="177"/>
      <c r="X1241" s="67"/>
    </row>
    <row r="1242" spans="1:24" ht="12.75" x14ac:dyDescent="0.2">
      <c r="A1242" s="34"/>
      <c r="B1242" s="173"/>
      <c r="C1242" s="173"/>
      <c r="D1242" s="174"/>
      <c r="E1242" s="173"/>
      <c r="F1242" s="173"/>
      <c r="G1242" s="176"/>
      <c r="H1242" s="174"/>
      <c r="J1242" s="174"/>
      <c r="K1242" s="173"/>
      <c r="L1242" s="173"/>
      <c r="M1242" s="174"/>
      <c r="N1242" s="177"/>
      <c r="O1242" s="176"/>
      <c r="P1242" s="177"/>
      <c r="Q1242" s="178"/>
      <c r="R1242" s="179"/>
      <c r="S1242" s="177"/>
      <c r="T1242" s="180"/>
      <c r="U1242" s="180"/>
      <c r="V1242" s="177"/>
      <c r="W1242" s="177"/>
      <c r="X1242" s="67"/>
    </row>
    <row r="1243" spans="1:24" ht="12.75" x14ac:dyDescent="0.2">
      <c r="A1243" s="34"/>
      <c r="B1243" s="173"/>
      <c r="C1243" s="173"/>
      <c r="D1243" s="174"/>
      <c r="E1243" s="173"/>
      <c r="F1243" s="173"/>
      <c r="G1243" s="176"/>
      <c r="H1243" s="174"/>
      <c r="J1243" s="174"/>
      <c r="K1243" s="173"/>
      <c r="L1243" s="173"/>
      <c r="M1243" s="174"/>
      <c r="N1243" s="177"/>
      <c r="O1243" s="176"/>
      <c r="P1243" s="177"/>
      <c r="Q1243" s="178"/>
      <c r="R1243" s="179"/>
      <c r="S1243" s="177"/>
      <c r="T1243" s="180"/>
      <c r="U1243" s="180"/>
      <c r="V1243" s="177"/>
      <c r="W1243" s="177"/>
      <c r="X1243" s="67"/>
    </row>
    <row r="1244" spans="1:24" ht="12.75" x14ac:dyDescent="0.2">
      <c r="A1244" s="34"/>
      <c r="B1244" s="173"/>
      <c r="C1244" s="173"/>
      <c r="D1244" s="174"/>
      <c r="E1244" s="173"/>
      <c r="F1244" s="173"/>
      <c r="G1244" s="176"/>
      <c r="H1244" s="174"/>
      <c r="J1244" s="174"/>
      <c r="K1244" s="173"/>
      <c r="L1244" s="173"/>
      <c r="M1244" s="174"/>
      <c r="N1244" s="177"/>
      <c r="O1244" s="176"/>
      <c r="P1244" s="177"/>
      <c r="Q1244" s="178"/>
      <c r="R1244" s="179"/>
      <c r="S1244" s="177"/>
      <c r="T1244" s="180"/>
      <c r="U1244" s="180"/>
      <c r="V1244" s="177"/>
      <c r="W1244" s="177"/>
      <c r="X1244" s="67"/>
    </row>
    <row r="1245" spans="1:24" ht="12.75" x14ac:dyDescent="0.2">
      <c r="A1245" s="34"/>
      <c r="B1245" s="173"/>
      <c r="C1245" s="173"/>
      <c r="D1245" s="174"/>
      <c r="E1245" s="173"/>
      <c r="F1245" s="173"/>
      <c r="G1245" s="176"/>
      <c r="H1245" s="174"/>
      <c r="J1245" s="174"/>
      <c r="K1245" s="173"/>
      <c r="L1245" s="173"/>
      <c r="M1245" s="174"/>
      <c r="N1245" s="177"/>
      <c r="O1245" s="176"/>
      <c r="P1245" s="177"/>
      <c r="Q1245" s="178"/>
      <c r="R1245" s="179"/>
      <c r="S1245" s="177"/>
      <c r="T1245" s="180"/>
      <c r="U1245" s="180"/>
      <c r="V1245" s="177"/>
      <c r="W1245" s="177"/>
      <c r="X1245" s="67"/>
    </row>
    <row r="1246" spans="1:24" ht="12.75" x14ac:dyDescent="0.2">
      <c r="A1246" s="34"/>
      <c r="B1246" s="173"/>
      <c r="C1246" s="173"/>
      <c r="D1246" s="174"/>
      <c r="E1246" s="173"/>
      <c r="F1246" s="173"/>
      <c r="G1246" s="176"/>
      <c r="H1246" s="174"/>
      <c r="J1246" s="174"/>
      <c r="K1246" s="173"/>
      <c r="L1246" s="173"/>
      <c r="M1246" s="174"/>
      <c r="N1246" s="177"/>
      <c r="O1246" s="176"/>
      <c r="P1246" s="177"/>
      <c r="Q1246" s="178"/>
      <c r="R1246" s="179"/>
      <c r="S1246" s="177"/>
      <c r="T1246" s="180"/>
      <c r="U1246" s="180"/>
      <c r="V1246" s="177"/>
      <c r="W1246" s="177"/>
      <c r="X1246" s="67"/>
    </row>
    <row r="1247" spans="1:24" ht="12.75" x14ac:dyDescent="0.2">
      <c r="A1247" s="34"/>
      <c r="B1247" s="173"/>
      <c r="C1247" s="173"/>
      <c r="D1247" s="174"/>
      <c r="E1247" s="173"/>
      <c r="F1247" s="173"/>
      <c r="G1247" s="176"/>
      <c r="H1247" s="174"/>
      <c r="J1247" s="174"/>
      <c r="K1247" s="173"/>
      <c r="L1247" s="173"/>
      <c r="M1247" s="174"/>
      <c r="N1247" s="177"/>
      <c r="O1247" s="176"/>
      <c r="P1247" s="177"/>
      <c r="Q1247" s="178"/>
      <c r="R1247" s="179"/>
      <c r="S1247" s="177"/>
      <c r="T1247" s="180"/>
      <c r="U1247" s="180"/>
      <c r="V1247" s="177"/>
      <c r="W1247" s="177"/>
      <c r="X1247" s="67"/>
    </row>
    <row r="1248" spans="1:24" ht="12.75" x14ac:dyDescent="0.2">
      <c r="A1248" s="34"/>
      <c r="B1248" s="173"/>
      <c r="C1248" s="173"/>
      <c r="D1248" s="174"/>
      <c r="E1248" s="173"/>
      <c r="F1248" s="173"/>
      <c r="G1248" s="176"/>
      <c r="H1248" s="174"/>
      <c r="J1248" s="174"/>
      <c r="K1248" s="173"/>
      <c r="L1248" s="173"/>
      <c r="M1248" s="174"/>
      <c r="N1248" s="177"/>
      <c r="O1248" s="176"/>
      <c r="P1248" s="177"/>
      <c r="Q1248" s="178"/>
      <c r="R1248" s="179"/>
      <c r="S1248" s="177"/>
      <c r="T1248" s="180"/>
      <c r="U1248" s="180"/>
      <c r="V1248" s="177"/>
      <c r="W1248" s="177"/>
      <c r="X1248" s="67"/>
    </row>
    <row r="1249" spans="1:24" ht="12.75" x14ac:dyDescent="0.2">
      <c r="A1249" s="34"/>
      <c r="B1249" s="173"/>
      <c r="C1249" s="173"/>
      <c r="D1249" s="174"/>
      <c r="E1249" s="173"/>
      <c r="F1249" s="173"/>
      <c r="G1249" s="176"/>
      <c r="H1249" s="174"/>
      <c r="J1249" s="174"/>
      <c r="K1249" s="173"/>
      <c r="L1249" s="173"/>
      <c r="M1249" s="174"/>
      <c r="N1249" s="177"/>
      <c r="O1249" s="176"/>
      <c r="P1249" s="177"/>
      <c r="Q1249" s="178"/>
      <c r="R1249" s="179"/>
      <c r="S1249" s="177"/>
      <c r="T1249" s="180"/>
      <c r="U1249" s="180"/>
      <c r="V1249" s="177"/>
      <c r="W1249" s="177"/>
      <c r="X1249" s="67"/>
    </row>
    <row r="1250" spans="1:24" ht="12.75" x14ac:dyDescent="0.2">
      <c r="A1250" s="34"/>
      <c r="B1250" s="173"/>
      <c r="C1250" s="173"/>
      <c r="D1250" s="174"/>
      <c r="E1250" s="173"/>
      <c r="F1250" s="173"/>
      <c r="G1250" s="176"/>
      <c r="H1250" s="174"/>
      <c r="J1250" s="174"/>
      <c r="K1250" s="173"/>
      <c r="L1250" s="173"/>
      <c r="M1250" s="174"/>
      <c r="N1250" s="177"/>
      <c r="O1250" s="176"/>
      <c r="P1250" s="177"/>
      <c r="Q1250" s="178"/>
      <c r="R1250" s="179"/>
      <c r="S1250" s="177"/>
      <c r="T1250" s="180"/>
      <c r="U1250" s="180"/>
      <c r="V1250" s="177"/>
      <c r="W1250" s="177"/>
      <c r="X1250" s="67"/>
    </row>
    <row r="1251" spans="1:24" ht="12.75" x14ac:dyDescent="0.2">
      <c r="A1251" s="34"/>
      <c r="B1251" s="173"/>
      <c r="C1251" s="173"/>
      <c r="D1251" s="174"/>
      <c r="E1251" s="173"/>
      <c r="F1251" s="173"/>
      <c r="G1251" s="176"/>
      <c r="H1251" s="174"/>
      <c r="J1251" s="174"/>
      <c r="K1251" s="173"/>
      <c r="L1251" s="173"/>
      <c r="M1251" s="174"/>
      <c r="N1251" s="177"/>
      <c r="O1251" s="176"/>
      <c r="P1251" s="177"/>
      <c r="Q1251" s="178"/>
      <c r="R1251" s="179"/>
      <c r="S1251" s="177"/>
      <c r="T1251" s="180"/>
      <c r="U1251" s="180"/>
      <c r="V1251" s="177"/>
      <c r="W1251" s="177"/>
      <c r="X1251" s="67"/>
    </row>
    <row r="1252" spans="1:24" ht="12.75" x14ac:dyDescent="0.2">
      <c r="A1252" s="34"/>
      <c r="B1252" s="173"/>
      <c r="C1252" s="173"/>
      <c r="D1252" s="174"/>
      <c r="E1252" s="173"/>
      <c r="F1252" s="173"/>
      <c r="G1252" s="176"/>
      <c r="H1252" s="174"/>
      <c r="J1252" s="174"/>
      <c r="K1252" s="173"/>
      <c r="L1252" s="173"/>
      <c r="M1252" s="174"/>
      <c r="N1252" s="177"/>
      <c r="O1252" s="176"/>
      <c r="P1252" s="177"/>
      <c r="Q1252" s="178"/>
      <c r="R1252" s="179"/>
      <c r="S1252" s="177"/>
      <c r="T1252" s="180"/>
      <c r="U1252" s="180"/>
      <c r="V1252" s="177"/>
      <c r="W1252" s="177"/>
      <c r="X1252" s="67"/>
    </row>
    <row r="1253" spans="1:24" ht="12.75" x14ac:dyDescent="0.2">
      <c r="A1253" s="34"/>
      <c r="B1253" s="173"/>
      <c r="C1253" s="173"/>
      <c r="D1253" s="174"/>
      <c r="E1253" s="173"/>
      <c r="F1253" s="173"/>
      <c r="G1253" s="176"/>
      <c r="H1253" s="174"/>
      <c r="J1253" s="174"/>
      <c r="K1253" s="173"/>
      <c r="L1253" s="173"/>
      <c r="M1253" s="174"/>
      <c r="N1253" s="177"/>
      <c r="O1253" s="176"/>
      <c r="P1253" s="177"/>
      <c r="Q1253" s="178"/>
      <c r="R1253" s="179"/>
      <c r="S1253" s="177"/>
      <c r="T1253" s="180"/>
      <c r="U1253" s="180"/>
      <c r="V1253" s="177"/>
      <c r="W1253" s="177"/>
      <c r="X1253" s="67"/>
    </row>
    <row r="1254" spans="1:24" ht="12.75" x14ac:dyDescent="0.2">
      <c r="A1254" s="34"/>
      <c r="B1254" s="173"/>
      <c r="C1254" s="173"/>
      <c r="D1254" s="174"/>
      <c r="E1254" s="173"/>
      <c r="F1254" s="173"/>
      <c r="G1254" s="176"/>
      <c r="H1254" s="174"/>
      <c r="J1254" s="174"/>
      <c r="K1254" s="173"/>
      <c r="L1254" s="173"/>
      <c r="M1254" s="174"/>
      <c r="N1254" s="177"/>
      <c r="O1254" s="176"/>
      <c r="P1254" s="177"/>
      <c r="Q1254" s="178"/>
      <c r="R1254" s="179"/>
      <c r="S1254" s="177"/>
      <c r="T1254" s="180"/>
      <c r="U1254" s="180"/>
      <c r="V1254" s="177"/>
      <c r="W1254" s="177"/>
      <c r="X1254" s="67"/>
    </row>
    <row r="1255" spans="1:24" ht="12.75" x14ac:dyDescent="0.2">
      <c r="A1255" s="34"/>
      <c r="B1255" s="173"/>
      <c r="C1255" s="173"/>
      <c r="D1255" s="174"/>
      <c r="E1255" s="173"/>
      <c r="F1255" s="173"/>
      <c r="G1255" s="176"/>
      <c r="H1255" s="174"/>
      <c r="J1255" s="174"/>
      <c r="K1255" s="173"/>
      <c r="L1255" s="173"/>
      <c r="M1255" s="174"/>
      <c r="N1255" s="177"/>
      <c r="O1255" s="176"/>
      <c r="P1255" s="177"/>
      <c r="Q1255" s="178"/>
      <c r="R1255" s="179"/>
      <c r="S1255" s="177"/>
      <c r="T1255" s="180"/>
      <c r="U1255" s="180"/>
      <c r="V1255" s="177"/>
      <c r="W1255" s="177"/>
      <c r="X1255" s="67"/>
    </row>
    <row r="1256" spans="1:24" ht="12.75" x14ac:dyDescent="0.2">
      <c r="A1256" s="34"/>
      <c r="B1256" s="173"/>
      <c r="C1256" s="173"/>
      <c r="D1256" s="174"/>
      <c r="E1256" s="173"/>
      <c r="F1256" s="173"/>
      <c r="G1256" s="176"/>
      <c r="H1256" s="174"/>
      <c r="J1256" s="174"/>
      <c r="K1256" s="173"/>
      <c r="L1256" s="173"/>
      <c r="M1256" s="174"/>
      <c r="N1256" s="177"/>
      <c r="O1256" s="176"/>
      <c r="P1256" s="177"/>
      <c r="Q1256" s="178"/>
      <c r="R1256" s="179"/>
      <c r="S1256" s="177"/>
      <c r="T1256" s="180"/>
      <c r="U1256" s="180"/>
      <c r="V1256" s="177"/>
      <c r="W1256" s="177"/>
      <c r="X1256" s="67"/>
    </row>
    <row r="1257" spans="1:24" ht="12.75" x14ac:dyDescent="0.2">
      <c r="A1257" s="34"/>
      <c r="B1257" s="173"/>
      <c r="C1257" s="173"/>
      <c r="D1257" s="174"/>
      <c r="E1257" s="173"/>
      <c r="F1257" s="173"/>
      <c r="G1257" s="176"/>
      <c r="H1257" s="174"/>
      <c r="J1257" s="174"/>
      <c r="K1257" s="173"/>
      <c r="L1257" s="173"/>
      <c r="M1257" s="174"/>
      <c r="N1257" s="177"/>
      <c r="O1257" s="176"/>
      <c r="P1257" s="177"/>
      <c r="Q1257" s="178"/>
      <c r="R1257" s="179"/>
      <c r="S1257" s="177"/>
      <c r="T1257" s="180"/>
      <c r="U1257" s="180"/>
      <c r="V1257" s="177"/>
      <c r="W1257" s="177"/>
      <c r="X1257" s="67"/>
    </row>
    <row r="1258" spans="1:24" ht="12.75" x14ac:dyDescent="0.2">
      <c r="A1258" s="34"/>
      <c r="B1258" s="173"/>
      <c r="C1258" s="173"/>
      <c r="D1258" s="174"/>
      <c r="E1258" s="173"/>
      <c r="F1258" s="173"/>
      <c r="G1258" s="176"/>
      <c r="H1258" s="174"/>
      <c r="J1258" s="174"/>
      <c r="K1258" s="173"/>
      <c r="L1258" s="173"/>
      <c r="M1258" s="174"/>
      <c r="N1258" s="177"/>
      <c r="O1258" s="176"/>
      <c r="P1258" s="177"/>
      <c r="Q1258" s="178"/>
      <c r="R1258" s="179"/>
      <c r="S1258" s="177"/>
      <c r="T1258" s="180"/>
      <c r="U1258" s="180"/>
      <c r="V1258" s="177"/>
      <c r="W1258" s="177"/>
      <c r="X1258" s="67"/>
    </row>
    <row r="1259" spans="1:24" ht="12.75" x14ac:dyDescent="0.2">
      <c r="A1259" s="34"/>
      <c r="B1259" s="173"/>
      <c r="C1259" s="173"/>
      <c r="D1259" s="174"/>
      <c r="E1259" s="173"/>
      <c r="F1259" s="173"/>
      <c r="G1259" s="176"/>
      <c r="H1259" s="174"/>
      <c r="J1259" s="174"/>
      <c r="K1259" s="173"/>
      <c r="L1259" s="173"/>
      <c r="M1259" s="174"/>
      <c r="N1259" s="177"/>
      <c r="O1259" s="176"/>
      <c r="P1259" s="177"/>
      <c r="Q1259" s="178"/>
      <c r="R1259" s="179"/>
      <c r="S1259" s="177"/>
      <c r="T1259" s="180"/>
      <c r="U1259" s="180"/>
      <c r="V1259" s="177"/>
      <c r="W1259" s="177"/>
      <c r="X1259" s="67"/>
    </row>
    <row r="1260" spans="1:24" ht="12.75" x14ac:dyDescent="0.2">
      <c r="A1260" s="34"/>
      <c r="B1260" s="173"/>
      <c r="C1260" s="173"/>
      <c r="D1260" s="174"/>
      <c r="E1260" s="173"/>
      <c r="F1260" s="173"/>
      <c r="G1260" s="176"/>
      <c r="H1260" s="174"/>
      <c r="J1260" s="174"/>
      <c r="K1260" s="173"/>
      <c r="L1260" s="173"/>
      <c r="M1260" s="174"/>
      <c r="N1260" s="177"/>
      <c r="O1260" s="176"/>
      <c r="P1260" s="177"/>
      <c r="Q1260" s="178"/>
      <c r="R1260" s="179"/>
      <c r="S1260" s="177"/>
      <c r="T1260" s="180"/>
      <c r="U1260" s="180"/>
      <c r="V1260" s="177"/>
      <c r="W1260" s="177"/>
      <c r="X1260" s="67"/>
    </row>
    <row r="1261" spans="1:24" ht="12.75" x14ac:dyDescent="0.2">
      <c r="A1261" s="34"/>
      <c r="B1261" s="173"/>
      <c r="C1261" s="173"/>
      <c r="D1261" s="174"/>
      <c r="E1261" s="173"/>
      <c r="F1261" s="173"/>
      <c r="G1261" s="176"/>
      <c r="H1261" s="174"/>
      <c r="J1261" s="174"/>
      <c r="K1261" s="173"/>
      <c r="L1261" s="173"/>
      <c r="M1261" s="174"/>
      <c r="N1261" s="177"/>
      <c r="O1261" s="176"/>
      <c r="P1261" s="177"/>
      <c r="Q1261" s="178"/>
      <c r="R1261" s="179"/>
      <c r="S1261" s="177"/>
      <c r="T1261" s="180"/>
      <c r="U1261" s="180"/>
      <c r="V1261" s="177"/>
      <c r="W1261" s="177"/>
      <c r="X1261" s="67"/>
    </row>
    <row r="1262" spans="1:24" ht="12.75" x14ac:dyDescent="0.2">
      <c r="A1262" s="34"/>
      <c r="B1262" s="173"/>
      <c r="C1262" s="173"/>
      <c r="D1262" s="174"/>
      <c r="E1262" s="173"/>
      <c r="F1262" s="173"/>
      <c r="G1262" s="176"/>
      <c r="H1262" s="174"/>
      <c r="J1262" s="174"/>
      <c r="K1262" s="173"/>
      <c r="L1262" s="173"/>
      <c r="M1262" s="174"/>
      <c r="N1262" s="177"/>
      <c r="O1262" s="176"/>
      <c r="P1262" s="177"/>
      <c r="Q1262" s="178"/>
      <c r="R1262" s="179"/>
      <c r="S1262" s="177"/>
      <c r="T1262" s="180"/>
      <c r="U1262" s="180"/>
      <c r="V1262" s="177"/>
      <c r="W1262" s="177"/>
      <c r="X1262" s="67"/>
    </row>
    <row r="1263" spans="1:24" ht="12.75" x14ac:dyDescent="0.2">
      <c r="A1263" s="34"/>
      <c r="B1263" s="173"/>
      <c r="C1263" s="173"/>
      <c r="D1263" s="174"/>
      <c r="E1263" s="173"/>
      <c r="F1263" s="173"/>
      <c r="G1263" s="176"/>
      <c r="H1263" s="174"/>
      <c r="J1263" s="174"/>
      <c r="K1263" s="173"/>
      <c r="L1263" s="173"/>
      <c r="M1263" s="174"/>
      <c r="N1263" s="177"/>
      <c r="O1263" s="176"/>
      <c r="P1263" s="177"/>
      <c r="Q1263" s="178"/>
      <c r="R1263" s="179"/>
      <c r="S1263" s="177"/>
      <c r="T1263" s="180"/>
      <c r="U1263" s="180"/>
      <c r="V1263" s="177"/>
      <c r="W1263" s="177"/>
      <c r="X1263" s="67"/>
    </row>
    <row r="1264" spans="1:24" ht="12.75" x14ac:dyDescent="0.2">
      <c r="A1264" s="34"/>
      <c r="B1264" s="173"/>
      <c r="C1264" s="173"/>
      <c r="D1264" s="174"/>
      <c r="E1264" s="173"/>
      <c r="F1264" s="173"/>
      <c r="G1264" s="176"/>
      <c r="H1264" s="174"/>
      <c r="J1264" s="174"/>
      <c r="K1264" s="173"/>
      <c r="L1264" s="173"/>
      <c r="M1264" s="174"/>
      <c r="N1264" s="177"/>
      <c r="O1264" s="176"/>
      <c r="P1264" s="177"/>
      <c r="Q1264" s="178"/>
      <c r="R1264" s="179"/>
      <c r="S1264" s="177"/>
      <c r="T1264" s="180"/>
      <c r="U1264" s="180"/>
      <c r="V1264" s="177"/>
      <c r="W1264" s="177"/>
      <c r="X1264" s="67"/>
    </row>
    <row r="1265" spans="1:24" ht="12.75" x14ac:dyDescent="0.2">
      <c r="A1265" s="34"/>
      <c r="B1265" s="173"/>
      <c r="C1265" s="173"/>
      <c r="D1265" s="174"/>
      <c r="E1265" s="173"/>
      <c r="F1265" s="173"/>
      <c r="G1265" s="176"/>
      <c r="H1265" s="174"/>
      <c r="J1265" s="174"/>
      <c r="K1265" s="173"/>
      <c r="L1265" s="173"/>
      <c r="M1265" s="174"/>
      <c r="N1265" s="177"/>
      <c r="O1265" s="176"/>
      <c r="P1265" s="177"/>
      <c r="Q1265" s="178"/>
      <c r="R1265" s="179"/>
      <c r="S1265" s="177"/>
      <c r="T1265" s="180"/>
      <c r="U1265" s="180"/>
      <c r="V1265" s="177"/>
      <c r="W1265" s="177"/>
      <c r="X1265" s="67"/>
    </row>
    <row r="1266" spans="1:24" ht="12.75" x14ac:dyDescent="0.2">
      <c r="A1266" s="34"/>
      <c r="B1266" s="173"/>
      <c r="C1266" s="173"/>
      <c r="D1266" s="174"/>
      <c r="E1266" s="173"/>
      <c r="F1266" s="173"/>
      <c r="G1266" s="176"/>
      <c r="H1266" s="174"/>
      <c r="J1266" s="174"/>
      <c r="K1266" s="173"/>
      <c r="L1266" s="173"/>
      <c r="M1266" s="174"/>
      <c r="N1266" s="177"/>
      <c r="O1266" s="176"/>
      <c r="P1266" s="177"/>
      <c r="Q1266" s="178"/>
      <c r="R1266" s="179"/>
      <c r="S1266" s="177"/>
      <c r="T1266" s="180"/>
      <c r="U1266" s="180"/>
      <c r="V1266" s="177"/>
      <c r="W1266" s="177"/>
      <c r="X1266" s="67"/>
    </row>
    <row r="1267" spans="1:24" ht="12.75" x14ac:dyDescent="0.2">
      <c r="A1267" s="34"/>
      <c r="B1267" s="173"/>
      <c r="C1267" s="173"/>
      <c r="D1267" s="174"/>
      <c r="E1267" s="173"/>
      <c r="F1267" s="173"/>
      <c r="G1267" s="176"/>
      <c r="H1267" s="174"/>
      <c r="J1267" s="174"/>
      <c r="K1267" s="173"/>
      <c r="L1267" s="173"/>
      <c r="M1267" s="174"/>
      <c r="N1267" s="177"/>
      <c r="O1267" s="176"/>
      <c r="P1267" s="177"/>
      <c r="Q1267" s="178"/>
      <c r="R1267" s="179"/>
      <c r="S1267" s="177"/>
      <c r="T1267" s="180"/>
      <c r="U1267" s="180"/>
      <c r="V1267" s="177"/>
      <c r="W1267" s="177"/>
      <c r="X1267" s="67"/>
    </row>
    <row r="1268" spans="1:24" ht="12.75" x14ac:dyDescent="0.2">
      <c r="A1268" s="34"/>
      <c r="B1268" s="173"/>
      <c r="C1268" s="173"/>
      <c r="D1268" s="174"/>
      <c r="E1268" s="173"/>
      <c r="F1268" s="173"/>
      <c r="G1268" s="176"/>
      <c r="H1268" s="174"/>
      <c r="J1268" s="174"/>
      <c r="K1268" s="173"/>
      <c r="L1268" s="173"/>
      <c r="M1268" s="174"/>
      <c r="N1268" s="177"/>
      <c r="O1268" s="176"/>
      <c r="P1268" s="177"/>
      <c r="Q1268" s="178"/>
      <c r="R1268" s="179"/>
      <c r="S1268" s="177"/>
      <c r="T1268" s="180"/>
      <c r="U1268" s="180"/>
      <c r="V1268" s="177"/>
      <c r="W1268" s="177"/>
      <c r="X1268" s="67"/>
    </row>
    <row r="1269" spans="1:24" ht="12.75" x14ac:dyDescent="0.2">
      <c r="A1269" s="34"/>
      <c r="B1269" s="173"/>
      <c r="C1269" s="173"/>
      <c r="D1269" s="174"/>
      <c r="E1269" s="173"/>
      <c r="F1269" s="173"/>
      <c r="G1269" s="176"/>
      <c r="H1269" s="174"/>
      <c r="J1269" s="174"/>
      <c r="K1269" s="173"/>
      <c r="L1269" s="173"/>
      <c r="M1269" s="174"/>
      <c r="N1269" s="177"/>
      <c r="O1269" s="176"/>
      <c r="P1269" s="177"/>
      <c r="Q1269" s="178"/>
      <c r="R1269" s="179"/>
      <c r="S1269" s="177"/>
      <c r="T1269" s="180"/>
      <c r="U1269" s="180"/>
      <c r="V1269" s="177"/>
      <c r="W1269" s="177"/>
      <c r="X1269" s="67"/>
    </row>
    <row r="1270" spans="1:24" ht="12.75" x14ac:dyDescent="0.2">
      <c r="A1270" s="34"/>
      <c r="B1270" s="173"/>
      <c r="C1270" s="173"/>
      <c r="D1270" s="174"/>
      <c r="E1270" s="173"/>
      <c r="F1270" s="173"/>
      <c r="G1270" s="176"/>
      <c r="H1270" s="174"/>
      <c r="J1270" s="174"/>
      <c r="K1270" s="173"/>
      <c r="L1270" s="173"/>
      <c r="M1270" s="174"/>
      <c r="N1270" s="177"/>
      <c r="O1270" s="176"/>
      <c r="P1270" s="177"/>
      <c r="Q1270" s="178"/>
      <c r="R1270" s="179"/>
      <c r="S1270" s="177"/>
      <c r="T1270" s="180"/>
      <c r="U1270" s="180"/>
      <c r="V1270" s="177"/>
      <c r="W1270" s="177"/>
      <c r="X1270" s="67"/>
    </row>
  </sheetData>
  <mergeCells count="19">
    <mergeCell ref="V10:W10"/>
    <mergeCell ref="X10:Y10"/>
    <mergeCell ref="F5:I5"/>
    <mergeCell ref="K5:N5"/>
    <mergeCell ref="F7:I7"/>
    <mergeCell ref="K7:N7"/>
    <mergeCell ref="F8:H8"/>
    <mergeCell ref="K8:M8"/>
    <mergeCell ref="K9:N9"/>
    <mergeCell ref="F4:H4"/>
    <mergeCell ref="K4:M4"/>
    <mergeCell ref="F9:I9"/>
    <mergeCell ref="D10:I10"/>
    <mergeCell ref="L10:S10"/>
    <mergeCell ref="A1:B1"/>
    <mergeCell ref="A2:B2"/>
    <mergeCell ref="C2:W2"/>
    <mergeCell ref="F3:I3"/>
    <mergeCell ref="K3:N3"/>
  </mergeCells>
  <conditionalFormatting sqref="C5 F5:I5 K5:N5 C9">
    <cfRule type="cellIs" dxfId="7" priority="1" operator="greaterThanOrEqual">
      <formula>0</formula>
    </cfRule>
    <cfRule type="cellIs" dxfId="6" priority="2" operator="lessThanOrEqual">
      <formula>0</formula>
    </cfRule>
  </conditionalFormatting>
  <conditionalFormatting sqref="F9:N9">
    <cfRule type="cellIs" dxfId="5" priority="3" operator="lessThanOrEqual">
      <formula>0</formula>
    </cfRule>
    <cfRule type="cellIs" dxfId="4" priority="4" operator="greaterThanOrEqual">
      <formula>0</formula>
    </cfRule>
  </conditionalFormatting>
  <conditionalFormatting sqref="T12:Y1270">
    <cfRule type="cellIs" dxfId="3" priority="5" operator="greaterThanOrEqual">
      <formula>0</formula>
    </cfRule>
    <cfRule type="cellIs" dxfId="2" priority="6" operator="lessThan">
      <formula>0</formula>
    </cfRule>
  </conditionalFormatting>
  <conditionalFormatting sqref="V12:W1270">
    <cfRule type="cellIs" dxfId="1" priority="7" operator="greaterThanOrEqual">
      <formula>0</formula>
    </cfRule>
    <cfRule type="cellIs" dxfId="0" priority="8" operator="lessThan">
      <formula>0</formula>
    </cfRule>
  </conditionalFormatting>
  <dataValidations count="1">
    <dataValidation type="list" allowBlank="1" sqref="B12 B25 B43 B61 B79 B97 B115 B133 B151 B169 B187 B205 B223 B241 B259 B266" xr:uid="{00000000-0002-0000-0600-000000000000}">
      <formula1>"Previous Week,Current Week"</formula1>
    </dataValidation>
  </dataValidations>
  <hyperlinks>
    <hyperlink ref="A1" r:id="rId1" xr:uid="{00000000-0004-0000-0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WALMART_weekly_reporting_2026-B</vt:lpstr>
      <vt:lpstr>SEM campaigns summary + total f</vt:lpstr>
      <vt:lpstr>Sheet4</vt:lpstr>
      <vt:lpstr>SEM Campaigns Data 2026</vt:lpstr>
      <vt:lpstr>WALMART_weekly_reporting_2025-B</vt:lpstr>
      <vt:lpstr>SEM Campaigns Data 2025</vt:lpstr>
      <vt:lpstr>WALMART_weekly_reporting_2024-B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Windows</cp:lastModifiedBy>
  <dcterms:modified xsi:type="dcterms:W3CDTF">2026-03-03T14:08:26Z</dcterms:modified>
</cp:coreProperties>
</file>